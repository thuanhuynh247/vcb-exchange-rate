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2" autoFilterDateGrouping="1"/>
  </bookViews>
  <sheets>
    <sheet name="Dashboard" sheetId="1" state="visible" r:id="rId1"/>
    <sheet name="TheoDoi_USD" sheetId="2" state="visible" r:id="rId2"/>
    <sheet name="TheoDoi_Thang_USD" sheetId="3" state="visible" r:id="rId3"/>
    <sheet name="Data" sheetId="4" state="visible" r:id="rId4"/>
    <sheet name="Data_TheoDoi_USD" sheetId="5" state="hidden" r:id="rId5"/>
    <sheet name="_RateData" sheetId="6" state="hidden" r:id="rId6"/>
    <sheet name="_ChartData" sheetId="7" state="hidden" r:id="rId7"/>
  </sheets>
  <definedNames>
    <definedName name="_xlnm._FilterDatabase" localSheetId="3" hidden="1">'Data'!$A$1:$G$5141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0&quot;%&quot;"/>
    <numFmt numFmtId="165" formatCode="\+#,##0.00;\-#,##0.00;0.00"/>
    <numFmt numFmtId="166" formatCode="\+0.00&quot;%&quot;;\-0.00&quot;%&quot;;0.00&quot;%&quot;"/>
    <numFmt numFmtId="167" formatCode="+#,##0.00;-#,##0.00;0.00"/>
    <numFmt numFmtId="168" formatCode="+0.00&quot;%&quot;;-0.00&quot;%&quot;;0.00&quot;%&quot;"/>
    <numFmt numFmtId="169" formatCode="dd/mm/yyyy"/>
  </numFmts>
  <fonts count="8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Arial"/>
      <b val="1"/>
      <color rgb="FF333333"/>
      <sz val="22"/>
    </font>
    <font>
      <name val="Arial"/>
      <color rgb="FF666666"/>
      <sz val="10"/>
    </font>
    <font>
      <name val="Arial"/>
      <b val="1"/>
      <color rgb="FF333333"/>
      <sz val="13"/>
    </font>
    <font>
      <name val="Arial"/>
      <i val="1"/>
      <color rgb="FF666666"/>
      <sz val="10"/>
    </font>
    <font>
      <name val="Arial"/>
      <b val="1"/>
      <color rgb="FF1565C0"/>
      <sz val="13"/>
    </font>
    <font>
      <name val="Arial"/>
      <b val="1"/>
      <color rgb="FF333333"/>
      <sz val="11"/>
    </font>
    <font>
      <name val="Arial"/>
      <color rgb="FF333333"/>
      <sz val="11"/>
    </font>
    <font>
      <name val="Arial"/>
      <b val="1"/>
      <color rgb="FFC0392B"/>
      <sz val="11"/>
    </font>
    <font>
      <name val="Arial"/>
      <b val="1"/>
      <sz val="11"/>
    </font>
    <font>
      <name val="Arial"/>
      <color rgb="FF1565C0"/>
      <sz val="11"/>
    </font>
    <font>
      <name val="Arial"/>
      <b val="1"/>
      <color rgb="FF333333"/>
      <sz val="14"/>
    </font>
    <font>
      <name val="Arial"/>
      <color rgb="FF666666"/>
      <sz val="11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333333"/>
      <sz val="12"/>
    </font>
    <font>
      <name val="Arial"/>
      <color rgb="FF0563C1"/>
      <sz val="11"/>
      <u val="single"/>
    </font>
    <font>
      <name val="Arial"/>
      <i val="1"/>
      <color rgb="FF999999"/>
      <sz val="9"/>
    </font>
    <font>
      <name val="Arial"/>
      <b val="1"/>
      <color rgb="FF333333"/>
      <sz val="18"/>
    </font>
    <font>
      <name val="Arial"/>
      <b val="1"/>
      <color rgb="FF666666"/>
      <sz val="11"/>
    </font>
    <font>
      <name val="Arial"/>
      <b val="1"/>
      <color rgb="FF0E6655"/>
      <sz val="11"/>
    </font>
    <font>
      <name val="Arial"/>
      <b val="1"/>
      <color rgb="FF00703C"/>
      <sz val="11"/>
    </font>
    <font>
      <name val="Arial"/>
      <b val="1"/>
      <color rgb="FF0F172A"/>
      <sz val="16"/>
    </font>
    <font>
      <name val="Arial"/>
      <i val="1"/>
      <color rgb="FF64748B"/>
      <sz val="10"/>
    </font>
    <font>
      <name val="Arial"/>
      <b val="1"/>
      <color rgb="FF0F172A"/>
      <sz val="12"/>
    </font>
    <font>
      <name val="Arial"/>
      <b val="1"/>
      <color rgb="FF1D4ED8"/>
      <sz val="12"/>
    </font>
    <font>
      <name val="Arial"/>
      <b val="1"/>
      <color rgb="FF475569"/>
      <sz val="10"/>
    </font>
    <font>
      <name val="Arial"/>
      <b val="1"/>
      <color rgb="FFB45309"/>
      <sz val="9"/>
    </font>
    <font>
      <name val="Arial"/>
      <b val="1"/>
      <color rgb="FF92400E"/>
      <sz val="16"/>
    </font>
    <font>
      <name val="Arial"/>
      <i val="1"/>
      <color rgb="FF92400E"/>
      <sz val="9"/>
    </font>
    <font>
      <name val="Arial"/>
      <b val="1"/>
      <color rgb="FF047857"/>
      <sz val="9"/>
    </font>
    <font>
      <name val="Arial"/>
      <b val="1"/>
      <color rgb="FF047857"/>
      <sz val="16"/>
    </font>
    <font>
      <name val="Arial"/>
      <i val="1"/>
      <color rgb="FF047857"/>
      <sz val="9"/>
    </font>
    <font>
      <name val="Arial"/>
      <b val="1"/>
      <color rgb="FF1D4ED8"/>
      <sz val="9"/>
    </font>
    <font>
      <name val="Arial"/>
      <b val="1"/>
      <color rgb="FF1E40AF"/>
      <sz val="16"/>
    </font>
    <font>
      <name val="Arial"/>
      <i val="1"/>
      <color rgb="FF1E40AF"/>
      <sz val="9"/>
    </font>
    <font>
      <name val="Arial"/>
      <b val="1"/>
      <color rgb="FF475569"/>
      <sz val="9"/>
    </font>
    <font>
      <name val="Arial"/>
      <i val="1"/>
      <color rgb="FF64748B"/>
      <sz val="9"/>
    </font>
    <font>
      <name val="Arial"/>
      <b val="1"/>
      <color rgb="FF1E293B"/>
      <sz val="11"/>
    </font>
    <font>
      <name val="Arial"/>
      <b val="1"/>
      <color rgb="FF0F172A"/>
      <sz val="10"/>
    </font>
    <font>
      <name val="Arial"/>
      <b val="1"/>
      <color rgb="FFB91C1C"/>
      <sz val="10"/>
    </font>
    <font>
      <name val="Arial"/>
      <b val="1"/>
      <sz val="10"/>
    </font>
    <font>
      <name val="Arial"/>
      <b val="1"/>
      <color rgb="FF1E40AF"/>
      <sz val="10"/>
    </font>
    <font>
      <name val="Arial"/>
      <b val="1"/>
      <color rgb="00FFFFFF"/>
      <sz val="11"/>
    </font>
    <font>
      <name val="Arial"/>
      <b val="1"/>
      <color rgb="00333333"/>
      <sz val="22"/>
    </font>
    <font>
      <name val="Arial"/>
      <color rgb="00666666"/>
      <sz val="10"/>
    </font>
    <font>
      <name val="Arial"/>
      <b val="1"/>
      <color rgb="00333333"/>
      <sz val="13"/>
    </font>
    <font>
      <name val="Arial"/>
      <i val="1"/>
      <color rgb="00666666"/>
      <sz val="10"/>
    </font>
    <font>
      <name val="Arial"/>
      <b val="1"/>
      <color rgb="001565C0"/>
      <sz val="13"/>
    </font>
    <font>
      <name val="Arial"/>
      <b val="1"/>
      <color rgb="00333333"/>
      <sz val="11"/>
    </font>
    <font>
      <name val="Arial"/>
      <color rgb="00333333"/>
      <sz val="11"/>
    </font>
    <font>
      <name val="Arial"/>
      <b val="1"/>
      <color rgb="00C0392B"/>
      <sz val="11"/>
    </font>
    <font>
      <name val="Arial"/>
      <color rgb="001565C0"/>
      <sz val="11"/>
    </font>
    <font>
      <name val="Arial"/>
      <b val="1"/>
      <color rgb="00333333"/>
      <sz val="14"/>
    </font>
    <font>
      <name val="Arial"/>
      <color rgb="00666666"/>
      <sz val="11"/>
    </font>
    <font>
      <name val="Arial"/>
      <b val="1"/>
      <color rgb="00FFFFFF"/>
      <sz val="10"/>
    </font>
    <font>
      <name val="Arial"/>
      <b val="1"/>
      <color rgb="00333333"/>
      <sz val="12"/>
    </font>
    <font>
      <name val="Arial"/>
      <color rgb="000563C1"/>
      <sz val="11"/>
      <u val="single"/>
    </font>
    <font>
      <name val="Arial"/>
      <i val="1"/>
      <color rgb="00999999"/>
      <sz val="9"/>
    </font>
    <font>
      <name val="Arial"/>
      <b val="1"/>
      <color rgb="00333333"/>
      <sz val="18"/>
    </font>
    <font>
      <name val="Arial"/>
      <b val="1"/>
      <color rgb="00666666"/>
      <sz val="11"/>
    </font>
    <font>
      <name val="Arial"/>
      <b val="1"/>
      <color rgb="000E6655"/>
      <sz val="11"/>
    </font>
    <font>
      <name val="Arial"/>
      <b val="1"/>
      <color rgb="0000703C"/>
      <sz val="11"/>
    </font>
    <font>
      <name val="Arial"/>
      <b val="1"/>
      <color rgb="000F172A"/>
      <sz val="16"/>
    </font>
    <font>
      <name val="Arial"/>
      <i val="1"/>
      <color rgb="0064748B"/>
      <sz val="10"/>
    </font>
    <font>
      <name val="Arial"/>
      <b val="1"/>
      <color rgb="000F172A"/>
      <sz val="12"/>
    </font>
    <font>
      <name val="Arial"/>
      <b val="1"/>
      <color rgb="001D4ED8"/>
      <sz val="12"/>
    </font>
    <font>
      <name val="Arial"/>
      <b val="1"/>
      <color rgb="00475569"/>
      <sz val="10"/>
    </font>
    <font>
      <name val="Arial"/>
      <b val="1"/>
      <color rgb="00B45309"/>
      <sz val="9"/>
    </font>
    <font>
      <name val="Arial"/>
      <b val="1"/>
      <color rgb="0092400E"/>
      <sz val="16"/>
    </font>
    <font>
      <name val="Arial"/>
      <i val="1"/>
      <color rgb="0092400E"/>
      <sz val="9"/>
    </font>
    <font>
      <name val="Arial"/>
      <b val="1"/>
      <color rgb="00047857"/>
      <sz val="9"/>
    </font>
    <font>
      <name val="Arial"/>
      <b val="1"/>
      <color rgb="00047857"/>
      <sz val="16"/>
    </font>
    <font>
      <name val="Arial"/>
      <i val="1"/>
      <color rgb="00047857"/>
      <sz val="9"/>
    </font>
    <font>
      <name val="Arial"/>
      <b val="1"/>
      <color rgb="001D4ED8"/>
      <sz val="9"/>
    </font>
    <font>
      <name val="Arial"/>
      <b val="1"/>
      <color rgb="001E40AF"/>
      <sz val="16"/>
    </font>
    <font>
      <name val="Arial"/>
      <i val="1"/>
      <color rgb="001E40AF"/>
      <sz val="9"/>
    </font>
    <font>
      <name val="Arial"/>
      <b val="1"/>
      <color rgb="00475569"/>
      <sz val="9"/>
    </font>
    <font>
      <name val="Arial"/>
      <i val="1"/>
      <color rgb="0064748B"/>
      <sz val="9"/>
    </font>
    <font>
      <name val="Arial"/>
      <b val="1"/>
      <color rgb="001E293B"/>
      <sz val="11"/>
    </font>
    <font>
      <name val="Arial"/>
      <b val="1"/>
      <color rgb="000F172A"/>
      <sz val="10"/>
    </font>
    <font>
      <name val="Arial"/>
      <b val="1"/>
      <color rgb="00B91C1C"/>
      <sz val="10"/>
    </font>
    <font>
      <name val="Arial"/>
      <b val="1"/>
      <color rgb="001E40AF"/>
      <sz val="10"/>
    </font>
  </fonts>
  <fills count="44">
    <fill>
      <patternFill/>
    </fill>
    <fill>
      <patternFill patternType="gray125"/>
    </fill>
    <fill>
      <patternFill patternType="solid">
        <fgColor rgb="FF00703C"/>
        <bgColor rgb="FF00703C"/>
      </patternFill>
    </fill>
    <fill>
      <patternFill patternType="solid">
        <fgColor rgb="FFF0F8F0"/>
        <bgColor rgb="FFF0F8F0"/>
      </patternFill>
    </fill>
    <fill>
      <patternFill patternType="solid">
        <fgColor rgb="FFF0FFF0"/>
        <bgColor rgb="FFF0FFF0"/>
      </patternFill>
    </fill>
    <fill>
      <patternFill patternType="solid">
        <fgColor rgb="FFE3F2FD"/>
        <bgColor rgb="FFE3F2FD"/>
      </patternFill>
    </fill>
    <fill>
      <patternFill patternType="solid">
        <fgColor rgb="FF1565C0"/>
        <bgColor rgb="FF1565C0"/>
      </patternFill>
    </fill>
    <fill>
      <patternFill patternType="solid">
        <fgColor rgb="FFE8F5E9"/>
        <bgColor rgb="FFE8F5E9"/>
      </patternFill>
    </fill>
    <fill>
      <patternFill patternType="solid">
        <fgColor rgb="FFBBDEFB"/>
        <bgColor rgb="FFBBDEFB"/>
      </patternFill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  <fill>
      <patternFill patternType="solid">
        <fgColor rgb="FFF5F5F5"/>
        <bgColor rgb="FFF5F5F5"/>
      </patternFill>
    </fill>
    <fill>
      <patternFill patternType="solid">
        <fgColor rgb="FFF5F9F6"/>
        <bgColor rgb="FFF5F9F6"/>
      </patternFill>
    </fill>
    <fill>
      <patternFill patternType="solid">
        <fgColor rgb="FFECFDF5"/>
        <bgColor rgb="FFECFDF5"/>
      </patternFill>
    </fill>
    <fill>
      <patternFill patternType="solid">
        <fgColor rgb="FFEFF6FF"/>
        <bgColor rgb="FFEFF6FF"/>
      </patternFill>
    </fill>
    <fill>
      <patternFill patternType="solid">
        <fgColor rgb="FFF1F5F9"/>
        <bgColor rgb="FFF1F5F9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DBEAFE"/>
        <bgColor rgb="FFDBEAFE"/>
      </patternFill>
    </fill>
    <fill>
      <patternFill patternType="solid">
        <fgColor rgb="FF1E293B"/>
        <bgColor rgb="FF1E293B"/>
      </patternFill>
    </fill>
    <fill>
      <patternFill patternType="solid">
        <fgColor rgb="FF1E40AF"/>
        <bgColor rgb="FF1E40AF"/>
      </patternFill>
    </fill>
    <fill>
      <patternFill patternType="solid">
        <fgColor rgb="FFF8FAFC"/>
        <bgColor rgb="FFF8FAFC"/>
      </patternFill>
    </fill>
    <fill>
      <patternFill patternType="solid">
        <fgColor rgb="FFE0F2FE"/>
        <bgColor rgb="FFE0F2FE"/>
      </patternFill>
    </fill>
    <fill>
      <patternFill patternType="solid">
        <fgColor rgb="0000703C"/>
        <bgColor rgb="0000703C"/>
      </patternFill>
    </fill>
    <fill>
      <patternFill patternType="solid">
        <fgColor rgb="00F0F8F0"/>
        <bgColor rgb="00F0F8F0"/>
      </patternFill>
    </fill>
    <fill>
      <patternFill patternType="solid">
        <fgColor rgb="00F0FFF0"/>
        <bgColor rgb="00F0FFF0"/>
      </patternFill>
    </fill>
    <fill>
      <patternFill patternType="solid">
        <fgColor rgb="00E3F2FD"/>
        <bgColor rgb="00E3F2FD"/>
      </patternFill>
    </fill>
    <fill>
      <patternFill patternType="solid">
        <fgColor rgb="001565C0"/>
        <bgColor rgb="001565C0"/>
      </patternFill>
    </fill>
    <fill>
      <patternFill patternType="solid">
        <fgColor rgb="00E8F5E9"/>
        <bgColor rgb="00E8F5E9"/>
      </patternFill>
    </fill>
    <fill>
      <patternFill patternType="solid">
        <fgColor rgb="00BBDEFB"/>
        <bgColor rgb="00BBDEFB"/>
      </patternFill>
    </fill>
    <fill>
      <patternFill patternType="solid">
        <fgColor rgb="002E7D32"/>
        <bgColor rgb="002E7D32"/>
      </patternFill>
    </fill>
    <fill>
      <patternFill patternType="solid">
        <fgColor rgb="00F1F8E9"/>
        <bgColor rgb="00F1F8E9"/>
      </patternFill>
    </fill>
    <fill>
      <patternFill patternType="solid">
        <fgColor rgb="00F5F5F5"/>
        <bgColor rgb="00F5F5F5"/>
      </patternFill>
    </fill>
    <fill>
      <patternFill patternType="solid">
        <fgColor rgb="00F5F9F6"/>
        <bgColor rgb="00F5F9F6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  <fill>
      <patternFill patternType="solid">
        <fgColor rgb="00E0F2FE"/>
        <bgColor rgb="00E0F2FE"/>
      </patternFill>
    </fill>
  </fills>
  <borders count="53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medium">
        <color rgb="FF00703C"/>
      </left>
      <right style="medium">
        <color rgb="FF00703C"/>
      </right>
      <top style="medium">
        <color rgb="FF00703C"/>
      </top>
      <bottom style="medium">
        <color rgb="FF00703C"/>
      </bottom>
      <diagonal/>
    </border>
    <border>
      <left style="medium">
        <color rgb="FF1565C0"/>
      </left>
      <right style="medium">
        <color rgb="FF1565C0"/>
      </right>
      <top style="medium">
        <color rgb="FF1565C0"/>
      </top>
      <bottom style="medium">
        <color rgb="FF1565C0"/>
      </bottom>
      <diagonal/>
    </border>
    <border>
      <left style="thin">
        <color rgb="FFC8E6C9"/>
      </left>
      <right style="thin">
        <color rgb="FFC8E6C9"/>
      </right>
      <top style="thin">
        <color rgb="FFC8E6C9"/>
      </top>
      <bottom style="thin">
        <color rgb="FFC8E6C9"/>
      </bottom>
      <diagonal/>
    </border>
    <border>
      <left style="medium">
        <color rgb="FF10B981"/>
      </left>
      <right style="medium">
        <color rgb="FF10B981"/>
      </right>
      <top style="medium">
        <color rgb="FF10B981"/>
      </top>
      <bottom style="medium">
        <color rgb="FF10B981"/>
      </bottom>
      <diagonal/>
    </border>
    <border>
      <left style="medium">
        <color rgb="FF2563EB"/>
      </left>
      <right style="medium">
        <color rgb="FF2563EB"/>
      </right>
      <top style="medium">
        <color rgb="FF2563EB"/>
      </top>
      <bottom style="medium">
        <color rgb="FF2563E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>
      <left style="thin">
        <color rgb="FFA7F3D0"/>
      </left>
      <right style="thin">
        <color rgb="FFA7F3D0"/>
      </right>
      <top style="thin">
        <color rgb="FFA7F3D0"/>
      </top>
      <bottom style="thin">
        <color rgb="FFA7F3D0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A7F3D0"/>
      </top>
      <bottom/>
      <diagonal/>
    </border>
    <border>
      <left/>
      <right style="thin">
        <color rgb="FFA7F3D0"/>
      </right>
      <top style="thin">
        <color rgb="FFA7F3D0"/>
      </top>
      <bottom/>
      <diagonal/>
    </border>
    <border>
      <left/>
      <right style="thin">
        <color rgb="FFA7F3D0"/>
      </right>
      <top style="thin">
        <color rgb="FFA7F3D0"/>
      </top>
      <bottom style="thin">
        <color rgb="FFA7F3D0"/>
      </bottom>
      <diagonal/>
    </border>
    <border>
      <left/>
      <right/>
      <top style="thin">
        <color rgb="FFFDE68A"/>
      </top>
      <bottom/>
      <diagonal/>
    </border>
    <border>
      <left/>
      <right style="thin">
        <color rgb="FFFDE68A"/>
      </right>
      <top style="thin">
        <color rgb="FFFDE68A"/>
      </top>
      <bottom/>
      <diagonal/>
    </border>
    <border>
      <left/>
      <right style="thin">
        <color rgb="FFFDE68A"/>
      </right>
      <top style="thin">
        <color rgb="FFFDE68A"/>
      </top>
      <bottom style="thin">
        <color rgb="FFFDE68A"/>
      </bottom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BFDBFE"/>
      </top>
      <bottom/>
      <diagonal/>
    </border>
    <border>
      <left/>
      <right style="thin">
        <color rgb="FFBFDBFE"/>
      </right>
      <top style="thin">
        <color rgb="FFBFDBFE"/>
      </top>
      <bottom/>
      <diagonal/>
    </border>
    <border>
      <left/>
      <right style="thin">
        <color rgb="FFBFDBFE"/>
      </right>
      <top style="thin">
        <color rgb="FFBFDBFE"/>
      </top>
      <bottom style="thin">
        <color rgb="FFBFDBFE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medium">
        <color rgb="0000703C"/>
      </left>
      <right style="medium">
        <color rgb="0000703C"/>
      </right>
      <top style="medium">
        <color rgb="0000703C"/>
      </top>
      <bottom style="medium">
        <color rgb="0000703C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  <border>
      <left style="medium">
        <color rgb="0010B981"/>
      </left>
      <right style="medium">
        <color rgb="0010B981"/>
      </right>
      <top style="medium">
        <color rgb="0010B981"/>
      </top>
      <bottom style="medium">
        <color rgb="0010B981"/>
      </bottom>
    </border>
    <border>
      <left style="medium">
        <color rgb="002563EB"/>
      </left>
      <right style="medium">
        <color rgb="002563EB"/>
      </right>
      <top style="medium">
        <color rgb="002563EB"/>
      </top>
      <bottom style="medium">
        <color rgb="002563E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FDE68A"/>
      </left>
      <right style="thin">
        <color rgb="00FDE68A"/>
      </right>
      <top style="thin">
        <color rgb="00FDE68A"/>
      </top>
      <bottom style="thin">
        <color rgb="00FDE68A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FDE68A"/>
      </top>
      <bottom/>
      <diagonal/>
    </border>
    <border>
      <left/>
      <right style="thin">
        <color rgb="00FDE68A"/>
      </right>
      <top style="thin">
        <color rgb="00FDE68A"/>
      </top>
      <bottom/>
      <diagonal/>
    </border>
    <border>
      <left/>
      <right style="thin">
        <color rgb="00FDE68A"/>
      </right>
      <top style="thin">
        <color rgb="00FDE68A"/>
      </top>
      <bottom style="thin">
        <color rgb="00FDE68A"/>
      </bottom>
      <diagonal/>
    </border>
    <border>
      <left/>
      <right/>
      <top style="thin">
        <color rgb="00BFDBFE"/>
      </top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 style="thin">
        <color rgb="00BFDBFE"/>
      </top>
      <bottom style="thin">
        <color rgb="00BFDBFE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A7F3D0"/>
      </top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 style="thin">
        <color rgb="00A7F3D0"/>
      </top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202">
    <xf numFmtId="0" fontId="0" fillId="0" borderId="0" pivotButton="0" quotePrefix="0" xfId="0"/>
    <xf numFmtId="0" fontId="4" fillId="0" borderId="0" applyAlignment="1" pivotButton="0" quotePrefix="0" xfId="0">
      <alignment horizontal="left"/>
    </xf>
    <xf numFmtId="0" fontId="5" fillId="4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5" borderId="3" applyAlignment="1" pivotButton="0" quotePrefix="0" xfId="0">
      <alignment horizontal="left" vertical="center"/>
    </xf>
    <xf numFmtId="0" fontId="1" fillId="2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4" fontId="9" fillId="0" borderId="4" applyAlignment="1" pivotButton="0" quotePrefix="0" xfId="0">
      <alignment horizontal="center" vertical="center"/>
    </xf>
    <xf numFmtId="4" fontId="10" fillId="0" borderId="4" applyAlignment="1" pivotButton="0" quotePrefix="0" xfId="0">
      <alignment horizontal="center" vertical="center"/>
    </xf>
    <xf numFmtId="4" fontId="8" fillId="0" borderId="4" applyAlignment="1" pivotButton="0" quotePrefix="0" xfId="0">
      <alignment horizontal="center" vertical="center"/>
    </xf>
    <xf numFmtId="164" fontId="11" fillId="0" borderId="4" applyAlignment="1" pivotButton="0" quotePrefix="0" xfId="0">
      <alignment horizontal="center" vertical="center"/>
    </xf>
    <xf numFmtId="4" fontId="12" fillId="5" borderId="4" applyAlignment="1" pivotButton="0" quotePrefix="0" xfId="0">
      <alignment horizontal="center" vertical="center"/>
    </xf>
    <xf numFmtId="165" fontId="11" fillId="5" borderId="4" applyAlignment="1" pivotButton="0" quotePrefix="0" xfId="0">
      <alignment horizontal="center" vertical="center"/>
    </xf>
    <xf numFmtId="166" fontId="11" fillId="5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center" vertical="center"/>
    </xf>
    <xf numFmtId="0" fontId="9" fillId="7" borderId="4" applyAlignment="1" pivotButton="0" quotePrefix="0" xfId="0">
      <alignment horizontal="center" vertical="center"/>
    </xf>
    <xf numFmtId="4" fontId="9" fillId="7" borderId="4" applyAlignment="1" pivotButton="0" quotePrefix="0" xfId="0">
      <alignment horizontal="center" vertical="center"/>
    </xf>
    <xf numFmtId="4" fontId="10" fillId="7" borderId="4" applyAlignment="1" pivotButton="0" quotePrefix="0" xfId="0">
      <alignment horizontal="center" vertical="center"/>
    </xf>
    <xf numFmtId="4" fontId="8" fillId="7" borderId="4" applyAlignment="1" pivotButton="0" quotePrefix="0" xfId="0">
      <alignment horizontal="center" vertical="center"/>
    </xf>
    <xf numFmtId="164" fontId="11" fillId="7" borderId="4" applyAlignment="1" pivotButton="0" quotePrefix="0" xfId="0">
      <alignment horizontal="center" vertical="center"/>
    </xf>
    <xf numFmtId="4" fontId="12" fillId="8" borderId="4" applyAlignment="1" pivotButton="0" quotePrefix="0" xfId="0">
      <alignment horizontal="center" vertical="center"/>
    </xf>
    <xf numFmtId="165" fontId="11" fillId="8" borderId="4" applyAlignment="1" pivotButton="0" quotePrefix="0" xfId="0">
      <alignment horizontal="center" vertical="center"/>
    </xf>
    <xf numFmtId="166" fontId="11" fillId="8" borderId="4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5" fillId="9" borderId="4" applyAlignment="1" pivotButton="0" quotePrefix="0" xfId="0">
      <alignment horizontal="center" vertical="center"/>
    </xf>
    <xf numFmtId="0" fontId="16" fillId="10" borderId="4" applyAlignment="1" pivotButton="0" quotePrefix="0" xfId="0">
      <alignment horizontal="center"/>
    </xf>
    <xf numFmtId="4" fontId="16" fillId="10" borderId="4" applyAlignment="1" pivotButton="0" quotePrefix="0" xfId="0">
      <alignment horizontal="right"/>
    </xf>
    <xf numFmtId="0" fontId="16" fillId="0" borderId="4" applyAlignment="1" pivotButton="0" quotePrefix="0" xfId="0">
      <alignment horizontal="center"/>
    </xf>
    <xf numFmtId="4" fontId="16" fillId="0" borderId="4" applyAlignment="1" pivotButton="0" quotePrefix="0" xfId="0">
      <alignment horizontal="right"/>
    </xf>
    <xf numFmtId="0" fontId="25" fillId="0" borderId="0" applyAlignment="1" pivotButton="0" quotePrefix="0" xfId="0">
      <alignment horizontal="left" vertical="center"/>
    </xf>
    <xf numFmtId="0" fontId="26" fillId="13" borderId="5" applyAlignment="1" pivotButton="0" quotePrefix="0" xfId="0">
      <alignment horizontal="center" vertical="center"/>
    </xf>
    <xf numFmtId="0" fontId="27" fillId="14" borderId="6" applyAlignment="1" pivotButton="0" quotePrefix="0" xfId="0">
      <alignment horizontal="center" vertical="center"/>
    </xf>
    <xf numFmtId="0" fontId="15" fillId="19" borderId="11" applyAlignment="1" pivotButton="0" quotePrefix="0" xfId="0">
      <alignment horizontal="center" vertical="center" wrapText="1"/>
    </xf>
    <xf numFmtId="0" fontId="15" fillId="20" borderId="11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left" vertical="center"/>
    </xf>
    <xf numFmtId="4" fontId="16" fillId="0" borderId="11" applyAlignment="1" pivotButton="0" quotePrefix="0" xfId="0">
      <alignment horizontal="right" vertical="center"/>
    </xf>
    <xf numFmtId="4" fontId="42" fillId="0" borderId="11" applyAlignment="1" pivotButton="0" quotePrefix="0" xfId="0">
      <alignment horizontal="right" vertical="center"/>
    </xf>
    <xf numFmtId="4" fontId="16" fillId="14" borderId="11" applyAlignment="1" pivotButton="0" quotePrefix="0" xfId="0">
      <alignment horizontal="right" vertical="center"/>
    </xf>
    <xf numFmtId="165" fontId="43" fillId="14" borderId="11" applyAlignment="1" pivotButton="0" quotePrefix="0" xfId="0">
      <alignment horizontal="right" vertical="center"/>
    </xf>
    <xf numFmtId="166" fontId="43" fillId="14" borderId="11" applyAlignment="1" pivotButton="0" quotePrefix="0" xfId="0">
      <alignment horizontal="right" vertical="center"/>
    </xf>
    <xf numFmtId="0" fontId="41" fillId="21" borderId="11" applyAlignment="1" pivotButton="0" quotePrefix="0" xfId="0">
      <alignment horizontal="left" vertical="center"/>
    </xf>
    <xf numFmtId="4" fontId="16" fillId="21" borderId="11" applyAlignment="1" pivotButton="0" quotePrefix="0" xfId="0">
      <alignment horizontal="right" vertical="center"/>
    </xf>
    <xf numFmtId="4" fontId="42" fillId="21" borderId="11" applyAlignment="1" pivotButton="0" quotePrefix="0" xfId="0">
      <alignment horizontal="right" vertical="center"/>
    </xf>
    <xf numFmtId="4" fontId="16" fillId="22" borderId="11" applyAlignment="1" pivotButton="0" quotePrefix="0" xfId="0">
      <alignment horizontal="right" vertical="center"/>
    </xf>
    <xf numFmtId="165" fontId="43" fillId="22" borderId="11" applyAlignment="1" pivotButton="0" quotePrefix="0" xfId="0">
      <alignment horizontal="right" vertical="center"/>
    </xf>
    <xf numFmtId="166" fontId="43" fillId="22" borderId="11" applyAlignment="1" pivotButton="0" quotePrefix="0" xfId="0">
      <alignment horizontal="right" vertical="center"/>
    </xf>
    <xf numFmtId="0" fontId="41" fillId="15" borderId="7" applyAlignment="1" pivotButton="0" quotePrefix="0" xfId="0">
      <alignment horizontal="left" vertical="center"/>
    </xf>
    <xf numFmtId="4" fontId="41" fillId="15" borderId="7" applyAlignment="1" pivotButton="0" quotePrefix="0" xfId="0">
      <alignment horizontal="right" vertical="center"/>
    </xf>
    <xf numFmtId="165" fontId="44" fillId="18" borderId="7" applyAlignment="1" pivotButton="0" quotePrefix="0" xfId="0">
      <alignment horizontal="right" vertical="center"/>
    </xf>
    <xf numFmtId="166" fontId="44" fillId="18" borderId="7" applyAlignment="1" pivotButton="0" quotePrefix="0" xfId="0">
      <alignment horizontal="right" vertical="center"/>
    </xf>
    <xf numFmtId="0" fontId="21" fillId="0" borderId="0" applyAlignment="1" pivotButton="0" quotePrefix="0" xfId="0">
      <alignment horizontal="right" vertical="center"/>
    </xf>
    <xf numFmtId="0" fontId="17" fillId="11" borderId="1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4" fontId="22" fillId="0" borderId="1" applyAlignment="1" pivotButton="0" quotePrefix="0" xfId="0">
      <alignment horizontal="right" vertical="center"/>
    </xf>
    <xf numFmtId="0" fontId="16" fillId="12" borderId="1" applyAlignment="1" pivotButton="0" quotePrefix="0" xfId="0">
      <alignment horizontal="center" vertical="center"/>
    </xf>
    <xf numFmtId="14" fontId="2" fillId="12" borderId="1" applyAlignment="1" pivotButton="0" quotePrefix="0" xfId="0">
      <alignment horizontal="center" vertical="center"/>
    </xf>
    <xf numFmtId="4" fontId="2" fillId="12" borderId="1" applyAlignment="1" pivotButton="0" quotePrefix="0" xfId="0">
      <alignment horizontal="right" vertical="center"/>
    </xf>
    <xf numFmtId="4" fontId="22" fillId="12" borderId="1" applyAlignment="1" pivotButton="0" quotePrefix="0" xfId="0">
      <alignment horizontal="right" vertical="center"/>
    </xf>
    <xf numFmtId="0" fontId="0" fillId="0" borderId="1" pivotButton="0" quotePrefix="0" xfId="0"/>
    <xf numFmtId="0" fontId="23" fillId="0" borderId="1" applyAlignment="1" pivotButton="0" quotePrefix="0" xfId="0">
      <alignment horizontal="left" vertical="center"/>
    </xf>
    <xf numFmtId="4" fontId="23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8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/>
    </xf>
    <xf numFmtId="0" fontId="17" fillId="0" borderId="0" pivotButton="0" quotePrefix="0" xfId="0"/>
    <xf numFmtId="4" fontId="30" fillId="16" borderId="8" applyAlignment="1" pivotButton="0" quotePrefix="0" xfId="0">
      <alignment horizontal="center" vertical="center"/>
    </xf>
    <xf numFmtId="0" fontId="0" fillId="16" borderId="8" pivotButton="0" quotePrefix="0" xfId="0"/>
    <xf numFmtId="0" fontId="25" fillId="0" borderId="0" applyAlignment="1" pivotButton="0" quotePrefix="0" xfId="0">
      <alignment horizontal="left" vertical="center"/>
    </xf>
    <xf numFmtId="0" fontId="35" fillId="18" borderId="10" applyAlignment="1" pivotButton="0" quotePrefix="0" xfId="0">
      <alignment horizontal="center" vertical="center"/>
    </xf>
    <xf numFmtId="0" fontId="0" fillId="18" borderId="10" pivotButton="0" quotePrefix="0" xfId="0"/>
    <xf numFmtId="0" fontId="28" fillId="15" borderId="7" applyAlignment="1" pivotButton="0" quotePrefix="0" xfId="0">
      <alignment horizontal="center" vertical="center"/>
    </xf>
    <xf numFmtId="0" fontId="0" fillId="0" borderId="7" pivotButton="0" quotePrefix="0" xfId="0"/>
    <xf numFmtId="4" fontId="36" fillId="18" borderId="10" applyAlignment="1" pivotButton="0" quotePrefix="0" xfId="0">
      <alignment horizontal="center" vertical="center"/>
    </xf>
    <xf numFmtId="0" fontId="32" fillId="17" borderId="9" applyAlignment="1" pivotButton="0" quotePrefix="0" xfId="0">
      <alignment horizontal="center" vertical="center"/>
    </xf>
    <xf numFmtId="0" fontId="0" fillId="17" borderId="9" pivotButton="0" quotePrefix="0" xfId="0"/>
    <xf numFmtId="0" fontId="38" fillId="15" borderId="11" applyAlignment="1" pivotButton="0" quotePrefix="0" xfId="0">
      <alignment horizontal="center" vertical="center"/>
    </xf>
    <xf numFmtId="0" fontId="0" fillId="15" borderId="11" pivotButton="0" quotePrefix="0" xfId="0"/>
    <xf numFmtId="0" fontId="24" fillId="0" borderId="0" applyAlignment="1" pivotButton="0" quotePrefix="0" xfId="0">
      <alignment horizontal="left" vertical="center"/>
    </xf>
    <xf numFmtId="0" fontId="31" fillId="16" borderId="8" applyAlignment="1" pivotButton="0" quotePrefix="0" xfId="0">
      <alignment horizontal="center" vertical="center"/>
    </xf>
    <xf numFmtId="0" fontId="37" fillId="18" borderId="10" applyAlignment="1" pivotButton="0" quotePrefix="0" xfId="0">
      <alignment horizontal="center" vertical="center"/>
    </xf>
    <xf numFmtId="4" fontId="33" fillId="17" borderId="9" applyAlignment="1" pivotButton="0" quotePrefix="0" xfId="0">
      <alignment horizontal="center" vertical="center"/>
    </xf>
    <xf numFmtId="4" fontId="24" fillId="15" borderId="11" applyAlignment="1" pivotButton="0" quotePrefix="0" xfId="0">
      <alignment horizontal="center" vertical="center"/>
    </xf>
    <xf numFmtId="0" fontId="40" fillId="0" borderId="0" applyAlignment="1" pivotButton="0" quotePrefix="0" xfId="0">
      <alignment horizontal="left" vertical="center"/>
    </xf>
    <xf numFmtId="0" fontId="34" fillId="17" borderId="9" applyAlignment="1" pivotButton="0" quotePrefix="0" xfId="0">
      <alignment horizontal="center" vertical="center"/>
    </xf>
    <xf numFmtId="0" fontId="29" fillId="16" borderId="8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/>
    </xf>
    <xf numFmtId="0" fontId="39" fillId="15" borderId="11" applyAlignment="1" pivotButton="0" quotePrefix="0" xfId="0">
      <alignment horizontal="center" vertical="center"/>
    </xf>
    <xf numFmtId="0" fontId="46" fillId="0" borderId="0" applyAlignment="1" pivotButton="0" quotePrefix="0" xfId="0">
      <alignment horizontal="left" vertical="center"/>
    </xf>
    <xf numFmtId="0" fontId="47" fillId="0" borderId="0" applyAlignment="1" pivotButton="0" quotePrefix="0" xfId="0">
      <alignment horizontal="left"/>
    </xf>
    <xf numFmtId="0" fontId="48" fillId="25" borderId="28" applyAlignment="1" pivotButton="0" quotePrefix="0" xfId="0">
      <alignment horizontal="left" vertical="center"/>
    </xf>
    <xf numFmtId="0" fontId="49" fillId="0" borderId="0" applyAlignment="1" pivotButton="0" quotePrefix="0" xfId="0">
      <alignment horizontal="left" vertical="center"/>
    </xf>
    <xf numFmtId="0" fontId="50" fillId="26" borderId="29" applyAlignment="1" pivotButton="0" quotePrefix="0" xfId="0">
      <alignment horizontal="left" vertical="center"/>
    </xf>
    <xf numFmtId="0" fontId="45" fillId="23" borderId="30" applyAlignment="1" pivotButton="0" quotePrefix="0" xfId="0">
      <alignment horizontal="center" vertical="center" wrapText="1"/>
    </xf>
    <xf numFmtId="0" fontId="45" fillId="27" borderId="30" applyAlignment="1" pivotButton="0" quotePrefix="0" xfId="0">
      <alignment horizontal="center" vertical="center" wrapText="1"/>
    </xf>
    <xf numFmtId="0" fontId="51" fillId="0" borderId="30" applyAlignment="1" pivotButton="0" quotePrefix="0" xfId="0">
      <alignment horizontal="center" vertical="center"/>
    </xf>
    <xf numFmtId="0" fontId="52" fillId="0" borderId="30" applyAlignment="1" pivotButton="0" quotePrefix="0" xfId="0">
      <alignment horizontal="center" vertical="center"/>
    </xf>
    <xf numFmtId="4" fontId="52" fillId="0" borderId="30" applyAlignment="1" pivotButton="0" quotePrefix="0" xfId="0">
      <alignment horizontal="center" vertical="center"/>
    </xf>
    <xf numFmtId="4" fontId="53" fillId="0" borderId="30" applyAlignment="1" pivotButton="0" quotePrefix="0" xfId="0">
      <alignment horizontal="center" vertical="center"/>
    </xf>
    <xf numFmtId="4" fontId="51" fillId="0" borderId="30" applyAlignment="1" pivotButton="0" quotePrefix="0" xfId="0">
      <alignment horizontal="center" vertical="center"/>
    </xf>
    <xf numFmtId="164" fontId="11" fillId="0" borderId="30" applyAlignment="1" pivotButton="0" quotePrefix="0" xfId="0">
      <alignment horizontal="center" vertical="center"/>
    </xf>
    <xf numFmtId="4" fontId="54" fillId="26" borderId="30" applyAlignment="1" pivotButton="0" quotePrefix="0" xfId="0">
      <alignment horizontal="center" vertical="center"/>
    </xf>
    <xf numFmtId="167" fontId="11" fillId="26" borderId="30" applyAlignment="1" pivotButton="0" quotePrefix="0" xfId="0">
      <alignment horizontal="center" vertical="center"/>
    </xf>
    <xf numFmtId="168" fontId="11" fillId="26" borderId="30" applyAlignment="1" pivotButton="0" quotePrefix="0" xfId="0">
      <alignment horizontal="center" vertical="center"/>
    </xf>
    <xf numFmtId="0" fontId="51" fillId="28" borderId="30" applyAlignment="1" pivotButton="0" quotePrefix="0" xfId="0">
      <alignment horizontal="center" vertical="center"/>
    </xf>
    <xf numFmtId="0" fontId="52" fillId="28" borderId="30" applyAlignment="1" pivotButton="0" quotePrefix="0" xfId="0">
      <alignment horizontal="center" vertical="center"/>
    </xf>
    <xf numFmtId="4" fontId="52" fillId="28" borderId="30" applyAlignment="1" pivotButton="0" quotePrefix="0" xfId="0">
      <alignment horizontal="center" vertical="center"/>
    </xf>
    <xf numFmtId="4" fontId="53" fillId="28" borderId="30" applyAlignment="1" pivotButton="0" quotePrefix="0" xfId="0">
      <alignment horizontal="center" vertical="center"/>
    </xf>
    <xf numFmtId="4" fontId="51" fillId="28" borderId="30" applyAlignment="1" pivotButton="0" quotePrefix="0" xfId="0">
      <alignment horizontal="center" vertical="center"/>
    </xf>
    <xf numFmtId="164" fontId="11" fillId="28" borderId="30" applyAlignment="1" pivotButton="0" quotePrefix="0" xfId="0">
      <alignment horizontal="center" vertical="center"/>
    </xf>
    <xf numFmtId="4" fontId="54" fillId="29" borderId="30" applyAlignment="1" pivotButton="0" quotePrefix="0" xfId="0">
      <alignment horizontal="center" vertical="center"/>
    </xf>
    <xf numFmtId="167" fontId="11" fillId="29" borderId="30" applyAlignment="1" pivotButton="0" quotePrefix="0" xfId="0">
      <alignment horizontal="center" vertical="center"/>
    </xf>
    <xf numFmtId="168" fontId="11" fillId="29" borderId="30" applyAlignment="1" pivotButton="0" quotePrefix="0" xfId="0">
      <alignment horizontal="center" vertical="center"/>
    </xf>
    <xf numFmtId="0" fontId="55" fillId="0" borderId="0" pivotButton="0" quotePrefix="0" xfId="0"/>
    <xf numFmtId="0" fontId="56" fillId="0" borderId="0" applyAlignment="1" pivotButton="0" quotePrefix="0" xfId="0">
      <alignment horizontal="right" vertical="center"/>
    </xf>
    <xf numFmtId="0" fontId="57" fillId="30" borderId="30" applyAlignment="1" pivotButton="0" quotePrefix="0" xfId="0">
      <alignment horizontal="center" vertical="center"/>
    </xf>
    <xf numFmtId="0" fontId="16" fillId="31" borderId="30" applyAlignment="1" pivotButton="0" quotePrefix="0" xfId="0">
      <alignment horizontal="center"/>
    </xf>
    <xf numFmtId="4" fontId="16" fillId="31" borderId="30" applyAlignment="1" pivotButton="0" quotePrefix="0" xfId="0">
      <alignment horizontal="right"/>
    </xf>
    <xf numFmtId="0" fontId="16" fillId="0" borderId="30" applyAlignment="1" pivotButton="0" quotePrefix="0" xfId="0">
      <alignment horizontal="center"/>
    </xf>
    <xf numFmtId="4" fontId="16" fillId="0" borderId="30" applyAlignment="1" pivotButton="0" quotePrefix="0" xfId="0">
      <alignment horizontal="right"/>
    </xf>
    <xf numFmtId="0" fontId="58" fillId="0" borderId="0" pivotButton="0" quotePrefix="0" xfId="0"/>
    <xf numFmtId="0" fontId="59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/>
    </xf>
    <xf numFmtId="0" fontId="65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left" vertical="center"/>
    </xf>
    <xf numFmtId="0" fontId="67" fillId="34" borderId="31" applyAlignment="1" pivotButton="0" quotePrefix="0" xfId="0">
      <alignment horizontal="center" vertical="center"/>
    </xf>
    <xf numFmtId="0" fontId="68" fillId="35" borderId="32" applyAlignment="1" pivotButton="0" quotePrefix="0" xfId="0">
      <alignment horizontal="center" vertical="center"/>
    </xf>
    <xf numFmtId="0" fontId="69" fillId="36" borderId="33" applyAlignment="1" pivotButton="0" quotePrefix="0" xfId="0">
      <alignment horizontal="center" vertical="center"/>
    </xf>
    <xf numFmtId="0" fontId="0" fillId="0" borderId="33" pivotButton="0" quotePrefix="0" xfId="0"/>
    <xf numFmtId="0" fontId="70" fillId="37" borderId="34" applyAlignment="1" pivotButton="0" quotePrefix="0" xfId="0">
      <alignment horizontal="center" vertical="center"/>
    </xf>
    <xf numFmtId="0" fontId="0" fillId="37" borderId="34" pivotButton="0" quotePrefix="0" xfId="0"/>
    <xf numFmtId="0" fontId="73" fillId="38" borderId="35" applyAlignment="1" pivotButton="0" quotePrefix="0" xfId="0">
      <alignment horizontal="center" vertical="center"/>
    </xf>
    <xf numFmtId="0" fontId="0" fillId="38" borderId="35" pivotButton="0" quotePrefix="0" xfId="0"/>
    <xf numFmtId="0" fontId="76" fillId="39" borderId="36" applyAlignment="1" pivotButton="0" quotePrefix="0" xfId="0">
      <alignment horizontal="center" vertical="center"/>
    </xf>
    <xf numFmtId="0" fontId="0" fillId="39" borderId="36" pivotButton="0" quotePrefix="0" xfId="0"/>
    <xf numFmtId="0" fontId="79" fillId="36" borderId="37" applyAlignment="1" pivotButton="0" quotePrefix="0" xfId="0">
      <alignment horizontal="center" vertical="center"/>
    </xf>
    <xf numFmtId="0" fontId="0" fillId="36" borderId="37" pivotButton="0" quotePrefix="0" xfId="0"/>
    <xf numFmtId="4" fontId="71" fillId="37" borderId="34" applyAlignment="1" pivotButton="0" quotePrefix="0" xfId="0">
      <alignment horizontal="center" vertical="center"/>
    </xf>
    <xf numFmtId="4" fontId="74" fillId="38" borderId="35" applyAlignment="1" pivotButton="0" quotePrefix="0" xfId="0">
      <alignment horizontal="center" vertical="center"/>
    </xf>
    <xf numFmtId="4" fontId="77" fillId="39" borderId="36" applyAlignment="1" pivotButton="0" quotePrefix="0" xfId="0">
      <alignment horizontal="center" vertical="center"/>
    </xf>
    <xf numFmtId="4" fontId="65" fillId="36" borderId="37" applyAlignment="1" pivotButton="0" quotePrefix="0" xfId="0">
      <alignment horizontal="center" vertical="center"/>
    </xf>
    <xf numFmtId="0" fontId="72" fillId="37" borderId="34" applyAlignment="1" pivotButton="0" quotePrefix="0" xfId="0">
      <alignment horizontal="center" vertical="center"/>
    </xf>
    <xf numFmtId="0" fontId="75" fillId="38" borderId="35" applyAlignment="1" pivotButton="0" quotePrefix="0" xfId="0">
      <alignment horizontal="center" vertical="center"/>
    </xf>
    <xf numFmtId="0" fontId="78" fillId="39" borderId="36" applyAlignment="1" pivotButton="0" quotePrefix="0" xfId="0">
      <alignment horizontal="center" vertical="center"/>
    </xf>
    <xf numFmtId="0" fontId="80" fillId="36" borderId="37" applyAlignment="1" pivotButton="0" quotePrefix="0" xfId="0">
      <alignment horizontal="center" vertical="center"/>
    </xf>
    <xf numFmtId="0" fontId="81" fillId="0" borderId="0" applyAlignment="1" pivotButton="0" quotePrefix="0" xfId="0">
      <alignment horizontal="left" vertical="center"/>
    </xf>
    <xf numFmtId="0" fontId="57" fillId="40" borderId="37" applyAlignment="1" pivotButton="0" quotePrefix="0" xfId="0">
      <alignment horizontal="center" vertical="center" wrapText="1"/>
    </xf>
    <xf numFmtId="0" fontId="57" fillId="41" borderId="37" applyAlignment="1" pivotButton="0" quotePrefix="0" xfId="0">
      <alignment horizontal="center" vertical="center" wrapText="1"/>
    </xf>
    <xf numFmtId="0" fontId="82" fillId="0" borderId="37" applyAlignment="1" pivotButton="0" quotePrefix="0" xfId="0">
      <alignment horizontal="left" vertical="center"/>
    </xf>
    <xf numFmtId="4" fontId="16" fillId="0" borderId="37" applyAlignment="1" pivotButton="0" quotePrefix="0" xfId="0">
      <alignment horizontal="right" vertical="center"/>
    </xf>
    <xf numFmtId="4" fontId="83" fillId="0" borderId="37" applyAlignment="1" pivotButton="0" quotePrefix="0" xfId="0">
      <alignment horizontal="right" vertical="center"/>
    </xf>
    <xf numFmtId="4" fontId="16" fillId="35" borderId="37" applyAlignment="1" pivotButton="0" quotePrefix="0" xfId="0">
      <alignment horizontal="right" vertical="center"/>
    </xf>
    <xf numFmtId="167" fontId="43" fillId="35" borderId="37" applyAlignment="1" pivotButton="0" quotePrefix="0" xfId="0">
      <alignment horizontal="right" vertical="center"/>
    </xf>
    <xf numFmtId="168" fontId="43" fillId="35" borderId="37" applyAlignment="1" pivotButton="0" quotePrefix="0" xfId="0">
      <alignment horizontal="right" vertical="center"/>
    </xf>
    <xf numFmtId="0" fontId="82" fillId="42" borderId="37" applyAlignment="1" pivotButton="0" quotePrefix="0" xfId="0">
      <alignment horizontal="left" vertical="center"/>
    </xf>
    <xf numFmtId="4" fontId="16" fillId="42" borderId="37" applyAlignment="1" pivotButton="0" quotePrefix="0" xfId="0">
      <alignment horizontal="right" vertical="center"/>
    </xf>
    <xf numFmtId="4" fontId="83" fillId="42" borderId="37" applyAlignment="1" pivotButton="0" quotePrefix="0" xfId="0">
      <alignment horizontal="right" vertical="center"/>
    </xf>
    <xf numFmtId="4" fontId="16" fillId="43" borderId="37" applyAlignment="1" pivotButton="0" quotePrefix="0" xfId="0">
      <alignment horizontal="right" vertical="center"/>
    </xf>
    <xf numFmtId="167" fontId="43" fillId="43" borderId="37" applyAlignment="1" pivotButton="0" quotePrefix="0" xfId="0">
      <alignment horizontal="right" vertical="center"/>
    </xf>
    <xf numFmtId="168" fontId="43" fillId="43" borderId="37" applyAlignment="1" pivotButton="0" quotePrefix="0" xfId="0">
      <alignment horizontal="right" vertical="center"/>
    </xf>
    <xf numFmtId="0" fontId="82" fillId="36" borderId="33" applyAlignment="1" pivotButton="0" quotePrefix="0" xfId="0">
      <alignment horizontal="left" vertical="center"/>
    </xf>
    <xf numFmtId="4" fontId="82" fillId="36" borderId="33" applyAlignment="1" pivotButton="0" quotePrefix="0" xfId="0">
      <alignment horizontal="right" vertical="center"/>
    </xf>
    <xf numFmtId="167" fontId="84" fillId="39" borderId="33" applyAlignment="1" pivotButton="0" quotePrefix="0" xfId="0">
      <alignment horizontal="right" vertical="center"/>
    </xf>
    <xf numFmtId="168" fontId="84" fillId="39" borderId="33" applyAlignment="1" pivotButton="0" quotePrefix="0" xfId="0">
      <alignment horizontal="right" vertical="center"/>
    </xf>
    <xf numFmtId="0" fontId="80" fillId="0" borderId="0" applyAlignment="1" pivotButton="0" quotePrefix="0" xfId="0">
      <alignment horizontal="center"/>
    </xf>
    <xf numFmtId="0" fontId="61" fillId="0" borderId="0" applyAlignment="1" pivotButton="0" quotePrefix="0" xfId="0">
      <alignment horizontal="left" vertical="center"/>
    </xf>
    <xf numFmtId="0" fontId="62" fillId="0" borderId="0" applyAlignment="1" pivotButton="0" quotePrefix="0" xfId="0">
      <alignment horizontal="right" vertical="center"/>
    </xf>
    <xf numFmtId="0" fontId="58" fillId="32" borderId="27" applyAlignment="1" pivotButton="0" quotePrefix="0" xfId="0">
      <alignment horizontal="center" vertical="center"/>
    </xf>
    <xf numFmtId="0" fontId="58" fillId="25" borderId="28" applyAlignment="1" pivotButton="0" quotePrefix="0" xfId="0">
      <alignment horizontal="center" vertical="center"/>
    </xf>
    <xf numFmtId="0" fontId="45" fillId="23" borderId="27" applyAlignment="1" pivotButton="0" quotePrefix="0" xfId="0">
      <alignment horizontal="center" vertical="center" wrapText="1"/>
    </xf>
    <xf numFmtId="0" fontId="16" fillId="0" borderId="27" applyAlignment="1" pivotButton="0" quotePrefix="0" xfId="0">
      <alignment horizontal="center" vertical="center"/>
    </xf>
    <xf numFmtId="169" fontId="2" fillId="0" borderId="27" applyAlignment="1" pivotButton="0" quotePrefix="0" xfId="0">
      <alignment horizontal="center" vertical="center"/>
    </xf>
    <xf numFmtId="4" fontId="2" fillId="0" borderId="27" applyAlignment="1" pivotButton="0" quotePrefix="0" xfId="0">
      <alignment horizontal="right" vertical="center"/>
    </xf>
    <xf numFmtId="4" fontId="63" fillId="0" borderId="27" applyAlignment="1" pivotButton="0" quotePrefix="0" xfId="0">
      <alignment horizontal="right" vertical="center"/>
    </xf>
    <xf numFmtId="0" fontId="16" fillId="33" borderId="27" applyAlignment="1" pivotButton="0" quotePrefix="0" xfId="0">
      <alignment horizontal="center" vertical="center"/>
    </xf>
    <xf numFmtId="169" fontId="2" fillId="33" borderId="27" applyAlignment="1" pivotButton="0" quotePrefix="0" xfId="0">
      <alignment horizontal="center" vertical="center"/>
    </xf>
    <xf numFmtId="4" fontId="2" fillId="33" borderId="27" applyAlignment="1" pivotButton="0" quotePrefix="0" xfId="0">
      <alignment horizontal="right" vertical="center"/>
    </xf>
    <xf numFmtId="4" fontId="63" fillId="33" borderId="27" applyAlignment="1" pivotButton="0" quotePrefix="0" xfId="0">
      <alignment horizontal="right" vertical="center"/>
    </xf>
    <xf numFmtId="0" fontId="0" fillId="0" borderId="27" pivotButton="0" quotePrefix="0" xfId="0"/>
    <xf numFmtId="0" fontId="64" fillId="0" borderId="27" applyAlignment="1" pivotButton="0" quotePrefix="0" xfId="0">
      <alignment horizontal="left" vertical="center"/>
    </xf>
    <xf numFmtId="4" fontId="64" fillId="0" borderId="27" applyAlignment="1" pivotButton="0" quotePrefix="0" xfId="0">
      <alignment horizontal="right" vertical="center"/>
    </xf>
    <xf numFmtId="0" fontId="45" fillId="23" borderId="27" applyAlignment="1" pivotButton="0" quotePrefix="0" xfId="0">
      <alignment horizontal="center" vertical="center"/>
    </xf>
    <xf numFmtId="0" fontId="2" fillId="24" borderId="27" applyAlignment="1" pivotButton="0" quotePrefix="0" xfId="0">
      <alignment horizontal="center" vertical="center"/>
    </xf>
    <xf numFmtId="4" fontId="2" fillId="24" borderId="27" applyAlignment="1" pivotButton="0" quotePrefix="0" xfId="0">
      <alignment horizontal="right" vertical="center"/>
    </xf>
    <xf numFmtId="0" fontId="2" fillId="0" borderId="27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0" pivotButton="0" quotePrefix="0" xfId="0"/>
    <xf numFmtId="0" fontId="0" fillId="0" borderId="49" pivotButton="0" quotePrefix="0" xfId="0"/>
    <xf numFmtId="0" fontId="0" fillId="0" borderId="43" pivotButton="0" quotePrefix="0" xfId="0"/>
    <xf numFmtId="0" fontId="0" fillId="0" borderId="52" pivotButton="0" quotePrefix="0" xfId="0"/>
  </cellXfs>
  <cellStyles count="1">
    <cellStyle name="Normal" xfId="0" builtinId="0"/>
  </cellStyles>
  <dxfs count="35">
    <dxf>
      <font>
        <name val="Arial"/>
        <b val="1"/>
        <color rgb="FF16A34A"/>
        <sz val="10"/>
      </font>
    </dxf>
    <dxf>
      <font>
        <name val="Arial"/>
        <b val="1"/>
        <color rgb="FFDC2626"/>
        <sz val="10"/>
      </font>
    </dxf>
    <dxf>
      <font>
        <name val="Arial"/>
        <b val="1"/>
        <color rgb="FF27AE60"/>
        <sz val="11"/>
      </font>
    </dxf>
    <dxf>
      <font>
        <name val="Arial"/>
        <b val="1"/>
        <color rgb="FFC0392B"/>
        <sz val="11"/>
      </font>
    </dxf>
    <dxf>
      <font>
        <name val="Arial"/>
        <b val="1"/>
        <color rgb="FF92400E"/>
        <sz val="10"/>
      </font>
      <fill>
        <patternFill patternType="solid">
          <fgColor rgb="FFFEF3C7"/>
          <bgColor rgb="FFFEF3C7"/>
        </patternFill>
      </fill>
    </dxf>
    <dxf>
      <font>
        <name val="Arial"/>
        <b val="1"/>
        <color rgb="FF92400E"/>
        <sz val="10"/>
      </font>
      <fill>
        <patternFill patternType="solid">
          <fgColor rgb="FFFEF3C7"/>
          <bgColor rgb="FFFEF3C7"/>
        </patternFill>
      </fill>
    </dxf>
    <dxf>
      <font>
        <name val="Arial"/>
        <b val="1"/>
        <color rgb="FF827717"/>
        <sz val="11"/>
      </font>
      <fill>
        <patternFill patternType="solid">
          <fgColor rgb="FFFFEB3B"/>
          <bgColor rgb="FFFFEB3B"/>
        </patternFill>
      </fill>
    </dxf>
    <dxf>
      <font>
        <name val="Arial"/>
        <b val="1"/>
        <color rgb="FF827717"/>
        <sz val="11"/>
      </font>
      <fill>
        <patternFill patternType="solid">
          <fgColor rgb="FFFFEB3B"/>
          <bgColor rgb="FFFFEB3B"/>
        </patternFill>
      </fill>
    </dxf>
    <dxf>
      <font>
        <name val="Arial"/>
        <b val="1"/>
        <color rgb="FF827717"/>
        <sz val="11"/>
      </font>
      <fill>
        <patternFill patternType="solid">
          <fgColor rgb="FFFFEB3B"/>
          <bgColor rgb="FFFFEB3B"/>
        </patternFill>
      </fill>
    </dxf>
    <dxf>
      <font>
        <name val="Arial"/>
        <b val="1"/>
        <color rgb="FF047857"/>
        <sz val="10"/>
      </font>
      <fill>
        <patternFill patternType="solid">
          <fgColor rgb="FFD1FAE5"/>
          <bgColor rgb="FFD1FAE5"/>
        </patternFill>
      </fill>
    </dxf>
    <dxf>
      <font>
        <name val="Arial"/>
        <b val="1"/>
        <color rgb="FF047857"/>
        <sz val="10"/>
      </font>
      <fill>
        <patternFill patternType="solid">
          <fgColor rgb="FFD1FAE5"/>
          <bgColor rgb="FFD1FAE5"/>
        </patternFill>
      </fill>
    </dxf>
    <dxf>
      <font>
        <name val="Arial"/>
        <b val="1"/>
        <color rgb="FF2E7D32"/>
        <sz val="11"/>
      </font>
      <fill>
        <patternFill patternType="solid">
          <fgColor rgb="FFE8F5E9"/>
          <bgColor rgb="FFE8F5E9"/>
        </patternFill>
      </fill>
    </dxf>
    <dxf>
      <font>
        <name val="Arial"/>
        <b val="1"/>
        <color rgb="FF2E7D32"/>
        <sz val="11"/>
      </font>
      <fill>
        <patternFill patternType="solid">
          <fgColor rgb="FFE8F5E9"/>
          <bgColor rgb="FFE8F5E9"/>
        </patternFill>
      </fill>
    </dxf>
    <dxf>
      <font>
        <name val="Arial"/>
        <b val="1"/>
        <color rgb="FF2E7D32"/>
        <sz val="11"/>
      </font>
      <fill>
        <patternFill patternType="solid">
          <fgColor rgb="FFE8F5E9"/>
          <bgColor rgb="FFE8F5E9"/>
        </patternFill>
      </fill>
    </dxf>
    <dxf>
      <font>
        <name val="Arial"/>
        <b val="1"/>
        <color rgb="FF047857"/>
        <sz val="10"/>
      </font>
      <fill>
        <patternFill patternType="solid">
          <fgColor rgb="FFD1FAE5"/>
          <bgColor rgb="FFD1FAE5"/>
        </patternFill>
      </fill>
    </dxf>
    <dxf>
      <font>
        <name val="Arial"/>
        <b val="1"/>
        <color rgb="FF047857"/>
        <sz val="10"/>
      </font>
      <fill>
        <patternFill patternType="solid">
          <fgColor rgb="FFD1FAE5"/>
          <bgColor rgb="FFD1FAE5"/>
        </patternFill>
      </fill>
    </dxf>
    <dxf>
      <font>
        <name val="Arial"/>
        <b val="1"/>
        <color rgb="FF2E7D32"/>
        <sz val="11"/>
      </font>
      <fill>
        <patternFill patternType="solid">
          <fgColor rgb="FFE8F5E9"/>
          <bgColor rgb="FFE8F5E9"/>
        </patternFill>
      </fill>
    </dxf>
    <dxf>
      <font>
        <name val="Arial"/>
        <b val="1"/>
        <color rgb="FF2E7D32"/>
        <sz val="11"/>
      </font>
      <fill>
        <patternFill patternType="solid">
          <fgColor rgb="FFE8F5E9"/>
          <bgColor rgb="FFE8F5E9"/>
        </patternFill>
      </fill>
    </dxf>
    <dxf>
      <font>
        <name val="Arial"/>
        <b val="1"/>
        <color rgb="FF2E7D32"/>
        <sz val="11"/>
      </font>
      <fill>
        <patternFill patternType="solid">
          <fgColor rgb="FFE8F5E9"/>
          <bgColor rgb="FFE8F5E9"/>
        </patternFill>
      </fill>
    </dxf>
    <dxf>
      <font>
        <name val="Arial"/>
        <b val="1"/>
        <color rgb="FFFFFFFF"/>
        <sz val="12"/>
      </font>
      <fill>
        <patternFill patternType="solid">
          <fgColor rgb="FFC0392B"/>
          <bgColor rgb="FFC0392B"/>
        </patternFill>
      </fill>
    </dxf>
    <dxf>
      <font>
        <name val="Arial"/>
        <b val="1"/>
        <color rgb="FFFFFFFF"/>
        <sz val="12"/>
      </font>
      <fill>
        <patternFill patternType="solid">
          <fgColor rgb="FF27AE60"/>
          <bgColor rgb="FF27AE60"/>
        </patternFill>
      </fill>
    </dxf>
    <dxf>
      <font>
        <name val="Arial"/>
        <b val="1"/>
        <color rgb="FFC0392B"/>
        <sz val="11"/>
      </font>
    </dxf>
    <dxf>
      <font>
        <name val="Arial"/>
        <b val="1"/>
        <color rgb="FF27AE60"/>
        <sz val="11"/>
      </font>
    </dxf>
    <dxf>
      <font>
        <name val="Arial"/>
        <b val="1"/>
        <color rgb="FFC0392B"/>
        <sz val="11"/>
      </font>
    </dxf>
    <dxf>
      <font>
        <name val="Arial"/>
        <b val="1"/>
        <color rgb="FF27AE60"/>
        <sz val="11"/>
      </font>
    </dxf>
    <dxf>
      <font>
        <name val="Arial"/>
        <b val="1"/>
        <color rgb="FFFFFFFF"/>
        <sz val="12"/>
      </font>
      <fill>
        <patternFill patternType="solid">
          <fgColor rgb="FFC0392B"/>
          <bgColor rgb="FFC0392B"/>
        </patternFill>
      </fill>
    </dxf>
    <dxf>
      <font>
        <name val="Arial"/>
        <b val="1"/>
        <color rgb="FFFFFFFF"/>
        <sz val="12"/>
      </font>
      <fill>
        <patternFill patternType="solid">
          <fgColor rgb="FF27AE60"/>
          <bgColor rgb="FF27AE60"/>
        </patternFill>
      </fill>
    </dxf>
    <dxf>
      <font>
        <name val="Arial"/>
        <b val="1"/>
        <color rgb="00FFFFFF"/>
        <sz val="12"/>
      </font>
      <fill>
        <patternFill patternType="solid">
          <fgColor rgb="0027AE60"/>
          <bgColor rgb="0027AE60"/>
        </patternFill>
      </fill>
    </dxf>
    <dxf>
      <font>
        <name val="Arial"/>
        <b val="1"/>
        <color rgb="00FFFFFF"/>
        <sz val="12"/>
      </font>
      <fill>
        <patternFill patternType="solid">
          <fgColor rgb="00C0392B"/>
          <bgColor rgb="00C0392B"/>
        </patternFill>
      </fill>
    </dxf>
    <dxf>
      <font>
        <name val="Arial"/>
        <b val="1"/>
        <color rgb="0027AE60"/>
        <sz val="11"/>
      </font>
    </dxf>
    <dxf>
      <font>
        <name val="Arial"/>
        <b val="1"/>
        <color rgb="00C0392B"/>
        <sz val="11"/>
      </font>
    </dxf>
    <dxf>
      <font>
        <name val="Arial"/>
        <b val="1"/>
        <color rgb="00047857"/>
        <sz val="10"/>
      </font>
      <fill>
        <patternFill patternType="solid">
          <fgColor rgb="00D1FAE5"/>
          <bgColor rgb="00D1FAE5"/>
        </patternFill>
      </fill>
    </dxf>
    <dxf>
      <font>
        <name val="Arial"/>
        <b val="1"/>
        <color rgb="0092400E"/>
        <sz val="10"/>
      </font>
      <fill>
        <patternFill patternType="solid">
          <fgColor rgb="00FEF3C7"/>
          <bgColor rgb="00FEF3C7"/>
        </patternFill>
      </fill>
    </dxf>
    <dxf>
      <font>
        <name val="Arial"/>
        <b val="1"/>
        <color rgb="00DC2626"/>
        <sz val="10"/>
      </font>
    </dxf>
    <dxf>
      <font>
        <name val="Arial"/>
        <b val="1"/>
        <color rgb="0016A34A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Biến Động Tỷ Giá Bán (TB Tháng)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'Dashboard'!C32</f>
            </strRef>
          </tx>
          <spPr>
            <a:ln w="25000">
              <a:solidFill>
                <a:srgbClr val="2E7D3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'Dashboard'!$B$33:$B$41</f>
            </numRef>
          </cat>
          <val>
            <numRef>
              <f>'Dashboard'!$C$33:$C$41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Tháng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VND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TheoDoi_USD!$B$8:$B$15</f>
              <strCache>
                <ptCount val="8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  <pt idx="6">
                  <v>BIDV</v>
                </pt>
                <pt idx="7">
                  <v>Agribank</v>
                </pt>
              </strCache>
            </strRef>
          </cat>
          <val>
            <numRef>
              <f>TheoDoi_USD!$C$8:$C$15</f>
              <numCache>
                <formatCode>General</formatCode>
                <ptCount val="8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  <pt idx="6">
                  <formatCode>#,##0.00</formatCode>
                  <v>25795</v>
                </pt>
                <pt idx="7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TheoDoi_USD!$B$8:$B$15</f>
              <strCache>
                <ptCount val="8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  <pt idx="6">
                  <v>BIDV</v>
                </pt>
                <pt idx="7">
                  <v>Agribank</v>
                </pt>
              </strCache>
            </strRef>
          </cat>
          <val>
            <numRef>
              <f>TheoDoi_USD!$D$8:$D$15</f>
              <numCache>
                <formatCode>General</formatCode>
                <ptCount val="8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  <pt idx="6">
                  <formatCode>#,##0.00</formatCode>
                  <v>25795</v>
                </pt>
                <pt idx="7">
                  <formatCode>#,##0.00</formatCode>
                  <v>25780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TheoDoi_USD!$B$8:$B$15</f>
              <strCache>
                <ptCount val="8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  <pt idx="6">
                  <v>BIDV</v>
                </pt>
                <pt idx="7">
                  <v>Agribank</v>
                </pt>
              </strCache>
            </strRef>
          </cat>
          <val>
            <numRef>
              <f>TheoDoi_USD!$E$8:$E$15</f>
              <numCache>
                <formatCode>General</formatCode>
                <ptCount val="8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  <pt idx="6">
                  <formatCode>#,##0.00</formatCode>
                  <v>26175</v>
                </pt>
                <pt idx="7">
                  <formatCode>#,##0.00</formatCode>
                  <v>26160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TheoDoi_USD!$B$8:$B$17</f>
              <strCache>
                <ptCount val="10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  <pt idx="6">
                  <v>BIDV</v>
                </pt>
                <pt idx="7">
                  <v>Agribank</v>
                </pt>
                <pt idx="8">
                  <v>Techcombank</v>
                </pt>
                <pt idx="9">
                  <v>ACB</v>
                </pt>
              </strCache>
            </strRef>
          </cat>
          <val>
            <numRef>
              <f>TheoDoi_USD!$C$8:$C$17</f>
              <numCache>
                <formatCode>General</formatCode>
                <ptCount val="10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  <pt idx="6">
                  <formatCode>#,##0.00</formatCode>
                  <v>25795</v>
                </pt>
                <pt idx="7">
                  <formatCode>#,##0.00</formatCode>
                  <v>25750</v>
                </pt>
                <pt idx="8">
                  <formatCode>#,##0.00</formatCode>
                  <v>25801</v>
                </pt>
                <pt idx="9">
                  <formatCode>#,##0.00</formatCode>
                  <v>24700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TheoDoi_USD!$B$8:$B$17</f>
              <strCache>
                <ptCount val="10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  <pt idx="6">
                  <v>BIDV</v>
                </pt>
                <pt idx="7">
                  <v>Agribank</v>
                </pt>
                <pt idx="8">
                  <v>Techcombank</v>
                </pt>
                <pt idx="9">
                  <v>ACB</v>
                </pt>
              </strCache>
            </strRef>
          </cat>
          <val>
            <numRef>
              <f>TheoDoi_USD!$D$8:$D$17</f>
              <numCache>
                <formatCode>General</formatCode>
                <ptCount val="10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  <pt idx="6">
                  <formatCode>#,##0.00</formatCode>
                  <v>25795</v>
                </pt>
                <pt idx="7">
                  <formatCode>#,##0.00</formatCode>
                  <v>25780</v>
                </pt>
                <pt idx="8">
                  <formatCode>#,##0.00</formatCode>
                  <v>25815</v>
                </pt>
                <pt idx="9">
                  <formatCode>#,##0.00</formatCode>
                  <v>25810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TheoDoi_USD!$B$8:$B$17</f>
              <strCache>
                <ptCount val="10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  <pt idx="6">
                  <v>BIDV</v>
                </pt>
                <pt idx="7">
                  <v>Agribank</v>
                </pt>
                <pt idx="8">
                  <v>Techcombank</v>
                </pt>
                <pt idx="9">
                  <v>ACB</v>
                </pt>
              </strCache>
            </strRef>
          </cat>
          <val>
            <numRef>
              <f>TheoDoi_USD!$E$8:$E$17</f>
              <numCache>
                <formatCode>General</formatCode>
                <ptCount val="10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  <pt idx="6">
                  <formatCode>#,##0.00</formatCode>
                  <v>26175</v>
                </pt>
                <pt idx="7">
                  <formatCode>#,##0.00</formatCode>
                  <v>26160</v>
                </pt>
                <pt idx="8">
                  <formatCode>#,##0.00</formatCode>
                  <v>26185</v>
                </pt>
                <pt idx="9">
                  <formatCode>#,##0.00</formatCode>
                  <v>26170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15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TheoDoi_USD!$C$11</f>
              <strCache>
                <ptCount val="1"/>
                <pt idx="0">
                  <v>Mua tiền mặt</v>
                </pt>
              </strCache>
            </strRef>
          </tx>
          <spPr>
            <a:solidFill>
              <a:srgbClr val="10B981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TheoDoi_USD!$C$12:$C$26</f>
              <numCache>
                <formatCode>#,##0.00</formatCode>
                <ptCount val="15"/>
                <pt idx="0">
                  <v>25770</v>
                </pt>
                <pt idx="1">
                  <v>25750</v>
                </pt>
                <pt idx="2">
                  <v>25795</v>
                </pt>
                <pt idx="3">
                  <v>25750</v>
                </pt>
                <pt idx="4">
                  <v>25801</v>
                </pt>
                <pt idx="5">
                  <v>24700</v>
                </pt>
                <pt idx="6">
                  <v>25820</v>
                </pt>
                <pt idx="7">
                  <v>25600</v>
                </pt>
                <pt idx="8">
                  <v>26099</v>
                </pt>
                <pt idx="9">
                  <v>25780</v>
                </pt>
                <pt idx="10">
                  <v>25770</v>
                </pt>
                <pt idx="11">
                  <v>25708</v>
                </pt>
                <pt idx="12">
                  <v>25775</v>
                </pt>
                <pt idx="13">
                  <v>25755</v>
                </pt>
                <pt idx="14">
                  <v>25675</v>
                </pt>
              </numCache>
            </numRef>
          </val>
        </ser>
        <ser>
          <idx val="1"/>
          <order val="1"/>
          <tx>
            <strRef>
              <f>TheoDoi_USD!$D$11</f>
              <strCache>
                <ptCount val="1"/>
                <pt idx="0">
                  <v>Mua chuyển khoản</v>
                </pt>
              </strCache>
            </strRef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TheoDoi_USD!$D$12:$D$26</f>
              <numCache>
                <formatCode>#,##0.00</formatCode>
                <ptCount val="15"/>
                <pt idx="0">
                  <v>25800</v>
                </pt>
                <pt idx="1">
                  <v>25815</v>
                </pt>
                <pt idx="2">
                  <v>25795</v>
                </pt>
                <pt idx="3">
                  <v>25780</v>
                </pt>
                <pt idx="4">
                  <v>25815</v>
                </pt>
                <pt idx="5">
                  <v>25810</v>
                </pt>
                <pt idx="6">
                  <v>25820</v>
                </pt>
                <pt idx="7">
                  <v>25800</v>
                </pt>
                <pt idx="8">
                  <v>26099</v>
                </pt>
                <pt idx="9">
                  <v>25810</v>
                </pt>
                <pt idx="10">
                  <v>25800</v>
                </pt>
                <pt idx="11">
                  <v>25828</v>
                </pt>
                <pt idx="12">
                  <v>25775</v>
                </pt>
                <pt idx="13">
                  <v>25805</v>
                </pt>
                <pt idx="14">
                  <v>25705</v>
                </pt>
              </numCache>
            </numRef>
          </val>
        </ser>
        <ser>
          <idx val="2"/>
          <order val="2"/>
          <tx>
            <strRef>
              <f>TheoDoi_USD!$E$11</f>
              <strCache>
                <ptCount val="1"/>
                <pt idx="0">
                  <v>Bán</v>
                </pt>
              </strCache>
            </strRef>
          </tx>
          <spPr>
            <a:solidFill>
              <a:srgbClr val="EF4444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TheoDoi_USD!$E$12:$E$26</f>
              <numCache>
                <formatCode>#,##0.00</formatCode>
                <ptCount val="15"/>
                <pt idx="0">
                  <v>26180</v>
                </pt>
                <pt idx="1">
                  <v>26195</v>
                </pt>
                <pt idx="2">
                  <v>26175</v>
                </pt>
                <pt idx="3">
                  <v>26160</v>
                </pt>
                <pt idx="4">
                  <v>26185</v>
                </pt>
                <pt idx="5">
                  <v>26170</v>
                </pt>
                <pt idx="6">
                  <v>26180</v>
                </pt>
                <pt idx="7">
                  <v>26204</v>
                </pt>
                <pt idx="8">
                  <v>26379</v>
                </pt>
                <pt idx="9">
                  <v>26160</v>
                </pt>
                <pt idx="10">
                  <v>26160</v>
                </pt>
                <pt idx="11">
                  <v>26897</v>
                </pt>
                <pt idx="12">
                  <v>26155</v>
                </pt>
                <pt idx="13">
                  <v>26155</v>
                </pt>
                <pt idx="14">
                  <v>26155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4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15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TheoDoi_USD!$C$11</f>
              <strCache>
                <ptCount val="1"/>
                <pt idx="0">
                  <v>Mua tiền mặt</v>
                </pt>
              </strCache>
            </strRef>
          </tx>
          <spPr>
            <a:solidFill>
              <a:srgbClr val="10B981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TheoDoi_USD!$C$12:$C$26</f>
              <numCache>
                <formatCode>#,##0.00</formatCode>
                <ptCount val="15"/>
                <pt idx="0">
                  <v>25770</v>
                </pt>
                <pt idx="1">
                  <v>25750</v>
                </pt>
                <pt idx="2">
                  <v>25795</v>
                </pt>
                <pt idx="3">
                  <v>25750</v>
                </pt>
                <pt idx="4">
                  <v>25801</v>
                </pt>
                <pt idx="5">
                  <v>24700</v>
                </pt>
                <pt idx="6">
                  <v>25820</v>
                </pt>
                <pt idx="7">
                  <v>25600</v>
                </pt>
                <pt idx="8">
                  <v>26099</v>
                </pt>
                <pt idx="9">
                  <v>25780</v>
                </pt>
                <pt idx="10">
                  <v>25770</v>
                </pt>
                <pt idx="11">
                  <v>25708</v>
                </pt>
                <pt idx="12">
                  <v>25775</v>
                </pt>
                <pt idx="13">
                  <v>25755</v>
                </pt>
                <pt idx="14">
                  <v>25675</v>
                </pt>
              </numCache>
            </numRef>
          </val>
        </ser>
        <ser>
          <idx val="1"/>
          <order val="1"/>
          <tx>
            <strRef>
              <f>TheoDoi_USD!$D$11</f>
              <strCache>
                <ptCount val="1"/>
                <pt idx="0">
                  <v>Mua chuyển khoản</v>
                </pt>
              </strCache>
            </strRef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TheoDoi_USD!$D$12:$D$26</f>
              <numCache>
                <formatCode>#,##0.00</formatCode>
                <ptCount val="15"/>
                <pt idx="0">
                  <v>25800</v>
                </pt>
                <pt idx="1">
                  <v>25815</v>
                </pt>
                <pt idx="2">
                  <v>25795</v>
                </pt>
                <pt idx="3">
                  <v>25780</v>
                </pt>
                <pt idx="4">
                  <v>25815</v>
                </pt>
                <pt idx="5">
                  <v>25810</v>
                </pt>
                <pt idx="6">
                  <v>25820</v>
                </pt>
                <pt idx="7">
                  <v>25800</v>
                </pt>
                <pt idx="8">
                  <v>26099</v>
                </pt>
                <pt idx="9">
                  <v>25810</v>
                </pt>
                <pt idx="10">
                  <v>25800</v>
                </pt>
                <pt idx="11">
                  <v>25828</v>
                </pt>
                <pt idx="12">
                  <v>25775</v>
                </pt>
                <pt idx="13">
                  <v>25805</v>
                </pt>
                <pt idx="14">
                  <v>25705</v>
                </pt>
              </numCache>
            </numRef>
          </val>
        </ser>
        <ser>
          <idx val="2"/>
          <order val="2"/>
          <tx>
            <strRef>
              <f>TheoDoi_USD!$E$11</f>
              <strCache>
                <ptCount val="1"/>
                <pt idx="0">
                  <v>Bán</v>
                </pt>
              </strCache>
            </strRef>
          </tx>
          <spPr>
            <a:solidFill>
              <a:srgbClr val="EF4444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TheoDoi_USD!$E$12:$E$26</f>
              <numCache>
                <formatCode>#,##0.00</formatCode>
                <ptCount val="15"/>
                <pt idx="0">
                  <v>26180</v>
                </pt>
                <pt idx="1">
                  <v>26195</v>
                </pt>
                <pt idx="2">
                  <v>26175</v>
                </pt>
                <pt idx="3">
                  <v>26160</v>
                </pt>
                <pt idx="4">
                  <v>26185</v>
                </pt>
                <pt idx="5">
                  <v>26170</v>
                </pt>
                <pt idx="6">
                  <v>26180</v>
                </pt>
                <pt idx="7">
                  <v>26204</v>
                </pt>
                <pt idx="8">
                  <v>26379</v>
                </pt>
                <pt idx="9">
                  <v>26160</v>
                </pt>
                <pt idx="10">
                  <v>26160</v>
                </pt>
                <pt idx="11">
                  <v>26897</v>
                </pt>
                <pt idx="12">
                  <v>26155</v>
                </pt>
                <pt idx="13">
                  <v>26155</v>
                </pt>
                <pt idx="14">
                  <v>26155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4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15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TheoDoi_USD!$C$11</f>
              <strCache>
                <ptCount val="1"/>
                <pt idx="0">
                  <v>Mua tiền mặt</v>
                </pt>
              </strCache>
            </strRef>
          </tx>
          <spPr>
            <a:solidFill>
              <a:srgbClr val="10B981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TheoDoi_USD!$C$12:$C$26</f>
              <numCache>
                <formatCode>#,##0.00</formatCode>
                <ptCount val="15"/>
                <pt idx="0">
                  <v>25770</v>
                </pt>
                <pt idx="1">
                  <v>25750</v>
                </pt>
                <pt idx="2">
                  <v>25795</v>
                </pt>
                <pt idx="3">
                  <v>25750</v>
                </pt>
                <pt idx="4">
                  <v>25801</v>
                </pt>
                <pt idx="5">
                  <v>24700</v>
                </pt>
                <pt idx="6">
                  <v>25820</v>
                </pt>
                <pt idx="7">
                  <v>25600</v>
                </pt>
                <pt idx="8">
                  <v>26099</v>
                </pt>
                <pt idx="9">
                  <v>25780</v>
                </pt>
                <pt idx="10">
                  <v>25770</v>
                </pt>
                <pt idx="11">
                  <v>25708</v>
                </pt>
                <pt idx="12">
                  <v>25775</v>
                </pt>
                <pt idx="13">
                  <v>25755</v>
                </pt>
                <pt idx="14">
                  <v>25675</v>
                </pt>
              </numCache>
            </numRef>
          </val>
        </ser>
        <ser>
          <idx val="1"/>
          <order val="1"/>
          <tx>
            <strRef>
              <f>TheoDoi_USD!$D$11</f>
              <strCache>
                <ptCount val="1"/>
                <pt idx="0">
                  <v>Mua chuyển khoản</v>
                </pt>
              </strCache>
            </strRef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TheoDoi_USD!$D$12:$D$26</f>
              <numCache>
                <formatCode>#,##0.00</formatCode>
                <ptCount val="15"/>
                <pt idx="0">
                  <v>25800</v>
                </pt>
                <pt idx="1">
                  <v>25815</v>
                </pt>
                <pt idx="2">
                  <v>25795</v>
                </pt>
                <pt idx="3">
                  <v>25780</v>
                </pt>
                <pt idx="4">
                  <v>25815</v>
                </pt>
                <pt idx="5">
                  <v>25810</v>
                </pt>
                <pt idx="6">
                  <v>25820</v>
                </pt>
                <pt idx="7">
                  <v>25800</v>
                </pt>
                <pt idx="8">
                  <v>26099</v>
                </pt>
                <pt idx="9">
                  <v>25810</v>
                </pt>
                <pt idx="10">
                  <v>25800</v>
                </pt>
                <pt idx="11">
                  <v>25828</v>
                </pt>
                <pt idx="12">
                  <v>25775</v>
                </pt>
                <pt idx="13">
                  <v>25805</v>
                </pt>
                <pt idx="14">
                  <v>25705</v>
                </pt>
              </numCache>
            </numRef>
          </val>
        </ser>
        <ser>
          <idx val="2"/>
          <order val="2"/>
          <tx>
            <strRef>
              <f>TheoDoi_USD!$E$11</f>
              <strCache>
                <ptCount val="1"/>
                <pt idx="0">
                  <v>Bán</v>
                </pt>
              </strCache>
            </strRef>
          </tx>
          <spPr>
            <a:solidFill>
              <a:srgbClr val="EF4444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TheoDoi_USD!$E$12:$E$26</f>
              <numCache>
                <formatCode>#,##0.00</formatCode>
                <ptCount val="15"/>
                <pt idx="0">
                  <v>26180</v>
                </pt>
                <pt idx="1">
                  <v>26195</v>
                </pt>
                <pt idx="2">
                  <v>26175</v>
                </pt>
                <pt idx="3">
                  <v>26160</v>
                </pt>
                <pt idx="4">
                  <v>26185</v>
                </pt>
                <pt idx="5">
                  <v>26170</v>
                </pt>
                <pt idx="6">
                  <v>26180</v>
                </pt>
                <pt idx="7">
                  <v>26204</v>
                </pt>
                <pt idx="8">
                  <v>26379</v>
                </pt>
                <pt idx="9">
                  <v>26160</v>
                </pt>
                <pt idx="10">
                  <v>26160</v>
                </pt>
                <pt idx="11">
                  <v>26897</v>
                </pt>
                <pt idx="12">
                  <v>26155</v>
                </pt>
                <pt idx="13">
                  <v>26155</v>
                </pt>
                <pt idx="14">
                  <v>26155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4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15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TheoDoi_USD!$C$11</f>
              <strCache>
                <ptCount val="1"/>
                <pt idx="0">
                  <v>Mua tiền mặt</v>
                </pt>
              </strCache>
            </strRef>
          </tx>
          <spPr>
            <a:solidFill>
              <a:srgbClr val="10B981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TheoDoi_USD!$C$12:$C$26</f>
              <numCache>
                <formatCode>#,##0.00</formatCode>
                <ptCount val="15"/>
                <pt idx="0">
                  <v>25770</v>
                </pt>
                <pt idx="1">
                  <v>25750</v>
                </pt>
                <pt idx="2">
                  <v>25795</v>
                </pt>
                <pt idx="3">
                  <v>25750</v>
                </pt>
                <pt idx="4">
                  <v>25801</v>
                </pt>
                <pt idx="5">
                  <v>24700</v>
                </pt>
                <pt idx="6">
                  <v>25820</v>
                </pt>
                <pt idx="7">
                  <v>25600</v>
                </pt>
                <pt idx="8">
                  <v>26099</v>
                </pt>
                <pt idx="9">
                  <v>25780</v>
                </pt>
                <pt idx="10">
                  <v>25770</v>
                </pt>
                <pt idx="11">
                  <v>25708</v>
                </pt>
                <pt idx="12">
                  <v>25775</v>
                </pt>
                <pt idx="13">
                  <v>25755</v>
                </pt>
                <pt idx="14">
                  <v>25675</v>
                </pt>
              </numCache>
            </numRef>
          </val>
        </ser>
        <ser>
          <idx val="1"/>
          <order val="1"/>
          <tx>
            <strRef>
              <f>TheoDoi_USD!$D$11</f>
              <strCache>
                <ptCount val="1"/>
                <pt idx="0">
                  <v>Mua chuyển khoản</v>
                </pt>
              </strCache>
            </strRef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TheoDoi_USD!$D$12:$D$26</f>
              <numCache>
                <formatCode>#,##0.00</formatCode>
                <ptCount val="15"/>
                <pt idx="0">
                  <v>25800</v>
                </pt>
                <pt idx="1">
                  <v>25815</v>
                </pt>
                <pt idx="2">
                  <v>25795</v>
                </pt>
                <pt idx="3">
                  <v>25780</v>
                </pt>
                <pt idx="4">
                  <v>25815</v>
                </pt>
                <pt idx="5">
                  <v>25810</v>
                </pt>
                <pt idx="6">
                  <v>25820</v>
                </pt>
                <pt idx="7">
                  <v>25800</v>
                </pt>
                <pt idx="8">
                  <v>26099</v>
                </pt>
                <pt idx="9">
                  <v>25810</v>
                </pt>
                <pt idx="10">
                  <v>25800</v>
                </pt>
                <pt idx="11">
                  <v>25828</v>
                </pt>
                <pt idx="12">
                  <v>25775</v>
                </pt>
                <pt idx="13">
                  <v>25805</v>
                </pt>
                <pt idx="14">
                  <v>25705</v>
                </pt>
              </numCache>
            </numRef>
          </val>
        </ser>
        <ser>
          <idx val="2"/>
          <order val="2"/>
          <tx>
            <strRef>
              <f>TheoDoi_USD!$E$11</f>
              <strCache>
                <ptCount val="1"/>
                <pt idx="0">
                  <v>Bán</v>
                </pt>
              </strCache>
            </strRef>
          </tx>
          <spPr>
            <a:solidFill>
              <a:srgbClr val="EF4444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TheoDoi_USD!$E$12:$E$26</f>
              <numCache>
                <formatCode>#,##0.00</formatCode>
                <ptCount val="15"/>
                <pt idx="0">
                  <v>26180</v>
                </pt>
                <pt idx="1">
                  <v>26195</v>
                </pt>
                <pt idx="2">
                  <v>26175</v>
                </pt>
                <pt idx="3">
                  <v>26160</v>
                </pt>
                <pt idx="4">
                  <v>26185</v>
                </pt>
                <pt idx="5">
                  <v>26170</v>
                </pt>
                <pt idx="6">
                  <v>26180</v>
                </pt>
                <pt idx="7">
                  <v>26204</v>
                </pt>
                <pt idx="8">
                  <v>26379</v>
                </pt>
                <pt idx="9">
                  <v>26160</v>
                </pt>
                <pt idx="10">
                  <v>26160</v>
                </pt>
                <pt idx="11">
                  <v>26897</v>
                </pt>
                <pt idx="12">
                  <v>26155</v>
                </pt>
                <pt idx="13">
                  <v>26155</v>
                </pt>
                <pt idx="14">
                  <v>26155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4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15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TheoDoi_USD!$C$11</f>
              <strCache>
                <ptCount val="1"/>
                <pt idx="0">
                  <v>Mua tiền mặt</v>
                </pt>
              </strCache>
            </strRef>
          </tx>
          <spPr>
            <a:solidFill>
              <a:srgbClr val="10B981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TheoDoi_USD!$C$12:$C$26</f>
              <numCache>
                <formatCode>#,##0.00</formatCode>
                <ptCount val="15"/>
                <pt idx="0">
                  <v>25770</v>
                </pt>
                <pt idx="1">
                  <v>25750</v>
                </pt>
                <pt idx="2">
                  <v>25795</v>
                </pt>
                <pt idx="3">
                  <v>25750</v>
                </pt>
                <pt idx="4">
                  <v>25801</v>
                </pt>
                <pt idx="5">
                  <v>24700</v>
                </pt>
                <pt idx="6">
                  <v>25820</v>
                </pt>
                <pt idx="7">
                  <v>25600</v>
                </pt>
                <pt idx="8">
                  <v>26099</v>
                </pt>
                <pt idx="9">
                  <v>25780</v>
                </pt>
                <pt idx="10">
                  <v>25770</v>
                </pt>
                <pt idx="11">
                  <v>25708</v>
                </pt>
                <pt idx="12">
                  <v>25775</v>
                </pt>
                <pt idx="13">
                  <v>25755</v>
                </pt>
                <pt idx="14">
                  <v>25675</v>
                </pt>
              </numCache>
            </numRef>
          </val>
        </ser>
        <ser>
          <idx val="1"/>
          <order val="1"/>
          <tx>
            <strRef>
              <f>TheoDoi_USD!$D$11</f>
              <strCache>
                <ptCount val="1"/>
                <pt idx="0">
                  <v>Mua chuyển khoản</v>
                </pt>
              </strCache>
            </strRef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TheoDoi_USD!$D$12:$D$26</f>
              <numCache>
                <formatCode>#,##0.00</formatCode>
                <ptCount val="15"/>
                <pt idx="0">
                  <v>25800</v>
                </pt>
                <pt idx="1">
                  <v>25815</v>
                </pt>
                <pt idx="2">
                  <v>25795</v>
                </pt>
                <pt idx="3">
                  <v>25780</v>
                </pt>
                <pt idx="4">
                  <v>25815</v>
                </pt>
                <pt idx="5">
                  <v>25810</v>
                </pt>
                <pt idx="6">
                  <v>25820</v>
                </pt>
                <pt idx="7">
                  <v>25800</v>
                </pt>
                <pt idx="8">
                  <v>26099</v>
                </pt>
                <pt idx="9">
                  <v>25810</v>
                </pt>
                <pt idx="10">
                  <v>25800</v>
                </pt>
                <pt idx="11">
                  <v>25828</v>
                </pt>
                <pt idx="12">
                  <v>25775</v>
                </pt>
                <pt idx="13">
                  <v>25805</v>
                </pt>
                <pt idx="14">
                  <v>25705</v>
                </pt>
              </numCache>
            </numRef>
          </val>
        </ser>
        <ser>
          <idx val="2"/>
          <order val="2"/>
          <tx>
            <strRef>
              <f>TheoDoi_USD!$E$11</f>
              <strCache>
                <ptCount val="1"/>
                <pt idx="0">
                  <v>Bán</v>
                </pt>
              </strCache>
            </strRef>
          </tx>
          <spPr>
            <a:solidFill>
              <a:srgbClr val="EF4444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TheoDoi_USD!$E$12:$E$26</f>
              <numCache>
                <formatCode>#,##0.00</formatCode>
                <ptCount val="15"/>
                <pt idx="0">
                  <v>26180</v>
                </pt>
                <pt idx="1">
                  <v>26195</v>
                </pt>
                <pt idx="2">
                  <v>26175</v>
                </pt>
                <pt idx="3">
                  <v>26160</v>
                </pt>
                <pt idx="4">
                  <v>26185</v>
                </pt>
                <pt idx="5">
                  <v>26170</v>
                </pt>
                <pt idx="6">
                  <v>26180</v>
                </pt>
                <pt idx="7">
                  <v>26204</v>
                </pt>
                <pt idx="8">
                  <v>26379</v>
                </pt>
                <pt idx="9">
                  <v>26160</v>
                </pt>
                <pt idx="10">
                  <v>26160</v>
                </pt>
                <pt idx="11">
                  <v>26897</v>
                </pt>
                <pt idx="12">
                  <v>26155</v>
                </pt>
                <pt idx="13">
                  <v>26155</v>
                </pt>
                <pt idx="14">
                  <v>26155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4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15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TheoDoi_USD!$C$11</f>
              <strCache>
                <ptCount val="1"/>
                <pt idx="0">
                  <v>Mua tiền mặt</v>
                </pt>
              </strCache>
            </strRef>
          </tx>
          <spPr>
            <a:solidFill>
              <a:srgbClr val="10B981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TheoDoi_USD!$C$12:$C$26</f>
              <numCache>
                <formatCode>#,##0.00</formatCode>
                <ptCount val="15"/>
                <pt idx="0">
                  <v>25770</v>
                </pt>
                <pt idx="1">
                  <v>25750</v>
                </pt>
                <pt idx="2">
                  <v>25795</v>
                </pt>
                <pt idx="3">
                  <v>25750</v>
                </pt>
                <pt idx="4">
                  <v>25801</v>
                </pt>
                <pt idx="5">
                  <v>24700</v>
                </pt>
                <pt idx="6">
                  <v>25820</v>
                </pt>
                <pt idx="7">
                  <v>25600</v>
                </pt>
                <pt idx="8">
                  <v>26099</v>
                </pt>
                <pt idx="9">
                  <v>25780</v>
                </pt>
                <pt idx="10">
                  <v>25770</v>
                </pt>
                <pt idx="11">
                  <v>25708</v>
                </pt>
                <pt idx="12">
                  <v>25775</v>
                </pt>
                <pt idx="13">
                  <v>25755</v>
                </pt>
                <pt idx="14">
                  <v>25675</v>
                </pt>
              </numCache>
            </numRef>
          </val>
        </ser>
        <ser>
          <idx val="1"/>
          <order val="1"/>
          <tx>
            <strRef>
              <f>TheoDoi_USD!$D$11</f>
              <strCache>
                <ptCount val="1"/>
                <pt idx="0">
                  <v>Mua chuyển khoản</v>
                </pt>
              </strCache>
            </strRef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TheoDoi_USD!$D$12:$D$26</f>
              <numCache>
                <formatCode>#,##0.00</formatCode>
                <ptCount val="15"/>
                <pt idx="0">
                  <v>25800</v>
                </pt>
                <pt idx="1">
                  <v>25815</v>
                </pt>
                <pt idx="2">
                  <v>25795</v>
                </pt>
                <pt idx="3">
                  <v>25780</v>
                </pt>
                <pt idx="4">
                  <v>25815</v>
                </pt>
                <pt idx="5">
                  <v>25810</v>
                </pt>
                <pt idx="6">
                  <v>25820</v>
                </pt>
                <pt idx="7">
                  <v>25800</v>
                </pt>
                <pt idx="8">
                  <v>26099</v>
                </pt>
                <pt idx="9">
                  <v>25810</v>
                </pt>
                <pt idx="10">
                  <v>25800</v>
                </pt>
                <pt idx="11">
                  <v>25828</v>
                </pt>
                <pt idx="12">
                  <v>25775</v>
                </pt>
                <pt idx="13">
                  <v>25805</v>
                </pt>
                <pt idx="14">
                  <v>25705</v>
                </pt>
              </numCache>
            </numRef>
          </val>
        </ser>
        <ser>
          <idx val="2"/>
          <order val="2"/>
          <tx>
            <strRef>
              <f>TheoDoi_USD!$E$11</f>
              <strCache>
                <ptCount val="1"/>
                <pt idx="0">
                  <v>Bán</v>
                </pt>
              </strCache>
            </strRef>
          </tx>
          <spPr>
            <a:solidFill>
              <a:srgbClr val="EF4444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TheoDoi_USD!$E$12:$E$26</f>
              <numCache>
                <formatCode>#,##0.00</formatCode>
                <ptCount val="15"/>
                <pt idx="0">
                  <v>26180</v>
                </pt>
                <pt idx="1">
                  <v>26195</v>
                </pt>
                <pt idx="2">
                  <v>26175</v>
                </pt>
                <pt idx="3">
                  <v>26160</v>
                </pt>
                <pt idx="4">
                  <v>26185</v>
                </pt>
                <pt idx="5">
                  <v>26170</v>
                </pt>
                <pt idx="6">
                  <v>26180</v>
                </pt>
                <pt idx="7">
                  <v>26204</v>
                </pt>
                <pt idx="8">
                  <v>26379</v>
                </pt>
                <pt idx="9">
                  <v>26160</v>
                </pt>
                <pt idx="10">
                  <v>26160</v>
                </pt>
                <pt idx="11">
                  <v>26897</v>
                </pt>
                <pt idx="12">
                  <v>26155</v>
                </pt>
                <pt idx="13">
                  <v>26155</v>
                </pt>
                <pt idx="14">
                  <v>26155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4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15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TheoDoi_USD!$C$11</f>
              <strCache>
                <ptCount val="1"/>
                <pt idx="0">
                  <v>Mua tiền mặt</v>
                </pt>
              </strCache>
            </strRef>
          </tx>
          <spPr>
            <a:solidFill>
              <a:srgbClr val="10B981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TheoDoi_USD!$C$12:$C$26</f>
              <numCache>
                <formatCode>#,##0.00</formatCode>
                <ptCount val="15"/>
                <pt idx="0">
                  <v>25770</v>
                </pt>
                <pt idx="1">
                  <v>25750</v>
                </pt>
                <pt idx="2">
                  <v>25795</v>
                </pt>
                <pt idx="3">
                  <v>25750</v>
                </pt>
                <pt idx="4">
                  <v>25801</v>
                </pt>
                <pt idx="5">
                  <v>24700</v>
                </pt>
                <pt idx="6">
                  <v>25820</v>
                </pt>
                <pt idx="7">
                  <v>25600</v>
                </pt>
                <pt idx="8">
                  <v>26099</v>
                </pt>
                <pt idx="9">
                  <v>25780</v>
                </pt>
                <pt idx="10">
                  <v>25770</v>
                </pt>
                <pt idx="11">
                  <v>25708</v>
                </pt>
                <pt idx="12">
                  <v>25775</v>
                </pt>
                <pt idx="13">
                  <v>25755</v>
                </pt>
                <pt idx="14">
                  <v>25675</v>
                </pt>
              </numCache>
            </numRef>
          </val>
        </ser>
        <ser>
          <idx val="1"/>
          <order val="1"/>
          <tx>
            <strRef>
              <f>TheoDoi_USD!$D$11</f>
              <strCache>
                <ptCount val="1"/>
                <pt idx="0">
                  <v>Mua chuyển khoản</v>
                </pt>
              </strCache>
            </strRef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TheoDoi_USD!$D$12:$D$26</f>
              <numCache>
                <formatCode>#,##0.00</formatCode>
                <ptCount val="15"/>
                <pt idx="0">
                  <v>25800</v>
                </pt>
                <pt idx="1">
                  <v>25815</v>
                </pt>
                <pt idx="2">
                  <v>25795</v>
                </pt>
                <pt idx="3">
                  <v>25780</v>
                </pt>
                <pt idx="4">
                  <v>25815</v>
                </pt>
                <pt idx="5">
                  <v>25810</v>
                </pt>
                <pt idx="6">
                  <v>25820</v>
                </pt>
                <pt idx="7">
                  <v>25800</v>
                </pt>
                <pt idx="8">
                  <v>26099</v>
                </pt>
                <pt idx="9">
                  <v>25810</v>
                </pt>
                <pt idx="10">
                  <v>25800</v>
                </pt>
                <pt idx="11">
                  <v>25828</v>
                </pt>
                <pt idx="12">
                  <v>25775</v>
                </pt>
                <pt idx="13">
                  <v>25805</v>
                </pt>
                <pt idx="14">
                  <v>25705</v>
                </pt>
              </numCache>
            </numRef>
          </val>
        </ser>
        <ser>
          <idx val="2"/>
          <order val="2"/>
          <tx>
            <strRef>
              <f>TheoDoi_USD!$E$11</f>
              <strCache>
                <ptCount val="1"/>
                <pt idx="0">
                  <v>Bán</v>
                </pt>
              </strCache>
            </strRef>
          </tx>
          <spPr>
            <a:solidFill>
              <a:srgbClr val="EF4444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TheoDoi_USD!$E$12:$E$26</f>
              <numCache>
                <formatCode>#,##0.00</formatCode>
                <ptCount val="15"/>
                <pt idx="0">
                  <v>26180</v>
                </pt>
                <pt idx="1">
                  <v>26195</v>
                </pt>
                <pt idx="2">
                  <v>26175</v>
                </pt>
                <pt idx="3">
                  <v>26160</v>
                </pt>
                <pt idx="4">
                  <v>26185</v>
                </pt>
                <pt idx="5">
                  <v>26170</v>
                </pt>
                <pt idx="6">
                  <v>26180</v>
                </pt>
                <pt idx="7">
                  <v>26204</v>
                </pt>
                <pt idx="8">
                  <v>26379</v>
                </pt>
                <pt idx="9">
                  <v>26160</v>
                </pt>
                <pt idx="10">
                  <v>26160</v>
                </pt>
                <pt idx="11">
                  <v>26897</v>
                </pt>
                <pt idx="12">
                  <v>26155</v>
                </pt>
                <pt idx="13">
                  <v>26155</v>
                </pt>
                <pt idx="14">
                  <v>26155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4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15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TheoDoi_USD!$C$11</f>
              <strCache>
                <ptCount val="1"/>
                <pt idx="0">
                  <v>Mua tiền mặt</v>
                </pt>
              </strCache>
            </strRef>
          </tx>
          <spPr>
            <a:solidFill>
              <a:srgbClr val="10B981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TheoDoi_USD!$C$12:$C$26</f>
              <numCache>
                <formatCode>#,##0.00</formatCode>
                <ptCount val="15"/>
                <pt idx="0">
                  <v>25770</v>
                </pt>
                <pt idx="1">
                  <v>25750</v>
                </pt>
                <pt idx="2">
                  <v>25795</v>
                </pt>
                <pt idx="3">
                  <v>25750</v>
                </pt>
                <pt idx="4">
                  <v>25801</v>
                </pt>
                <pt idx="5">
                  <v>24700</v>
                </pt>
                <pt idx="6">
                  <v>25820</v>
                </pt>
                <pt idx="7">
                  <v>25600</v>
                </pt>
                <pt idx="8">
                  <v>26099</v>
                </pt>
                <pt idx="9">
                  <v>25780</v>
                </pt>
                <pt idx="10">
                  <v>25770</v>
                </pt>
                <pt idx="11">
                  <v>25708</v>
                </pt>
                <pt idx="12">
                  <v>25775</v>
                </pt>
                <pt idx="13">
                  <v>25755</v>
                </pt>
                <pt idx="14">
                  <v>25675</v>
                </pt>
              </numCache>
            </numRef>
          </val>
        </ser>
        <ser>
          <idx val="1"/>
          <order val="1"/>
          <tx>
            <strRef>
              <f>TheoDoi_USD!$D$11</f>
              <strCache>
                <ptCount val="1"/>
                <pt idx="0">
                  <v>Mua chuyển khoản</v>
                </pt>
              </strCache>
            </strRef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TheoDoi_USD!$D$12:$D$26</f>
              <numCache>
                <formatCode>#,##0.00</formatCode>
                <ptCount val="15"/>
                <pt idx="0">
                  <v>25800</v>
                </pt>
                <pt idx="1">
                  <v>25815</v>
                </pt>
                <pt idx="2">
                  <v>25795</v>
                </pt>
                <pt idx="3">
                  <v>25780</v>
                </pt>
                <pt idx="4">
                  <v>25815</v>
                </pt>
                <pt idx="5">
                  <v>25810</v>
                </pt>
                <pt idx="6">
                  <v>25820</v>
                </pt>
                <pt idx="7">
                  <v>25800</v>
                </pt>
                <pt idx="8">
                  <v>26099</v>
                </pt>
                <pt idx="9">
                  <v>25810</v>
                </pt>
                <pt idx="10">
                  <v>25800</v>
                </pt>
                <pt idx="11">
                  <v>25828</v>
                </pt>
                <pt idx="12">
                  <v>25775</v>
                </pt>
                <pt idx="13">
                  <v>25805</v>
                </pt>
                <pt idx="14">
                  <v>25705</v>
                </pt>
              </numCache>
            </numRef>
          </val>
        </ser>
        <ser>
          <idx val="2"/>
          <order val="2"/>
          <tx>
            <strRef>
              <f>TheoDoi_USD!$E$11</f>
              <strCache>
                <ptCount val="1"/>
                <pt idx="0">
                  <v>Bán</v>
                </pt>
              </strCache>
            </strRef>
          </tx>
          <spPr>
            <a:solidFill>
              <a:srgbClr val="EF4444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TheoDoi_USD!$E$12:$E$26</f>
              <numCache>
                <formatCode>#,##0.00</formatCode>
                <ptCount val="15"/>
                <pt idx="0">
                  <v>26180</v>
                </pt>
                <pt idx="1">
                  <v>26195</v>
                </pt>
                <pt idx="2">
                  <v>26175</v>
                </pt>
                <pt idx="3">
                  <v>26160</v>
                </pt>
                <pt idx="4">
                  <v>26185</v>
                </pt>
                <pt idx="5">
                  <v>26170</v>
                </pt>
                <pt idx="6">
                  <v>26180</v>
                </pt>
                <pt idx="7">
                  <v>26204</v>
                </pt>
                <pt idx="8">
                  <v>26379</v>
                </pt>
                <pt idx="9">
                  <v>26160</v>
                </pt>
                <pt idx="10">
                  <v>26160</v>
                </pt>
                <pt idx="11">
                  <v>26897</v>
                </pt>
                <pt idx="12">
                  <v>26155</v>
                </pt>
                <pt idx="13">
                  <v>26155</v>
                </pt>
                <pt idx="14">
                  <v>26155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4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15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TheoDoi_USD!$C$11</f>
              <strCache>
                <ptCount val="1"/>
                <pt idx="0">
                  <v>Mua tiền mặt</v>
                </pt>
              </strCache>
            </strRef>
          </tx>
          <spPr>
            <a:solidFill>
              <a:srgbClr val="10B981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TheoDoi_USD!$C$12:$C$26</f>
              <numCache>
                <formatCode>#,##0.00</formatCode>
                <ptCount val="15"/>
                <pt idx="0">
                  <v>25770</v>
                </pt>
                <pt idx="1">
                  <v>25750</v>
                </pt>
                <pt idx="2">
                  <v>25795</v>
                </pt>
                <pt idx="3">
                  <v>25750</v>
                </pt>
                <pt idx="4">
                  <v>25801</v>
                </pt>
                <pt idx="5">
                  <v>24700</v>
                </pt>
                <pt idx="6">
                  <v>25820</v>
                </pt>
                <pt idx="7">
                  <v>25600</v>
                </pt>
                <pt idx="8">
                  <v>26099</v>
                </pt>
                <pt idx="9">
                  <v>25780</v>
                </pt>
                <pt idx="10">
                  <v>25770</v>
                </pt>
                <pt idx="11">
                  <v>25708</v>
                </pt>
                <pt idx="12">
                  <v>25775</v>
                </pt>
                <pt idx="13">
                  <v>25755</v>
                </pt>
                <pt idx="14">
                  <v>25675</v>
                </pt>
              </numCache>
            </numRef>
          </val>
        </ser>
        <ser>
          <idx val="1"/>
          <order val="1"/>
          <tx>
            <strRef>
              <f>TheoDoi_USD!$D$11</f>
              <strCache>
                <ptCount val="1"/>
                <pt idx="0">
                  <v>Mua chuyển khoản</v>
                </pt>
              </strCache>
            </strRef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TheoDoi_USD!$D$12:$D$26</f>
              <numCache>
                <formatCode>#,##0.00</formatCode>
                <ptCount val="15"/>
                <pt idx="0">
                  <v>25800</v>
                </pt>
                <pt idx="1">
                  <v>25815</v>
                </pt>
                <pt idx="2">
                  <v>25795</v>
                </pt>
                <pt idx="3">
                  <v>25780</v>
                </pt>
                <pt idx="4">
                  <v>25815</v>
                </pt>
                <pt idx="5">
                  <v>25810</v>
                </pt>
                <pt idx="6">
                  <v>25820</v>
                </pt>
                <pt idx="7">
                  <v>25800</v>
                </pt>
                <pt idx="8">
                  <v>26099</v>
                </pt>
                <pt idx="9">
                  <v>25810</v>
                </pt>
                <pt idx="10">
                  <v>25800</v>
                </pt>
                <pt idx="11">
                  <v>25828</v>
                </pt>
                <pt idx="12">
                  <v>25775</v>
                </pt>
                <pt idx="13">
                  <v>25805</v>
                </pt>
                <pt idx="14">
                  <v>25705</v>
                </pt>
              </numCache>
            </numRef>
          </val>
        </ser>
        <ser>
          <idx val="2"/>
          <order val="2"/>
          <tx>
            <strRef>
              <f>TheoDoi_USD!$E$11</f>
              <strCache>
                <ptCount val="1"/>
                <pt idx="0">
                  <v>Bán</v>
                </pt>
              </strCache>
            </strRef>
          </tx>
          <spPr>
            <a:solidFill>
              <a:srgbClr val="EF4444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TheoDoi_USD!$E$12:$E$26</f>
              <numCache>
                <formatCode>#,##0.00</formatCode>
                <ptCount val="15"/>
                <pt idx="0">
                  <v>26180</v>
                </pt>
                <pt idx="1">
                  <v>26195</v>
                </pt>
                <pt idx="2">
                  <v>26175</v>
                </pt>
                <pt idx="3">
                  <v>26160</v>
                </pt>
                <pt idx="4">
                  <v>26185</v>
                </pt>
                <pt idx="5">
                  <v>26170</v>
                </pt>
                <pt idx="6">
                  <v>26180</v>
                </pt>
                <pt idx="7">
                  <v>26204</v>
                </pt>
                <pt idx="8">
                  <v>26379</v>
                </pt>
                <pt idx="9">
                  <v>26160</v>
                </pt>
                <pt idx="10">
                  <v>26160</v>
                </pt>
                <pt idx="11">
                  <v>26897</v>
                </pt>
                <pt idx="12">
                  <v>26155</v>
                </pt>
                <pt idx="13">
                  <v>26155</v>
                </pt>
                <pt idx="14">
                  <v>26155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4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15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TheoDoi_USD!$C$11</f>
              <strCache>
                <ptCount val="1"/>
                <pt idx="0">
                  <v>Mua tiền mặt</v>
                </pt>
              </strCache>
            </strRef>
          </tx>
          <spPr>
            <a:solidFill>
              <a:srgbClr val="10B981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TheoDoi_USD!$C$12:$C$26</f>
              <numCache>
                <formatCode>#,##0.00</formatCode>
                <ptCount val="15"/>
                <pt idx="0">
                  <v>25770</v>
                </pt>
                <pt idx="1">
                  <v>25750</v>
                </pt>
                <pt idx="2">
                  <v>25795</v>
                </pt>
                <pt idx="3">
                  <v>25750</v>
                </pt>
                <pt idx="4">
                  <v>25801</v>
                </pt>
                <pt idx="5">
                  <v>24700</v>
                </pt>
                <pt idx="6">
                  <v>25820</v>
                </pt>
                <pt idx="7">
                  <v>25600</v>
                </pt>
                <pt idx="8">
                  <v>26099</v>
                </pt>
                <pt idx="9">
                  <v>25780</v>
                </pt>
                <pt idx="10">
                  <v>25770</v>
                </pt>
                <pt idx="11">
                  <v>25708</v>
                </pt>
                <pt idx="12">
                  <v>25775</v>
                </pt>
                <pt idx="13">
                  <v>25755</v>
                </pt>
                <pt idx="14">
                  <v>25675</v>
                </pt>
              </numCache>
            </numRef>
          </val>
        </ser>
        <ser>
          <idx val="1"/>
          <order val="1"/>
          <tx>
            <strRef>
              <f>TheoDoi_USD!$D$11</f>
              <strCache>
                <ptCount val="1"/>
                <pt idx="0">
                  <v>Mua chuyển khoản</v>
                </pt>
              </strCache>
            </strRef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TheoDoi_USD!$D$12:$D$26</f>
              <numCache>
                <formatCode>#,##0.00</formatCode>
                <ptCount val="15"/>
                <pt idx="0">
                  <v>25800</v>
                </pt>
                <pt idx="1">
                  <v>25815</v>
                </pt>
                <pt idx="2">
                  <v>25795</v>
                </pt>
                <pt idx="3">
                  <v>25780</v>
                </pt>
                <pt idx="4">
                  <v>25815</v>
                </pt>
                <pt idx="5">
                  <v>25810</v>
                </pt>
                <pt idx="6">
                  <v>25820</v>
                </pt>
                <pt idx="7">
                  <v>25800</v>
                </pt>
                <pt idx="8">
                  <v>26099</v>
                </pt>
                <pt idx="9">
                  <v>25810</v>
                </pt>
                <pt idx="10">
                  <v>25800</v>
                </pt>
                <pt idx="11">
                  <v>25828</v>
                </pt>
                <pt idx="12">
                  <v>25775</v>
                </pt>
                <pt idx="13">
                  <v>25805</v>
                </pt>
                <pt idx="14">
                  <v>25705</v>
                </pt>
              </numCache>
            </numRef>
          </val>
        </ser>
        <ser>
          <idx val="2"/>
          <order val="2"/>
          <tx>
            <strRef>
              <f>TheoDoi_USD!$E$11</f>
              <strCache>
                <ptCount val="1"/>
                <pt idx="0">
                  <v>Bán</v>
                </pt>
              </strCache>
            </strRef>
          </tx>
          <spPr>
            <a:solidFill>
              <a:srgbClr val="EF4444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TheoDoi_USD!$E$12:$E$26</f>
              <numCache>
                <formatCode>#,##0.00</formatCode>
                <ptCount val="15"/>
                <pt idx="0">
                  <v>26180</v>
                </pt>
                <pt idx="1">
                  <v>26195</v>
                </pt>
                <pt idx="2">
                  <v>26175</v>
                </pt>
                <pt idx="3">
                  <v>26160</v>
                </pt>
                <pt idx="4">
                  <v>26185</v>
                </pt>
                <pt idx="5">
                  <v>26170</v>
                </pt>
                <pt idx="6">
                  <v>26180</v>
                </pt>
                <pt idx="7">
                  <v>26204</v>
                </pt>
                <pt idx="8">
                  <v>26379</v>
                </pt>
                <pt idx="9">
                  <v>26160</v>
                </pt>
                <pt idx="10">
                  <v>26160</v>
                </pt>
                <pt idx="11">
                  <v>26897</v>
                </pt>
                <pt idx="12">
                  <v>26155</v>
                </pt>
                <pt idx="13">
                  <v>26155</v>
                </pt>
                <pt idx="14">
                  <v>26155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4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 Sánh Tỷ Giá USD/VND Giữa 15 Ngân Hàng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'TheoDoi_USD'!C11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'TheoDoi_USD'!$B$12:$B$26</f>
            </numRef>
          </cat>
          <val>
            <numRef>
              <f>'TheoDoi_USD'!$C$12:$C$26</f>
            </numRef>
          </val>
        </ser>
        <ser>
          <idx val="1"/>
          <order val="1"/>
          <tx>
            <strRef>
              <f>'TheoDoi_USD'!D11</f>
            </strRef>
          </tx>
          <spPr>
            <a:solidFill>
              <a:srgbClr val="2563EB"/>
            </a:solidFill>
            <a:ln>
              <a:prstDash val="solid"/>
            </a:ln>
          </spPr>
          <cat>
            <numRef>
              <f>'TheoDoi_USD'!$B$12:$B$26</f>
            </numRef>
          </cat>
          <val>
            <numRef>
              <f>'TheoDoi_USD'!$D$12:$D$26</f>
            </numRef>
          </val>
        </ser>
        <ser>
          <idx val="2"/>
          <order val="2"/>
          <tx>
            <strRef>
              <f>'TheoDoi_USD'!E11</f>
            </strRef>
          </tx>
          <spPr>
            <a:solidFill>
              <a:srgbClr val="EF4444"/>
            </a:solidFill>
            <a:ln>
              <a:prstDash val="solid"/>
            </a:ln>
          </spPr>
          <cat>
            <numRef>
              <f>'TheoDoi_USD'!$B$12:$B$26</f>
            </numRef>
          </cat>
          <val>
            <numRef>
              <f>'TheoDoi_USD'!$E$12:$E$26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Ngân Hàng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7000"/>
          <min val="2400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Relationship Type="http://schemas.openxmlformats.org/officeDocument/2006/relationships/chart" Target="/xl/charts/chart7.xml" Id="rId6" /><Relationship Type="http://schemas.openxmlformats.org/officeDocument/2006/relationships/chart" Target="/xl/charts/chart8.xml" Id="rId7" /><Relationship Type="http://schemas.openxmlformats.org/officeDocument/2006/relationships/chart" Target="/xl/charts/chart9.xml" Id="rId8" /><Relationship Type="http://schemas.openxmlformats.org/officeDocument/2006/relationships/chart" Target="/xl/charts/chart10.xml" Id="rId9" /><Relationship Type="http://schemas.openxmlformats.org/officeDocument/2006/relationships/chart" Target="/xl/charts/chart11.xml" Id="rId10" /><Relationship Type="http://schemas.openxmlformats.org/officeDocument/2006/relationships/chart" Target="/xl/charts/chart12.xml" Id="rId11" /><Relationship Type="http://schemas.openxmlformats.org/officeDocument/2006/relationships/chart" Target="/xl/charts/chart13.xml" Id="rId12" /><Relationship Type="http://schemas.openxmlformats.org/officeDocument/2006/relationships/chart" Target="/xl/charts/chart14.xml" Id="rId13" /><Relationship Type="http://schemas.openxmlformats.org/officeDocument/2006/relationships/chart" Target="/xl/charts/chart15.xml" Id="rId14" /><Relationship Type="http://schemas.openxmlformats.org/officeDocument/2006/relationships/chart" Target="/xl/charts/chart16.xml" Id="rId15" /><Relationship Type="http://schemas.openxmlformats.org/officeDocument/2006/relationships/chart" Target="/xl/charts/chart17.xml" Id="rId16" /><Relationship Type="http://schemas.openxmlformats.org/officeDocument/2006/relationships/chart" Target="/xl/charts/chart18.xml" Id="rId17" /><Relationship Type="http://schemas.openxmlformats.org/officeDocument/2006/relationships/chart" Target="/xl/charts/chart19.xml" Id="rId18" /><Relationship Type="http://schemas.openxmlformats.org/officeDocument/2006/relationships/chart" Target="/xl/charts/chart20.xml" Id="rId19" /><Relationship Type="http://schemas.openxmlformats.org/officeDocument/2006/relationships/chart" Target="/xl/charts/chart21.xml" Id="rId20" /><Relationship Type="http://schemas.openxmlformats.org/officeDocument/2006/relationships/chart" Target="/xl/charts/chart22.xml" Id="rId21" /><Relationship Type="http://schemas.openxmlformats.org/officeDocument/2006/relationships/chart" Target="/xl/charts/chart23.xml" Id="rId22" /><Relationship Type="http://schemas.openxmlformats.org/officeDocument/2006/relationships/chart" Target="/xl/charts/chart24.xml" Id="rId23" /><Relationship Type="http://schemas.openxmlformats.org/officeDocument/2006/relationships/chart" Target="/xl/charts/chart25.xml" Id="rId24" /><Relationship Type="http://schemas.openxmlformats.org/officeDocument/2006/relationships/chart" Target="/xl/charts/chart26.xml" Id="rId25" /><Relationship Type="http://schemas.openxmlformats.org/officeDocument/2006/relationships/chart" Target="/xl/charts/chart27.xml" Id="rId26" /><Relationship Type="http://schemas.openxmlformats.org/officeDocument/2006/relationships/chart" Target="/xl/charts/chart28.xml" Id="rId27" /><Relationship Type="http://schemas.openxmlformats.org/officeDocument/2006/relationships/chart" Target="/xl/charts/chart29.xml" Id="rId28" /><Relationship Type="http://schemas.openxmlformats.org/officeDocument/2006/relationships/chart" Target="/xl/charts/chart30.xml" Id="rId29" /><Relationship Type="http://schemas.openxmlformats.org/officeDocument/2006/relationships/chart" Target="/xl/charts/chart31.xml" Id="rId30" /><Relationship Type="http://schemas.openxmlformats.org/officeDocument/2006/relationships/chart" Target="/xl/charts/chart32.xml" Id="rId31" /><Relationship Type="http://schemas.openxmlformats.org/officeDocument/2006/relationships/chart" Target="/xl/charts/chart33.xml" Id="rId32" /><Relationship Type="http://schemas.openxmlformats.org/officeDocument/2006/relationships/chart" Target="/xl/charts/chart34.xml" Id="rId33" /><Relationship Type="http://schemas.openxmlformats.org/officeDocument/2006/relationships/chart" Target="/xl/charts/chart35.xml" Id="rId34" /><Relationship Type="http://schemas.openxmlformats.org/officeDocument/2006/relationships/chart" Target="/xl/charts/chart36.xml" Id="rId35" /><Relationship Type="http://schemas.openxmlformats.org/officeDocument/2006/relationships/chart" Target="/xl/charts/chart37.xml" Id="rId36" /><Relationship Type="http://schemas.openxmlformats.org/officeDocument/2006/relationships/chart" Target="/xl/charts/chart38.xml" Id="rId37" /><Relationship Type="http://schemas.openxmlformats.org/officeDocument/2006/relationships/chart" Target="/xl/charts/chart39.xml" Id="rId38" /><Relationship Type="http://schemas.openxmlformats.org/officeDocument/2006/relationships/chart" Target="/xl/charts/chart40.xml" Id="rId39" /><Relationship Type="http://schemas.openxmlformats.org/officeDocument/2006/relationships/chart" Target="/xl/charts/chart41.xml" Id="rId40" /><Relationship Type="http://schemas.openxmlformats.org/officeDocument/2006/relationships/chart" Target="/xl/charts/chart42.xml" Id="rId41" /><Relationship Type="http://schemas.openxmlformats.org/officeDocument/2006/relationships/chart" Target="/xl/charts/chart43.xml" Id="rId42" /><Relationship Type="http://schemas.openxmlformats.org/officeDocument/2006/relationships/chart" Target="/xl/charts/chart44.xml" Id="rId43" /><Relationship Type="http://schemas.openxmlformats.org/officeDocument/2006/relationships/chart" Target="/xl/charts/chart45.xml" Id="rId44" /><Relationship Type="http://schemas.openxmlformats.org/officeDocument/2006/relationships/chart" Target="/xl/charts/chart46.xml" Id="rId45" /><Relationship Type="http://schemas.openxmlformats.org/officeDocument/2006/relationships/chart" Target="/xl/charts/chart47.xml" Id="rId46" /><Relationship Type="http://schemas.openxmlformats.org/officeDocument/2006/relationships/chart" Target="/xl/charts/chart48.xml" Id="rId47" /><Relationship Type="http://schemas.openxmlformats.org/officeDocument/2006/relationships/chart" Target="/xl/charts/chart49.xml" Id="rId48" /><Relationship Type="http://schemas.openxmlformats.org/officeDocument/2006/relationships/chart" Target="/xl/charts/chart50.xml" Id="rId49" /><Relationship Type="http://schemas.openxmlformats.org/officeDocument/2006/relationships/chart" Target="/xl/charts/chart51.xml" Id="rId50" /><Relationship Type="http://schemas.openxmlformats.org/officeDocument/2006/relationships/chart" Target="/xl/charts/chart52.xml" Id="rId51" /><Relationship Type="http://schemas.openxmlformats.org/officeDocument/2006/relationships/chart" Target="/xl/charts/chart53.xml" Id="rId52" /><Relationship Type="http://schemas.openxmlformats.org/officeDocument/2006/relationships/chart" Target="/xl/charts/chart54.xml" Id="rId53" /><Relationship Type="http://schemas.openxmlformats.org/officeDocument/2006/relationships/chart" Target="/xl/charts/chart55.xml" Id="rId54" /><Relationship Type="http://schemas.openxmlformats.org/officeDocument/2006/relationships/chart" Target="/xl/charts/chart56.xml" Id="rId55" /><Relationship Type="http://schemas.openxmlformats.org/officeDocument/2006/relationships/chart" Target="/xl/charts/chart57.xml" Id="rId56" /><Relationship Type="http://schemas.openxmlformats.org/officeDocument/2006/relationships/chart" Target="/xl/charts/chart58.xml" Id="rId57" /><Relationship Type="http://schemas.openxmlformats.org/officeDocument/2006/relationships/chart" Target="/xl/charts/chart59.xml" Id="rId58" /><Relationship Type="http://schemas.openxmlformats.org/officeDocument/2006/relationships/chart" Target="/xl/charts/chart60.xml" Id="rId59" /><Relationship Type="http://schemas.openxmlformats.org/officeDocument/2006/relationships/chart" Target="/xl/charts/chart61.xml" Id="rId60" /><Relationship Type="http://schemas.openxmlformats.org/officeDocument/2006/relationships/chart" Target="/xl/charts/chart62.xml" Id="rId61" /><Relationship Type="http://schemas.openxmlformats.org/officeDocument/2006/relationships/chart" Target="/xl/charts/chart63.xml" Id="rId62" /><Relationship Type="http://schemas.openxmlformats.org/officeDocument/2006/relationships/chart" Target="/xl/charts/chart64.xml" Id="rId63" /><Relationship Type="http://schemas.openxmlformats.org/officeDocument/2006/relationships/chart" Target="/xl/charts/chart65.xml" Id="rId64" /><Relationship Type="http://schemas.openxmlformats.org/officeDocument/2006/relationships/chart" Target="/xl/charts/chart66.xml" Id="rId65" /><Relationship Type="http://schemas.openxmlformats.org/officeDocument/2006/relationships/chart" Target="/xl/charts/chart67.xml" Id="rId66" /><Relationship Type="http://schemas.openxmlformats.org/officeDocument/2006/relationships/chart" Target="/xl/charts/chart68.xml" Id="rId67" /><Relationship Type="http://schemas.openxmlformats.org/officeDocument/2006/relationships/chart" Target="/xl/charts/chart69.xml" Id="rId68" /><Relationship Type="http://schemas.openxmlformats.org/officeDocument/2006/relationships/chart" Target="/xl/charts/chart70.xml" Id="rId69" /><Relationship Type="http://schemas.openxmlformats.org/officeDocument/2006/relationships/chart" Target="/xl/charts/chart71.xml" Id="rId70" /><Relationship Type="http://schemas.openxmlformats.org/officeDocument/2006/relationships/chart" Target="/xl/charts/chart72.xml" Id="rId71" /><Relationship Type="http://schemas.openxmlformats.org/officeDocument/2006/relationships/chart" Target="/xl/charts/chart73.xml" Id="rId72" /><Relationship Type="http://schemas.openxmlformats.org/officeDocument/2006/relationships/chart" Target="/xl/charts/chart74.xml" Id="rId73" /><Relationship Type="http://schemas.openxmlformats.org/officeDocument/2006/relationships/chart" Target="/xl/charts/chart75.xml" Id="rId74" /><Relationship Type="http://schemas.openxmlformats.org/officeDocument/2006/relationships/chart" Target="/xl/charts/chart76.xml" Id="rId75" /><Relationship Type="http://schemas.openxmlformats.org/officeDocument/2006/relationships/chart" Target="/xl/charts/chart77.xml" Id="rId76" /><Relationship Type="http://schemas.openxmlformats.org/officeDocument/2006/relationships/chart" Target="/xl/charts/chart78.xml" Id="rId77" /><Relationship Type="http://schemas.openxmlformats.org/officeDocument/2006/relationships/chart" Target="/xl/charts/chart79.xml" Id="rId78" /><Relationship Type="http://schemas.openxmlformats.org/officeDocument/2006/relationships/chart" Target="/xl/charts/chart80.xml" Id="rId79" /><Relationship Type="http://schemas.openxmlformats.org/officeDocument/2006/relationships/chart" Target="/xl/charts/chart81.xml" Id="rId80" /><Relationship Type="http://schemas.openxmlformats.org/officeDocument/2006/relationships/chart" Target="/xl/charts/chart82.xml" Id="rId81" /><Relationship Type="http://schemas.openxmlformats.org/officeDocument/2006/relationships/chart" Target="/xl/charts/chart83.xml" Id="rId82" /><Relationship Type="http://schemas.openxmlformats.org/officeDocument/2006/relationships/chart" Target="/xl/charts/chart84.xml" Id="rId83" /><Relationship Type="http://schemas.openxmlformats.org/officeDocument/2006/relationships/chart" Target="/xl/charts/chart85.xml" Id="rId84" /><Relationship Type="http://schemas.openxmlformats.org/officeDocument/2006/relationships/chart" Target="/xl/charts/chart86.xml" Id="rId85" /><Relationship Type="http://schemas.openxmlformats.org/officeDocument/2006/relationships/chart" Target="/xl/charts/chart87.xml" Id="rId86" /><Relationship Type="http://schemas.openxmlformats.org/officeDocument/2006/relationships/chart" Target="/xl/charts/chart88.xml" Id="rId87" /><Relationship Type="http://schemas.openxmlformats.org/officeDocument/2006/relationships/chart" Target="/xl/charts/chart89.xml" Id="rId88" /><Relationship Type="http://schemas.openxmlformats.org/officeDocument/2006/relationships/chart" Target="/xl/charts/chart90.xml" Id="rId89" /><Relationship Type="http://schemas.openxmlformats.org/officeDocument/2006/relationships/chart" Target="/xl/charts/chart91.xml" Id="rId90" /><Relationship Type="http://schemas.openxmlformats.org/officeDocument/2006/relationships/chart" Target="/xl/charts/chart92.xml" Id="rId91" /><Relationship Type="http://schemas.openxmlformats.org/officeDocument/2006/relationships/chart" Target="/xl/charts/chart93.xml" Id="rId92" /><Relationship Type="http://schemas.openxmlformats.org/officeDocument/2006/relationships/chart" Target="/xl/charts/chart94.xml" Id="rId93" /><Relationship Type="http://schemas.openxmlformats.org/officeDocument/2006/relationships/chart" Target="/xl/charts/chart95.xml" Id="rId94" /><Relationship Type="http://schemas.openxmlformats.org/officeDocument/2006/relationships/chart" Target="/xl/charts/chart96.xml" Id="rId95" /><Relationship Type="http://schemas.openxmlformats.org/officeDocument/2006/relationships/chart" Target="/xl/charts/chart97.xml" Id="rId96" /><Relationship Type="http://schemas.openxmlformats.org/officeDocument/2006/relationships/chart" Target="/xl/charts/chart98.xml" Id="rId97" /><Relationship Type="http://schemas.openxmlformats.org/officeDocument/2006/relationships/chart" Target="/xl/charts/chart99.xml" Id="rId98" /><Relationship Type="http://schemas.openxmlformats.org/officeDocument/2006/relationships/chart" Target="/xl/charts/chart100.xml" Id="rId99" /><Relationship Type="http://schemas.openxmlformats.org/officeDocument/2006/relationships/chart" Target="/xl/charts/chart101.xml" Id="rId100" /><Relationship Type="http://schemas.openxmlformats.org/officeDocument/2006/relationships/chart" Target="/xl/charts/chart102.xml" Id="rId101" /><Relationship Type="http://schemas.openxmlformats.org/officeDocument/2006/relationships/chart" Target="/xl/charts/chart103.xml" Id="rId102" /><Relationship Type="http://schemas.openxmlformats.org/officeDocument/2006/relationships/chart" Target="/xl/charts/chart104.xml" Id="rId103" /><Relationship Type="http://schemas.openxmlformats.org/officeDocument/2006/relationships/chart" Target="/xl/charts/chart105.xml" Id="rId104" /><Relationship Type="http://schemas.openxmlformats.org/officeDocument/2006/relationships/chart" Target="/xl/charts/chart106.xml" Id="rId105" /><Relationship Type="http://schemas.openxmlformats.org/officeDocument/2006/relationships/chart" Target="/xl/charts/chart107.xml" Id="rId106" /><Relationship Type="http://schemas.openxmlformats.org/officeDocument/2006/relationships/chart" Target="/xl/charts/chart108.xml" Id="rId107" /><Relationship Type="http://schemas.openxmlformats.org/officeDocument/2006/relationships/chart" Target="/xl/charts/chart109.xml" Id="rId108" /><Relationship Type="http://schemas.openxmlformats.org/officeDocument/2006/relationships/chart" Target="/xl/charts/chart110.xml" Id="rId109" /><Relationship Type="http://schemas.openxmlformats.org/officeDocument/2006/relationships/chart" Target="/xl/charts/chart111.xml" Id="rId110" /><Relationship Type="http://schemas.openxmlformats.org/officeDocument/2006/relationships/chart" Target="/xl/charts/chart112.xml" Id="rId111" /><Relationship Type="http://schemas.openxmlformats.org/officeDocument/2006/relationships/chart" Target="/xl/charts/chart113.xml" Id="rId11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42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37" name="Chart 37"/>
        <cNvGraphicFramePr/>
      </nvGraphicFramePr>
      <xfrm/>
      <a:graphic>
        <a:graphicData uri="http://schemas.openxmlformats.org/drawingml/2006/chart">
          <c:chart r:id="rId37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38" name="Chart 38"/>
        <cNvGraphicFramePr/>
      </nvGraphicFramePr>
      <xfrm/>
      <a:graphic>
        <a:graphicData uri="http://schemas.openxmlformats.org/drawingml/2006/chart">
          <c:chart r:id="rId38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39" name="Chart 39"/>
        <cNvGraphicFramePr/>
      </nvGraphicFramePr>
      <xfrm/>
      <a:graphic>
        <a:graphicData uri="http://schemas.openxmlformats.org/drawingml/2006/chart">
          <c:chart r:id="rId39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40" name="Chart 40"/>
        <cNvGraphicFramePr/>
      </nvGraphicFramePr>
      <xfrm/>
      <a:graphic>
        <a:graphicData uri="http://schemas.openxmlformats.org/drawingml/2006/chart">
          <c:chart r:id="rId40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41" name="Chart 41"/>
        <cNvGraphicFramePr/>
      </nvGraphicFramePr>
      <xfrm/>
      <a:graphic>
        <a:graphicData uri="http://schemas.openxmlformats.org/drawingml/2006/chart">
          <c:chart r:id="rId41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42" name="Chart 42"/>
        <cNvGraphicFramePr/>
      </nvGraphicFramePr>
      <xfrm/>
      <a:graphic>
        <a:graphicData uri="http://schemas.openxmlformats.org/drawingml/2006/chart">
          <c:chart r:id="rId42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43" name="Chart 43"/>
        <cNvGraphicFramePr/>
      </nvGraphicFramePr>
      <xfrm/>
      <a:graphic>
        <a:graphicData uri="http://schemas.openxmlformats.org/drawingml/2006/chart">
          <c:chart r:id="rId43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44" name="Chart 44"/>
        <cNvGraphicFramePr/>
      </nvGraphicFramePr>
      <xfrm/>
      <a:graphic>
        <a:graphicData uri="http://schemas.openxmlformats.org/drawingml/2006/chart">
          <c:chart r:id="rId44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45" name="Chart 45"/>
        <cNvGraphicFramePr/>
      </nvGraphicFramePr>
      <xfrm/>
      <a:graphic>
        <a:graphicData uri="http://schemas.openxmlformats.org/drawingml/2006/chart">
          <c:chart r:id="rId45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46" name="Chart 46"/>
        <cNvGraphicFramePr/>
      </nvGraphicFramePr>
      <xfrm/>
      <a:graphic>
        <a:graphicData uri="http://schemas.openxmlformats.org/drawingml/2006/chart">
          <c:chart r:id="rId46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47" name="Chart 47"/>
        <cNvGraphicFramePr/>
      </nvGraphicFramePr>
      <xfrm/>
      <a:graphic>
        <a:graphicData uri="http://schemas.openxmlformats.org/drawingml/2006/chart">
          <c:chart r:id="rId47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48" name="Chart 48"/>
        <cNvGraphicFramePr/>
      </nvGraphicFramePr>
      <xfrm/>
      <a:graphic>
        <a:graphicData uri="http://schemas.openxmlformats.org/drawingml/2006/chart">
          <c:chart r:id="rId48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49" name="Chart 49"/>
        <cNvGraphicFramePr/>
      </nvGraphicFramePr>
      <xfrm/>
      <a:graphic>
        <a:graphicData uri="http://schemas.openxmlformats.org/drawingml/2006/chart">
          <c:chart r:id="rId49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50" name="Chart 50"/>
        <cNvGraphicFramePr/>
      </nvGraphicFramePr>
      <xfrm/>
      <a:graphic>
        <a:graphicData uri="http://schemas.openxmlformats.org/drawingml/2006/chart">
          <c:chart r:id="rId50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51" name="Chart 51"/>
        <cNvGraphicFramePr/>
      </nvGraphicFramePr>
      <xfrm/>
      <a:graphic>
        <a:graphicData uri="http://schemas.openxmlformats.org/drawingml/2006/chart">
          <c:chart r:id="rId51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52" name="Chart 52"/>
        <cNvGraphicFramePr/>
      </nvGraphicFramePr>
      <xfrm/>
      <a:graphic>
        <a:graphicData uri="http://schemas.openxmlformats.org/drawingml/2006/chart">
          <c:chart r:id="rId52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53" name="Chart 53"/>
        <cNvGraphicFramePr/>
      </nvGraphicFramePr>
      <xfrm/>
      <a:graphic>
        <a:graphicData uri="http://schemas.openxmlformats.org/drawingml/2006/chart">
          <c:chart r:id="rId53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54" name="Chart 54"/>
        <cNvGraphicFramePr/>
      </nvGraphicFramePr>
      <xfrm/>
      <a:graphic>
        <a:graphicData uri="http://schemas.openxmlformats.org/drawingml/2006/chart">
          <c:chart r:id="rId54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55" name="Chart 55"/>
        <cNvGraphicFramePr/>
      </nvGraphicFramePr>
      <xfrm/>
      <a:graphic>
        <a:graphicData uri="http://schemas.openxmlformats.org/drawingml/2006/chart">
          <c:chart r:id="rId55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56" name="Chart 56"/>
        <cNvGraphicFramePr/>
      </nvGraphicFramePr>
      <xfrm/>
      <a:graphic>
        <a:graphicData uri="http://schemas.openxmlformats.org/drawingml/2006/chart">
          <c:chart r:id="rId56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57" name="Chart 57"/>
        <cNvGraphicFramePr/>
      </nvGraphicFramePr>
      <xfrm/>
      <a:graphic>
        <a:graphicData uri="http://schemas.openxmlformats.org/drawingml/2006/chart">
          <c:chart r:id="rId57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58" name="Chart 58"/>
        <cNvGraphicFramePr/>
      </nvGraphicFramePr>
      <xfrm/>
      <a:graphic>
        <a:graphicData uri="http://schemas.openxmlformats.org/drawingml/2006/chart">
          <c:chart r:id="rId58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59" name="Chart 59"/>
        <cNvGraphicFramePr/>
      </nvGraphicFramePr>
      <xfrm/>
      <a:graphic>
        <a:graphicData uri="http://schemas.openxmlformats.org/drawingml/2006/chart">
          <c:chart r:id="rId59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60" name="Chart 60"/>
        <cNvGraphicFramePr/>
      </nvGraphicFramePr>
      <xfrm/>
      <a:graphic>
        <a:graphicData uri="http://schemas.openxmlformats.org/drawingml/2006/chart">
          <c:chart r:id="rId60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61" name="Chart 61"/>
        <cNvGraphicFramePr/>
      </nvGraphicFramePr>
      <xfrm/>
      <a:graphic>
        <a:graphicData uri="http://schemas.openxmlformats.org/drawingml/2006/chart">
          <c:chart r:id="rId61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62" name="Chart 62"/>
        <cNvGraphicFramePr/>
      </nvGraphicFramePr>
      <xfrm/>
      <a:graphic>
        <a:graphicData uri="http://schemas.openxmlformats.org/drawingml/2006/chart">
          <c:chart r:id="rId62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63" name="Chart 63"/>
        <cNvGraphicFramePr/>
      </nvGraphicFramePr>
      <xfrm/>
      <a:graphic>
        <a:graphicData uri="http://schemas.openxmlformats.org/drawingml/2006/chart">
          <c:chart r:id="rId63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64" name="Chart 64"/>
        <cNvGraphicFramePr/>
      </nvGraphicFramePr>
      <xfrm/>
      <a:graphic>
        <a:graphicData uri="http://schemas.openxmlformats.org/drawingml/2006/chart">
          <c:chart r:id="rId64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65" name="Chart 65"/>
        <cNvGraphicFramePr/>
      </nvGraphicFramePr>
      <xfrm/>
      <a:graphic>
        <a:graphicData uri="http://schemas.openxmlformats.org/drawingml/2006/chart">
          <c:chart r:id="rId65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66" name="Chart 66"/>
        <cNvGraphicFramePr/>
      </nvGraphicFramePr>
      <xfrm/>
      <a:graphic>
        <a:graphicData uri="http://schemas.openxmlformats.org/drawingml/2006/chart">
          <c:chart r:id="rId66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67" name="Chart 67"/>
        <cNvGraphicFramePr/>
      </nvGraphicFramePr>
      <xfrm/>
      <a:graphic>
        <a:graphicData uri="http://schemas.openxmlformats.org/drawingml/2006/chart">
          <c:chart r:id="rId67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68" name="Chart 68"/>
        <cNvGraphicFramePr/>
      </nvGraphicFramePr>
      <xfrm/>
      <a:graphic>
        <a:graphicData uri="http://schemas.openxmlformats.org/drawingml/2006/chart">
          <c:chart r:id="rId68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69" name="Chart 69"/>
        <cNvGraphicFramePr/>
      </nvGraphicFramePr>
      <xfrm/>
      <a:graphic>
        <a:graphicData uri="http://schemas.openxmlformats.org/drawingml/2006/chart">
          <c:chart r:id="rId69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70" name="Chart 70"/>
        <cNvGraphicFramePr/>
      </nvGraphicFramePr>
      <xfrm/>
      <a:graphic>
        <a:graphicData uri="http://schemas.openxmlformats.org/drawingml/2006/chart">
          <c:chart r:id="rId70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71" name="Chart 71"/>
        <cNvGraphicFramePr/>
      </nvGraphicFramePr>
      <xfrm/>
      <a:graphic>
        <a:graphicData uri="http://schemas.openxmlformats.org/drawingml/2006/chart">
          <c:chart r:id="rId71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72" name="Chart 72"/>
        <cNvGraphicFramePr/>
      </nvGraphicFramePr>
      <xfrm/>
      <a:graphic>
        <a:graphicData uri="http://schemas.openxmlformats.org/drawingml/2006/chart">
          <c:chart r:id="rId72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73" name="Chart 73"/>
        <cNvGraphicFramePr/>
      </nvGraphicFramePr>
      <xfrm/>
      <a:graphic>
        <a:graphicData uri="http://schemas.openxmlformats.org/drawingml/2006/chart">
          <c:chart r:id="rId73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74" name="Chart 74"/>
        <cNvGraphicFramePr/>
      </nvGraphicFramePr>
      <xfrm/>
      <a:graphic>
        <a:graphicData uri="http://schemas.openxmlformats.org/drawingml/2006/chart">
          <c:chart r:id="rId74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75" name="Chart 75"/>
        <cNvGraphicFramePr/>
      </nvGraphicFramePr>
      <xfrm/>
      <a:graphic>
        <a:graphicData uri="http://schemas.openxmlformats.org/drawingml/2006/chart">
          <c:chart r:id="rId75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76" name="Chart 76"/>
        <cNvGraphicFramePr/>
      </nvGraphicFramePr>
      <xfrm/>
      <a:graphic>
        <a:graphicData uri="http://schemas.openxmlformats.org/drawingml/2006/chart">
          <c:chart r:id="rId76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77" name="Chart 77"/>
        <cNvGraphicFramePr/>
      </nvGraphicFramePr>
      <xfrm/>
      <a:graphic>
        <a:graphicData uri="http://schemas.openxmlformats.org/drawingml/2006/chart">
          <c:chart r:id="rId77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78" name="Chart 78"/>
        <cNvGraphicFramePr/>
      </nvGraphicFramePr>
      <xfrm/>
      <a:graphic>
        <a:graphicData uri="http://schemas.openxmlformats.org/drawingml/2006/chart">
          <c:chart r:id="rId78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79" name="Chart 79"/>
        <cNvGraphicFramePr/>
      </nvGraphicFramePr>
      <xfrm/>
      <a:graphic>
        <a:graphicData uri="http://schemas.openxmlformats.org/drawingml/2006/chart">
          <c:chart r:id="rId79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80" name="Chart 80"/>
        <cNvGraphicFramePr/>
      </nvGraphicFramePr>
      <xfrm/>
      <a:graphic>
        <a:graphicData uri="http://schemas.openxmlformats.org/drawingml/2006/chart">
          <c:chart r:id="rId80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81" name="Chart 81"/>
        <cNvGraphicFramePr/>
      </nvGraphicFramePr>
      <xfrm/>
      <a:graphic>
        <a:graphicData uri="http://schemas.openxmlformats.org/drawingml/2006/chart">
          <c:chart r:id="rId81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82" name="Chart 82"/>
        <cNvGraphicFramePr/>
      </nvGraphicFramePr>
      <xfrm/>
      <a:graphic>
        <a:graphicData uri="http://schemas.openxmlformats.org/drawingml/2006/chart">
          <c:chart r:id="rId82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83" name="Chart 83"/>
        <cNvGraphicFramePr/>
      </nvGraphicFramePr>
      <xfrm/>
      <a:graphic>
        <a:graphicData uri="http://schemas.openxmlformats.org/drawingml/2006/chart">
          <c:chart r:id="rId83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84" name="Chart 84"/>
        <cNvGraphicFramePr/>
      </nvGraphicFramePr>
      <xfrm/>
      <a:graphic>
        <a:graphicData uri="http://schemas.openxmlformats.org/drawingml/2006/chart">
          <c:chart r:id="rId84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85" name="Chart 85"/>
        <cNvGraphicFramePr/>
      </nvGraphicFramePr>
      <xfrm/>
      <a:graphic>
        <a:graphicData uri="http://schemas.openxmlformats.org/drawingml/2006/chart">
          <c:chart r:id="rId85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86" name="Chart 86"/>
        <cNvGraphicFramePr/>
      </nvGraphicFramePr>
      <xfrm/>
      <a:graphic>
        <a:graphicData uri="http://schemas.openxmlformats.org/drawingml/2006/chart">
          <c:chart r:id="rId86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87" name="Chart 87"/>
        <cNvGraphicFramePr/>
      </nvGraphicFramePr>
      <xfrm/>
      <a:graphic>
        <a:graphicData uri="http://schemas.openxmlformats.org/drawingml/2006/chart">
          <c:chart r:id="rId87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88" name="Chart 88"/>
        <cNvGraphicFramePr/>
      </nvGraphicFramePr>
      <xfrm/>
      <a:graphic>
        <a:graphicData uri="http://schemas.openxmlformats.org/drawingml/2006/chart">
          <c:chart r:id="rId88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89" name="Chart 89"/>
        <cNvGraphicFramePr/>
      </nvGraphicFramePr>
      <xfrm/>
      <a:graphic>
        <a:graphicData uri="http://schemas.openxmlformats.org/drawingml/2006/chart">
          <c:chart r:id="rId89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90" name="Chart 90"/>
        <cNvGraphicFramePr/>
      </nvGraphicFramePr>
      <xfrm/>
      <a:graphic>
        <a:graphicData uri="http://schemas.openxmlformats.org/drawingml/2006/chart">
          <c:chart r:id="rId90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91" name="Chart 91"/>
        <cNvGraphicFramePr/>
      </nvGraphicFramePr>
      <xfrm/>
      <a:graphic>
        <a:graphicData uri="http://schemas.openxmlformats.org/drawingml/2006/chart">
          <c:chart r:id="rId91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92" name="Chart 92"/>
        <cNvGraphicFramePr/>
      </nvGraphicFramePr>
      <xfrm/>
      <a:graphic>
        <a:graphicData uri="http://schemas.openxmlformats.org/drawingml/2006/chart">
          <c:chart r:id="rId92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93" name="Chart 93"/>
        <cNvGraphicFramePr/>
      </nvGraphicFramePr>
      <xfrm/>
      <a:graphic>
        <a:graphicData uri="http://schemas.openxmlformats.org/drawingml/2006/chart">
          <c:chart r:id="rId93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94" name="Chart 94"/>
        <cNvGraphicFramePr/>
      </nvGraphicFramePr>
      <xfrm/>
      <a:graphic>
        <a:graphicData uri="http://schemas.openxmlformats.org/drawingml/2006/chart">
          <c:chart r:id="rId94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95" name="Chart 95"/>
        <cNvGraphicFramePr/>
      </nvGraphicFramePr>
      <xfrm/>
      <a:graphic>
        <a:graphicData uri="http://schemas.openxmlformats.org/drawingml/2006/chart">
          <c:chart r:id="rId95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96" name="Chart 96"/>
        <cNvGraphicFramePr/>
      </nvGraphicFramePr>
      <xfrm/>
      <a:graphic>
        <a:graphicData uri="http://schemas.openxmlformats.org/drawingml/2006/chart">
          <c:chart r:id="rId96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97" name="Chart 97"/>
        <cNvGraphicFramePr/>
      </nvGraphicFramePr>
      <xfrm/>
      <a:graphic>
        <a:graphicData uri="http://schemas.openxmlformats.org/drawingml/2006/chart">
          <c:chart r:id="rId97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98" name="Chart 98"/>
        <cNvGraphicFramePr/>
      </nvGraphicFramePr>
      <xfrm/>
      <a:graphic>
        <a:graphicData uri="http://schemas.openxmlformats.org/drawingml/2006/chart">
          <c:chart r:id="rId98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99" name="Chart 99"/>
        <cNvGraphicFramePr/>
      </nvGraphicFramePr>
      <xfrm/>
      <a:graphic>
        <a:graphicData uri="http://schemas.openxmlformats.org/drawingml/2006/chart">
          <c:chart r:id="rId99"/>
        </a:graphicData>
      </a:graphic>
    </graphicFrame>
    <clientData/>
  </oneCellAnchor>
  <oneCellAnchor>
    <from>
      <col>1</col>
      <colOff>0</colOff>
      <row>17</row>
      <rowOff>0</rowOff>
    </from>
    <ext cx="7200000" cy="4320000"/>
    <graphicFrame>
      <nvGraphicFramePr>
        <cNvPr id="100" name="Chart 100"/>
        <cNvGraphicFramePr/>
      </nvGraphicFramePr>
      <xfrm/>
      <a:graphic>
        <a:graphicData uri="http://schemas.openxmlformats.org/drawingml/2006/chart">
          <c:chart r:id="rId100"/>
        </a:graphicData>
      </a:graphic>
    </graphicFrame>
    <clientData/>
  </oneCellAnchor>
  <oneCellAnchor>
    <from>
      <col>1</col>
      <colOff>0</colOff>
      <row>19</row>
      <rowOff>0</rowOff>
    </from>
    <ext cx="7200000" cy="4320000"/>
    <graphicFrame>
      <nvGraphicFramePr>
        <cNvPr id="101" name="Chart 101"/>
        <cNvGraphicFramePr/>
      </nvGraphicFramePr>
      <xfrm/>
      <a:graphic>
        <a:graphicData uri="http://schemas.openxmlformats.org/drawingml/2006/chart">
          <c:chart r:id="rId101"/>
        </a:graphicData>
      </a:graphic>
    </graphicFrame>
    <clientData/>
  </oneCellAnchor>
  <oneCellAnchor>
    <from>
      <col>1</col>
      <colOff>0</colOff>
      <row>29</row>
      <rowOff>0</rowOff>
    </from>
    <ext cx="7920000" cy="5040000"/>
    <graphicFrame>
      <nvGraphicFramePr>
        <cNvPr id="102" name="Chart 102"/>
        <cNvGraphicFramePr/>
      </nvGraphicFramePr>
      <xfrm/>
      <a:graphic>
        <a:graphicData uri="http://schemas.openxmlformats.org/drawingml/2006/chart">
          <c:chart r:id="rId102"/>
        </a:graphicData>
      </a:graphic>
    </graphicFrame>
    <clientData/>
  </oneCellAnchor>
  <oneCellAnchor>
    <from>
      <col>1</col>
      <colOff>0</colOff>
      <row>29</row>
      <rowOff>0</rowOff>
    </from>
    <ext cx="7920000" cy="5040000"/>
    <graphicFrame>
      <nvGraphicFramePr>
        <cNvPr id="103" name="Chart 103"/>
        <cNvGraphicFramePr/>
      </nvGraphicFramePr>
      <xfrm/>
      <a:graphic>
        <a:graphicData uri="http://schemas.openxmlformats.org/drawingml/2006/chart">
          <c:chart r:id="rId103"/>
        </a:graphicData>
      </a:graphic>
    </graphicFrame>
    <clientData/>
  </oneCellAnchor>
  <oneCellAnchor>
    <from>
      <col>1</col>
      <colOff>0</colOff>
      <row>29</row>
      <rowOff>0</rowOff>
    </from>
    <ext cx="7920000" cy="5040000"/>
    <graphicFrame>
      <nvGraphicFramePr>
        <cNvPr id="104" name="Chart 104"/>
        <cNvGraphicFramePr/>
      </nvGraphicFramePr>
      <xfrm/>
      <a:graphic>
        <a:graphicData uri="http://schemas.openxmlformats.org/drawingml/2006/chart">
          <c:chart r:id="rId104"/>
        </a:graphicData>
      </a:graphic>
    </graphicFrame>
    <clientData/>
  </oneCellAnchor>
  <oneCellAnchor>
    <from>
      <col>1</col>
      <colOff>0</colOff>
      <row>29</row>
      <rowOff>0</rowOff>
    </from>
    <ext cx="7920000" cy="5040000"/>
    <graphicFrame>
      <nvGraphicFramePr>
        <cNvPr id="105" name="Chart 105"/>
        <cNvGraphicFramePr/>
      </nvGraphicFramePr>
      <xfrm/>
      <a:graphic>
        <a:graphicData uri="http://schemas.openxmlformats.org/drawingml/2006/chart">
          <c:chart r:id="rId105"/>
        </a:graphicData>
      </a:graphic>
    </graphicFrame>
    <clientData/>
  </oneCellAnchor>
  <oneCellAnchor>
    <from>
      <col>1</col>
      <colOff>0</colOff>
      <row>29</row>
      <rowOff>0</rowOff>
    </from>
    <ext cx="7920000" cy="5040000"/>
    <graphicFrame>
      <nvGraphicFramePr>
        <cNvPr id="106" name="Chart 106"/>
        <cNvGraphicFramePr/>
      </nvGraphicFramePr>
      <xfrm/>
      <a:graphic>
        <a:graphicData uri="http://schemas.openxmlformats.org/drawingml/2006/chart">
          <c:chart r:id="rId106"/>
        </a:graphicData>
      </a:graphic>
    </graphicFrame>
    <clientData/>
  </oneCellAnchor>
  <oneCellAnchor>
    <from>
      <col>1</col>
      <colOff>0</colOff>
      <row>29</row>
      <rowOff>0</rowOff>
    </from>
    <ext cx="7920000" cy="5040000"/>
    <graphicFrame>
      <nvGraphicFramePr>
        <cNvPr id="107" name="Chart 107"/>
        <cNvGraphicFramePr/>
      </nvGraphicFramePr>
      <xfrm/>
      <a:graphic>
        <a:graphicData uri="http://schemas.openxmlformats.org/drawingml/2006/chart">
          <c:chart r:id="rId107"/>
        </a:graphicData>
      </a:graphic>
    </graphicFrame>
    <clientData/>
  </oneCellAnchor>
  <oneCellAnchor>
    <from>
      <col>1</col>
      <colOff>0</colOff>
      <row>29</row>
      <rowOff>0</rowOff>
    </from>
    <ext cx="7920000" cy="5040000"/>
    <graphicFrame>
      <nvGraphicFramePr>
        <cNvPr id="108" name="Chart 108"/>
        <cNvGraphicFramePr/>
      </nvGraphicFramePr>
      <xfrm/>
      <a:graphic>
        <a:graphicData uri="http://schemas.openxmlformats.org/drawingml/2006/chart">
          <c:chart r:id="rId108"/>
        </a:graphicData>
      </a:graphic>
    </graphicFrame>
    <clientData/>
  </oneCellAnchor>
  <oneCellAnchor>
    <from>
      <col>1</col>
      <colOff>0</colOff>
      <row>29</row>
      <rowOff>0</rowOff>
    </from>
    <ext cx="7920000" cy="5040000"/>
    <graphicFrame>
      <nvGraphicFramePr>
        <cNvPr id="109" name="Chart 109"/>
        <cNvGraphicFramePr/>
      </nvGraphicFramePr>
      <xfrm/>
      <a:graphic>
        <a:graphicData uri="http://schemas.openxmlformats.org/drawingml/2006/chart">
          <c:chart r:id="rId109"/>
        </a:graphicData>
      </a:graphic>
    </graphicFrame>
    <clientData/>
  </oneCellAnchor>
  <oneCellAnchor>
    <from>
      <col>1</col>
      <colOff>0</colOff>
      <row>29</row>
      <rowOff>0</rowOff>
    </from>
    <ext cx="7920000" cy="5040000"/>
    <graphicFrame>
      <nvGraphicFramePr>
        <cNvPr id="110" name="Chart 110"/>
        <cNvGraphicFramePr/>
      </nvGraphicFramePr>
      <xfrm/>
      <a:graphic>
        <a:graphicData uri="http://schemas.openxmlformats.org/drawingml/2006/chart">
          <c:chart r:id="rId110"/>
        </a:graphicData>
      </a:graphic>
    </graphicFrame>
    <clientData/>
  </oneCellAnchor>
  <oneCellAnchor>
    <from>
      <col>1</col>
      <colOff>0</colOff>
      <row>29</row>
      <rowOff>0</rowOff>
    </from>
    <ext cx="7920000" cy="5040000"/>
    <graphicFrame>
      <nvGraphicFramePr>
        <cNvPr id="111" name="Chart 111"/>
        <cNvGraphicFramePr/>
      </nvGraphicFramePr>
      <xfrm/>
      <a:graphic>
        <a:graphicData uri="http://schemas.openxmlformats.org/drawingml/2006/chart">
          <c:chart r:id="rId111"/>
        </a:graphicData>
      </a:graphic>
    </graphicFrame>
    <clientData/>
  </oneCellAnchor>
  <oneCellAnchor>
    <from>
      <col>1</col>
      <colOff>0</colOff>
      <row>29</row>
      <rowOff>0</rowOff>
    </from>
    <ext cx="7920000" cy="5040000"/>
    <graphicFrame>
      <nvGraphicFramePr>
        <cNvPr id="112" name="Chart 112"/>
        <cNvGraphicFramePr/>
      </nvGraphicFramePr>
      <xfrm/>
      <a:graphic>
        <a:graphicData uri="http://schemas.openxmlformats.org/drawingml/2006/chart">
          <c:chart r:id="rId1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n.investing.com/currencies/usd-vnd-technical" TargetMode="External" Id="rId1" /><Relationship Type="http://schemas.openxmlformats.org/officeDocument/2006/relationships/hyperlink" Target="https://vietstock.vn/tien-te.htm" TargetMode="External" Id="rId2" /><Relationship Type="http://schemas.openxmlformats.org/officeDocument/2006/relationships/hyperlink" Target="https://vn.tradingview.com/symbols/USDVND/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B257"/>
  <sheetViews>
    <sheetView showGridLines="0" workbookViewId="0">
      <selection activeCell="A1" sqref="A1"/>
    </sheetView>
  </sheetViews>
  <sheetFormatPr baseColWidth="8" defaultRowHeight="15"/>
  <cols>
    <col width="3" customWidth="1" style="72" min="1" max="1"/>
    <col width="16" customWidth="1" style="72" min="2" max="2"/>
    <col width="28" customWidth="1" style="72" min="3" max="3"/>
    <col width="20" customWidth="1" style="72" min="4" max="4"/>
    <col width="22" customWidth="1" style="72" min="5" max="5"/>
    <col width="18" customWidth="1" style="72" min="6" max="6"/>
    <col width="18" customWidth="1" style="72" min="7" max="7"/>
    <col width="14" customWidth="1" style="72" min="8" max="8"/>
    <col width="18" customWidth="1" style="72" min="9" max="9"/>
    <col width="16" customWidth="1" style="72" min="10" max="10"/>
    <col width="14" customWidth="1" style="72" min="11" max="11"/>
    <col width="3" customWidth="1" style="72" min="12" max="12"/>
    <col hidden="1" width="13" customWidth="1" style="72" min="27" max="27"/>
    <col hidden="1" width="13" customWidth="1" style="72" min="28" max="28"/>
  </cols>
  <sheetData>
    <row r="1">
      <c r="AA1" t="inlineStr">
        <is>
          <t>18/09/2026</t>
        </is>
      </c>
      <c r="AB1" t="inlineStr">
        <is>
          <t>USD</t>
        </is>
      </c>
    </row>
    <row r="2" ht="40" customHeight="1" s="72">
      <c r="B2" s="100" t="inlineStr">
        <is>
          <t>Tỷ giá ngoại tệ</t>
        </is>
      </c>
      <c r="AA2" t="inlineStr">
        <is>
          <t>17/09/2026</t>
        </is>
      </c>
      <c r="AB2" t="inlineStr">
        <is>
          <t>EUR</t>
        </is>
      </c>
    </row>
    <row r="3">
      <c r="B3" s="101" t="inlineStr">
        <is>
          <t>Ngày xem</t>
        </is>
      </c>
      <c r="E3" s="101" t="inlineStr">
        <is>
          <t>So sánh với ngày</t>
        </is>
      </c>
      <c r="AA3" t="inlineStr">
        <is>
          <t>16/09/2026</t>
        </is>
      </c>
      <c r="AB3" t="inlineStr">
        <is>
          <t>GBP</t>
        </is>
      </c>
    </row>
    <row r="4" ht="32" customHeight="1" s="72">
      <c r="B4" s="102" t="inlineStr">
        <is>
          <t>18/09/2026</t>
        </is>
      </c>
      <c r="C4" s="103" t="inlineStr">
        <is>
          <t>📅 ← Chọn ngày</t>
        </is>
      </c>
      <c r="E4" s="104" t="inlineStr">
        <is>
          <t>17/09/2026</t>
        </is>
      </c>
      <c r="F4" s="103" t="inlineStr">
        <is>
          <t>📅 ← So sánh</t>
        </is>
      </c>
      <c r="AA4" t="inlineStr">
        <is>
          <t>15/09/2026</t>
        </is>
      </c>
      <c r="AB4" t="inlineStr">
        <is>
          <t>JPY</t>
        </is>
      </c>
    </row>
    <row r="5">
      <c r="AA5" t="inlineStr">
        <is>
          <t>14/09/2026</t>
        </is>
      </c>
      <c r="AB5" t="inlineStr">
        <is>
          <t>AUD</t>
        </is>
      </c>
    </row>
    <row r="6" ht="36" customHeight="1" s="72">
      <c r="B6" s="105" t="inlineStr">
        <is>
          <t>Mã ngoại tệ</t>
        </is>
      </c>
      <c r="C6" s="105" t="inlineStr">
        <is>
          <t>Tên ngoại tệ</t>
        </is>
      </c>
      <c r="D6" s="105" t="inlineStr">
        <is>
          <t>Mua tiền mặt</t>
        </is>
      </c>
      <c r="E6" s="105" t="inlineStr">
        <is>
          <t>Mua chuyển khoản</t>
        </is>
      </c>
      <c r="F6" s="105" t="inlineStr">
        <is>
          <t>Bán</t>
        </is>
      </c>
      <c r="G6" s="105" t="inlineStr">
        <is>
          <t>Bình quân</t>
        </is>
      </c>
      <c r="H6" s="105" t="inlineStr">
        <is>
          <t>% Thay đổi</t>
        </is>
      </c>
      <c r="I6" s="106" t="inlineStr">
        <is>
          <t>Bán (SS)</t>
        </is>
      </c>
      <c r="J6" s="106" t="inlineStr">
        <is>
          <t>Chênh lệch</t>
        </is>
      </c>
      <c r="K6" s="106" t="inlineStr">
        <is>
          <t>% So sánh</t>
        </is>
      </c>
      <c r="AA6" t="inlineStr">
        <is>
          <t>13/09/2026</t>
        </is>
      </c>
      <c r="AB6" t="inlineStr">
        <is>
          <t>CAD</t>
        </is>
      </c>
    </row>
    <row r="7" ht="30" customHeight="1" s="72">
      <c r="B7" s="107" t="inlineStr">
        <is>
          <t>USD</t>
        </is>
      </c>
      <c r="C7" s="108">
        <f>IFERROR(INDEX('_RateData'!$C$2:$C$258,MATCH($B$4,'_RateData'!$A$2:$A$258,0)),"-")</f>
        <v/>
      </c>
      <c r="D7" s="109">
        <f>IFERROR(INDEX('_RateData'!$D$2:$D$258,MATCH($B$4,'_RateData'!$A$2:$A$258,0)),"-")</f>
        <v/>
      </c>
      <c r="E7" s="109">
        <f>IFERROR(INDEX('_RateData'!$E$2:$E$258,MATCH($B$4,'_RateData'!$A$2:$A$258,0)),"-")</f>
        <v/>
      </c>
      <c r="F7" s="110">
        <f>IFERROR(INDEX('_RateData'!$F$2:$F$258,MATCH($B$4,'_RateData'!$A$2:$A$258,0)),"-")</f>
        <v/>
      </c>
      <c r="G7" s="111">
        <f>IFERROR(AVERAGE(E7,F7),"-")</f>
        <v/>
      </c>
      <c r="H7" s="112">
        <f>IFERROR(IF(AND(ISNUMBER(F7),ISNUMBER(I7),I7&lt;&gt;0),(F7-I7)/I7*100,"-"),"-")</f>
        <v/>
      </c>
      <c r="I7" s="113">
        <f>IFERROR(INDEX('_RateData'!$F$2:$F$258,MATCH($E$4,'_RateData'!$A$2:$A$258,0)),"-")</f>
        <v/>
      </c>
      <c r="J7" s="114">
        <f>IFERROR(IF(AND(ISNUMBER(F7),ISNUMBER(I7)),F7-I7,"-"),"-")</f>
        <v/>
      </c>
      <c r="K7" s="115">
        <f>IFERROR(IF(AND(ISNUMBER(F7),ISNUMBER(I7),I7&lt;&gt;0),(F7-I7)/I7*100,"-"),"-")</f>
        <v/>
      </c>
      <c r="AA7" t="inlineStr">
        <is>
          <t>12/09/2026</t>
        </is>
      </c>
      <c r="AB7" t="inlineStr">
        <is>
          <t>CHF</t>
        </is>
      </c>
    </row>
    <row r="8" ht="30" customHeight="1" s="72">
      <c r="B8" s="116" t="inlineStr">
        <is>
          <t>EUR</t>
        </is>
      </c>
      <c r="C8" s="117">
        <f>IFERROR(INDEX('_RateData'!$G$2:$G$258,MATCH($B$4,'_RateData'!$A$2:$A$258,0)),"-")</f>
        <v/>
      </c>
      <c r="D8" s="118">
        <f>IFERROR(INDEX('_RateData'!$H$2:$H$258,MATCH($B$4,'_RateData'!$A$2:$A$258,0)),"-")</f>
        <v/>
      </c>
      <c r="E8" s="118">
        <f>IFERROR(INDEX('_RateData'!$I$2:$I$258,MATCH($B$4,'_RateData'!$A$2:$A$258,0)),"-")</f>
        <v/>
      </c>
      <c r="F8" s="119">
        <f>IFERROR(INDEX('_RateData'!$J$2:$J$258,MATCH($B$4,'_RateData'!$A$2:$A$258,0)),"-")</f>
        <v/>
      </c>
      <c r="G8" s="120">
        <f>IFERROR(AVERAGE(E8,F8),"-")</f>
        <v/>
      </c>
      <c r="H8" s="121">
        <f>IFERROR(IF(AND(ISNUMBER(F8),ISNUMBER(I8),I8&lt;&gt;0),(F8-I8)/I8*100,"-"),"-")</f>
        <v/>
      </c>
      <c r="I8" s="122">
        <f>IFERROR(INDEX('_RateData'!$J$2:$J$258,MATCH($E$4,'_RateData'!$A$2:$A$258,0)),"-")</f>
        <v/>
      </c>
      <c r="J8" s="123">
        <f>IFERROR(IF(AND(ISNUMBER(F8),ISNUMBER(I8)),F8-I8,"-"),"-")</f>
        <v/>
      </c>
      <c r="K8" s="124">
        <f>IFERROR(IF(AND(ISNUMBER(F8),ISNUMBER(I8),I8&lt;&gt;0),(F8-I8)/I8*100,"-"),"-")</f>
        <v/>
      </c>
      <c r="AA8" t="inlineStr">
        <is>
          <t>11/09/2026</t>
        </is>
      </c>
      <c r="AB8" t="inlineStr">
        <is>
          <t>SGD</t>
        </is>
      </c>
    </row>
    <row r="9" ht="30" customHeight="1" s="72">
      <c r="B9" s="107" t="inlineStr">
        <is>
          <t>GBP</t>
        </is>
      </c>
      <c r="C9" s="108">
        <f>IFERROR(INDEX('_RateData'!$K$2:$K$258,MATCH($B$4,'_RateData'!$A$2:$A$258,0)),"-")</f>
        <v/>
      </c>
      <c r="D9" s="109">
        <f>IFERROR(INDEX('_RateData'!$L$2:$L$258,MATCH($B$4,'_RateData'!$A$2:$A$258,0)),"-")</f>
        <v/>
      </c>
      <c r="E9" s="109">
        <f>IFERROR(INDEX('_RateData'!$M$2:$M$258,MATCH($B$4,'_RateData'!$A$2:$A$258,0)),"-")</f>
        <v/>
      </c>
      <c r="F9" s="110">
        <f>IFERROR(INDEX('_RateData'!$N$2:$N$258,MATCH($B$4,'_RateData'!$A$2:$A$258,0)),"-")</f>
        <v/>
      </c>
      <c r="G9" s="111">
        <f>IFERROR(AVERAGE(E9,F9),"-")</f>
        <v/>
      </c>
      <c r="H9" s="112">
        <f>IFERROR(IF(AND(ISNUMBER(F9),ISNUMBER(I9),I9&lt;&gt;0),(F9-I9)/I9*100,"-"),"-")</f>
        <v/>
      </c>
      <c r="I9" s="113">
        <f>IFERROR(INDEX('_RateData'!$N$2:$N$258,MATCH($E$4,'_RateData'!$A$2:$A$258,0)),"-")</f>
        <v/>
      </c>
      <c r="J9" s="114">
        <f>IFERROR(IF(AND(ISNUMBER(F9),ISNUMBER(I9)),F9-I9,"-"),"-")</f>
        <v/>
      </c>
      <c r="K9" s="115">
        <f>IFERROR(IF(AND(ISNUMBER(F9),ISNUMBER(I9),I9&lt;&gt;0),(F9-I9)/I9*100,"-"),"-")</f>
        <v/>
      </c>
      <c r="AA9" t="inlineStr">
        <is>
          <t>10/09/2026</t>
        </is>
      </c>
      <c r="AB9" t="inlineStr">
        <is>
          <t>CNY</t>
        </is>
      </c>
    </row>
    <row r="10" ht="30" customHeight="1" s="72">
      <c r="B10" s="116" t="inlineStr">
        <is>
          <t>JPY</t>
        </is>
      </c>
      <c r="C10" s="117">
        <f>IFERROR(INDEX('_RateData'!$O$2:$O$258,MATCH($B$4,'_RateData'!$A$2:$A$258,0)),"-")</f>
        <v/>
      </c>
      <c r="D10" s="118">
        <f>IFERROR(INDEX('_RateData'!$P$2:$P$258,MATCH($B$4,'_RateData'!$A$2:$A$258,0)),"-")</f>
        <v/>
      </c>
      <c r="E10" s="118">
        <f>IFERROR(INDEX('_RateData'!$Q$2:$Q$258,MATCH($B$4,'_RateData'!$A$2:$A$258,0)),"-")</f>
        <v/>
      </c>
      <c r="F10" s="119">
        <f>IFERROR(INDEX('_RateData'!$R$2:$R$258,MATCH($B$4,'_RateData'!$A$2:$A$258,0)),"-")</f>
        <v/>
      </c>
      <c r="G10" s="120">
        <f>IFERROR(AVERAGE(E10,F10),"-")</f>
        <v/>
      </c>
      <c r="H10" s="121">
        <f>IFERROR(IF(AND(ISNUMBER(F10),ISNUMBER(I10),I10&lt;&gt;0),(F10-I10)/I10*100,"-"),"-")</f>
        <v/>
      </c>
      <c r="I10" s="122">
        <f>IFERROR(INDEX('_RateData'!$R$2:$R$258,MATCH($E$4,'_RateData'!$A$2:$A$258,0)),"-")</f>
        <v/>
      </c>
      <c r="J10" s="123">
        <f>IFERROR(IF(AND(ISNUMBER(F10),ISNUMBER(I10)),F10-I10,"-"),"-")</f>
        <v/>
      </c>
      <c r="K10" s="124">
        <f>IFERROR(IF(AND(ISNUMBER(F10),ISNUMBER(I10),I10&lt;&gt;0),(F10-I10)/I10*100,"-"),"-")</f>
        <v/>
      </c>
      <c r="AA10" t="inlineStr">
        <is>
          <t>09/09/2026</t>
        </is>
      </c>
      <c r="AB10" t="inlineStr">
        <is>
          <t>HKD</t>
        </is>
      </c>
    </row>
    <row r="11" ht="30" customHeight="1" s="72">
      <c r="B11" s="107" t="inlineStr">
        <is>
          <t>AUD</t>
        </is>
      </c>
      <c r="C11" s="108">
        <f>IFERROR(INDEX('_RateData'!$S$2:$S$258,MATCH($B$4,'_RateData'!$A$2:$A$258,0)),"-")</f>
        <v/>
      </c>
      <c r="D11" s="109">
        <f>IFERROR(INDEX('_RateData'!$T$2:$T$258,MATCH($B$4,'_RateData'!$A$2:$A$258,0)),"-")</f>
        <v/>
      </c>
      <c r="E11" s="109">
        <f>IFERROR(INDEX('_RateData'!$U$2:$U$258,MATCH($B$4,'_RateData'!$A$2:$A$258,0)),"-")</f>
        <v/>
      </c>
      <c r="F11" s="110">
        <f>IFERROR(INDEX('_RateData'!$V$2:$V$258,MATCH($B$4,'_RateData'!$A$2:$A$258,0)),"-")</f>
        <v/>
      </c>
      <c r="G11" s="111">
        <f>IFERROR(AVERAGE(E11,F11),"-")</f>
        <v/>
      </c>
      <c r="H11" s="112">
        <f>IFERROR(IF(AND(ISNUMBER(F11),ISNUMBER(I11),I11&lt;&gt;0),(F11-I11)/I11*100,"-"),"-")</f>
        <v/>
      </c>
      <c r="I11" s="113">
        <f>IFERROR(INDEX('_RateData'!$V$2:$V$258,MATCH($E$4,'_RateData'!$A$2:$A$258,0)),"-")</f>
        <v/>
      </c>
      <c r="J11" s="114">
        <f>IFERROR(IF(AND(ISNUMBER(F11),ISNUMBER(I11)),F11-I11,"-"),"-")</f>
        <v/>
      </c>
      <c r="K11" s="115">
        <f>IFERROR(IF(AND(ISNUMBER(F11),ISNUMBER(I11),I11&lt;&gt;0),(F11-I11)/I11*100,"-"),"-")</f>
        <v/>
      </c>
      <c r="AA11" t="inlineStr">
        <is>
          <t>08/09/2026</t>
        </is>
      </c>
      <c r="AB11" t="inlineStr">
        <is>
          <t>THB</t>
        </is>
      </c>
    </row>
    <row r="12" ht="30" customHeight="1" s="72">
      <c r="B12" s="116" t="inlineStr">
        <is>
          <t>CAD</t>
        </is>
      </c>
      <c r="C12" s="117">
        <f>IFERROR(INDEX('_RateData'!$W$2:$W$258,MATCH($B$4,'_RateData'!$A$2:$A$258,0)),"-")</f>
        <v/>
      </c>
      <c r="D12" s="118">
        <f>IFERROR(INDEX('_RateData'!$X$2:$X$258,MATCH($B$4,'_RateData'!$A$2:$A$258,0)),"-")</f>
        <v/>
      </c>
      <c r="E12" s="118">
        <f>IFERROR(INDEX('_RateData'!$Y$2:$Y$258,MATCH($B$4,'_RateData'!$A$2:$A$258,0)),"-")</f>
        <v/>
      </c>
      <c r="F12" s="119">
        <f>IFERROR(INDEX('_RateData'!$Z$2:$Z$258,MATCH($B$4,'_RateData'!$A$2:$A$258,0)),"-")</f>
        <v/>
      </c>
      <c r="G12" s="120">
        <f>IFERROR(AVERAGE(E12,F12),"-")</f>
        <v/>
      </c>
      <c r="H12" s="121">
        <f>IFERROR(IF(AND(ISNUMBER(F12),ISNUMBER(I12),I12&lt;&gt;0),(F12-I12)/I12*100,"-"),"-")</f>
        <v/>
      </c>
      <c r="I12" s="122">
        <f>IFERROR(INDEX('_RateData'!$Z$2:$Z$258,MATCH($E$4,'_RateData'!$A$2:$A$258,0)),"-")</f>
        <v/>
      </c>
      <c r="J12" s="123">
        <f>IFERROR(IF(AND(ISNUMBER(F12),ISNUMBER(I12)),F12-I12,"-"),"-")</f>
        <v/>
      </c>
      <c r="K12" s="124">
        <f>IFERROR(IF(AND(ISNUMBER(F12),ISNUMBER(I12),I12&lt;&gt;0),(F12-I12)/I12*100,"-"),"-")</f>
        <v/>
      </c>
      <c r="AA12" t="inlineStr">
        <is>
          <t>07/09/2026</t>
        </is>
      </c>
      <c r="AB12" t="inlineStr">
        <is>
          <t>KRW</t>
        </is>
      </c>
    </row>
    <row r="13" ht="30" customHeight="1" s="72">
      <c r="B13" s="107" t="inlineStr">
        <is>
          <t>CHF</t>
        </is>
      </c>
      <c r="C13" s="108">
        <f>IFERROR(INDEX('_RateData'!$AA$2:$AA$258,MATCH($B$4,'_RateData'!$A$2:$A$258,0)),"-")</f>
        <v/>
      </c>
      <c r="D13" s="109">
        <f>IFERROR(INDEX('_RateData'!$AB$2:$AB$258,MATCH($B$4,'_RateData'!$A$2:$A$258,0)),"-")</f>
        <v/>
      </c>
      <c r="E13" s="109">
        <f>IFERROR(INDEX('_RateData'!$AC$2:$AC$258,MATCH($B$4,'_RateData'!$A$2:$A$258,0)),"-")</f>
        <v/>
      </c>
      <c r="F13" s="110">
        <f>IFERROR(INDEX('_RateData'!$AD$2:$AD$258,MATCH($B$4,'_RateData'!$A$2:$A$258,0)),"-")</f>
        <v/>
      </c>
      <c r="G13" s="111">
        <f>IFERROR(AVERAGE(E13,F13),"-")</f>
        <v/>
      </c>
      <c r="H13" s="112">
        <f>IFERROR(IF(AND(ISNUMBER(F13),ISNUMBER(I13),I13&lt;&gt;0),(F13-I13)/I13*100,"-"),"-")</f>
        <v/>
      </c>
      <c r="I13" s="113">
        <f>IFERROR(INDEX('_RateData'!$AD$2:$AD$258,MATCH($E$4,'_RateData'!$A$2:$A$258,0)),"-")</f>
        <v/>
      </c>
      <c r="J13" s="114">
        <f>IFERROR(IF(AND(ISNUMBER(F13),ISNUMBER(I13)),F13-I13,"-"),"-")</f>
        <v/>
      </c>
      <c r="K13" s="115">
        <f>IFERROR(IF(AND(ISNUMBER(F13),ISNUMBER(I13),I13&lt;&gt;0),(F13-I13)/I13*100,"-"),"-")</f>
        <v/>
      </c>
      <c r="AA13" t="inlineStr">
        <is>
          <t>06/09/2026</t>
        </is>
      </c>
      <c r="AB13" t="inlineStr">
        <is>
          <t>MYR</t>
        </is>
      </c>
    </row>
    <row r="14" ht="30" customHeight="1" s="72">
      <c r="B14" s="116" t="inlineStr">
        <is>
          <t>SGD</t>
        </is>
      </c>
      <c r="C14" s="117">
        <f>IFERROR(INDEX('_RateData'!$AE$2:$AE$258,MATCH($B$4,'_RateData'!$A$2:$A$258,0)),"-")</f>
        <v/>
      </c>
      <c r="D14" s="118">
        <f>IFERROR(INDEX('_RateData'!$AF$2:$AF$258,MATCH($B$4,'_RateData'!$A$2:$A$258,0)),"-")</f>
        <v/>
      </c>
      <c r="E14" s="118">
        <f>IFERROR(INDEX('_RateData'!$AG$2:$AG$258,MATCH($B$4,'_RateData'!$A$2:$A$258,0)),"-")</f>
        <v/>
      </c>
      <c r="F14" s="119">
        <f>IFERROR(INDEX('_RateData'!$AH$2:$AH$258,MATCH($B$4,'_RateData'!$A$2:$A$258,0)),"-")</f>
        <v/>
      </c>
      <c r="G14" s="120">
        <f>IFERROR(AVERAGE(E14,F14),"-")</f>
        <v/>
      </c>
      <c r="H14" s="121">
        <f>IFERROR(IF(AND(ISNUMBER(F14),ISNUMBER(I14),I14&lt;&gt;0),(F14-I14)/I14*100,"-"),"-")</f>
        <v/>
      </c>
      <c r="I14" s="122">
        <f>IFERROR(INDEX('_RateData'!$AH$2:$AH$258,MATCH($E$4,'_RateData'!$A$2:$A$258,0)),"-")</f>
        <v/>
      </c>
      <c r="J14" s="123">
        <f>IFERROR(IF(AND(ISNUMBER(F14),ISNUMBER(I14)),F14-I14,"-"),"-")</f>
        <v/>
      </c>
      <c r="K14" s="124">
        <f>IFERROR(IF(AND(ISNUMBER(F14),ISNUMBER(I14),I14&lt;&gt;0),(F14-I14)/I14*100,"-"),"-")</f>
        <v/>
      </c>
      <c r="AA14" t="inlineStr">
        <is>
          <t>05/09/2026</t>
        </is>
      </c>
      <c r="AB14" t="inlineStr">
        <is>
          <t>INR</t>
        </is>
      </c>
    </row>
    <row r="15" ht="30" customHeight="1" s="72">
      <c r="B15" s="107" t="inlineStr">
        <is>
          <t>CNY</t>
        </is>
      </c>
      <c r="C15" s="108">
        <f>IFERROR(INDEX('_RateData'!$AI$2:$AI$258,MATCH($B$4,'_RateData'!$A$2:$A$258,0)),"-")</f>
        <v/>
      </c>
      <c r="D15" s="109">
        <f>IFERROR(INDEX('_RateData'!$AJ$2:$AJ$258,MATCH($B$4,'_RateData'!$A$2:$A$258,0)),"-")</f>
        <v/>
      </c>
      <c r="E15" s="109">
        <f>IFERROR(INDEX('_RateData'!$AK$2:$AK$258,MATCH($B$4,'_RateData'!$A$2:$A$258,0)),"-")</f>
        <v/>
      </c>
      <c r="F15" s="110">
        <f>IFERROR(INDEX('_RateData'!$AL$2:$AL$258,MATCH($B$4,'_RateData'!$A$2:$A$258,0)),"-")</f>
        <v/>
      </c>
      <c r="G15" s="111">
        <f>IFERROR(AVERAGE(E15,F15),"-")</f>
        <v/>
      </c>
      <c r="H15" s="112">
        <f>IFERROR(IF(AND(ISNUMBER(F15),ISNUMBER(I15),I15&lt;&gt;0),(F15-I15)/I15*100,"-"),"-")</f>
        <v/>
      </c>
      <c r="I15" s="113">
        <f>IFERROR(INDEX('_RateData'!$AL$2:$AL$258,MATCH($E$4,'_RateData'!$A$2:$A$258,0)),"-")</f>
        <v/>
      </c>
      <c r="J15" s="114">
        <f>IFERROR(IF(AND(ISNUMBER(F15),ISNUMBER(I15)),F15-I15,"-"),"-")</f>
        <v/>
      </c>
      <c r="K15" s="115">
        <f>IFERROR(IF(AND(ISNUMBER(F15),ISNUMBER(I15),I15&lt;&gt;0),(F15-I15)/I15*100,"-"),"-")</f>
        <v/>
      </c>
      <c r="AA15" t="inlineStr">
        <is>
          <t>04/09/2026</t>
        </is>
      </c>
      <c r="AB15" t="inlineStr">
        <is>
          <t>KWD</t>
        </is>
      </c>
    </row>
    <row r="16" ht="30" customHeight="1" s="72">
      <c r="B16" s="116" t="inlineStr">
        <is>
          <t>HKD</t>
        </is>
      </c>
      <c r="C16" s="117">
        <f>IFERROR(INDEX('_RateData'!$AM$2:$AM$258,MATCH($B$4,'_RateData'!$A$2:$A$258,0)),"-")</f>
        <v/>
      </c>
      <c r="D16" s="118">
        <f>IFERROR(INDEX('_RateData'!$AN$2:$AN$258,MATCH($B$4,'_RateData'!$A$2:$A$258,0)),"-")</f>
        <v/>
      </c>
      <c r="E16" s="118">
        <f>IFERROR(INDEX('_RateData'!$AO$2:$AO$258,MATCH($B$4,'_RateData'!$A$2:$A$258,0)),"-")</f>
        <v/>
      </c>
      <c r="F16" s="119">
        <f>IFERROR(INDEX('_RateData'!$AP$2:$AP$258,MATCH($B$4,'_RateData'!$A$2:$A$258,0)),"-")</f>
        <v/>
      </c>
      <c r="G16" s="120">
        <f>IFERROR(AVERAGE(E16,F16),"-")</f>
        <v/>
      </c>
      <c r="H16" s="121">
        <f>IFERROR(IF(AND(ISNUMBER(F16),ISNUMBER(I16),I16&lt;&gt;0),(F16-I16)/I16*100,"-"),"-")</f>
        <v/>
      </c>
      <c r="I16" s="122">
        <f>IFERROR(INDEX('_RateData'!$AP$2:$AP$258,MATCH($E$4,'_RateData'!$A$2:$A$258,0)),"-")</f>
        <v/>
      </c>
      <c r="J16" s="123">
        <f>IFERROR(IF(AND(ISNUMBER(F16),ISNUMBER(I16)),F16-I16,"-"),"-")</f>
        <v/>
      </c>
      <c r="K16" s="124">
        <f>IFERROR(IF(AND(ISNUMBER(F16),ISNUMBER(I16),I16&lt;&gt;0),(F16-I16)/I16*100,"-"),"-")</f>
        <v/>
      </c>
      <c r="AA16" t="inlineStr">
        <is>
          <t>03/09/2026</t>
        </is>
      </c>
      <c r="AB16" t="inlineStr">
        <is>
          <t>SAR</t>
        </is>
      </c>
    </row>
    <row r="17" ht="30" customHeight="1" s="72">
      <c r="B17" s="107" t="inlineStr">
        <is>
          <t>THB</t>
        </is>
      </c>
      <c r="C17" s="108">
        <f>IFERROR(INDEX('_RateData'!$AQ$2:$AQ$258,MATCH($B$4,'_RateData'!$A$2:$A$258,0)),"-")</f>
        <v/>
      </c>
      <c r="D17" s="109">
        <f>IFERROR(INDEX('_RateData'!$AR$2:$AR$258,MATCH($B$4,'_RateData'!$A$2:$A$258,0)),"-")</f>
        <v/>
      </c>
      <c r="E17" s="109">
        <f>IFERROR(INDEX('_RateData'!$AS$2:$AS$258,MATCH($B$4,'_RateData'!$A$2:$A$258,0)),"-")</f>
        <v/>
      </c>
      <c r="F17" s="110">
        <f>IFERROR(INDEX('_RateData'!$AT$2:$AT$258,MATCH($B$4,'_RateData'!$A$2:$A$258,0)),"-")</f>
        <v/>
      </c>
      <c r="G17" s="111">
        <f>IFERROR(AVERAGE(E17,F17),"-")</f>
        <v/>
      </c>
      <c r="H17" s="112">
        <f>IFERROR(IF(AND(ISNUMBER(F17),ISNUMBER(I17),I17&lt;&gt;0),(F17-I17)/I17*100,"-"),"-")</f>
        <v/>
      </c>
      <c r="I17" s="113">
        <f>IFERROR(INDEX('_RateData'!$AT$2:$AT$258,MATCH($E$4,'_RateData'!$A$2:$A$258,0)),"-")</f>
        <v/>
      </c>
      <c r="J17" s="114">
        <f>IFERROR(IF(AND(ISNUMBER(F17),ISNUMBER(I17)),F17-I17,"-"),"-")</f>
        <v/>
      </c>
      <c r="K17" s="115">
        <f>IFERROR(IF(AND(ISNUMBER(F17),ISNUMBER(I17),I17&lt;&gt;0),(F17-I17)/I17*100,"-"),"-")</f>
        <v/>
      </c>
      <c r="AA17" t="inlineStr">
        <is>
          <t>02/09/2026</t>
        </is>
      </c>
      <c r="AB17" t="inlineStr">
        <is>
          <t>NOK</t>
        </is>
      </c>
    </row>
    <row r="18" ht="30" customHeight="1" s="72">
      <c r="B18" s="116" t="inlineStr">
        <is>
          <t>KRW</t>
        </is>
      </c>
      <c r="C18" s="117">
        <f>IFERROR(INDEX('_RateData'!$AU$2:$AU$258,MATCH($B$4,'_RateData'!$A$2:$A$258,0)),"-")</f>
        <v/>
      </c>
      <c r="D18" s="118">
        <f>IFERROR(INDEX('_RateData'!$AV$2:$AV$258,MATCH($B$4,'_RateData'!$A$2:$A$258,0)),"-")</f>
        <v/>
      </c>
      <c r="E18" s="118">
        <f>IFERROR(INDEX('_RateData'!$AW$2:$AW$258,MATCH($B$4,'_RateData'!$A$2:$A$258,0)),"-")</f>
        <v/>
      </c>
      <c r="F18" s="119">
        <f>IFERROR(INDEX('_RateData'!$AX$2:$AX$258,MATCH($B$4,'_RateData'!$A$2:$A$258,0)),"-")</f>
        <v/>
      </c>
      <c r="G18" s="120">
        <f>IFERROR(AVERAGE(E18,F18),"-")</f>
        <v/>
      </c>
      <c r="H18" s="121">
        <f>IFERROR(IF(AND(ISNUMBER(F18),ISNUMBER(I18),I18&lt;&gt;0),(F18-I18)/I18*100,"-"),"-")</f>
        <v/>
      </c>
      <c r="I18" s="122">
        <f>IFERROR(INDEX('_RateData'!$AX$2:$AX$258,MATCH($E$4,'_RateData'!$A$2:$A$258,0)),"-")</f>
        <v/>
      </c>
      <c r="J18" s="123">
        <f>IFERROR(IF(AND(ISNUMBER(F18),ISNUMBER(I18)),F18-I18,"-"),"-")</f>
        <v/>
      </c>
      <c r="K18" s="124">
        <f>IFERROR(IF(AND(ISNUMBER(F18),ISNUMBER(I18),I18&lt;&gt;0),(F18-I18)/I18*100,"-"),"-")</f>
        <v/>
      </c>
      <c r="AA18" t="inlineStr">
        <is>
          <t>01/09/2026</t>
        </is>
      </c>
      <c r="AB18" t="inlineStr">
        <is>
          <t>SEK</t>
        </is>
      </c>
    </row>
    <row r="19" ht="30" customHeight="1" s="72">
      <c r="B19" s="107" t="inlineStr">
        <is>
          <t>MYR</t>
        </is>
      </c>
      <c r="C19" s="108">
        <f>IFERROR(INDEX('_RateData'!$AY$2:$AY$258,MATCH($B$4,'_RateData'!$A$2:$A$258,0)),"-")</f>
        <v/>
      </c>
      <c r="D19" s="109">
        <f>IFERROR(INDEX('_RateData'!$AZ$2:$AZ$258,MATCH($B$4,'_RateData'!$A$2:$A$258,0)),"-")</f>
        <v/>
      </c>
      <c r="E19" s="109">
        <f>IFERROR(INDEX('_RateData'!$BA$2:$BA$258,MATCH($B$4,'_RateData'!$A$2:$A$258,0)),"-")</f>
        <v/>
      </c>
      <c r="F19" s="110">
        <f>IFERROR(INDEX('_RateData'!$BB$2:$BB$258,MATCH($B$4,'_RateData'!$A$2:$A$258,0)),"-")</f>
        <v/>
      </c>
      <c r="G19" s="111">
        <f>IFERROR(AVERAGE(E19,F19),"-")</f>
        <v/>
      </c>
      <c r="H19" s="112">
        <f>IFERROR(IF(AND(ISNUMBER(F19),ISNUMBER(I19),I19&lt;&gt;0),(F19-I19)/I19*100,"-"),"-")</f>
        <v/>
      </c>
      <c r="I19" s="113">
        <f>IFERROR(INDEX('_RateData'!$BB$2:$BB$258,MATCH($E$4,'_RateData'!$A$2:$A$258,0)),"-")</f>
        <v/>
      </c>
      <c r="J19" s="114">
        <f>IFERROR(IF(AND(ISNUMBER(F19),ISNUMBER(I19)),F19-I19,"-"),"-")</f>
        <v/>
      </c>
      <c r="K19" s="115">
        <f>IFERROR(IF(AND(ISNUMBER(F19),ISNUMBER(I19),I19&lt;&gt;0),(F19-I19)/I19*100,"-"),"-")</f>
        <v/>
      </c>
      <c r="AA19" t="inlineStr">
        <is>
          <t>31/08/2026</t>
        </is>
      </c>
      <c r="AB19" t="inlineStr">
        <is>
          <t>DKK</t>
        </is>
      </c>
    </row>
    <row r="20" ht="30" customHeight="1" s="72">
      <c r="B20" s="116" t="inlineStr">
        <is>
          <t>INR</t>
        </is>
      </c>
      <c r="C20" s="117">
        <f>IFERROR(INDEX('_RateData'!$BC$2:$BC$258,MATCH($B$4,'_RateData'!$A$2:$A$258,0)),"-")</f>
        <v/>
      </c>
      <c r="D20" s="118">
        <f>IFERROR(INDEX('_RateData'!$BD$2:$BD$258,MATCH($B$4,'_RateData'!$A$2:$A$258,0)),"-")</f>
        <v/>
      </c>
      <c r="E20" s="118">
        <f>IFERROR(INDEX('_RateData'!$BE$2:$BE$258,MATCH($B$4,'_RateData'!$A$2:$A$258,0)),"-")</f>
        <v/>
      </c>
      <c r="F20" s="119">
        <f>IFERROR(INDEX('_RateData'!$BF$2:$BF$258,MATCH($B$4,'_RateData'!$A$2:$A$258,0)),"-")</f>
        <v/>
      </c>
      <c r="G20" s="120">
        <f>IFERROR(AVERAGE(E20,F20),"-")</f>
        <v/>
      </c>
      <c r="H20" s="121">
        <f>IFERROR(IF(AND(ISNUMBER(F20),ISNUMBER(I20),I20&lt;&gt;0),(F20-I20)/I20*100,"-"),"-")</f>
        <v/>
      </c>
      <c r="I20" s="122">
        <f>IFERROR(INDEX('_RateData'!$BF$2:$BF$258,MATCH($E$4,'_RateData'!$A$2:$A$258,0)),"-")</f>
        <v/>
      </c>
      <c r="J20" s="123">
        <f>IFERROR(IF(AND(ISNUMBER(F20),ISNUMBER(I20)),F20-I20,"-"),"-")</f>
        <v/>
      </c>
      <c r="K20" s="124">
        <f>IFERROR(IF(AND(ISNUMBER(F20),ISNUMBER(I20),I20&lt;&gt;0),(F20-I20)/I20*100,"-"),"-")</f>
        <v/>
      </c>
      <c r="AA20" t="inlineStr">
        <is>
          <t>30/08/2026</t>
        </is>
      </c>
      <c r="AB20" t="inlineStr">
        <is>
          <t>RUB</t>
        </is>
      </c>
    </row>
    <row r="21" ht="30" customHeight="1" s="72">
      <c r="B21" s="107" t="inlineStr">
        <is>
          <t>KWD</t>
        </is>
      </c>
      <c r="C21" s="108">
        <f>IFERROR(INDEX('_RateData'!$BG$2:$BG$258,MATCH($B$4,'_RateData'!$A$2:$A$258,0)),"-")</f>
        <v/>
      </c>
      <c r="D21" s="109">
        <f>IFERROR(INDEX('_RateData'!$BH$2:$BH$258,MATCH($B$4,'_RateData'!$A$2:$A$258,0)),"-")</f>
        <v/>
      </c>
      <c r="E21" s="109">
        <f>IFERROR(INDEX('_RateData'!$BI$2:$BI$258,MATCH($B$4,'_RateData'!$A$2:$A$258,0)),"-")</f>
        <v/>
      </c>
      <c r="F21" s="110">
        <f>IFERROR(INDEX('_RateData'!$BJ$2:$BJ$258,MATCH($B$4,'_RateData'!$A$2:$A$258,0)),"-")</f>
        <v/>
      </c>
      <c r="G21" s="111">
        <f>IFERROR(AVERAGE(E21,F21),"-")</f>
        <v/>
      </c>
      <c r="H21" s="112">
        <f>IFERROR(IF(AND(ISNUMBER(F21),ISNUMBER(I21),I21&lt;&gt;0),(F21-I21)/I21*100,"-"),"-")</f>
        <v/>
      </c>
      <c r="I21" s="113">
        <f>IFERROR(INDEX('_RateData'!$BJ$2:$BJ$258,MATCH($E$4,'_RateData'!$A$2:$A$258,0)),"-")</f>
        <v/>
      </c>
      <c r="J21" s="114">
        <f>IFERROR(IF(AND(ISNUMBER(F21),ISNUMBER(I21)),F21-I21,"-"),"-")</f>
        <v/>
      </c>
      <c r="K21" s="115">
        <f>IFERROR(IF(AND(ISNUMBER(F21),ISNUMBER(I21),I21&lt;&gt;0),(F21-I21)/I21*100,"-"),"-")</f>
        <v/>
      </c>
      <c r="AA21" t="inlineStr">
        <is>
          <t>29/08/2026</t>
        </is>
      </c>
    </row>
    <row r="22" ht="30" customHeight="1" s="72">
      <c r="B22" s="116" t="inlineStr">
        <is>
          <t>SAR</t>
        </is>
      </c>
      <c r="C22" s="117">
        <f>IFERROR(INDEX('_RateData'!$BK$2:$BK$258,MATCH($B$4,'_RateData'!$A$2:$A$258,0)),"-")</f>
        <v/>
      </c>
      <c r="D22" s="118">
        <f>IFERROR(INDEX('_RateData'!$BL$2:$BL$258,MATCH($B$4,'_RateData'!$A$2:$A$258,0)),"-")</f>
        <v/>
      </c>
      <c r="E22" s="118">
        <f>IFERROR(INDEX('_RateData'!$BM$2:$BM$258,MATCH($B$4,'_RateData'!$A$2:$A$258,0)),"-")</f>
        <v/>
      </c>
      <c r="F22" s="119">
        <f>IFERROR(INDEX('_RateData'!$BN$2:$BN$258,MATCH($B$4,'_RateData'!$A$2:$A$258,0)),"-")</f>
        <v/>
      </c>
      <c r="G22" s="120">
        <f>IFERROR(AVERAGE(E22,F22),"-")</f>
        <v/>
      </c>
      <c r="H22" s="121">
        <f>IFERROR(IF(AND(ISNUMBER(F22),ISNUMBER(I22),I22&lt;&gt;0),(F22-I22)/I22*100,"-"),"-")</f>
        <v/>
      </c>
      <c r="I22" s="122">
        <f>IFERROR(INDEX('_RateData'!$BN$2:$BN$258,MATCH($E$4,'_RateData'!$A$2:$A$258,0)),"-")</f>
        <v/>
      </c>
      <c r="J22" s="123">
        <f>IFERROR(IF(AND(ISNUMBER(F22),ISNUMBER(I22)),F22-I22,"-"),"-")</f>
        <v/>
      </c>
      <c r="K22" s="124">
        <f>IFERROR(IF(AND(ISNUMBER(F22),ISNUMBER(I22),I22&lt;&gt;0),(F22-I22)/I22*100,"-"),"-")</f>
        <v/>
      </c>
      <c r="AA22" t="inlineStr">
        <is>
          <t>28/08/2026</t>
        </is>
      </c>
    </row>
    <row r="23" ht="30" customHeight="1" s="72">
      <c r="B23" s="107" t="inlineStr">
        <is>
          <t>NOK</t>
        </is>
      </c>
      <c r="C23" s="108">
        <f>IFERROR(INDEX('_RateData'!$BO$2:$BO$258,MATCH($B$4,'_RateData'!$A$2:$A$258,0)),"-")</f>
        <v/>
      </c>
      <c r="D23" s="109">
        <f>IFERROR(INDEX('_RateData'!$BP$2:$BP$258,MATCH($B$4,'_RateData'!$A$2:$A$258,0)),"-")</f>
        <v/>
      </c>
      <c r="E23" s="109">
        <f>IFERROR(INDEX('_RateData'!$BQ$2:$BQ$258,MATCH($B$4,'_RateData'!$A$2:$A$258,0)),"-")</f>
        <v/>
      </c>
      <c r="F23" s="110">
        <f>IFERROR(INDEX('_RateData'!$BR$2:$BR$258,MATCH($B$4,'_RateData'!$A$2:$A$258,0)),"-")</f>
        <v/>
      </c>
      <c r="G23" s="111">
        <f>IFERROR(AVERAGE(E23,F23),"-")</f>
        <v/>
      </c>
      <c r="H23" s="112">
        <f>IFERROR(IF(AND(ISNUMBER(F23),ISNUMBER(I23),I23&lt;&gt;0),(F23-I23)/I23*100,"-"),"-")</f>
        <v/>
      </c>
      <c r="I23" s="113">
        <f>IFERROR(INDEX('_RateData'!$BR$2:$BR$258,MATCH($E$4,'_RateData'!$A$2:$A$258,0)),"-")</f>
        <v/>
      </c>
      <c r="J23" s="114">
        <f>IFERROR(IF(AND(ISNUMBER(F23),ISNUMBER(I23)),F23-I23,"-"),"-")</f>
        <v/>
      </c>
      <c r="K23" s="115">
        <f>IFERROR(IF(AND(ISNUMBER(F23),ISNUMBER(I23),I23&lt;&gt;0),(F23-I23)/I23*100,"-"),"-")</f>
        <v/>
      </c>
      <c r="AA23" t="inlineStr">
        <is>
          <t>27/08/2026</t>
        </is>
      </c>
    </row>
    <row r="24" ht="30" customHeight="1" s="72">
      <c r="B24" s="116" t="inlineStr">
        <is>
          <t>SEK</t>
        </is>
      </c>
      <c r="C24" s="117">
        <f>IFERROR(INDEX('_RateData'!$BS$2:$BS$258,MATCH($B$4,'_RateData'!$A$2:$A$258,0)),"-")</f>
        <v/>
      </c>
      <c r="D24" s="118">
        <f>IFERROR(INDEX('_RateData'!$BT$2:$BT$258,MATCH($B$4,'_RateData'!$A$2:$A$258,0)),"-")</f>
        <v/>
      </c>
      <c r="E24" s="118">
        <f>IFERROR(INDEX('_RateData'!$BU$2:$BU$258,MATCH($B$4,'_RateData'!$A$2:$A$258,0)),"-")</f>
        <v/>
      </c>
      <c r="F24" s="119">
        <f>IFERROR(INDEX('_RateData'!$BV$2:$BV$258,MATCH($B$4,'_RateData'!$A$2:$A$258,0)),"-")</f>
        <v/>
      </c>
      <c r="G24" s="120">
        <f>IFERROR(AVERAGE(E24,F24),"-")</f>
        <v/>
      </c>
      <c r="H24" s="121">
        <f>IFERROR(IF(AND(ISNUMBER(F24),ISNUMBER(I24),I24&lt;&gt;0),(F24-I24)/I24*100,"-"),"-")</f>
        <v/>
      </c>
      <c r="I24" s="122">
        <f>IFERROR(INDEX('_RateData'!$BV$2:$BV$258,MATCH($E$4,'_RateData'!$A$2:$A$258,0)),"-")</f>
        <v/>
      </c>
      <c r="J24" s="123">
        <f>IFERROR(IF(AND(ISNUMBER(F24),ISNUMBER(I24)),F24-I24,"-"),"-")</f>
        <v/>
      </c>
      <c r="K24" s="124">
        <f>IFERROR(IF(AND(ISNUMBER(F24),ISNUMBER(I24),I24&lt;&gt;0),(F24-I24)/I24*100,"-"),"-")</f>
        <v/>
      </c>
      <c r="AA24" t="inlineStr">
        <is>
          <t>26/08/2026</t>
        </is>
      </c>
    </row>
    <row r="25" ht="30" customHeight="1" s="72">
      <c r="B25" s="107" t="inlineStr">
        <is>
          <t>DKK</t>
        </is>
      </c>
      <c r="C25" s="108">
        <f>IFERROR(INDEX('_RateData'!$BW$2:$BW$258,MATCH($B$4,'_RateData'!$A$2:$A$258,0)),"-")</f>
        <v/>
      </c>
      <c r="D25" s="109">
        <f>IFERROR(INDEX('_RateData'!$BX$2:$BX$258,MATCH($B$4,'_RateData'!$A$2:$A$258,0)),"-")</f>
        <v/>
      </c>
      <c r="E25" s="109">
        <f>IFERROR(INDEX('_RateData'!$BY$2:$BY$258,MATCH($B$4,'_RateData'!$A$2:$A$258,0)),"-")</f>
        <v/>
      </c>
      <c r="F25" s="110">
        <f>IFERROR(INDEX('_RateData'!$BZ$2:$BZ$258,MATCH($B$4,'_RateData'!$A$2:$A$258,0)),"-")</f>
        <v/>
      </c>
      <c r="G25" s="111">
        <f>IFERROR(AVERAGE(E25,F25),"-")</f>
        <v/>
      </c>
      <c r="H25" s="112">
        <f>IFERROR(IF(AND(ISNUMBER(F25),ISNUMBER(I25),I25&lt;&gt;0),(F25-I25)/I25*100,"-"),"-")</f>
        <v/>
      </c>
      <c r="I25" s="113">
        <f>IFERROR(INDEX('_RateData'!$BZ$2:$BZ$258,MATCH($E$4,'_RateData'!$A$2:$A$258,0)),"-")</f>
        <v/>
      </c>
      <c r="J25" s="114">
        <f>IFERROR(IF(AND(ISNUMBER(F25),ISNUMBER(I25)),F25-I25,"-"),"-")</f>
        <v/>
      </c>
      <c r="K25" s="115">
        <f>IFERROR(IF(AND(ISNUMBER(F25),ISNUMBER(I25),I25&lt;&gt;0),(F25-I25)/I25*100,"-"),"-")</f>
        <v/>
      </c>
      <c r="AA25" t="inlineStr">
        <is>
          <t>25/08/2026</t>
        </is>
      </c>
    </row>
    <row r="26" ht="30" customHeight="1" s="72">
      <c r="B26" s="116" t="inlineStr">
        <is>
          <t>RUB</t>
        </is>
      </c>
      <c r="C26" s="117">
        <f>IFERROR(INDEX('_RateData'!$CA$2:$CA$258,MATCH($B$4,'_RateData'!$A$2:$A$258,0)),"-")</f>
        <v/>
      </c>
      <c r="D26" s="118">
        <f>IFERROR(INDEX('_RateData'!$CB$2:$CB$258,MATCH($B$4,'_RateData'!$A$2:$A$258,0)),"-")</f>
        <v/>
      </c>
      <c r="E26" s="118">
        <f>IFERROR(INDEX('_RateData'!$CC$2:$CC$258,MATCH($B$4,'_RateData'!$A$2:$A$258,0)),"-")</f>
        <v/>
      </c>
      <c r="F26" s="119">
        <f>IFERROR(INDEX('_RateData'!$CD$2:$CD$258,MATCH($B$4,'_RateData'!$A$2:$A$258,0)),"-")</f>
        <v/>
      </c>
      <c r="G26" s="120">
        <f>IFERROR(AVERAGE(E26,F26),"-")</f>
        <v/>
      </c>
      <c r="H26" s="121">
        <f>IFERROR(IF(AND(ISNUMBER(F26),ISNUMBER(I26),I26&lt;&gt;0),(F26-I26)/I26*100,"-"),"-")</f>
        <v/>
      </c>
      <c r="I26" s="122">
        <f>IFERROR(INDEX('_RateData'!$CD$2:$CD$258,MATCH($E$4,'_RateData'!$A$2:$A$258,0)),"-")</f>
        <v/>
      </c>
      <c r="J26" s="123">
        <f>IFERROR(IF(AND(ISNUMBER(F26),ISNUMBER(I26)),F26-I26,"-"),"-")</f>
        <v/>
      </c>
      <c r="K26" s="124">
        <f>IFERROR(IF(AND(ISNUMBER(F26),ISNUMBER(I26),I26&lt;&gt;0),(F26-I26)/I26*100,"-"),"-")</f>
        <v/>
      </c>
      <c r="AA26" t="inlineStr">
        <is>
          <t>24/08/2026</t>
        </is>
      </c>
    </row>
    <row r="27">
      <c r="AA27" t="inlineStr">
        <is>
          <t>23/08/2026</t>
        </is>
      </c>
    </row>
    <row r="28">
      <c r="AA28" t="inlineStr">
        <is>
          <t>22/08/2026</t>
        </is>
      </c>
    </row>
    <row r="29">
      <c r="B29" s="125" t="inlineStr">
        <is>
          <t>📈 Biểu đồ biến động tỷ giá (TB tháng)</t>
        </is>
      </c>
      <c r="AA29" t="inlineStr">
        <is>
          <t>21/08/2026</t>
        </is>
      </c>
    </row>
    <row r="30">
      <c r="B30" s="126" t="inlineStr">
        <is>
          <t>Chọn ngoại tệ:</t>
        </is>
      </c>
      <c r="C30" s="102" t="inlineStr">
        <is>
          <t>USD</t>
        </is>
      </c>
      <c r="AA30" t="inlineStr">
        <is>
          <t>20/08/2026</t>
        </is>
      </c>
    </row>
    <row r="31">
      <c r="AA31" t="inlineStr">
        <is>
          <t>19/08/2026</t>
        </is>
      </c>
    </row>
    <row r="32">
      <c r="B32" s="127" t="inlineStr">
        <is>
          <t>Tháng</t>
        </is>
      </c>
      <c r="C32" s="127" t="inlineStr">
        <is>
          <t>Giá Bán (TB)</t>
        </is>
      </c>
      <c r="AA32" t="inlineStr">
        <is>
          <t>18/08/2026</t>
        </is>
      </c>
    </row>
    <row r="33">
      <c r="B33" s="128" t="inlineStr">
        <is>
          <t>2026-01</t>
        </is>
      </c>
      <c r="C33" s="129">
        <f>IFERROR(INDEX('_ChartData'!$A$2:$U$2,1,MATCH($C$30,'_ChartData'!$B$1:$U$1,0)),"-")</f>
        <v/>
      </c>
      <c r="AA33" t="inlineStr">
        <is>
          <t>17/08/2026</t>
        </is>
      </c>
    </row>
    <row r="34">
      <c r="B34" s="130" t="inlineStr">
        <is>
          <t>2026-02</t>
        </is>
      </c>
      <c r="C34" s="131">
        <f>IFERROR(INDEX('_ChartData'!$A$3:$U$3,1,MATCH($C$30,'_ChartData'!$B$1:$U$1,0)),"-")</f>
        <v/>
      </c>
      <c r="AA34" t="inlineStr">
        <is>
          <t>16/08/2026</t>
        </is>
      </c>
    </row>
    <row r="35">
      <c r="B35" s="128" t="inlineStr">
        <is>
          <t>2026-03</t>
        </is>
      </c>
      <c r="C35" s="129">
        <f>IFERROR(INDEX('_ChartData'!$A$4:$U$4,1,MATCH($C$30,'_ChartData'!$B$1:$U$1,0)),"-")</f>
        <v/>
      </c>
      <c r="AA35" t="inlineStr">
        <is>
          <t>15/08/2026</t>
        </is>
      </c>
    </row>
    <row r="36">
      <c r="B36" s="130" t="inlineStr">
        <is>
          <t>2026-04</t>
        </is>
      </c>
      <c r="C36" s="131">
        <f>IFERROR(INDEX('_ChartData'!$A$5:$U$5,1,MATCH($C$30,'_ChartData'!$B$1:$U$1,0)),"-")</f>
        <v/>
      </c>
      <c r="AA36" t="inlineStr">
        <is>
          <t>14/08/2026</t>
        </is>
      </c>
    </row>
    <row r="37">
      <c r="B37" s="128" t="inlineStr">
        <is>
          <t>2026-05</t>
        </is>
      </c>
      <c r="C37" s="129">
        <f>IFERROR(INDEX('_ChartData'!$A$6:$U$6,1,MATCH($C$30,'_ChartData'!$B$1:$U$1,0)),"-")</f>
        <v/>
      </c>
      <c r="AA37" t="inlineStr">
        <is>
          <t>13/08/2026</t>
        </is>
      </c>
    </row>
    <row r="38">
      <c r="B38" s="130" t="inlineStr">
        <is>
          <t>2026-06</t>
        </is>
      </c>
      <c r="C38" s="131">
        <f>IFERROR(INDEX('_ChartData'!$A$7:$U$7,1,MATCH($C$30,'_ChartData'!$B$1:$U$1,0)),"-")</f>
        <v/>
      </c>
      <c r="AA38" t="inlineStr">
        <is>
          <t>12/08/2026</t>
        </is>
      </c>
    </row>
    <row r="39">
      <c r="B39" s="128" t="inlineStr">
        <is>
          <t>2026-07</t>
        </is>
      </c>
      <c r="C39" s="129">
        <f>IFERROR(INDEX('_ChartData'!$A$8:$U$8,1,MATCH($C$30,'_ChartData'!$B$1:$U$1,0)),"-")</f>
        <v/>
      </c>
      <c r="AA39" t="inlineStr">
        <is>
          <t>11/08/2026</t>
        </is>
      </c>
    </row>
    <row r="40">
      <c r="B40" s="130" t="inlineStr">
        <is>
          <t>2026-08</t>
        </is>
      </c>
      <c r="C40" s="131">
        <f>IFERROR(INDEX('_ChartData'!$A$9:$U$9,1,MATCH($C$30,'_ChartData'!$B$1:$U$1,0)),"-")</f>
        <v/>
      </c>
      <c r="AA40" t="inlineStr">
        <is>
          <t>10/08/2026</t>
        </is>
      </c>
    </row>
    <row r="41">
      <c r="B41" s="128" t="inlineStr">
        <is>
          <t>2026-09</t>
        </is>
      </c>
      <c r="C41" s="129">
        <f>IFERROR(INDEX('_ChartData'!$A$10:$U$10,1,MATCH($C$30,'_ChartData'!$B$1:$U$1,0)),"-")</f>
        <v/>
      </c>
      <c r="AA41" t="inlineStr">
        <is>
          <t>09/08/2026</t>
        </is>
      </c>
    </row>
    <row r="42">
      <c r="AA42" t="inlineStr">
        <is>
          <t>08/08/2026</t>
        </is>
      </c>
    </row>
    <row r="43">
      <c r="AA43" t="inlineStr">
        <is>
          <t>07/08/2026</t>
        </is>
      </c>
    </row>
    <row r="44">
      <c r="AA44" t="inlineStr">
        <is>
          <t>06/08/2026</t>
        </is>
      </c>
    </row>
    <row r="45">
      <c r="AA45" t="inlineStr">
        <is>
          <t>05/08/2026</t>
        </is>
      </c>
    </row>
    <row r="46">
      <c r="AA46" t="inlineStr">
        <is>
          <t>04/08/2026</t>
        </is>
      </c>
    </row>
    <row r="47">
      <c r="AA47" t="inlineStr">
        <is>
          <t>03/08/2026</t>
        </is>
      </c>
    </row>
    <row r="48">
      <c r="AA48" t="inlineStr">
        <is>
          <t>02/08/2026</t>
        </is>
      </c>
    </row>
    <row r="49">
      <c r="AA49" t="inlineStr">
        <is>
          <t>01/08/2026</t>
        </is>
      </c>
    </row>
    <row r="50">
      <c r="AA50" t="inlineStr">
        <is>
          <t>31/07/2026</t>
        </is>
      </c>
    </row>
    <row r="51">
      <c r="AA51" t="inlineStr">
        <is>
          <t>30/07/2026</t>
        </is>
      </c>
    </row>
    <row r="52">
      <c r="AA52" t="inlineStr">
        <is>
          <t>29/07/2026</t>
        </is>
      </c>
    </row>
    <row r="53">
      <c r="AA53" t="inlineStr">
        <is>
          <t>28/07/2026</t>
        </is>
      </c>
    </row>
    <row r="54">
      <c r="AA54" t="inlineStr">
        <is>
          <t>27/07/2026</t>
        </is>
      </c>
    </row>
    <row r="55">
      <c r="AA55" t="inlineStr">
        <is>
          <t>26/07/2026</t>
        </is>
      </c>
    </row>
    <row r="56">
      <c r="AA56" t="inlineStr">
        <is>
          <t>25/07/2026</t>
        </is>
      </c>
    </row>
    <row r="57">
      <c r="AA57" t="inlineStr">
        <is>
          <t>24/07/2026</t>
        </is>
      </c>
    </row>
    <row r="58">
      <c r="AA58" t="inlineStr">
        <is>
          <t>23/07/2026</t>
        </is>
      </c>
    </row>
    <row r="59">
      <c r="B59" s="132" t="inlineStr">
        <is>
          <t>🔗 Liên Kết Phân Tích Tỷ Giá USD/VND</t>
        </is>
      </c>
      <c r="AA59" t="inlineStr">
        <is>
          <t>22/07/2026</t>
        </is>
      </c>
    </row>
    <row r="60">
      <c r="B60" s="133" t="inlineStr">
        <is>
          <t>Investing.com - USD/VND Phân tích kỹ thuật</t>
        </is>
      </c>
      <c r="AA60" t="inlineStr">
        <is>
          <t>21/07/2026</t>
        </is>
      </c>
    </row>
    <row r="61">
      <c r="B61" s="133" t="inlineStr">
        <is>
          <t>Vietstock - Tin tức Ngoại Tệ chuyên sâu</t>
        </is>
      </c>
      <c r="AA61" t="inlineStr">
        <is>
          <t>20/07/2026</t>
        </is>
      </c>
    </row>
    <row r="62">
      <c r="B62" s="133" t="inlineStr">
        <is>
          <t>TradingView - Biểu đồ USD/VND</t>
        </is>
      </c>
      <c r="AA62" t="inlineStr">
        <is>
          <t>19/07/2026</t>
        </is>
      </c>
    </row>
    <row r="63">
      <c r="AA63" t="inlineStr">
        <is>
          <t>18/07/2026</t>
        </is>
      </c>
    </row>
    <row r="64">
      <c r="B64" s="134" t="inlineStr">
        <is>
          <t>Nguồn: Ngân hàng TMCP Ngoại thương Việt Nam (Vietcombank)</t>
        </is>
      </c>
      <c r="AA64" t="inlineStr">
        <is>
          <t>17/07/2026</t>
        </is>
      </c>
    </row>
    <row r="65">
      <c r="AA65" t="inlineStr">
        <is>
          <t>16/07/2026</t>
        </is>
      </c>
    </row>
    <row r="66">
      <c r="AA66" t="inlineStr">
        <is>
          <t>15/07/2026</t>
        </is>
      </c>
    </row>
    <row r="67">
      <c r="AA67" t="inlineStr">
        <is>
          <t>14/07/2026</t>
        </is>
      </c>
    </row>
    <row r="68">
      <c r="AA68" t="inlineStr">
        <is>
          <t>13/07/2026</t>
        </is>
      </c>
    </row>
    <row r="69">
      <c r="AA69" t="inlineStr">
        <is>
          <t>12/07/2026</t>
        </is>
      </c>
    </row>
    <row r="70">
      <c r="AA70" t="inlineStr">
        <is>
          <t>11/07/2026</t>
        </is>
      </c>
    </row>
    <row r="71">
      <c r="AA71" t="inlineStr">
        <is>
          <t>10/07/2026</t>
        </is>
      </c>
    </row>
    <row r="72">
      <c r="AA72" t="inlineStr">
        <is>
          <t>09/07/2026</t>
        </is>
      </c>
    </row>
    <row r="73">
      <c r="AA73" t="inlineStr">
        <is>
          <t>08/07/2026</t>
        </is>
      </c>
    </row>
    <row r="74">
      <c r="AA74" t="inlineStr">
        <is>
          <t>07/07/2026</t>
        </is>
      </c>
    </row>
    <row r="75">
      <c r="AA75" t="inlineStr">
        <is>
          <t>06/07/2026</t>
        </is>
      </c>
    </row>
    <row r="76">
      <c r="AA76" t="inlineStr">
        <is>
          <t>05/07/2026</t>
        </is>
      </c>
    </row>
    <row r="77">
      <c r="AA77" t="inlineStr">
        <is>
          <t>04/07/2026</t>
        </is>
      </c>
    </row>
    <row r="78">
      <c r="AA78" t="inlineStr">
        <is>
          <t>03/07/2026</t>
        </is>
      </c>
    </row>
    <row r="79">
      <c r="AA79" t="inlineStr">
        <is>
          <t>02/07/2026</t>
        </is>
      </c>
    </row>
    <row r="80">
      <c r="AA80" t="inlineStr">
        <is>
          <t>01/07/2026</t>
        </is>
      </c>
    </row>
    <row r="81">
      <c r="AA81" t="inlineStr">
        <is>
          <t>30/06/2026</t>
        </is>
      </c>
    </row>
    <row r="82">
      <c r="AA82" t="inlineStr">
        <is>
          <t>29/06/2026</t>
        </is>
      </c>
    </row>
    <row r="83">
      <c r="AA83" t="inlineStr">
        <is>
          <t>28/06/2026</t>
        </is>
      </c>
    </row>
    <row r="84">
      <c r="AA84" t="inlineStr">
        <is>
          <t>27/06/2026</t>
        </is>
      </c>
    </row>
    <row r="85">
      <c r="AA85" t="inlineStr">
        <is>
          <t>26/06/2026</t>
        </is>
      </c>
    </row>
    <row r="86">
      <c r="AA86" t="inlineStr">
        <is>
          <t>25/06/2026</t>
        </is>
      </c>
    </row>
    <row r="87">
      <c r="AA87" t="inlineStr">
        <is>
          <t>24/06/2026</t>
        </is>
      </c>
    </row>
    <row r="88">
      <c r="AA88" t="inlineStr">
        <is>
          <t>23/06/2026</t>
        </is>
      </c>
    </row>
    <row r="89">
      <c r="AA89" t="inlineStr">
        <is>
          <t>22/06/2026</t>
        </is>
      </c>
    </row>
    <row r="90">
      <c r="AA90" t="inlineStr">
        <is>
          <t>21/06/2026</t>
        </is>
      </c>
    </row>
    <row r="91">
      <c r="AA91" t="inlineStr">
        <is>
          <t>19/06/2026</t>
        </is>
      </c>
    </row>
    <row r="92">
      <c r="AA92" t="inlineStr">
        <is>
          <t>18/06/2026</t>
        </is>
      </c>
    </row>
    <row r="93">
      <c r="AA93" t="inlineStr">
        <is>
          <t>17/06/2026</t>
        </is>
      </c>
    </row>
    <row r="94">
      <c r="AA94" t="inlineStr">
        <is>
          <t>16/06/2026</t>
        </is>
      </c>
    </row>
    <row r="95">
      <c r="AA95" t="inlineStr">
        <is>
          <t>14/06/2026</t>
        </is>
      </c>
    </row>
    <row r="96">
      <c r="AA96" t="inlineStr">
        <is>
          <t>13/06/2026</t>
        </is>
      </c>
    </row>
    <row r="97">
      <c r="AA97" t="inlineStr">
        <is>
          <t>12/06/2026</t>
        </is>
      </c>
    </row>
    <row r="98">
      <c r="AA98" t="inlineStr">
        <is>
          <t>11/06/2026</t>
        </is>
      </c>
    </row>
    <row r="99">
      <c r="AA99" t="inlineStr">
        <is>
          <t>10/06/2026</t>
        </is>
      </c>
    </row>
    <row r="100">
      <c r="AA100" t="inlineStr">
        <is>
          <t>09/06/2026</t>
        </is>
      </c>
    </row>
    <row r="101">
      <c r="AA101" t="inlineStr">
        <is>
          <t>08/06/2026</t>
        </is>
      </c>
    </row>
    <row r="102">
      <c r="AA102" t="inlineStr">
        <is>
          <t>06/06/2026</t>
        </is>
      </c>
    </row>
    <row r="103">
      <c r="AA103" t="inlineStr">
        <is>
          <t>05/06/2026</t>
        </is>
      </c>
    </row>
    <row r="104">
      <c r="AA104" t="inlineStr">
        <is>
          <t>04/06/2026</t>
        </is>
      </c>
    </row>
    <row r="105">
      <c r="AA105" t="inlineStr">
        <is>
          <t>03/06/2026</t>
        </is>
      </c>
    </row>
    <row r="106">
      <c r="AA106" t="inlineStr">
        <is>
          <t>02/06/2026</t>
        </is>
      </c>
    </row>
    <row r="107">
      <c r="AA107" t="inlineStr">
        <is>
          <t>01/06/2026</t>
        </is>
      </c>
    </row>
    <row r="108">
      <c r="AA108" t="inlineStr">
        <is>
          <t>30/05/2026</t>
        </is>
      </c>
    </row>
    <row r="109">
      <c r="AA109" t="inlineStr">
        <is>
          <t>29/05/2026</t>
        </is>
      </c>
    </row>
    <row r="110">
      <c r="AA110" t="inlineStr">
        <is>
          <t>28/05/2026</t>
        </is>
      </c>
    </row>
    <row r="111">
      <c r="AA111" t="inlineStr">
        <is>
          <t>27/05/2026</t>
        </is>
      </c>
    </row>
    <row r="112">
      <c r="AA112" t="inlineStr">
        <is>
          <t>26/05/2026</t>
        </is>
      </c>
    </row>
    <row r="113">
      <c r="AA113" t="inlineStr">
        <is>
          <t>25/05/2026</t>
        </is>
      </c>
    </row>
    <row r="114">
      <c r="AA114" t="inlineStr">
        <is>
          <t>24/05/2026</t>
        </is>
      </c>
    </row>
    <row r="115">
      <c r="AA115" t="inlineStr">
        <is>
          <t>23/05/2026</t>
        </is>
      </c>
    </row>
    <row r="116">
      <c r="AA116" t="inlineStr">
        <is>
          <t>22/05/2026</t>
        </is>
      </c>
    </row>
    <row r="117">
      <c r="AA117" t="inlineStr">
        <is>
          <t>21/05/2026</t>
        </is>
      </c>
    </row>
    <row r="118">
      <c r="AA118" t="inlineStr">
        <is>
          <t>20/05/2026</t>
        </is>
      </c>
    </row>
    <row r="119">
      <c r="AA119" t="inlineStr">
        <is>
          <t>19/05/2026</t>
        </is>
      </c>
    </row>
    <row r="120">
      <c r="AA120" t="inlineStr">
        <is>
          <t>18/05/2026</t>
        </is>
      </c>
    </row>
    <row r="121">
      <c r="AA121" t="inlineStr">
        <is>
          <t>17/05/2026</t>
        </is>
      </c>
    </row>
    <row r="122">
      <c r="AA122" t="inlineStr">
        <is>
          <t>16/05/2026</t>
        </is>
      </c>
    </row>
    <row r="123">
      <c r="AA123" t="inlineStr">
        <is>
          <t>15/05/2026</t>
        </is>
      </c>
    </row>
    <row r="124">
      <c r="AA124" t="inlineStr">
        <is>
          <t>14/05/2026</t>
        </is>
      </c>
    </row>
    <row r="125">
      <c r="AA125" t="inlineStr">
        <is>
          <t>13/05/2026</t>
        </is>
      </c>
    </row>
    <row r="126">
      <c r="AA126" t="inlineStr">
        <is>
          <t>12/05/2026</t>
        </is>
      </c>
    </row>
    <row r="127">
      <c r="AA127" t="inlineStr">
        <is>
          <t>11/05/2026</t>
        </is>
      </c>
    </row>
    <row r="128">
      <c r="AA128" t="inlineStr">
        <is>
          <t>10/05/2026</t>
        </is>
      </c>
    </row>
    <row r="129">
      <c r="AA129" t="inlineStr">
        <is>
          <t>09/05/2026</t>
        </is>
      </c>
    </row>
    <row r="130">
      <c r="AA130" t="inlineStr">
        <is>
          <t>08/05/2026</t>
        </is>
      </c>
    </row>
    <row r="131">
      <c r="AA131" t="inlineStr">
        <is>
          <t>07/05/2026</t>
        </is>
      </c>
    </row>
    <row r="132">
      <c r="AA132" t="inlineStr">
        <is>
          <t>06/05/2026</t>
        </is>
      </c>
    </row>
    <row r="133">
      <c r="AA133" t="inlineStr">
        <is>
          <t>05/05/2026</t>
        </is>
      </c>
    </row>
    <row r="134">
      <c r="AA134" t="inlineStr">
        <is>
          <t>04/05/2026</t>
        </is>
      </c>
    </row>
    <row r="135">
      <c r="AA135" t="inlineStr">
        <is>
          <t>03/05/2026</t>
        </is>
      </c>
    </row>
    <row r="136">
      <c r="AA136" t="inlineStr">
        <is>
          <t>02/05/2026</t>
        </is>
      </c>
    </row>
    <row r="137">
      <c r="AA137" t="inlineStr">
        <is>
          <t>01/05/2026</t>
        </is>
      </c>
    </row>
    <row r="138">
      <c r="AA138" t="inlineStr">
        <is>
          <t>30/04/2026</t>
        </is>
      </c>
    </row>
    <row r="139">
      <c r="AA139" t="inlineStr">
        <is>
          <t>29/04/2026</t>
        </is>
      </c>
    </row>
    <row r="140">
      <c r="AA140" t="inlineStr">
        <is>
          <t>28/04/2026</t>
        </is>
      </c>
    </row>
    <row r="141">
      <c r="AA141" t="inlineStr">
        <is>
          <t>27/04/2026</t>
        </is>
      </c>
    </row>
    <row r="142">
      <c r="AA142" t="inlineStr">
        <is>
          <t>26/04/2026</t>
        </is>
      </c>
    </row>
    <row r="143">
      <c r="AA143" t="inlineStr">
        <is>
          <t>25/04/2026</t>
        </is>
      </c>
    </row>
    <row r="144">
      <c r="AA144" t="inlineStr">
        <is>
          <t>24/04/2026</t>
        </is>
      </c>
    </row>
    <row r="145">
      <c r="AA145" t="inlineStr">
        <is>
          <t>23/04/2026</t>
        </is>
      </c>
    </row>
    <row r="146">
      <c r="AA146" t="inlineStr">
        <is>
          <t>22/04/2026</t>
        </is>
      </c>
    </row>
    <row r="147">
      <c r="AA147" t="inlineStr">
        <is>
          <t>21/04/2026</t>
        </is>
      </c>
    </row>
    <row r="148">
      <c r="AA148" t="inlineStr">
        <is>
          <t>20/04/2026</t>
        </is>
      </c>
    </row>
    <row r="149">
      <c r="AA149" t="inlineStr">
        <is>
          <t>19/04/2026</t>
        </is>
      </c>
    </row>
    <row r="150">
      <c r="AA150" t="inlineStr">
        <is>
          <t>18/04/2026</t>
        </is>
      </c>
    </row>
    <row r="151">
      <c r="AA151" t="inlineStr">
        <is>
          <t>17/04/2026</t>
        </is>
      </c>
    </row>
    <row r="152">
      <c r="AA152" t="inlineStr">
        <is>
          <t>16/04/2026</t>
        </is>
      </c>
    </row>
    <row r="153">
      <c r="AA153" t="inlineStr">
        <is>
          <t>15/04/2026</t>
        </is>
      </c>
    </row>
    <row r="154">
      <c r="AA154" t="inlineStr">
        <is>
          <t>14/04/2026</t>
        </is>
      </c>
    </row>
    <row r="155">
      <c r="AA155" t="inlineStr">
        <is>
          <t>13/04/2026</t>
        </is>
      </c>
    </row>
    <row r="156">
      <c r="AA156" t="inlineStr">
        <is>
          <t>12/04/2026</t>
        </is>
      </c>
    </row>
    <row r="157">
      <c r="AA157" t="inlineStr">
        <is>
          <t>11/04/2026</t>
        </is>
      </c>
    </row>
    <row r="158">
      <c r="AA158" t="inlineStr">
        <is>
          <t>10/04/2026</t>
        </is>
      </c>
    </row>
    <row r="159">
      <c r="AA159" t="inlineStr">
        <is>
          <t>09/04/2026</t>
        </is>
      </c>
    </row>
    <row r="160">
      <c r="AA160" t="inlineStr">
        <is>
          <t>08/04/2026</t>
        </is>
      </c>
    </row>
    <row r="161">
      <c r="AA161" t="inlineStr">
        <is>
          <t>07/04/2026</t>
        </is>
      </c>
    </row>
    <row r="162">
      <c r="AA162" t="inlineStr">
        <is>
          <t>06/04/2026</t>
        </is>
      </c>
    </row>
    <row r="163">
      <c r="AA163" t="inlineStr">
        <is>
          <t>05/04/2026</t>
        </is>
      </c>
    </row>
    <row r="164">
      <c r="AA164" t="inlineStr">
        <is>
          <t>04/04/2026</t>
        </is>
      </c>
    </row>
    <row r="165">
      <c r="AA165" t="inlineStr">
        <is>
          <t>03/04/2026</t>
        </is>
      </c>
    </row>
    <row r="166">
      <c r="AA166" t="inlineStr">
        <is>
          <t>02/04/2026</t>
        </is>
      </c>
    </row>
    <row r="167">
      <c r="AA167" t="inlineStr">
        <is>
          <t>01/04/2026</t>
        </is>
      </c>
    </row>
    <row r="168">
      <c r="AA168" t="inlineStr">
        <is>
          <t>31/03/2026</t>
        </is>
      </c>
    </row>
    <row r="169">
      <c r="AA169" t="inlineStr">
        <is>
          <t>30/03/2026</t>
        </is>
      </c>
    </row>
    <row r="170">
      <c r="AA170" t="inlineStr">
        <is>
          <t>29/03/2026</t>
        </is>
      </c>
    </row>
    <row r="171">
      <c r="AA171" t="inlineStr">
        <is>
          <t>28/03/2026</t>
        </is>
      </c>
    </row>
    <row r="172">
      <c r="AA172" t="inlineStr">
        <is>
          <t>27/03/2026</t>
        </is>
      </c>
    </row>
    <row r="173">
      <c r="AA173" t="inlineStr">
        <is>
          <t>26/03/2026</t>
        </is>
      </c>
    </row>
    <row r="174">
      <c r="AA174" t="inlineStr">
        <is>
          <t>25/03/2026</t>
        </is>
      </c>
    </row>
    <row r="175">
      <c r="AA175" t="inlineStr">
        <is>
          <t>24/03/2026</t>
        </is>
      </c>
    </row>
    <row r="176">
      <c r="AA176" t="inlineStr">
        <is>
          <t>23/03/2026</t>
        </is>
      </c>
    </row>
    <row r="177">
      <c r="AA177" t="inlineStr">
        <is>
          <t>22/03/2026</t>
        </is>
      </c>
    </row>
    <row r="178">
      <c r="AA178" t="inlineStr">
        <is>
          <t>21/03/2026</t>
        </is>
      </c>
    </row>
    <row r="179">
      <c r="AA179" t="inlineStr">
        <is>
          <t>20/03/2026</t>
        </is>
      </c>
    </row>
    <row r="180">
      <c r="AA180" t="inlineStr">
        <is>
          <t>19/03/2026</t>
        </is>
      </c>
    </row>
    <row r="181">
      <c r="AA181" t="inlineStr">
        <is>
          <t>18/03/2026</t>
        </is>
      </c>
    </row>
    <row r="182">
      <c r="AA182" t="inlineStr">
        <is>
          <t>17/03/2026</t>
        </is>
      </c>
    </row>
    <row r="183">
      <c r="AA183" t="inlineStr">
        <is>
          <t>16/03/2026</t>
        </is>
      </c>
    </row>
    <row r="184">
      <c r="AA184" t="inlineStr">
        <is>
          <t>15/03/2026</t>
        </is>
      </c>
    </row>
    <row r="185">
      <c r="AA185" t="inlineStr">
        <is>
          <t>14/03/2026</t>
        </is>
      </c>
    </row>
    <row r="186">
      <c r="AA186" t="inlineStr">
        <is>
          <t>13/03/2026</t>
        </is>
      </c>
    </row>
    <row r="187">
      <c r="AA187" t="inlineStr">
        <is>
          <t>12/03/2026</t>
        </is>
      </c>
    </row>
    <row r="188">
      <c r="AA188" t="inlineStr">
        <is>
          <t>11/03/2026</t>
        </is>
      </c>
    </row>
    <row r="189">
      <c r="AA189" t="inlineStr">
        <is>
          <t>10/03/2026</t>
        </is>
      </c>
    </row>
    <row r="190">
      <c r="AA190" t="inlineStr">
        <is>
          <t>09/03/2026</t>
        </is>
      </c>
    </row>
    <row r="191">
      <c r="AA191" t="inlineStr">
        <is>
          <t>08/03/2026</t>
        </is>
      </c>
    </row>
    <row r="192">
      <c r="AA192" t="inlineStr">
        <is>
          <t>07/03/2026</t>
        </is>
      </c>
    </row>
    <row r="193">
      <c r="AA193" t="inlineStr">
        <is>
          <t>06/03/2026</t>
        </is>
      </c>
    </row>
    <row r="194">
      <c r="AA194" t="inlineStr">
        <is>
          <t>05/03/2026</t>
        </is>
      </c>
    </row>
    <row r="195">
      <c r="AA195" t="inlineStr">
        <is>
          <t>04/03/2026</t>
        </is>
      </c>
    </row>
    <row r="196">
      <c r="AA196" t="inlineStr">
        <is>
          <t>03/03/2026</t>
        </is>
      </c>
    </row>
    <row r="197">
      <c r="AA197" t="inlineStr">
        <is>
          <t>02/03/2026</t>
        </is>
      </c>
    </row>
    <row r="198">
      <c r="AA198" t="inlineStr">
        <is>
          <t>01/03/2026</t>
        </is>
      </c>
    </row>
    <row r="199">
      <c r="AA199" t="inlineStr">
        <is>
          <t>28/02/2026</t>
        </is>
      </c>
    </row>
    <row r="200">
      <c r="AA200" t="inlineStr">
        <is>
          <t>27/02/2026</t>
        </is>
      </c>
    </row>
    <row r="201">
      <c r="AA201" t="inlineStr">
        <is>
          <t>26/02/2026</t>
        </is>
      </c>
    </row>
    <row r="202">
      <c r="AA202" t="inlineStr">
        <is>
          <t>25/02/2026</t>
        </is>
      </c>
    </row>
    <row r="203">
      <c r="AA203" t="inlineStr">
        <is>
          <t>24/02/2026</t>
        </is>
      </c>
    </row>
    <row r="204">
      <c r="AA204" t="inlineStr">
        <is>
          <t>23/02/2026</t>
        </is>
      </c>
    </row>
    <row r="205">
      <c r="AA205" t="inlineStr">
        <is>
          <t>22/02/2026</t>
        </is>
      </c>
    </row>
    <row r="206">
      <c r="AA206" t="inlineStr">
        <is>
          <t>21/02/2026</t>
        </is>
      </c>
    </row>
    <row r="207">
      <c r="AA207" t="inlineStr">
        <is>
          <t>20/02/2026</t>
        </is>
      </c>
    </row>
    <row r="208">
      <c r="AA208" t="inlineStr">
        <is>
          <t>19/02/2026</t>
        </is>
      </c>
    </row>
    <row r="209">
      <c r="AA209" t="inlineStr">
        <is>
          <t>18/02/2026</t>
        </is>
      </c>
    </row>
    <row r="210">
      <c r="AA210" t="inlineStr">
        <is>
          <t>17/02/2026</t>
        </is>
      </c>
    </row>
    <row r="211">
      <c r="AA211" t="inlineStr">
        <is>
          <t>16/02/2026</t>
        </is>
      </c>
    </row>
    <row r="212">
      <c r="AA212" t="inlineStr">
        <is>
          <t>15/02/2026</t>
        </is>
      </c>
    </row>
    <row r="213">
      <c r="AA213" t="inlineStr">
        <is>
          <t>14/02/2026</t>
        </is>
      </c>
    </row>
    <row r="214">
      <c r="AA214" t="inlineStr">
        <is>
          <t>13/02/2026</t>
        </is>
      </c>
    </row>
    <row r="215">
      <c r="AA215" t="inlineStr">
        <is>
          <t>12/02/2026</t>
        </is>
      </c>
    </row>
    <row r="216">
      <c r="AA216" t="inlineStr">
        <is>
          <t>11/02/2026</t>
        </is>
      </c>
    </row>
    <row r="217">
      <c r="AA217" t="inlineStr">
        <is>
          <t>10/02/2026</t>
        </is>
      </c>
    </row>
    <row r="218">
      <c r="AA218" t="inlineStr">
        <is>
          <t>09/02/2026</t>
        </is>
      </c>
    </row>
    <row r="219">
      <c r="AA219" t="inlineStr">
        <is>
          <t>08/02/2026</t>
        </is>
      </c>
    </row>
    <row r="220">
      <c r="AA220" t="inlineStr">
        <is>
          <t>07/02/2026</t>
        </is>
      </c>
    </row>
    <row r="221">
      <c r="AA221" t="inlineStr">
        <is>
          <t>06/02/2026</t>
        </is>
      </c>
    </row>
    <row r="222">
      <c r="AA222" t="inlineStr">
        <is>
          <t>05/02/2026</t>
        </is>
      </c>
    </row>
    <row r="223">
      <c r="AA223" t="inlineStr">
        <is>
          <t>04/02/2026</t>
        </is>
      </c>
    </row>
    <row r="224">
      <c r="AA224" t="inlineStr">
        <is>
          <t>03/02/2026</t>
        </is>
      </c>
    </row>
    <row r="225">
      <c r="AA225" t="inlineStr">
        <is>
          <t>02/02/2026</t>
        </is>
      </c>
    </row>
    <row r="226">
      <c r="AA226" t="inlineStr">
        <is>
          <t>01/02/2026</t>
        </is>
      </c>
    </row>
    <row r="227">
      <c r="AA227" t="inlineStr">
        <is>
          <t>31/01/2026</t>
        </is>
      </c>
    </row>
    <row r="228">
      <c r="AA228" t="inlineStr">
        <is>
          <t>30/01/2026</t>
        </is>
      </c>
    </row>
    <row r="229">
      <c r="AA229" t="inlineStr">
        <is>
          <t>29/01/2026</t>
        </is>
      </c>
    </row>
    <row r="230">
      <c r="AA230" t="inlineStr">
        <is>
          <t>28/01/2026</t>
        </is>
      </c>
    </row>
    <row r="231">
      <c r="AA231" t="inlineStr">
        <is>
          <t>27/01/2026</t>
        </is>
      </c>
    </row>
    <row r="232">
      <c r="AA232" t="inlineStr">
        <is>
          <t>26/01/2026</t>
        </is>
      </c>
    </row>
    <row r="233">
      <c r="AA233" t="inlineStr">
        <is>
          <t>25/01/2026</t>
        </is>
      </c>
    </row>
    <row r="234">
      <c r="AA234" t="inlineStr">
        <is>
          <t>24/01/2026</t>
        </is>
      </c>
    </row>
    <row r="235">
      <c r="AA235" t="inlineStr">
        <is>
          <t>23/01/2026</t>
        </is>
      </c>
    </row>
    <row r="236">
      <c r="AA236" t="inlineStr">
        <is>
          <t>22/01/2026</t>
        </is>
      </c>
    </row>
    <row r="237">
      <c r="AA237" t="inlineStr">
        <is>
          <t>21/01/2026</t>
        </is>
      </c>
    </row>
    <row r="238">
      <c r="AA238" t="inlineStr">
        <is>
          <t>20/01/2026</t>
        </is>
      </c>
    </row>
    <row r="239">
      <c r="AA239" t="inlineStr">
        <is>
          <t>19/01/2026</t>
        </is>
      </c>
    </row>
    <row r="240">
      <c r="AA240" t="inlineStr">
        <is>
          <t>18/01/2026</t>
        </is>
      </c>
    </row>
    <row r="241">
      <c r="AA241" t="inlineStr">
        <is>
          <t>17/01/2026</t>
        </is>
      </c>
    </row>
    <row r="242">
      <c r="AA242" t="inlineStr">
        <is>
          <t>16/01/2026</t>
        </is>
      </c>
    </row>
    <row r="243">
      <c r="AA243" t="inlineStr">
        <is>
          <t>15/01/2026</t>
        </is>
      </c>
    </row>
    <row r="244">
      <c r="AA244" t="inlineStr">
        <is>
          <t>14/01/2026</t>
        </is>
      </c>
    </row>
    <row r="245">
      <c r="AA245" t="inlineStr">
        <is>
          <t>13/01/2026</t>
        </is>
      </c>
    </row>
    <row r="246">
      <c r="AA246" t="inlineStr">
        <is>
          <t>12/01/2026</t>
        </is>
      </c>
    </row>
    <row r="247">
      <c r="AA247" t="inlineStr">
        <is>
          <t>11/01/2026</t>
        </is>
      </c>
    </row>
    <row r="248">
      <c r="AA248" t="inlineStr">
        <is>
          <t>10/01/2026</t>
        </is>
      </c>
    </row>
    <row r="249">
      <c r="AA249" t="inlineStr">
        <is>
          <t>09/01/2026</t>
        </is>
      </c>
    </row>
    <row r="250">
      <c r="AA250" t="inlineStr">
        <is>
          <t>08/01/2026</t>
        </is>
      </c>
    </row>
    <row r="251">
      <c r="AA251" t="inlineStr">
        <is>
          <t>07/01/2026</t>
        </is>
      </c>
    </row>
    <row r="252">
      <c r="AA252" t="inlineStr">
        <is>
          <t>06/01/2026</t>
        </is>
      </c>
    </row>
    <row r="253">
      <c r="AA253" t="inlineStr">
        <is>
          <t>05/01/2026</t>
        </is>
      </c>
    </row>
    <row r="254">
      <c r="AA254" t="inlineStr">
        <is>
          <t>04/01/2026</t>
        </is>
      </c>
    </row>
    <row r="255">
      <c r="AA255" t="inlineStr">
        <is>
          <t>03/01/2026</t>
        </is>
      </c>
    </row>
    <row r="256">
      <c r="AA256" t="inlineStr">
        <is>
          <t>02/01/2026</t>
        </is>
      </c>
    </row>
    <row r="257">
      <c r="AA257" t="inlineStr">
        <is>
          <t>01/01/2026</t>
        </is>
      </c>
    </row>
  </sheetData>
  <mergeCells count="7">
    <mergeCell ref="B61:K61"/>
    <mergeCell ref="B29:F29"/>
    <mergeCell ref="B62:K62"/>
    <mergeCell ref="B2:K2"/>
    <mergeCell ref="B64:K64"/>
    <mergeCell ref="B59:K59"/>
    <mergeCell ref="B60:K60"/>
  </mergeCells>
  <conditionalFormatting sqref="H7:H26">
    <cfRule type="expression" priority="1" dxfId="27">
      <formula>H7&gt;0.5</formula>
    </cfRule>
    <cfRule type="expression" priority="2" dxfId="28">
      <formula>H7&lt;-0.5</formula>
    </cfRule>
    <cfRule type="cellIs" priority="3" operator="greaterThan" dxfId="29">
      <formula>0</formula>
    </cfRule>
    <cfRule type="cellIs" priority="4" operator="lessThan" dxfId="30">
      <formula>0</formula>
    </cfRule>
  </conditionalFormatting>
  <conditionalFormatting sqref="K7:K26">
    <cfRule type="expression" priority="5" dxfId="27">
      <formula>K7&gt;0.5</formula>
    </cfRule>
    <cfRule type="expression" priority="6" dxfId="28">
      <formula>K7&lt;-0.5</formula>
    </cfRule>
    <cfRule type="cellIs" priority="7" operator="greaterThan" dxfId="29">
      <formula>0</formula>
    </cfRule>
    <cfRule type="cellIs" priority="8" operator="lessThan" dxfId="30">
      <formula>0</formula>
    </cfRule>
  </conditionalFormatting>
  <conditionalFormatting sqref="J7:J26">
    <cfRule type="cellIs" priority="9" operator="greaterThan" dxfId="29">
      <formula>0</formula>
    </cfRule>
    <cfRule type="cellIs" priority="10" operator="lessThan" dxfId="30">
      <formula>0</formula>
    </cfRule>
  </conditionalFormatting>
  <dataValidations count="3">
    <dataValidation sqref="B4" showDropDown="0" showInputMessage="1" showErrorMessage="1" allowBlank="0" errorTitle="Ngày không hợp lệ" error="Vui lòng chọn ngày từ danh sách" promptTitle="Chọn ngày" prompt="Chọn ngày để xem tỷ giá" type="list">
      <formula1>=$AA$1:$AA$257</formula1>
    </dataValidation>
    <dataValidation sqref="E4" showDropDown="0" showInputMessage="1" showErrorMessage="1" allowBlank="0" promptTitle="Ngày so sánh" prompt="Chọn ngày để so sánh" type="list">
      <formula1>=$AA$1:$AA$257</formula1>
    </dataValidation>
    <dataValidation sqref="C30" showDropDown="0" showInputMessage="1" showErrorMessage="1" allowBlank="0" promptTitle="Chọn ngoại tệ" prompt="Chọn ngoại tệ để xem biểu đồ" type="list">
      <formula1>=$AB$1:$AB$20</formula1>
    </dataValidation>
  </dataValidations>
  <hyperlinks>
    <hyperlink xmlns:r="http://schemas.openxmlformats.org/officeDocument/2006/relationships" ref="B60" r:id="rId1"/>
    <hyperlink xmlns:r="http://schemas.openxmlformats.org/officeDocument/2006/relationships" ref="B61" r:id="rId2"/>
    <hyperlink xmlns:r="http://schemas.openxmlformats.org/officeDocument/2006/relationships" ref="B62" r:id="rId3"/>
  </hyperlinks>
  <pageMargins left="0.75" right="0.75" top="1" bottom="1" header="0.5" footer="0.5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A261"/>
  <sheetViews>
    <sheetView showGridLines="0" topLeftCell="A8" workbookViewId="0">
      <selection activeCell="B4" sqref="B4"/>
    </sheetView>
  </sheetViews>
  <sheetFormatPr baseColWidth="8" defaultRowHeight="15"/>
  <cols>
    <col width="3" customWidth="1" style="72" min="1" max="1"/>
    <col width="24" customWidth="1" style="72" min="2" max="2"/>
    <col width="18" customWidth="1" style="72" min="3" max="3"/>
    <col width="20" customWidth="1" style="72" min="4" max="4"/>
    <col width="18" customWidth="1" style="72" min="5" max="5"/>
    <col width="22" customWidth="1" style="72" min="6" max="6"/>
    <col width="18" customWidth="1" style="72" min="7" max="8"/>
    <col width="18" customWidth="1" style="72" min="8" max="8"/>
    <col width="16" customWidth="1" style="72" min="9" max="9"/>
    <col width="3" customWidth="1" style="72" min="10" max="10"/>
    <col hidden="1" width="13" customWidth="1" style="72" min="27" max="27"/>
  </cols>
  <sheetData>
    <row r="1">
      <c r="AA1" t="inlineStr">
        <is>
          <t>18/09/2026</t>
        </is>
      </c>
    </row>
    <row r="2" ht="36" customHeight="1" s="72">
      <c r="B2" s="135" t="inlineStr">
        <is>
          <t>BẢNG ĐIỀU HÀNH TỶ GIÁ USD/VND (EXECUTIVE DASHBOARD)</t>
        </is>
      </c>
      <c r="AA2" t="inlineStr">
        <is>
          <t>17/09/2026</t>
        </is>
      </c>
    </row>
    <row r="3" ht="20" customHeight="1" s="72">
      <c r="B3" s="136" t="inlineStr">
        <is>
          <t>Theo dõi, phân tích và so sánh biến động tỷ giá giữa 15 ngân hàng thương mại hàng đầu Việt Nam</t>
        </is>
      </c>
      <c r="AA3" t="inlineStr">
        <is>
          <t>16/09/2026</t>
        </is>
      </c>
    </row>
    <row r="4" ht="32" customHeight="1" s="72">
      <c r="B4" s="137" t="inlineStr">
        <is>
          <t>18/09/2026</t>
        </is>
      </c>
      <c r="C4" s="136" t="inlineStr">
        <is>
          <t>📅 Ngày xem tỷ giá</t>
        </is>
      </c>
      <c r="E4" s="138" t="inlineStr">
        <is>
          <t>17/09/2026</t>
        </is>
      </c>
      <c r="F4" s="136" t="inlineStr">
        <is>
          <t>📅 So sánh với ngày</t>
        </is>
      </c>
      <c r="H4" s="139" t="inlineStr">
        <is>
          <t>🏛️ Quy mô: 15 Ngân hàng</t>
        </is>
      </c>
      <c r="I4" s="197" t="n"/>
      <c r="AA4" t="inlineStr">
        <is>
          <t>15/09/2026</t>
        </is>
      </c>
    </row>
    <row r="5" ht="10" customHeight="1" s="72">
      <c r="AA5" t="inlineStr">
        <is>
          <t>14/09/2026</t>
        </is>
      </c>
    </row>
    <row r="6" ht="20" customHeight="1" s="72">
      <c r="B6" s="141" t="inlineStr">
        <is>
          <t>🏆 BÁN THẤP NHẤT (MUA TỐT)</t>
        </is>
      </c>
      <c r="C6" s="198" t="n"/>
      <c r="D6" s="143" t="inlineStr">
        <is>
          <t>💰 MUA TIỀN MẶT CAO NHẤT</t>
        </is>
      </c>
      <c r="E6" s="199" t="n"/>
      <c r="F6" s="145" t="inlineStr">
        <is>
          <t>💳 MUA CHUYỂN KHOẢN CAO NHẤT</t>
        </is>
      </c>
      <c r="G6" s="200" t="n"/>
      <c r="H6" s="147" t="inlineStr">
        <is>
          <t>📊 SPREAD MUA - BÁN TB</t>
        </is>
      </c>
      <c r="I6" s="201" t="n"/>
      <c r="AA6" t="inlineStr">
        <is>
          <t>13/09/2026</t>
        </is>
      </c>
    </row>
    <row r="7" ht="28" customHeight="1" s="72">
      <c r="B7" s="149">
        <f>MIN(E12:E26)</f>
        <v/>
      </c>
      <c r="C7" s="198" t="n"/>
      <c r="D7" s="150">
        <f>MAX(C12:C26)</f>
        <v/>
      </c>
      <c r="E7" s="199" t="n"/>
      <c r="F7" s="151">
        <f>MAX(D12:D26)</f>
        <v/>
      </c>
      <c r="G7" s="200" t="n"/>
      <c r="H7" s="152">
        <f>AVERAGE(F12:F26)</f>
        <v/>
      </c>
      <c r="I7" s="201" t="n"/>
      <c r="AA7" t="inlineStr">
        <is>
          <t>12/09/2026</t>
        </is>
      </c>
    </row>
    <row r="8" ht="20" customHeight="1" s="72">
      <c r="B8" s="153">
        <f>CONCATENATE("Tại: ", INDEX(B12:B26, MATCH(MIN(E12:E26), E12:E26, 0)))</f>
        <v/>
      </c>
      <c r="C8" s="198" t="n"/>
      <c r="D8" s="154">
        <f>CONCATENATE("Tại: ", INDEX(B12:B26, MATCH(MAX(C12:C26), C12:C26, 0)))</f>
        <v/>
      </c>
      <c r="E8" s="199" t="n"/>
      <c r="F8" s="155">
        <f>CONCATENATE("Tại: ", INDEX(B12:B26, MATCH(MAX(D12:D26), D12:D26, 0)))</f>
        <v/>
      </c>
      <c r="G8" s="200" t="n"/>
      <c r="H8" s="156" t="inlineStr">
        <is>
          <t>Chênh lệch trung bình thị trường</t>
        </is>
      </c>
      <c r="I8" s="201" t="n"/>
      <c r="AA8" t="inlineStr">
        <is>
          <t>11/09/2026</t>
        </is>
      </c>
    </row>
    <row r="9" ht="12" customHeight="1" s="72">
      <c r="AA9" t="inlineStr">
        <is>
          <t>10/09/2026</t>
        </is>
      </c>
    </row>
    <row r="10" ht="24" customHeight="1" s="72">
      <c r="B10" s="157" t="inlineStr">
        <is>
          <t>📋 MA TRẬN SO SÁNH TỶ GIÁ CHI TIẾT 15 NGÂN HÀNG</t>
        </is>
      </c>
      <c r="AA10" t="inlineStr">
        <is>
          <t>09/09/2026</t>
        </is>
      </c>
    </row>
    <row r="11" ht="32" customHeight="1" s="72">
      <c r="B11" s="158" t="inlineStr">
        <is>
          <t>Ngân hàng</t>
        </is>
      </c>
      <c r="C11" s="158" t="inlineStr">
        <is>
          <t>Mua tiền mặt</t>
        </is>
      </c>
      <c r="D11" s="158" t="inlineStr">
        <is>
          <t>Mua chuyển khoản</t>
        </is>
      </c>
      <c r="E11" s="158" t="inlineStr">
        <is>
          <t>Bán</t>
        </is>
      </c>
      <c r="F11" s="158" t="inlineStr">
        <is>
          <t>Chênh lệch Mua-Bán</t>
        </is>
      </c>
      <c r="G11" s="159" t="inlineStr">
        <is>
          <t>Bán (SS)</t>
        </is>
      </c>
      <c r="H11" s="159" t="inlineStr">
        <is>
          <t>Chênh lệch</t>
        </is>
      </c>
      <c r="I11" s="159" t="inlineStr">
        <is>
          <t>% So sánh</t>
        </is>
      </c>
      <c r="AA11" t="inlineStr">
        <is>
          <t>08/09/2026</t>
        </is>
      </c>
    </row>
    <row r="12" ht="26" customHeight="1" s="72">
      <c r="B12" s="160" t="inlineStr">
        <is>
          <t>Vietcombank</t>
        </is>
      </c>
      <c r="C12" s="161">
        <f>IF(SUMIFS(Data_TheoDoi_USD!$C$2:$C$10000, Data_TheoDoi_USD!$A$2:$A$10000, $B$4, Data_TheoDoi_USD!$B$2:$B$10000, $B12)=0, "-", SUMIFS(Data_TheoDoi_USD!$C$2:$C$10000, Data_TheoDoi_USD!$A$2:$A$10000, $B$4, Data_TheoDoi_USD!$B$2:$B$10000, $B12))</f>
        <v/>
      </c>
      <c r="D12" s="161">
        <f>IF(SUMIFS(Data_TheoDoi_USD!$D$2:$D$10000, Data_TheoDoi_USD!$A$2:$A$10000, $B$4, Data_TheoDoi_USD!$B$2:$B$10000, $B12)=0, "-", SUMIFS(Data_TheoDoi_USD!$D$2:$D$10000, Data_TheoDoi_USD!$A$2:$A$10000, $B$4, Data_TheoDoi_USD!$B$2:$B$10000, $B12))</f>
        <v/>
      </c>
      <c r="E12" s="162">
        <f>IF(SUMIFS(Data_TheoDoi_USD!$E$2:$E$10000, Data_TheoDoi_USD!$A$2:$A$10000, $B$4, Data_TheoDoi_USD!$B$2:$B$10000, $B12)=0, "-", SUMIFS(Data_TheoDoi_USD!$E$2:$E$10000, Data_TheoDoi_USD!$A$2:$A$10000, $B$4, Data_TheoDoi_USD!$B$2:$B$10000, $B12))</f>
        <v/>
      </c>
      <c r="F12" s="161">
        <f>IF(AND(ISNUMBER(E12), ISNUMBER(D12)), E12-D12, "-")</f>
        <v/>
      </c>
      <c r="G12" s="163">
        <f>IF(SUMIFS(Data_TheoDoi_USD!$E$2:$E$10000, Data_TheoDoi_USD!$A$2:$A$10000, $E$4, Data_TheoDoi_USD!$B$2:$B$10000, $B12)=0, "-", SUMIFS(Data_TheoDoi_USD!$E$2:$E$10000, Data_TheoDoi_USD!$A$2:$A$10000, $E$4, Data_TheoDoi_USD!$B$2:$B$10000, $B12))</f>
        <v/>
      </c>
      <c r="H12" s="164">
        <f>IF(AND(ISNUMBER(E12), ISNUMBER(G12)), E12-G12, "-")</f>
        <v/>
      </c>
      <c r="I12" s="165">
        <f>IF(AND(ISNUMBER(E12), ISNUMBER(G12), G12&lt;&gt;0), (E12-G12)/G12*100, "-")</f>
        <v/>
      </c>
      <c r="AA12" t="inlineStr">
        <is>
          <t>07/09/2026</t>
        </is>
      </c>
    </row>
    <row r="13" ht="26" customHeight="1" s="72">
      <c r="B13" s="166" t="inlineStr">
        <is>
          <t>VietinBank</t>
        </is>
      </c>
      <c r="C13" s="167">
        <f>IF(SUMIFS(Data_TheoDoi_USD!$C$2:$C$10000, Data_TheoDoi_USD!$A$2:$A$10000, $B$4, Data_TheoDoi_USD!$B$2:$B$10000, $B13)=0, "-", SUMIFS(Data_TheoDoi_USD!$C$2:$C$10000, Data_TheoDoi_USD!$A$2:$A$10000, $B$4, Data_TheoDoi_USD!$B$2:$B$10000, $B13))</f>
        <v/>
      </c>
      <c r="D13" s="167">
        <f>IF(SUMIFS(Data_TheoDoi_USD!$D$2:$D$10000, Data_TheoDoi_USD!$A$2:$A$10000, $B$4, Data_TheoDoi_USD!$B$2:$B$10000, $B13)=0, "-", SUMIFS(Data_TheoDoi_USD!$D$2:$D$10000, Data_TheoDoi_USD!$A$2:$A$10000, $B$4, Data_TheoDoi_USD!$B$2:$B$10000, $B13))</f>
        <v/>
      </c>
      <c r="E13" s="168">
        <f>IF(SUMIFS(Data_TheoDoi_USD!$E$2:$E$10000, Data_TheoDoi_USD!$A$2:$A$10000, $B$4, Data_TheoDoi_USD!$B$2:$B$10000, $B13)=0, "-", SUMIFS(Data_TheoDoi_USD!$E$2:$E$10000, Data_TheoDoi_USD!$A$2:$A$10000, $B$4, Data_TheoDoi_USD!$B$2:$B$10000, $B13))</f>
        <v/>
      </c>
      <c r="F13" s="167">
        <f>IF(AND(ISNUMBER(E13), ISNUMBER(D13)), E13-D13, "-")</f>
        <v/>
      </c>
      <c r="G13" s="169">
        <f>IF(SUMIFS(Data_TheoDoi_USD!$E$2:$E$10000, Data_TheoDoi_USD!$A$2:$A$10000, $E$4, Data_TheoDoi_USD!$B$2:$B$10000, $B13)=0, "-", SUMIFS(Data_TheoDoi_USD!$E$2:$E$10000, Data_TheoDoi_USD!$A$2:$A$10000, $E$4, Data_TheoDoi_USD!$B$2:$B$10000, $B13))</f>
        <v/>
      </c>
      <c r="H13" s="170">
        <f>IF(AND(ISNUMBER(E13), ISNUMBER(G13)), E13-G13, "-")</f>
        <v/>
      </c>
      <c r="I13" s="171">
        <f>IF(AND(ISNUMBER(E13), ISNUMBER(G13), G13&lt;&gt;0), (E13-G13)/G13*100, "-")</f>
        <v/>
      </c>
      <c r="AA13" t="inlineStr">
        <is>
          <t>06/09/2026</t>
        </is>
      </c>
    </row>
    <row r="14" ht="26" customHeight="1" s="72">
      <c r="B14" s="160" t="inlineStr">
        <is>
          <t>BIDV</t>
        </is>
      </c>
      <c r="C14" s="161">
        <f>IF(SUMIFS(Data_TheoDoi_USD!$C$2:$C$10000, Data_TheoDoi_USD!$A$2:$A$10000, $B$4, Data_TheoDoi_USD!$B$2:$B$10000, $B14)=0, "-", SUMIFS(Data_TheoDoi_USD!$C$2:$C$10000, Data_TheoDoi_USD!$A$2:$A$10000, $B$4, Data_TheoDoi_USD!$B$2:$B$10000, $B14))</f>
        <v/>
      </c>
      <c r="D14" s="161">
        <f>IF(SUMIFS(Data_TheoDoi_USD!$D$2:$D$10000, Data_TheoDoi_USD!$A$2:$A$10000, $B$4, Data_TheoDoi_USD!$B$2:$B$10000, $B14)=0, "-", SUMIFS(Data_TheoDoi_USD!$D$2:$D$10000, Data_TheoDoi_USD!$A$2:$A$10000, $B$4, Data_TheoDoi_USD!$B$2:$B$10000, $B14))</f>
        <v/>
      </c>
      <c r="E14" s="162">
        <f>IF(SUMIFS(Data_TheoDoi_USD!$E$2:$E$10000, Data_TheoDoi_USD!$A$2:$A$10000, $B$4, Data_TheoDoi_USD!$B$2:$B$10000, $B14)=0, "-", SUMIFS(Data_TheoDoi_USD!$E$2:$E$10000, Data_TheoDoi_USD!$A$2:$A$10000, $B$4, Data_TheoDoi_USD!$B$2:$B$10000, $B14))</f>
        <v/>
      </c>
      <c r="F14" s="161">
        <f>IF(AND(ISNUMBER(E14), ISNUMBER(D14)), E14-D14, "-")</f>
        <v/>
      </c>
      <c r="G14" s="163">
        <f>IF(SUMIFS(Data_TheoDoi_USD!$E$2:$E$10000, Data_TheoDoi_USD!$A$2:$A$10000, $E$4, Data_TheoDoi_USD!$B$2:$B$10000, $B14)=0, "-", SUMIFS(Data_TheoDoi_USD!$E$2:$E$10000, Data_TheoDoi_USD!$A$2:$A$10000, $E$4, Data_TheoDoi_USD!$B$2:$B$10000, $B14))</f>
        <v/>
      </c>
      <c r="H14" s="164">
        <f>IF(AND(ISNUMBER(E14), ISNUMBER(G14)), E14-G14, "-")</f>
        <v/>
      </c>
      <c r="I14" s="165">
        <f>IF(AND(ISNUMBER(E14), ISNUMBER(G14), G14&lt;&gt;0), (E14-G14)/G14*100, "-")</f>
        <v/>
      </c>
      <c r="AA14" t="inlineStr">
        <is>
          <t>05/09/2026</t>
        </is>
      </c>
    </row>
    <row r="15" ht="26" customHeight="1" s="72">
      <c r="B15" s="166" t="inlineStr">
        <is>
          <t>Agribank</t>
        </is>
      </c>
      <c r="C15" s="167">
        <f>IF(SUMIFS(Data_TheoDoi_USD!$C$2:$C$10000, Data_TheoDoi_USD!$A$2:$A$10000, $B$4, Data_TheoDoi_USD!$B$2:$B$10000, $B15)=0, "-", SUMIFS(Data_TheoDoi_USD!$C$2:$C$10000, Data_TheoDoi_USD!$A$2:$A$10000, $B$4, Data_TheoDoi_USD!$B$2:$B$10000, $B15))</f>
        <v/>
      </c>
      <c r="D15" s="167">
        <f>IF(SUMIFS(Data_TheoDoi_USD!$D$2:$D$10000, Data_TheoDoi_USD!$A$2:$A$10000, $B$4, Data_TheoDoi_USD!$B$2:$B$10000, $B15)=0, "-", SUMIFS(Data_TheoDoi_USD!$D$2:$D$10000, Data_TheoDoi_USD!$A$2:$A$10000, $B$4, Data_TheoDoi_USD!$B$2:$B$10000, $B15))</f>
        <v/>
      </c>
      <c r="E15" s="168">
        <f>IF(SUMIFS(Data_TheoDoi_USD!$E$2:$E$10000, Data_TheoDoi_USD!$A$2:$A$10000, $B$4, Data_TheoDoi_USD!$B$2:$B$10000, $B15)=0, "-", SUMIFS(Data_TheoDoi_USD!$E$2:$E$10000, Data_TheoDoi_USD!$A$2:$A$10000, $B$4, Data_TheoDoi_USD!$B$2:$B$10000, $B15))</f>
        <v/>
      </c>
      <c r="F15" s="167">
        <f>IF(AND(ISNUMBER(E15), ISNUMBER(D15)), E15-D15, "-")</f>
        <v/>
      </c>
      <c r="G15" s="169">
        <f>IF(SUMIFS(Data_TheoDoi_USD!$E$2:$E$10000, Data_TheoDoi_USD!$A$2:$A$10000, $E$4, Data_TheoDoi_USD!$B$2:$B$10000, $B15)=0, "-", SUMIFS(Data_TheoDoi_USD!$E$2:$E$10000, Data_TheoDoi_USD!$A$2:$A$10000, $E$4, Data_TheoDoi_USD!$B$2:$B$10000, $B15))</f>
        <v/>
      </c>
      <c r="H15" s="170">
        <f>IF(AND(ISNUMBER(E15), ISNUMBER(G15)), E15-G15, "-")</f>
        <v/>
      </c>
      <c r="I15" s="171">
        <f>IF(AND(ISNUMBER(E15), ISNUMBER(G15), G15&lt;&gt;0), (E15-G15)/G15*100, "-")</f>
        <v/>
      </c>
      <c r="AA15" t="inlineStr">
        <is>
          <t>04/09/2026</t>
        </is>
      </c>
    </row>
    <row r="16" ht="26" customHeight="1" s="72">
      <c r="B16" s="160" t="inlineStr">
        <is>
          <t>Techcombank</t>
        </is>
      </c>
      <c r="C16" s="161">
        <f>IF(SUMIFS(Data_TheoDoi_USD!$C$2:$C$10000, Data_TheoDoi_USD!$A$2:$A$10000, $B$4, Data_TheoDoi_USD!$B$2:$B$10000, $B16)=0, "-", SUMIFS(Data_TheoDoi_USD!$C$2:$C$10000, Data_TheoDoi_USD!$A$2:$A$10000, $B$4, Data_TheoDoi_USD!$B$2:$B$10000, $B16))</f>
        <v/>
      </c>
      <c r="D16" s="161">
        <f>IF(SUMIFS(Data_TheoDoi_USD!$D$2:$D$10000, Data_TheoDoi_USD!$A$2:$A$10000, $B$4, Data_TheoDoi_USD!$B$2:$B$10000, $B16)=0, "-", SUMIFS(Data_TheoDoi_USD!$D$2:$D$10000, Data_TheoDoi_USD!$A$2:$A$10000, $B$4, Data_TheoDoi_USD!$B$2:$B$10000, $B16))</f>
        <v/>
      </c>
      <c r="E16" s="162">
        <f>IF(SUMIFS(Data_TheoDoi_USD!$E$2:$E$10000, Data_TheoDoi_USD!$A$2:$A$10000, $B$4, Data_TheoDoi_USD!$B$2:$B$10000, $B16)=0, "-", SUMIFS(Data_TheoDoi_USD!$E$2:$E$10000, Data_TheoDoi_USD!$A$2:$A$10000, $B$4, Data_TheoDoi_USD!$B$2:$B$10000, $B16))</f>
        <v/>
      </c>
      <c r="F16" s="161">
        <f>IF(AND(ISNUMBER(E16), ISNUMBER(D16)), E16-D16, "-")</f>
        <v/>
      </c>
      <c r="G16" s="163">
        <f>IF(SUMIFS(Data_TheoDoi_USD!$E$2:$E$10000, Data_TheoDoi_USD!$A$2:$A$10000, $E$4, Data_TheoDoi_USD!$B$2:$B$10000, $B16)=0, "-", SUMIFS(Data_TheoDoi_USD!$E$2:$E$10000, Data_TheoDoi_USD!$A$2:$A$10000, $E$4, Data_TheoDoi_USD!$B$2:$B$10000, $B16))</f>
        <v/>
      </c>
      <c r="H16" s="164">
        <f>IF(AND(ISNUMBER(E16), ISNUMBER(G16)), E16-G16, "-")</f>
        <v/>
      </c>
      <c r="I16" s="165">
        <f>IF(AND(ISNUMBER(E16), ISNUMBER(G16), G16&lt;&gt;0), (E16-G16)/G16*100, "-")</f>
        <v/>
      </c>
      <c r="AA16" t="inlineStr">
        <is>
          <t>03/09/2026</t>
        </is>
      </c>
    </row>
    <row r="17" ht="26" customHeight="1" s="72">
      <c r="B17" s="166" t="inlineStr">
        <is>
          <t>ACB</t>
        </is>
      </c>
      <c r="C17" s="167">
        <f>IF(SUMIFS(Data_TheoDoi_USD!$C$2:$C$10000, Data_TheoDoi_USD!$A$2:$A$10000, $B$4, Data_TheoDoi_USD!$B$2:$B$10000, $B17)=0, "-", SUMIFS(Data_TheoDoi_USD!$C$2:$C$10000, Data_TheoDoi_USD!$A$2:$A$10000, $B$4, Data_TheoDoi_USD!$B$2:$B$10000, $B17))</f>
        <v/>
      </c>
      <c r="D17" s="167">
        <f>IF(SUMIFS(Data_TheoDoi_USD!$D$2:$D$10000, Data_TheoDoi_USD!$A$2:$A$10000, $B$4, Data_TheoDoi_USD!$B$2:$B$10000, $B17)=0, "-", SUMIFS(Data_TheoDoi_USD!$D$2:$D$10000, Data_TheoDoi_USD!$A$2:$A$10000, $B$4, Data_TheoDoi_USD!$B$2:$B$10000, $B17))</f>
        <v/>
      </c>
      <c r="E17" s="168">
        <f>IF(SUMIFS(Data_TheoDoi_USD!$E$2:$E$10000, Data_TheoDoi_USD!$A$2:$A$10000, $B$4, Data_TheoDoi_USD!$B$2:$B$10000, $B17)=0, "-", SUMIFS(Data_TheoDoi_USD!$E$2:$E$10000, Data_TheoDoi_USD!$A$2:$A$10000, $B$4, Data_TheoDoi_USD!$B$2:$B$10000, $B17))</f>
        <v/>
      </c>
      <c r="F17" s="167">
        <f>IF(AND(ISNUMBER(E17), ISNUMBER(D17)), E17-D17, "-")</f>
        <v/>
      </c>
      <c r="G17" s="169">
        <f>IF(SUMIFS(Data_TheoDoi_USD!$E$2:$E$10000, Data_TheoDoi_USD!$A$2:$A$10000, $E$4, Data_TheoDoi_USD!$B$2:$B$10000, $B17)=0, "-", SUMIFS(Data_TheoDoi_USD!$E$2:$E$10000, Data_TheoDoi_USD!$A$2:$A$10000, $E$4, Data_TheoDoi_USD!$B$2:$B$10000, $B17))</f>
        <v/>
      </c>
      <c r="H17" s="170">
        <f>IF(AND(ISNUMBER(E17), ISNUMBER(G17)), E17-G17, "-")</f>
        <v/>
      </c>
      <c r="I17" s="171">
        <f>IF(AND(ISNUMBER(E17), ISNUMBER(G17), G17&lt;&gt;0), (E17-G17)/G17*100, "-")</f>
        <v/>
      </c>
      <c r="AA17" t="inlineStr">
        <is>
          <t>02/09/2026</t>
        </is>
      </c>
    </row>
    <row r="18" ht="26" customHeight="1" s="72">
      <c r="B18" s="160" t="inlineStr">
        <is>
          <t>Sacombank</t>
        </is>
      </c>
      <c r="C18" s="161">
        <f>IF(SUMIFS(Data_TheoDoi_USD!$C$2:$C$10000, Data_TheoDoi_USD!$A$2:$A$10000, $B$4, Data_TheoDoi_USD!$B$2:$B$10000, $B18)=0, "-", SUMIFS(Data_TheoDoi_USD!$C$2:$C$10000, Data_TheoDoi_USD!$A$2:$A$10000, $B$4, Data_TheoDoi_USD!$B$2:$B$10000, $B18))</f>
        <v/>
      </c>
      <c r="D18" s="161">
        <f>IF(SUMIFS(Data_TheoDoi_USD!$D$2:$D$10000, Data_TheoDoi_USD!$A$2:$A$10000, $B$4, Data_TheoDoi_USD!$B$2:$B$10000, $B18)=0, "-", SUMIFS(Data_TheoDoi_USD!$D$2:$D$10000, Data_TheoDoi_USD!$A$2:$A$10000, $B$4, Data_TheoDoi_USD!$B$2:$B$10000, $B18))</f>
        <v/>
      </c>
      <c r="E18" s="162">
        <f>IF(SUMIFS(Data_TheoDoi_USD!$E$2:$E$10000, Data_TheoDoi_USD!$A$2:$A$10000, $B$4, Data_TheoDoi_USD!$B$2:$B$10000, $B18)=0, "-", SUMIFS(Data_TheoDoi_USD!$E$2:$E$10000, Data_TheoDoi_USD!$A$2:$A$10000, $B$4, Data_TheoDoi_USD!$B$2:$B$10000, $B18))</f>
        <v/>
      </c>
      <c r="F18" s="161">
        <f>IF(AND(ISNUMBER(E18), ISNUMBER(D18)), E18-D18, "-")</f>
        <v/>
      </c>
      <c r="G18" s="163">
        <f>IF(SUMIFS(Data_TheoDoi_USD!$E$2:$E$10000, Data_TheoDoi_USD!$A$2:$A$10000, $E$4, Data_TheoDoi_USD!$B$2:$B$10000, $B18)=0, "-", SUMIFS(Data_TheoDoi_USD!$E$2:$E$10000, Data_TheoDoi_USD!$A$2:$A$10000, $E$4, Data_TheoDoi_USD!$B$2:$B$10000, $B18))</f>
        <v/>
      </c>
      <c r="H18" s="164">
        <f>IF(AND(ISNUMBER(E18), ISNUMBER(G18)), E18-G18, "-")</f>
        <v/>
      </c>
      <c r="I18" s="165">
        <f>IF(AND(ISNUMBER(E18), ISNUMBER(G18), G18&lt;&gt;0), (E18-G18)/G18*100, "-")</f>
        <v/>
      </c>
      <c r="AA18" t="inlineStr">
        <is>
          <t>01/09/2026</t>
        </is>
      </c>
    </row>
    <row r="19" ht="26" customHeight="1" s="72">
      <c r="B19" s="166" t="inlineStr">
        <is>
          <t>TPBank</t>
        </is>
      </c>
      <c r="C19" s="167">
        <f>IF(SUMIFS(Data_TheoDoi_USD!$C$2:$C$10000, Data_TheoDoi_USD!$A$2:$A$10000, $B$4, Data_TheoDoi_USD!$B$2:$B$10000, $B19)=0, "-", SUMIFS(Data_TheoDoi_USD!$C$2:$C$10000, Data_TheoDoi_USD!$A$2:$A$10000, $B$4, Data_TheoDoi_USD!$B$2:$B$10000, $B19))</f>
        <v/>
      </c>
      <c r="D19" s="167">
        <f>IF(SUMIFS(Data_TheoDoi_USD!$D$2:$D$10000, Data_TheoDoi_USD!$A$2:$A$10000, $B$4, Data_TheoDoi_USD!$B$2:$B$10000, $B19)=0, "-", SUMIFS(Data_TheoDoi_USD!$D$2:$D$10000, Data_TheoDoi_USD!$A$2:$A$10000, $B$4, Data_TheoDoi_USD!$B$2:$B$10000, $B19))</f>
        <v/>
      </c>
      <c r="E19" s="168">
        <f>IF(SUMIFS(Data_TheoDoi_USD!$E$2:$E$10000, Data_TheoDoi_USD!$A$2:$A$10000, $B$4, Data_TheoDoi_USD!$B$2:$B$10000, $B19)=0, "-", SUMIFS(Data_TheoDoi_USD!$E$2:$E$10000, Data_TheoDoi_USD!$A$2:$A$10000, $B$4, Data_TheoDoi_USD!$B$2:$B$10000, $B19))</f>
        <v/>
      </c>
      <c r="F19" s="167">
        <f>IF(AND(ISNUMBER(E19), ISNUMBER(D19)), E19-D19, "-")</f>
        <v/>
      </c>
      <c r="G19" s="169">
        <f>IF(SUMIFS(Data_TheoDoi_USD!$E$2:$E$10000, Data_TheoDoi_USD!$A$2:$A$10000, $E$4, Data_TheoDoi_USD!$B$2:$B$10000, $B19)=0, "-", SUMIFS(Data_TheoDoi_USD!$E$2:$E$10000, Data_TheoDoi_USD!$A$2:$A$10000, $E$4, Data_TheoDoi_USD!$B$2:$B$10000, $B19))</f>
        <v/>
      </c>
      <c r="H19" s="170">
        <f>IF(AND(ISNUMBER(E19), ISNUMBER(G19)), E19-G19, "-")</f>
        <v/>
      </c>
      <c r="I19" s="171">
        <f>IF(AND(ISNUMBER(E19), ISNUMBER(G19), G19&lt;&gt;0), (E19-G19)/G19*100, "-")</f>
        <v/>
      </c>
      <c r="AA19" t="inlineStr">
        <is>
          <t>31/08/2026</t>
        </is>
      </c>
    </row>
    <row r="20" ht="26" customHeight="1" s="72">
      <c r="B20" s="160" t="inlineStr">
        <is>
          <t>VPBank</t>
        </is>
      </c>
      <c r="C20" s="161">
        <f>IF(SUMIFS(Data_TheoDoi_USD!$C$2:$C$10000, Data_TheoDoi_USD!$A$2:$A$10000, $B$4, Data_TheoDoi_USD!$B$2:$B$10000, $B20)=0, "-", SUMIFS(Data_TheoDoi_USD!$C$2:$C$10000, Data_TheoDoi_USD!$A$2:$A$10000, $B$4, Data_TheoDoi_USD!$B$2:$B$10000, $B20))</f>
        <v/>
      </c>
      <c r="D20" s="161">
        <f>IF(SUMIFS(Data_TheoDoi_USD!$D$2:$D$10000, Data_TheoDoi_USD!$A$2:$A$10000, $B$4, Data_TheoDoi_USD!$B$2:$B$10000, $B20)=0, "-", SUMIFS(Data_TheoDoi_USD!$D$2:$D$10000, Data_TheoDoi_USD!$A$2:$A$10000, $B$4, Data_TheoDoi_USD!$B$2:$B$10000, $B20))</f>
        <v/>
      </c>
      <c r="E20" s="162">
        <f>IF(SUMIFS(Data_TheoDoi_USD!$E$2:$E$10000, Data_TheoDoi_USD!$A$2:$A$10000, $B$4, Data_TheoDoi_USD!$B$2:$B$10000, $B20)=0, "-", SUMIFS(Data_TheoDoi_USD!$E$2:$E$10000, Data_TheoDoi_USD!$A$2:$A$10000, $B$4, Data_TheoDoi_USD!$B$2:$B$10000, $B20))</f>
        <v/>
      </c>
      <c r="F20" s="161">
        <f>IF(AND(ISNUMBER(E20), ISNUMBER(D20)), E20-D20, "-")</f>
        <v/>
      </c>
      <c r="G20" s="163">
        <f>IF(SUMIFS(Data_TheoDoi_USD!$E$2:$E$10000, Data_TheoDoi_USD!$A$2:$A$10000, $E$4, Data_TheoDoi_USD!$B$2:$B$10000, $B20)=0, "-", SUMIFS(Data_TheoDoi_USD!$E$2:$E$10000, Data_TheoDoi_USD!$A$2:$A$10000, $E$4, Data_TheoDoi_USD!$B$2:$B$10000, $B20))</f>
        <v/>
      </c>
      <c r="H20" s="164">
        <f>IF(AND(ISNUMBER(E20), ISNUMBER(G20)), E20-G20, "-")</f>
        <v/>
      </c>
      <c r="I20" s="165">
        <f>IF(AND(ISNUMBER(E20), ISNUMBER(G20), G20&lt;&gt;0), (E20-G20)/G20*100, "-")</f>
        <v/>
      </c>
      <c r="AA20" t="inlineStr">
        <is>
          <t>30/08/2026</t>
        </is>
      </c>
    </row>
    <row r="21" ht="26" customHeight="1" s="72">
      <c r="B21" s="166" t="inlineStr">
        <is>
          <t>HDBank</t>
        </is>
      </c>
      <c r="C21" s="167">
        <f>IF(SUMIFS(Data_TheoDoi_USD!$C$2:$C$10000, Data_TheoDoi_USD!$A$2:$A$10000, $B$4, Data_TheoDoi_USD!$B$2:$B$10000, $B21)=0, "-", SUMIFS(Data_TheoDoi_USD!$C$2:$C$10000, Data_TheoDoi_USD!$A$2:$A$10000, $B$4, Data_TheoDoi_USD!$B$2:$B$10000, $B21))</f>
        <v/>
      </c>
      <c r="D21" s="167">
        <f>IF(SUMIFS(Data_TheoDoi_USD!$D$2:$D$10000, Data_TheoDoi_USD!$A$2:$A$10000, $B$4, Data_TheoDoi_USD!$B$2:$B$10000, $B21)=0, "-", SUMIFS(Data_TheoDoi_USD!$D$2:$D$10000, Data_TheoDoi_USD!$A$2:$A$10000, $B$4, Data_TheoDoi_USD!$B$2:$B$10000, $B21))</f>
        <v/>
      </c>
      <c r="E21" s="168">
        <f>IF(SUMIFS(Data_TheoDoi_USD!$E$2:$E$10000, Data_TheoDoi_USD!$A$2:$A$10000, $B$4, Data_TheoDoi_USD!$B$2:$B$10000, $B21)=0, "-", SUMIFS(Data_TheoDoi_USD!$E$2:$E$10000, Data_TheoDoi_USD!$A$2:$A$10000, $B$4, Data_TheoDoi_USD!$B$2:$B$10000, $B21))</f>
        <v/>
      </c>
      <c r="F21" s="167">
        <f>IF(AND(ISNUMBER(E21), ISNUMBER(D21)), E21-D21, "-")</f>
        <v/>
      </c>
      <c r="G21" s="169">
        <f>IF(SUMIFS(Data_TheoDoi_USD!$E$2:$E$10000, Data_TheoDoi_USD!$A$2:$A$10000, $E$4, Data_TheoDoi_USD!$B$2:$B$10000, $B21)=0, "-", SUMIFS(Data_TheoDoi_USD!$E$2:$E$10000, Data_TheoDoi_USD!$A$2:$A$10000, $E$4, Data_TheoDoi_USD!$B$2:$B$10000, $B21))</f>
        <v/>
      </c>
      <c r="H21" s="170">
        <f>IF(AND(ISNUMBER(E21), ISNUMBER(G21)), E21-G21, "-")</f>
        <v/>
      </c>
      <c r="I21" s="171">
        <f>IF(AND(ISNUMBER(E21), ISNUMBER(G21), G21&lt;&gt;0), (E21-G21)/G21*100, "-")</f>
        <v/>
      </c>
      <c r="AA21" t="inlineStr">
        <is>
          <t>29/08/2026</t>
        </is>
      </c>
    </row>
    <row r="22" ht="26" customHeight="1" s="72">
      <c r="B22" s="160" t="inlineStr">
        <is>
          <t>Eximbank</t>
        </is>
      </c>
      <c r="C22" s="161">
        <f>IF(SUMIFS(Data_TheoDoi_USD!$C$2:$C$10000, Data_TheoDoi_USD!$A$2:$A$10000, $B$4, Data_TheoDoi_USD!$B$2:$B$10000, $B22)=0, "-", SUMIFS(Data_TheoDoi_USD!$C$2:$C$10000, Data_TheoDoi_USD!$A$2:$A$10000, $B$4, Data_TheoDoi_USD!$B$2:$B$10000, $B22))</f>
        <v/>
      </c>
      <c r="D22" s="161">
        <f>IF(SUMIFS(Data_TheoDoi_USD!$D$2:$D$10000, Data_TheoDoi_USD!$A$2:$A$10000, $B$4, Data_TheoDoi_USD!$B$2:$B$10000, $B22)=0, "-", SUMIFS(Data_TheoDoi_USD!$D$2:$D$10000, Data_TheoDoi_USD!$A$2:$A$10000, $B$4, Data_TheoDoi_USD!$B$2:$B$10000, $B22))</f>
        <v/>
      </c>
      <c r="E22" s="162">
        <f>IF(SUMIFS(Data_TheoDoi_USD!$E$2:$E$10000, Data_TheoDoi_USD!$A$2:$A$10000, $B$4, Data_TheoDoi_USD!$B$2:$B$10000, $B22)=0, "-", SUMIFS(Data_TheoDoi_USD!$E$2:$E$10000, Data_TheoDoi_USD!$A$2:$A$10000, $B$4, Data_TheoDoi_USD!$B$2:$B$10000, $B22))</f>
        <v/>
      </c>
      <c r="F22" s="161">
        <f>IF(AND(ISNUMBER(E22), ISNUMBER(D22)), E22-D22, "-")</f>
        <v/>
      </c>
      <c r="G22" s="163">
        <f>IF(SUMIFS(Data_TheoDoi_USD!$E$2:$E$10000, Data_TheoDoi_USD!$A$2:$A$10000, $E$4, Data_TheoDoi_USD!$B$2:$B$10000, $B22)=0, "-", SUMIFS(Data_TheoDoi_USD!$E$2:$E$10000, Data_TheoDoi_USD!$A$2:$A$10000, $E$4, Data_TheoDoi_USD!$B$2:$B$10000, $B22))</f>
        <v/>
      </c>
      <c r="H22" s="164">
        <f>IF(AND(ISNUMBER(E22), ISNUMBER(G22)), E22-G22, "-")</f>
        <v/>
      </c>
      <c r="I22" s="165">
        <f>IF(AND(ISNUMBER(E22), ISNUMBER(G22), G22&lt;&gt;0), (E22-G22)/G22*100, "-")</f>
        <v/>
      </c>
      <c r="AA22" t="inlineStr">
        <is>
          <t>28/08/2026</t>
        </is>
      </c>
    </row>
    <row r="23" ht="26" customHeight="1" s="72">
      <c r="B23" s="166" t="inlineStr">
        <is>
          <t>OCB</t>
        </is>
      </c>
      <c r="C23" s="167">
        <f>IF(SUMIFS(Data_TheoDoi_USD!$C$2:$C$10000, Data_TheoDoi_USD!$A$2:$A$10000, $B$4, Data_TheoDoi_USD!$B$2:$B$10000, $B23)=0, "-", SUMIFS(Data_TheoDoi_USD!$C$2:$C$10000, Data_TheoDoi_USD!$A$2:$A$10000, $B$4, Data_TheoDoi_USD!$B$2:$B$10000, $B23))</f>
        <v/>
      </c>
      <c r="D23" s="167">
        <f>IF(SUMIFS(Data_TheoDoi_USD!$D$2:$D$10000, Data_TheoDoi_USD!$A$2:$A$10000, $B$4, Data_TheoDoi_USD!$B$2:$B$10000, $B23)=0, "-", SUMIFS(Data_TheoDoi_USD!$D$2:$D$10000, Data_TheoDoi_USD!$A$2:$A$10000, $B$4, Data_TheoDoi_USD!$B$2:$B$10000, $B23))</f>
        <v/>
      </c>
      <c r="E23" s="168">
        <f>IF(SUMIFS(Data_TheoDoi_USD!$E$2:$E$10000, Data_TheoDoi_USD!$A$2:$A$10000, $B$4, Data_TheoDoi_USD!$B$2:$B$10000, $B23)=0, "-", SUMIFS(Data_TheoDoi_USD!$E$2:$E$10000, Data_TheoDoi_USD!$A$2:$A$10000, $B$4, Data_TheoDoi_USD!$B$2:$B$10000, $B23))</f>
        <v/>
      </c>
      <c r="F23" s="167">
        <f>IF(AND(ISNUMBER(E23), ISNUMBER(D23)), E23-D23, "-")</f>
        <v/>
      </c>
      <c r="G23" s="169">
        <f>IF(SUMIFS(Data_TheoDoi_USD!$E$2:$E$10000, Data_TheoDoi_USD!$A$2:$A$10000, $E$4, Data_TheoDoi_USD!$B$2:$B$10000, $B23)=0, "-", SUMIFS(Data_TheoDoi_USD!$E$2:$E$10000, Data_TheoDoi_USD!$A$2:$A$10000, $E$4, Data_TheoDoi_USD!$B$2:$B$10000, $B23))</f>
        <v/>
      </c>
      <c r="H23" s="170">
        <f>IF(AND(ISNUMBER(E23), ISNUMBER(G23)), E23-G23, "-")</f>
        <v/>
      </c>
      <c r="I23" s="171">
        <f>IF(AND(ISNUMBER(E23), ISNUMBER(G23), G23&lt;&gt;0), (E23-G23)/G23*100, "-")</f>
        <v/>
      </c>
      <c r="AA23" t="inlineStr">
        <is>
          <t>27/08/2026</t>
        </is>
      </c>
    </row>
    <row r="24" ht="26" customHeight="1" s="72">
      <c r="B24" s="160" t="inlineStr">
        <is>
          <t>SeaBank</t>
        </is>
      </c>
      <c r="C24" s="161">
        <f>IF(SUMIFS(Data_TheoDoi_USD!$C$2:$C$10000, Data_TheoDoi_USD!$A$2:$A$10000, $B$4, Data_TheoDoi_USD!$B$2:$B$10000, $B24)=0, "-", SUMIFS(Data_TheoDoi_USD!$C$2:$C$10000, Data_TheoDoi_USD!$A$2:$A$10000, $B$4, Data_TheoDoi_USD!$B$2:$B$10000, $B24))</f>
        <v/>
      </c>
      <c r="D24" s="161">
        <f>IF(SUMIFS(Data_TheoDoi_USD!$D$2:$D$10000, Data_TheoDoi_USD!$A$2:$A$10000, $B$4, Data_TheoDoi_USD!$B$2:$B$10000, $B24)=0, "-", SUMIFS(Data_TheoDoi_USD!$D$2:$D$10000, Data_TheoDoi_USD!$A$2:$A$10000, $B$4, Data_TheoDoi_USD!$B$2:$B$10000, $B24))</f>
        <v/>
      </c>
      <c r="E24" s="162">
        <f>IF(SUMIFS(Data_TheoDoi_USD!$E$2:$E$10000, Data_TheoDoi_USD!$A$2:$A$10000, $B$4, Data_TheoDoi_USD!$B$2:$B$10000, $B24)=0, "-", SUMIFS(Data_TheoDoi_USD!$E$2:$E$10000, Data_TheoDoi_USD!$A$2:$A$10000, $B$4, Data_TheoDoi_USD!$B$2:$B$10000, $B24))</f>
        <v/>
      </c>
      <c r="F24" s="161">
        <f>IF(AND(ISNUMBER(E24), ISNUMBER(D24)), E24-D24, "-")</f>
        <v/>
      </c>
      <c r="G24" s="163">
        <f>IF(SUMIFS(Data_TheoDoi_USD!$E$2:$E$10000, Data_TheoDoi_USD!$A$2:$A$10000, $E$4, Data_TheoDoi_USD!$B$2:$B$10000, $B24)=0, "-", SUMIFS(Data_TheoDoi_USD!$E$2:$E$10000, Data_TheoDoi_USD!$A$2:$A$10000, $E$4, Data_TheoDoi_USD!$B$2:$B$10000, $B24))</f>
        <v/>
      </c>
      <c r="H24" s="164">
        <f>IF(AND(ISNUMBER(E24), ISNUMBER(G24)), E24-G24, "-")</f>
        <v/>
      </c>
      <c r="I24" s="165">
        <f>IF(AND(ISNUMBER(E24), ISNUMBER(G24), G24&lt;&gt;0), (E24-G24)/G24*100, "-")</f>
        <v/>
      </c>
      <c r="AA24" t="inlineStr">
        <is>
          <t>26/08/2026</t>
        </is>
      </c>
    </row>
    <row r="25" ht="26" customHeight="1" s="72">
      <c r="B25" s="166" t="inlineStr">
        <is>
          <t>VietABank</t>
        </is>
      </c>
      <c r="C25" s="167">
        <f>IF(SUMIFS(Data_TheoDoi_USD!$C$2:$C$10000, Data_TheoDoi_USD!$A$2:$A$10000, $B$4, Data_TheoDoi_USD!$B$2:$B$10000, $B25)=0, "-", SUMIFS(Data_TheoDoi_USD!$C$2:$C$10000, Data_TheoDoi_USD!$A$2:$A$10000, $B$4, Data_TheoDoi_USD!$B$2:$B$10000, $B25))</f>
        <v/>
      </c>
      <c r="D25" s="167">
        <f>IF(SUMIFS(Data_TheoDoi_USD!$D$2:$D$10000, Data_TheoDoi_USD!$A$2:$A$10000, $B$4, Data_TheoDoi_USD!$B$2:$B$10000, $B25)=0, "-", SUMIFS(Data_TheoDoi_USD!$D$2:$D$10000, Data_TheoDoi_USD!$A$2:$A$10000, $B$4, Data_TheoDoi_USD!$B$2:$B$10000, $B25))</f>
        <v/>
      </c>
      <c r="E25" s="168">
        <f>IF(SUMIFS(Data_TheoDoi_USD!$E$2:$E$10000, Data_TheoDoi_USD!$A$2:$A$10000, $B$4, Data_TheoDoi_USD!$B$2:$B$10000, $B25)=0, "-", SUMIFS(Data_TheoDoi_USD!$E$2:$E$10000, Data_TheoDoi_USD!$A$2:$A$10000, $B$4, Data_TheoDoi_USD!$B$2:$B$10000, $B25))</f>
        <v/>
      </c>
      <c r="F25" s="167">
        <f>IF(AND(ISNUMBER(E25), ISNUMBER(D25)), E25-D25, "-")</f>
        <v/>
      </c>
      <c r="G25" s="169">
        <f>IF(SUMIFS(Data_TheoDoi_USD!$E$2:$E$10000, Data_TheoDoi_USD!$A$2:$A$10000, $E$4, Data_TheoDoi_USD!$B$2:$B$10000, $B25)=0, "-", SUMIFS(Data_TheoDoi_USD!$E$2:$E$10000, Data_TheoDoi_USD!$A$2:$A$10000, $E$4, Data_TheoDoi_USD!$B$2:$B$10000, $B25))</f>
        <v/>
      </c>
      <c r="H25" s="170">
        <f>IF(AND(ISNUMBER(E25), ISNUMBER(G25)), E25-G25, "-")</f>
        <v/>
      </c>
      <c r="I25" s="171">
        <f>IF(AND(ISNUMBER(E25), ISNUMBER(G25), G25&lt;&gt;0), (E25-G25)/G25*100, "-")</f>
        <v/>
      </c>
      <c r="AA25" t="inlineStr">
        <is>
          <t>25/08/2026</t>
        </is>
      </c>
    </row>
    <row r="26" ht="26" customHeight="1" s="72">
      <c r="B26" s="160" t="inlineStr">
        <is>
          <t>PVcomBank</t>
        </is>
      </c>
      <c r="C26" s="161">
        <f>IF(SUMIFS(Data_TheoDoi_USD!$C$2:$C$10000, Data_TheoDoi_USD!$A$2:$A$10000, $B$4, Data_TheoDoi_USD!$B$2:$B$10000, $B26)=0, "-", SUMIFS(Data_TheoDoi_USD!$C$2:$C$10000, Data_TheoDoi_USD!$A$2:$A$10000, $B$4, Data_TheoDoi_USD!$B$2:$B$10000, $B26))</f>
        <v/>
      </c>
      <c r="D26" s="161">
        <f>IF(SUMIFS(Data_TheoDoi_USD!$D$2:$D$10000, Data_TheoDoi_USD!$A$2:$A$10000, $B$4, Data_TheoDoi_USD!$B$2:$B$10000, $B26)=0, "-", SUMIFS(Data_TheoDoi_USD!$D$2:$D$10000, Data_TheoDoi_USD!$A$2:$A$10000, $B$4, Data_TheoDoi_USD!$B$2:$B$10000, $B26))</f>
        <v/>
      </c>
      <c r="E26" s="162">
        <f>IF(SUMIFS(Data_TheoDoi_USD!$E$2:$E$10000, Data_TheoDoi_USD!$A$2:$A$10000, $B$4, Data_TheoDoi_USD!$B$2:$B$10000, $B26)=0, "-", SUMIFS(Data_TheoDoi_USD!$E$2:$E$10000, Data_TheoDoi_USD!$A$2:$A$10000, $B$4, Data_TheoDoi_USD!$B$2:$B$10000, $B26))</f>
        <v/>
      </c>
      <c r="F26" s="161">
        <f>IF(AND(ISNUMBER(E26), ISNUMBER(D26)), E26-D26, "-")</f>
        <v/>
      </c>
      <c r="G26" s="163">
        <f>IF(SUMIFS(Data_TheoDoi_USD!$E$2:$E$10000, Data_TheoDoi_USD!$A$2:$A$10000, $E$4, Data_TheoDoi_USD!$B$2:$B$10000, $B26)=0, "-", SUMIFS(Data_TheoDoi_USD!$E$2:$E$10000, Data_TheoDoi_USD!$A$2:$A$10000, $E$4, Data_TheoDoi_USD!$B$2:$B$10000, $B26))</f>
        <v/>
      </c>
      <c r="H26" s="164">
        <f>IF(AND(ISNUMBER(E26), ISNUMBER(G26)), E26-G26, "-")</f>
        <v/>
      </c>
      <c r="I26" s="165">
        <f>IF(AND(ISNUMBER(E26), ISNUMBER(G26), G26&lt;&gt;0), (E26-G26)/G26*100, "-")</f>
        <v/>
      </c>
      <c r="AA26" t="inlineStr">
        <is>
          <t>24/08/2026</t>
        </is>
      </c>
    </row>
    <row r="27" ht="28" customHeight="1" s="72">
      <c r="B27" s="172" t="inlineStr">
        <is>
          <t>TRUNG BÌNH THỊ TRƯỜNG</t>
        </is>
      </c>
      <c r="C27" s="173">
        <f>AVERAGE(C12:C26)</f>
        <v/>
      </c>
      <c r="D27" s="173">
        <f>AVERAGE(D12:D26)</f>
        <v/>
      </c>
      <c r="E27" s="173">
        <f>AVERAGE(E12:E26)</f>
        <v/>
      </c>
      <c r="F27" s="173">
        <f>AVERAGE(F12:F26)</f>
        <v/>
      </c>
      <c r="G27" s="173">
        <f>AVERAGE(G12:G26)</f>
        <v/>
      </c>
      <c r="H27" s="174">
        <f>AVERAGE(H12:H26)</f>
        <v/>
      </c>
      <c r="I27" s="175">
        <f>AVERAGE(I12:I26)</f>
        <v/>
      </c>
      <c r="AA27" t="inlineStr">
        <is>
          <t>23/08/2026</t>
        </is>
      </c>
    </row>
    <row r="28">
      <c r="AA28" t="inlineStr">
        <is>
          <t>22/08/2026</t>
        </is>
      </c>
    </row>
    <row r="29">
      <c r="AA29" t="inlineStr">
        <is>
          <t>21/08/2026</t>
        </is>
      </c>
    </row>
    <row r="30">
      <c r="AA30" t="inlineStr">
        <is>
          <t>20/08/2026</t>
        </is>
      </c>
    </row>
    <row r="31">
      <c r="AA31" t="inlineStr">
        <is>
          <t>19/08/2026</t>
        </is>
      </c>
    </row>
    <row r="32">
      <c r="AA32" t="inlineStr">
        <is>
          <t>18/08/2026</t>
        </is>
      </c>
    </row>
    <row r="33">
      <c r="AA33" t="inlineStr">
        <is>
          <t>17/08/2026</t>
        </is>
      </c>
    </row>
    <row r="34">
      <c r="AA34" t="inlineStr">
        <is>
          <t>16/08/2026</t>
        </is>
      </c>
    </row>
    <row r="35">
      <c r="AA35" t="inlineStr">
        <is>
          <t>15/08/2026</t>
        </is>
      </c>
    </row>
    <row r="36">
      <c r="AA36" t="inlineStr">
        <is>
          <t>14/08/2026</t>
        </is>
      </c>
    </row>
    <row r="37">
      <c r="AA37" t="inlineStr">
        <is>
          <t>13/08/2026</t>
        </is>
      </c>
    </row>
    <row r="38">
      <c r="AA38" t="inlineStr">
        <is>
          <t>12/08/2026</t>
        </is>
      </c>
    </row>
    <row r="39">
      <c r="AA39" t="inlineStr">
        <is>
          <t>11/08/2026</t>
        </is>
      </c>
    </row>
    <row r="40">
      <c r="AA40" t="inlineStr">
        <is>
          <t>10/08/2026</t>
        </is>
      </c>
    </row>
    <row r="41">
      <c r="AA41" t="inlineStr">
        <is>
          <t>09/08/2026</t>
        </is>
      </c>
    </row>
    <row r="42">
      <c r="AA42" t="inlineStr">
        <is>
          <t>08/08/2026</t>
        </is>
      </c>
    </row>
    <row r="43">
      <c r="AA43" t="inlineStr">
        <is>
          <t>07/08/2026</t>
        </is>
      </c>
    </row>
    <row r="44">
      <c r="AA44" t="inlineStr">
        <is>
          <t>06/08/2026</t>
        </is>
      </c>
    </row>
    <row r="45">
      <c r="AA45" t="inlineStr">
        <is>
          <t>05/08/2026</t>
        </is>
      </c>
    </row>
    <row r="46">
      <c r="AA46" t="inlineStr">
        <is>
          <t>04/08/2026</t>
        </is>
      </c>
    </row>
    <row r="47">
      <c r="AA47" t="inlineStr">
        <is>
          <t>03/08/2026</t>
        </is>
      </c>
    </row>
    <row r="48">
      <c r="AA48" t="inlineStr">
        <is>
          <t>02/08/2026</t>
        </is>
      </c>
    </row>
    <row r="49">
      <c r="AA49" t="inlineStr">
        <is>
          <t>01/08/2026</t>
        </is>
      </c>
    </row>
    <row r="50">
      <c r="AA50" t="inlineStr">
        <is>
          <t>31/07/2026</t>
        </is>
      </c>
    </row>
    <row r="51">
      <c r="B51" s="176" t="inlineStr">
        <is>
          <t>Nguồn dữ liệu: Vietcombank, VietinBank, BIDV, Agribank (Big 4) và các ngân hàng TMCP hàng đầu Việt Nam</t>
        </is>
      </c>
      <c r="AA51" t="inlineStr">
        <is>
          <t>30/07/2026</t>
        </is>
      </c>
    </row>
    <row r="52">
      <c r="AA52" t="inlineStr">
        <is>
          <t>29/07/2026</t>
        </is>
      </c>
    </row>
    <row r="53">
      <c r="AA53" t="inlineStr">
        <is>
          <t>28/07/2026</t>
        </is>
      </c>
    </row>
    <row r="54">
      <c r="AA54" t="inlineStr">
        <is>
          <t>27/07/2026</t>
        </is>
      </c>
    </row>
    <row r="55">
      <c r="AA55" t="inlineStr">
        <is>
          <t>26/07/2026</t>
        </is>
      </c>
    </row>
    <row r="56">
      <c r="AA56" t="inlineStr">
        <is>
          <t>25/07/2026</t>
        </is>
      </c>
    </row>
    <row r="57">
      <c r="AA57" t="inlineStr">
        <is>
          <t>24/07/2026</t>
        </is>
      </c>
    </row>
    <row r="58">
      <c r="AA58" t="inlineStr">
        <is>
          <t>23/07/2026</t>
        </is>
      </c>
    </row>
    <row r="59">
      <c r="AA59" t="inlineStr">
        <is>
          <t>22/07/2026</t>
        </is>
      </c>
    </row>
    <row r="60">
      <c r="AA60" t="inlineStr">
        <is>
          <t>21/07/2026</t>
        </is>
      </c>
    </row>
    <row r="61">
      <c r="AA61" t="inlineStr">
        <is>
          <t>20/07/2026</t>
        </is>
      </c>
    </row>
    <row r="62">
      <c r="AA62" t="inlineStr">
        <is>
          <t>19/07/2026</t>
        </is>
      </c>
    </row>
    <row r="63">
      <c r="AA63" t="inlineStr">
        <is>
          <t>18/07/2026</t>
        </is>
      </c>
    </row>
    <row r="64">
      <c r="AA64" t="inlineStr">
        <is>
          <t>17/07/2026</t>
        </is>
      </c>
    </row>
    <row r="65">
      <c r="AA65" t="inlineStr">
        <is>
          <t>16/07/2026</t>
        </is>
      </c>
    </row>
    <row r="66">
      <c r="AA66" t="inlineStr">
        <is>
          <t>15/07/2026</t>
        </is>
      </c>
    </row>
    <row r="67">
      <c r="AA67" t="inlineStr">
        <is>
          <t>14/07/2026</t>
        </is>
      </c>
    </row>
    <row r="68">
      <c r="AA68" t="inlineStr">
        <is>
          <t>13/07/2026</t>
        </is>
      </c>
    </row>
    <row r="69">
      <c r="AA69" t="inlineStr">
        <is>
          <t>12/07/2026</t>
        </is>
      </c>
    </row>
    <row r="70">
      <c r="AA70" t="inlineStr">
        <is>
          <t>11/07/2026</t>
        </is>
      </c>
    </row>
    <row r="71">
      <c r="AA71" t="inlineStr">
        <is>
          <t>10/07/2026</t>
        </is>
      </c>
    </row>
    <row r="72">
      <c r="AA72" t="inlineStr">
        <is>
          <t>09/07/2026</t>
        </is>
      </c>
    </row>
    <row r="73">
      <c r="AA73" t="inlineStr">
        <is>
          <t>08/07/2026</t>
        </is>
      </c>
    </row>
    <row r="74">
      <c r="AA74" t="inlineStr">
        <is>
          <t>07/07/2026</t>
        </is>
      </c>
    </row>
    <row r="75">
      <c r="AA75" t="inlineStr">
        <is>
          <t>06/07/2026</t>
        </is>
      </c>
    </row>
    <row r="76">
      <c r="AA76" t="inlineStr">
        <is>
          <t>05/07/2026</t>
        </is>
      </c>
    </row>
    <row r="77">
      <c r="AA77" t="inlineStr">
        <is>
          <t>04/07/2026</t>
        </is>
      </c>
    </row>
    <row r="78">
      <c r="AA78" t="inlineStr">
        <is>
          <t>03/07/2026</t>
        </is>
      </c>
    </row>
    <row r="79">
      <c r="AA79" t="inlineStr">
        <is>
          <t>02/07/2026</t>
        </is>
      </c>
    </row>
    <row r="80">
      <c r="AA80" t="inlineStr">
        <is>
          <t>01/07/2026</t>
        </is>
      </c>
    </row>
    <row r="81">
      <c r="AA81" t="inlineStr">
        <is>
          <t>30/06/2026</t>
        </is>
      </c>
    </row>
    <row r="82">
      <c r="AA82" t="inlineStr">
        <is>
          <t>29/06/2026</t>
        </is>
      </c>
    </row>
    <row r="83">
      <c r="AA83" t="inlineStr">
        <is>
          <t>28/06/2026</t>
        </is>
      </c>
    </row>
    <row r="84">
      <c r="AA84" t="inlineStr">
        <is>
          <t>27/06/2026</t>
        </is>
      </c>
    </row>
    <row r="85">
      <c r="AA85" t="inlineStr">
        <is>
          <t>26/06/2026</t>
        </is>
      </c>
    </row>
    <row r="86">
      <c r="AA86" t="inlineStr">
        <is>
          <t>25/06/2026</t>
        </is>
      </c>
    </row>
    <row r="87">
      <c r="AA87" t="inlineStr">
        <is>
          <t>24/06/2026</t>
        </is>
      </c>
    </row>
    <row r="88">
      <c r="AA88" t="inlineStr">
        <is>
          <t>23/06/2026</t>
        </is>
      </c>
    </row>
    <row r="89">
      <c r="AA89" t="inlineStr">
        <is>
          <t>22/06/2026</t>
        </is>
      </c>
    </row>
    <row r="90">
      <c r="AA90" t="inlineStr">
        <is>
          <t>21/06/2026</t>
        </is>
      </c>
    </row>
    <row r="91">
      <c r="AA91" t="inlineStr">
        <is>
          <t>20/06/2026</t>
        </is>
      </c>
    </row>
    <row r="92">
      <c r="AA92" t="inlineStr">
        <is>
          <t>19/06/2026</t>
        </is>
      </c>
    </row>
    <row r="93">
      <c r="AA93" t="inlineStr">
        <is>
          <t>18/06/2026</t>
        </is>
      </c>
    </row>
    <row r="94">
      <c r="AA94" t="inlineStr">
        <is>
          <t>17/06/2026</t>
        </is>
      </c>
    </row>
    <row r="95">
      <c r="AA95" t="inlineStr">
        <is>
          <t>16/06/2026</t>
        </is>
      </c>
    </row>
    <row r="96">
      <c r="AA96" t="inlineStr">
        <is>
          <t>15/06/2026</t>
        </is>
      </c>
    </row>
    <row r="97">
      <c r="AA97" t="inlineStr">
        <is>
          <t>14/06/2026</t>
        </is>
      </c>
    </row>
    <row r="98">
      <c r="AA98" t="inlineStr">
        <is>
          <t>13/06/2026</t>
        </is>
      </c>
    </row>
    <row r="99">
      <c r="AA99" t="inlineStr">
        <is>
          <t>12/06/2026</t>
        </is>
      </c>
    </row>
    <row r="100">
      <c r="AA100" t="inlineStr">
        <is>
          <t>11/06/2026</t>
        </is>
      </c>
    </row>
    <row r="101">
      <c r="AA101" t="inlineStr">
        <is>
          <t>10/06/2026</t>
        </is>
      </c>
    </row>
    <row r="102">
      <c r="AA102" t="inlineStr">
        <is>
          <t>09/06/2026</t>
        </is>
      </c>
    </row>
    <row r="103">
      <c r="AA103" t="inlineStr">
        <is>
          <t>08/06/2026</t>
        </is>
      </c>
    </row>
    <row r="104">
      <c r="AA104" t="inlineStr">
        <is>
          <t>07/06/2026</t>
        </is>
      </c>
    </row>
    <row r="105">
      <c r="AA105" t="inlineStr">
        <is>
          <t>06/06/2026</t>
        </is>
      </c>
    </row>
    <row r="106">
      <c r="AA106" t="inlineStr">
        <is>
          <t>05/06/2026</t>
        </is>
      </c>
    </row>
    <row r="107">
      <c r="AA107" t="inlineStr">
        <is>
          <t>04/06/2026</t>
        </is>
      </c>
    </row>
    <row r="108">
      <c r="AA108" t="inlineStr">
        <is>
          <t>03/06/2026</t>
        </is>
      </c>
    </row>
    <row r="109">
      <c r="AA109" t="inlineStr">
        <is>
          <t>02/06/2026</t>
        </is>
      </c>
    </row>
    <row r="110">
      <c r="AA110" t="inlineStr">
        <is>
          <t>01/06/2026</t>
        </is>
      </c>
    </row>
    <row r="111">
      <c r="AA111" t="inlineStr">
        <is>
          <t>31/05/2026</t>
        </is>
      </c>
    </row>
    <row r="112">
      <c r="AA112" t="inlineStr">
        <is>
          <t>30/05/2026</t>
        </is>
      </c>
    </row>
    <row r="113">
      <c r="AA113" t="inlineStr">
        <is>
          <t>29/05/2026</t>
        </is>
      </c>
    </row>
    <row r="114">
      <c r="AA114" t="inlineStr">
        <is>
          <t>28/05/2026</t>
        </is>
      </c>
    </row>
    <row r="115">
      <c r="AA115" t="inlineStr">
        <is>
          <t>27/05/2026</t>
        </is>
      </c>
    </row>
    <row r="116">
      <c r="AA116" t="inlineStr">
        <is>
          <t>26/05/2026</t>
        </is>
      </c>
    </row>
    <row r="117">
      <c r="AA117" t="inlineStr">
        <is>
          <t>25/05/2026</t>
        </is>
      </c>
    </row>
    <row r="118">
      <c r="AA118" t="inlineStr">
        <is>
          <t>24/05/2026</t>
        </is>
      </c>
    </row>
    <row r="119">
      <c r="AA119" t="inlineStr">
        <is>
          <t>23/05/2026</t>
        </is>
      </c>
    </row>
    <row r="120">
      <c r="AA120" t="inlineStr">
        <is>
          <t>22/05/2026</t>
        </is>
      </c>
    </row>
    <row r="121">
      <c r="AA121" t="inlineStr">
        <is>
          <t>21/05/2026</t>
        </is>
      </c>
    </row>
    <row r="122">
      <c r="AA122" t="inlineStr">
        <is>
          <t>20/05/2026</t>
        </is>
      </c>
    </row>
    <row r="123">
      <c r="AA123" t="inlineStr">
        <is>
          <t>19/05/2026</t>
        </is>
      </c>
    </row>
    <row r="124">
      <c r="AA124" t="inlineStr">
        <is>
          <t>18/05/2026</t>
        </is>
      </c>
    </row>
    <row r="125">
      <c r="AA125" t="inlineStr">
        <is>
          <t>17/05/2026</t>
        </is>
      </c>
    </row>
    <row r="126">
      <c r="AA126" t="inlineStr">
        <is>
          <t>16/05/2026</t>
        </is>
      </c>
    </row>
    <row r="127">
      <c r="AA127" t="inlineStr">
        <is>
          <t>15/05/2026</t>
        </is>
      </c>
    </row>
    <row r="128">
      <c r="AA128" t="inlineStr">
        <is>
          <t>14/05/2026</t>
        </is>
      </c>
    </row>
    <row r="129">
      <c r="AA129" t="inlineStr">
        <is>
          <t>13/05/2026</t>
        </is>
      </c>
    </row>
    <row r="130">
      <c r="AA130" t="inlineStr">
        <is>
          <t>12/05/2026</t>
        </is>
      </c>
    </row>
    <row r="131">
      <c r="AA131" t="inlineStr">
        <is>
          <t>11/05/2026</t>
        </is>
      </c>
    </row>
    <row r="132">
      <c r="AA132" t="inlineStr">
        <is>
          <t>10/05/2026</t>
        </is>
      </c>
    </row>
    <row r="133">
      <c r="AA133" t="inlineStr">
        <is>
          <t>09/05/2026</t>
        </is>
      </c>
    </row>
    <row r="134">
      <c r="AA134" t="inlineStr">
        <is>
          <t>08/05/2026</t>
        </is>
      </c>
    </row>
    <row r="135">
      <c r="AA135" t="inlineStr">
        <is>
          <t>07/05/2026</t>
        </is>
      </c>
    </row>
    <row r="136">
      <c r="AA136" t="inlineStr">
        <is>
          <t>06/05/2026</t>
        </is>
      </c>
    </row>
    <row r="137">
      <c r="AA137" t="inlineStr">
        <is>
          <t>05/05/2026</t>
        </is>
      </c>
    </row>
    <row r="138">
      <c r="AA138" t="inlineStr">
        <is>
          <t>04/05/2026</t>
        </is>
      </c>
    </row>
    <row r="139">
      <c r="AA139" t="inlineStr">
        <is>
          <t>03/05/2026</t>
        </is>
      </c>
    </row>
    <row r="140">
      <c r="AA140" t="inlineStr">
        <is>
          <t>02/05/2026</t>
        </is>
      </c>
    </row>
    <row r="141">
      <c r="AA141" t="inlineStr">
        <is>
          <t>01/05/2026</t>
        </is>
      </c>
    </row>
    <row r="142">
      <c r="AA142" t="inlineStr">
        <is>
          <t>30/04/2026</t>
        </is>
      </c>
    </row>
    <row r="143">
      <c r="AA143" t="inlineStr">
        <is>
          <t>29/04/2026</t>
        </is>
      </c>
    </row>
    <row r="144">
      <c r="AA144" t="inlineStr">
        <is>
          <t>28/04/2026</t>
        </is>
      </c>
    </row>
    <row r="145">
      <c r="AA145" t="inlineStr">
        <is>
          <t>27/04/2026</t>
        </is>
      </c>
    </row>
    <row r="146">
      <c r="AA146" t="inlineStr">
        <is>
          <t>26/04/2026</t>
        </is>
      </c>
    </row>
    <row r="147">
      <c r="AA147" t="inlineStr">
        <is>
          <t>25/04/2026</t>
        </is>
      </c>
    </row>
    <row r="148">
      <c r="AA148" t="inlineStr">
        <is>
          <t>24/04/2026</t>
        </is>
      </c>
    </row>
    <row r="149">
      <c r="AA149" t="inlineStr">
        <is>
          <t>23/04/2026</t>
        </is>
      </c>
    </row>
    <row r="150">
      <c r="AA150" t="inlineStr">
        <is>
          <t>22/04/2026</t>
        </is>
      </c>
    </row>
    <row r="151">
      <c r="AA151" t="inlineStr">
        <is>
          <t>21/04/2026</t>
        </is>
      </c>
    </row>
    <row r="152">
      <c r="AA152" t="inlineStr">
        <is>
          <t>20/04/2026</t>
        </is>
      </c>
    </row>
    <row r="153">
      <c r="AA153" t="inlineStr">
        <is>
          <t>19/04/2026</t>
        </is>
      </c>
    </row>
    <row r="154">
      <c r="AA154" t="inlineStr">
        <is>
          <t>18/04/2026</t>
        </is>
      </c>
    </row>
    <row r="155">
      <c r="AA155" t="inlineStr">
        <is>
          <t>17/04/2026</t>
        </is>
      </c>
    </row>
    <row r="156">
      <c r="AA156" t="inlineStr">
        <is>
          <t>16/04/2026</t>
        </is>
      </c>
    </row>
    <row r="157">
      <c r="AA157" t="inlineStr">
        <is>
          <t>15/04/2026</t>
        </is>
      </c>
    </row>
    <row r="158">
      <c r="AA158" t="inlineStr">
        <is>
          <t>14/04/2026</t>
        </is>
      </c>
    </row>
    <row r="159">
      <c r="AA159" t="inlineStr">
        <is>
          <t>13/04/2026</t>
        </is>
      </c>
    </row>
    <row r="160">
      <c r="AA160" t="inlineStr">
        <is>
          <t>12/04/2026</t>
        </is>
      </c>
    </row>
    <row r="161">
      <c r="AA161" t="inlineStr">
        <is>
          <t>11/04/2026</t>
        </is>
      </c>
    </row>
    <row r="162">
      <c r="AA162" t="inlineStr">
        <is>
          <t>10/04/2026</t>
        </is>
      </c>
    </row>
    <row r="163">
      <c r="AA163" t="inlineStr">
        <is>
          <t>09/04/2026</t>
        </is>
      </c>
    </row>
    <row r="164">
      <c r="AA164" t="inlineStr">
        <is>
          <t>08/04/2026</t>
        </is>
      </c>
    </row>
    <row r="165">
      <c r="AA165" t="inlineStr">
        <is>
          <t>07/04/2026</t>
        </is>
      </c>
    </row>
    <row r="166">
      <c r="AA166" t="inlineStr">
        <is>
          <t>06/04/2026</t>
        </is>
      </c>
    </row>
    <row r="167">
      <c r="AA167" t="inlineStr">
        <is>
          <t>05/04/2026</t>
        </is>
      </c>
    </row>
    <row r="168">
      <c r="AA168" t="inlineStr">
        <is>
          <t>04/04/2026</t>
        </is>
      </c>
    </row>
    <row r="169">
      <c r="AA169" t="inlineStr">
        <is>
          <t>03/04/2026</t>
        </is>
      </c>
    </row>
    <row r="170">
      <c r="AA170" t="inlineStr">
        <is>
          <t>02/04/2026</t>
        </is>
      </c>
    </row>
    <row r="171">
      <c r="AA171" t="inlineStr">
        <is>
          <t>01/04/2026</t>
        </is>
      </c>
    </row>
    <row r="172">
      <c r="AA172" t="inlineStr">
        <is>
          <t>31/03/2026</t>
        </is>
      </c>
    </row>
    <row r="173">
      <c r="AA173" t="inlineStr">
        <is>
          <t>30/03/2026</t>
        </is>
      </c>
    </row>
    <row r="174">
      <c r="AA174" t="inlineStr">
        <is>
          <t>29/03/2026</t>
        </is>
      </c>
    </row>
    <row r="175">
      <c r="AA175" t="inlineStr">
        <is>
          <t>28/03/2026</t>
        </is>
      </c>
    </row>
    <row r="176">
      <c r="AA176" t="inlineStr">
        <is>
          <t>27/03/2026</t>
        </is>
      </c>
    </row>
    <row r="177">
      <c r="AA177" t="inlineStr">
        <is>
          <t>26/03/2026</t>
        </is>
      </c>
    </row>
    <row r="178">
      <c r="AA178" t="inlineStr">
        <is>
          <t>25/03/2026</t>
        </is>
      </c>
    </row>
    <row r="179">
      <c r="AA179" t="inlineStr">
        <is>
          <t>24/03/2026</t>
        </is>
      </c>
    </row>
    <row r="180">
      <c r="AA180" t="inlineStr">
        <is>
          <t>23/03/2026</t>
        </is>
      </c>
    </row>
    <row r="181">
      <c r="AA181" t="inlineStr">
        <is>
          <t>22/03/2026</t>
        </is>
      </c>
    </row>
    <row r="182">
      <c r="AA182" t="inlineStr">
        <is>
          <t>21/03/2026</t>
        </is>
      </c>
    </row>
    <row r="183">
      <c r="AA183" t="inlineStr">
        <is>
          <t>20/03/2026</t>
        </is>
      </c>
    </row>
    <row r="184">
      <c r="AA184" t="inlineStr">
        <is>
          <t>19/03/2026</t>
        </is>
      </c>
    </row>
    <row r="185">
      <c r="AA185" t="inlineStr">
        <is>
          <t>18/03/2026</t>
        </is>
      </c>
    </row>
    <row r="186">
      <c r="AA186" t="inlineStr">
        <is>
          <t>17/03/2026</t>
        </is>
      </c>
    </row>
    <row r="187">
      <c r="AA187" t="inlineStr">
        <is>
          <t>16/03/2026</t>
        </is>
      </c>
    </row>
    <row r="188">
      <c r="AA188" t="inlineStr">
        <is>
          <t>15/03/2026</t>
        </is>
      </c>
    </row>
    <row r="189">
      <c r="AA189" t="inlineStr">
        <is>
          <t>14/03/2026</t>
        </is>
      </c>
    </row>
    <row r="190">
      <c r="AA190" t="inlineStr">
        <is>
          <t>13/03/2026</t>
        </is>
      </c>
    </row>
    <row r="191">
      <c r="AA191" t="inlineStr">
        <is>
          <t>12/03/2026</t>
        </is>
      </c>
    </row>
    <row r="192">
      <c r="AA192" t="inlineStr">
        <is>
          <t>11/03/2026</t>
        </is>
      </c>
    </row>
    <row r="193">
      <c r="AA193" t="inlineStr">
        <is>
          <t>10/03/2026</t>
        </is>
      </c>
    </row>
    <row r="194">
      <c r="AA194" t="inlineStr">
        <is>
          <t>09/03/2026</t>
        </is>
      </c>
    </row>
    <row r="195">
      <c r="AA195" t="inlineStr">
        <is>
          <t>08/03/2026</t>
        </is>
      </c>
    </row>
    <row r="196">
      <c r="AA196" t="inlineStr">
        <is>
          <t>07/03/2026</t>
        </is>
      </c>
    </row>
    <row r="197">
      <c r="AA197" t="inlineStr">
        <is>
          <t>06/03/2026</t>
        </is>
      </c>
    </row>
    <row r="198">
      <c r="AA198" t="inlineStr">
        <is>
          <t>05/03/2026</t>
        </is>
      </c>
    </row>
    <row r="199">
      <c r="AA199" t="inlineStr">
        <is>
          <t>04/03/2026</t>
        </is>
      </c>
    </row>
    <row r="200">
      <c r="AA200" t="inlineStr">
        <is>
          <t>03/03/2026</t>
        </is>
      </c>
    </row>
    <row r="201">
      <c r="AA201" t="inlineStr">
        <is>
          <t>02/03/2026</t>
        </is>
      </c>
    </row>
    <row r="202">
      <c r="AA202" t="inlineStr">
        <is>
          <t>01/03/2026</t>
        </is>
      </c>
    </row>
    <row r="203">
      <c r="AA203" t="inlineStr">
        <is>
          <t>28/02/2026</t>
        </is>
      </c>
    </row>
    <row r="204">
      <c r="AA204" t="inlineStr">
        <is>
          <t>27/02/2026</t>
        </is>
      </c>
    </row>
    <row r="205">
      <c r="AA205" t="inlineStr">
        <is>
          <t>26/02/2026</t>
        </is>
      </c>
    </row>
    <row r="206">
      <c r="AA206" t="inlineStr">
        <is>
          <t>25/02/2026</t>
        </is>
      </c>
    </row>
    <row r="207">
      <c r="AA207" t="inlineStr">
        <is>
          <t>24/02/2026</t>
        </is>
      </c>
    </row>
    <row r="208">
      <c r="AA208" t="inlineStr">
        <is>
          <t>23/02/2026</t>
        </is>
      </c>
    </row>
    <row r="209">
      <c r="AA209" t="inlineStr">
        <is>
          <t>22/02/2026</t>
        </is>
      </c>
    </row>
    <row r="210">
      <c r="AA210" t="inlineStr">
        <is>
          <t>21/02/2026</t>
        </is>
      </c>
    </row>
    <row r="211">
      <c r="AA211" t="inlineStr">
        <is>
          <t>20/02/2026</t>
        </is>
      </c>
    </row>
    <row r="212">
      <c r="AA212" t="inlineStr">
        <is>
          <t>19/02/2026</t>
        </is>
      </c>
    </row>
    <row r="213">
      <c r="AA213" t="inlineStr">
        <is>
          <t>18/02/2026</t>
        </is>
      </c>
    </row>
    <row r="214">
      <c r="AA214" t="inlineStr">
        <is>
          <t>17/02/2026</t>
        </is>
      </c>
    </row>
    <row r="215">
      <c r="AA215" t="inlineStr">
        <is>
          <t>16/02/2026</t>
        </is>
      </c>
    </row>
    <row r="216">
      <c r="AA216" t="inlineStr">
        <is>
          <t>15/02/2026</t>
        </is>
      </c>
    </row>
    <row r="217">
      <c r="AA217" t="inlineStr">
        <is>
          <t>14/02/2026</t>
        </is>
      </c>
    </row>
    <row r="218">
      <c r="AA218" t="inlineStr">
        <is>
          <t>13/02/2026</t>
        </is>
      </c>
    </row>
    <row r="219">
      <c r="AA219" t="inlineStr">
        <is>
          <t>12/02/2026</t>
        </is>
      </c>
    </row>
    <row r="220">
      <c r="AA220" t="inlineStr">
        <is>
          <t>11/02/2026</t>
        </is>
      </c>
    </row>
    <row r="221">
      <c r="AA221" t="inlineStr">
        <is>
          <t>10/02/2026</t>
        </is>
      </c>
    </row>
    <row r="222">
      <c r="AA222" t="inlineStr">
        <is>
          <t>09/02/2026</t>
        </is>
      </c>
    </row>
    <row r="223">
      <c r="AA223" t="inlineStr">
        <is>
          <t>08/02/2026</t>
        </is>
      </c>
    </row>
    <row r="224">
      <c r="AA224" t="inlineStr">
        <is>
          <t>07/02/2026</t>
        </is>
      </c>
    </row>
    <row r="225">
      <c r="AA225" t="inlineStr">
        <is>
          <t>06/02/2026</t>
        </is>
      </c>
    </row>
    <row r="226">
      <c r="AA226" t="inlineStr">
        <is>
          <t>05/02/2026</t>
        </is>
      </c>
    </row>
    <row r="227">
      <c r="AA227" t="inlineStr">
        <is>
          <t>04/02/2026</t>
        </is>
      </c>
    </row>
    <row r="228">
      <c r="AA228" t="inlineStr">
        <is>
          <t>03/02/2026</t>
        </is>
      </c>
    </row>
    <row r="229">
      <c r="AA229" t="inlineStr">
        <is>
          <t>02/02/2026</t>
        </is>
      </c>
    </row>
    <row r="230">
      <c r="AA230" t="inlineStr">
        <is>
          <t>01/02/2026</t>
        </is>
      </c>
    </row>
    <row r="231">
      <c r="AA231" t="inlineStr">
        <is>
          <t>31/01/2026</t>
        </is>
      </c>
    </row>
    <row r="232">
      <c r="AA232" t="inlineStr">
        <is>
          <t>30/01/2026</t>
        </is>
      </c>
    </row>
    <row r="233">
      <c r="AA233" t="inlineStr">
        <is>
          <t>29/01/2026</t>
        </is>
      </c>
    </row>
    <row r="234">
      <c r="AA234" t="inlineStr">
        <is>
          <t>28/01/2026</t>
        </is>
      </c>
    </row>
    <row r="235">
      <c r="AA235" t="inlineStr">
        <is>
          <t>27/01/2026</t>
        </is>
      </c>
    </row>
    <row r="236">
      <c r="AA236" t="inlineStr">
        <is>
          <t>26/01/2026</t>
        </is>
      </c>
    </row>
    <row r="237">
      <c r="AA237" t="inlineStr">
        <is>
          <t>25/01/2026</t>
        </is>
      </c>
    </row>
    <row r="238">
      <c r="AA238" t="inlineStr">
        <is>
          <t>24/01/2026</t>
        </is>
      </c>
    </row>
    <row r="239">
      <c r="AA239" t="inlineStr">
        <is>
          <t>23/01/2026</t>
        </is>
      </c>
    </row>
    <row r="240">
      <c r="AA240" t="inlineStr">
        <is>
          <t>22/01/2026</t>
        </is>
      </c>
    </row>
    <row r="241">
      <c r="AA241" t="inlineStr">
        <is>
          <t>21/01/2026</t>
        </is>
      </c>
    </row>
    <row r="242">
      <c r="AA242" t="inlineStr">
        <is>
          <t>20/01/2026</t>
        </is>
      </c>
    </row>
    <row r="243">
      <c r="AA243" t="inlineStr">
        <is>
          <t>19/01/2026</t>
        </is>
      </c>
    </row>
    <row r="244">
      <c r="AA244" t="inlineStr">
        <is>
          <t>18/01/2026</t>
        </is>
      </c>
    </row>
    <row r="245">
      <c r="AA245" t="inlineStr">
        <is>
          <t>17/01/2026</t>
        </is>
      </c>
    </row>
    <row r="246">
      <c r="AA246" t="inlineStr">
        <is>
          <t>16/01/2026</t>
        </is>
      </c>
    </row>
    <row r="247">
      <c r="AA247" t="inlineStr">
        <is>
          <t>15/01/2026</t>
        </is>
      </c>
    </row>
    <row r="248">
      <c r="AA248" t="inlineStr">
        <is>
          <t>14/01/2026</t>
        </is>
      </c>
    </row>
    <row r="249">
      <c r="AA249" t="inlineStr">
        <is>
          <t>13/01/2026</t>
        </is>
      </c>
    </row>
    <row r="250">
      <c r="AA250" t="inlineStr">
        <is>
          <t>12/01/2026</t>
        </is>
      </c>
    </row>
    <row r="251">
      <c r="AA251" t="inlineStr">
        <is>
          <t>11/01/2026</t>
        </is>
      </c>
    </row>
    <row r="252">
      <c r="AA252" t="inlineStr">
        <is>
          <t>10/01/2026</t>
        </is>
      </c>
    </row>
    <row r="253">
      <c r="AA253" t="inlineStr">
        <is>
          <t>09/01/2026</t>
        </is>
      </c>
    </row>
    <row r="254">
      <c r="AA254" t="inlineStr">
        <is>
          <t>08/01/2026</t>
        </is>
      </c>
    </row>
    <row r="255">
      <c r="AA255" t="inlineStr">
        <is>
          <t>07/01/2026</t>
        </is>
      </c>
    </row>
    <row r="256">
      <c r="AA256" t="inlineStr">
        <is>
          <t>06/01/2026</t>
        </is>
      </c>
    </row>
    <row r="257">
      <c r="AA257" t="inlineStr">
        <is>
          <t>05/01/2026</t>
        </is>
      </c>
    </row>
    <row r="258">
      <c r="AA258" t="inlineStr">
        <is>
          <t>04/01/2026</t>
        </is>
      </c>
    </row>
    <row r="259">
      <c r="AA259" t="inlineStr">
        <is>
          <t>03/01/2026</t>
        </is>
      </c>
    </row>
    <row r="260">
      <c r="AA260" t="inlineStr">
        <is>
          <t>02/01/2026</t>
        </is>
      </c>
    </row>
    <row r="261">
      <c r="AA261" t="inlineStr">
        <is>
          <t>01/01/2026</t>
        </is>
      </c>
    </row>
  </sheetData>
  <mergeCells count="20">
    <mergeCell ref="B7:C7"/>
    <mergeCell ref="B3:I3"/>
    <mergeCell ref="F6:G6"/>
    <mergeCell ref="H4:I4"/>
    <mergeCell ref="F7:G7"/>
    <mergeCell ref="D6:E6"/>
    <mergeCell ref="H6:I6"/>
    <mergeCell ref="B2:I2"/>
    <mergeCell ref="B8:C8"/>
    <mergeCell ref="F8:G8"/>
    <mergeCell ref="D7:E7"/>
    <mergeCell ref="H7:I7"/>
    <mergeCell ref="B34:I34"/>
    <mergeCell ref="B10:I10"/>
    <mergeCell ref="D8:E8"/>
    <mergeCell ref="B6:C6"/>
    <mergeCell ref="B51:I51"/>
    <mergeCell ref="B36:I36"/>
    <mergeCell ref="H8:I8"/>
    <mergeCell ref="B32:I32"/>
  </mergeCells>
  <conditionalFormatting sqref="C8:C13">
    <cfRule type="expression" priority="1" dxfId="11">
      <formula>C8=MAX($C$8:$C$13)</formula>
    </cfRule>
  </conditionalFormatting>
  <conditionalFormatting sqref="C8:C15">
    <cfRule type="expression" priority="83" dxfId="11">
      <formula>C8=MAX($C$8:$C$15)</formula>
    </cfRule>
  </conditionalFormatting>
  <conditionalFormatting sqref="C8:C17">
    <cfRule type="expression" priority="90" dxfId="11">
      <formula>C8=MAX($C$8:$C$17)</formula>
    </cfRule>
  </conditionalFormatting>
  <conditionalFormatting sqref="C12:C26">
    <cfRule type="expression" priority="17" dxfId="9">
      <formula>C12=MAX($C$12:$C$26)</formula>
    </cfRule>
    <cfRule type="expression" priority="97" dxfId="9">
      <formula>C12=MAX($C$12:$C$26)</formula>
    </cfRule>
    <cfRule type="expression" priority="20" dxfId="31">
      <formula>C12=MAX($C$12:$C$26)</formula>
    </cfRule>
  </conditionalFormatting>
  <conditionalFormatting sqref="D8:D13">
    <cfRule type="expression" priority="2" dxfId="11">
      <formula>D8=MAX($D$8:$D$13)</formula>
    </cfRule>
  </conditionalFormatting>
  <conditionalFormatting sqref="D8:D15">
    <cfRule type="expression" priority="84" dxfId="11">
      <formula>D8=MAX($D$8:$D$15)</formula>
    </cfRule>
  </conditionalFormatting>
  <conditionalFormatting sqref="D8:D17">
    <cfRule type="expression" priority="91" dxfId="11">
      <formula>D8=MAX($D$8:$D$17)</formula>
    </cfRule>
  </conditionalFormatting>
  <conditionalFormatting sqref="D12:D26">
    <cfRule type="expression" priority="18" dxfId="9">
      <formula>D12=MAX($D$12:$D$26)</formula>
    </cfRule>
    <cfRule type="expression" priority="98" dxfId="9">
      <formula>D12=MAX($D$12:$D$26)</formula>
    </cfRule>
    <cfRule type="expression" priority="21" dxfId="31">
      <formula>D12=MAX($D$12:$D$26)</formula>
    </cfRule>
  </conditionalFormatting>
  <conditionalFormatting sqref="E8:E13">
    <cfRule type="expression" priority="3" dxfId="6">
      <formula>E8=MIN($E$8:$E$13)</formula>
    </cfRule>
  </conditionalFormatting>
  <conditionalFormatting sqref="E8:E15">
    <cfRule type="expression" priority="85" dxfId="6">
      <formula>E8=MIN($E$8:$E$15)</formula>
    </cfRule>
  </conditionalFormatting>
  <conditionalFormatting sqref="E8:E17">
    <cfRule type="expression" priority="92" dxfId="6">
      <formula>E8=MIN($E$8:$E$17)</formula>
    </cfRule>
  </conditionalFormatting>
  <conditionalFormatting sqref="E12:E26">
    <cfRule type="expression" priority="19" dxfId="4">
      <formula>E12=MIN($E$12:$E$26)</formula>
    </cfRule>
    <cfRule type="expression" priority="99" dxfId="4">
      <formula>E12=MIN($E$12:$E$26)</formula>
    </cfRule>
    <cfRule type="expression" priority="22" dxfId="32">
      <formula>E12=MIN($E$12:$E$26)</formula>
    </cfRule>
  </conditionalFormatting>
  <conditionalFormatting sqref="H8:I17">
    <cfRule type="cellIs" priority="4" operator="greaterThan" dxfId="3">
      <formula>0</formula>
    </cfRule>
    <cfRule type="cellIs" priority="5" operator="lessThan" dxfId="2">
      <formula>0</formula>
    </cfRule>
  </conditionalFormatting>
  <conditionalFormatting sqref="H12:I26">
    <cfRule type="cellIs" priority="20" operator="greaterThan" dxfId="1">
      <formula>0</formula>
    </cfRule>
    <cfRule type="cellIs" priority="21" operator="lessThan" dxfId="0">
      <formula>0</formula>
    </cfRule>
  </conditionalFormatting>
  <conditionalFormatting sqref="H12:H26">
    <cfRule type="cellIs" priority="23" operator="greaterThan" dxfId="33">
      <formula>0</formula>
    </cfRule>
    <cfRule type="cellIs" priority="24" operator="lessThan" dxfId="34">
      <formula>0</formula>
    </cfRule>
  </conditionalFormatting>
  <conditionalFormatting sqref="I12:I26">
    <cfRule type="cellIs" priority="25" operator="greaterThan" dxfId="33">
      <formula>0</formula>
    </cfRule>
    <cfRule type="cellIs" priority="26" operator="lessThan" dxfId="34">
      <formula>0</formula>
    </cfRule>
  </conditionalFormatting>
  <dataValidations count="87">
    <dataValidation sqref="B4 E4" showDropDown="0" showInputMessage="0" showErrorMessage="0" allowBlank="0" type="list">
      <formula1>$AA$1:$AA$158</formula1>
    </dataValidation>
    <dataValidation sqref="B4 E4" showDropDown="0" showInputMessage="0" showErrorMessage="0" allowBlank="0" type="list">
      <formula1>$AA$1:$AA$160</formula1>
    </dataValidation>
    <dataValidation sqref="B4 E4" showDropDown="0" showInputMessage="0" showErrorMessage="0" allowBlank="0" type="list">
      <formula1>$AA$1:$AA$161</formula1>
    </dataValidation>
    <dataValidation sqref="B4 E4" showDropDown="0" showInputMessage="0" showErrorMessage="0" allowBlank="0" type="list">
      <formula1>$AA$1:$AA$162</formula1>
    </dataValidation>
    <dataValidation sqref="B4 E4" showDropDown="0" showInputMessage="0" showErrorMessage="0" allowBlank="0" type="list">
      <formula1>$AA$1:$AA$163</formula1>
    </dataValidation>
    <dataValidation sqref="B4 E4" showDropDown="0" showInputMessage="0" showErrorMessage="0" allowBlank="0" type="list">
      <formula1>$AA$1:$AA$164</formula1>
    </dataValidation>
    <dataValidation sqref="B4 E4" showDropDown="0" showInputMessage="0" showErrorMessage="0" allowBlank="0" type="list">
      <formula1>$AA$1:$AA$165</formula1>
    </dataValidation>
    <dataValidation sqref="B4 E4" showDropDown="0" showInputMessage="0" showErrorMessage="0" allowBlank="0" type="list">
      <formula1>$AA$1:$AA$166</formula1>
    </dataValidation>
    <dataValidation sqref="B4 E4" showDropDown="0" showInputMessage="0" showErrorMessage="0" allowBlank="0" type="list">
      <formula1>$AA$1:$AA$167</formula1>
    </dataValidation>
    <dataValidation sqref="B4 E4" showDropDown="0" showInputMessage="0" showErrorMessage="0" allowBlank="0" type="list">
      <formula1>$AA$1:$AA$168</formula1>
    </dataValidation>
    <dataValidation sqref="B4 E4" showDropDown="0" showInputMessage="0" showErrorMessage="0" allowBlank="0" type="list">
      <formula1>$AA$1:$AA$169</formula1>
    </dataValidation>
    <dataValidation sqref="B4 E4" showDropDown="0" showInputMessage="0" showErrorMessage="0" allowBlank="0" type="list">
      <formula1>$AA$1:$AA$170</formula1>
    </dataValidation>
    <dataValidation sqref="B4 E4" showDropDown="0" showInputMessage="0" showErrorMessage="0" allowBlank="0" type="list">
      <formula1>$AA$1:$AA$173</formula1>
    </dataValidation>
    <dataValidation sqref="B4 E4" showDropDown="0" showInputMessage="0" showErrorMessage="0" allowBlank="0" type="list">
      <formula1>$AA$1:$AA$174</formula1>
    </dataValidation>
    <dataValidation sqref="B4 E4" showDropDown="0" showInputMessage="0" showErrorMessage="0" allowBlank="0" type="list">
      <formula1>$AA$1:$AA$175</formula1>
    </dataValidation>
    <dataValidation sqref="B4 E4" showDropDown="0" showInputMessage="0" showErrorMessage="0" allowBlank="0" type="list">
      <formula1>$AA$1:$AA$176</formula1>
    </dataValidation>
    <dataValidation sqref="B4 E4" showDropDown="0" showInputMessage="0" showErrorMessage="0" allowBlank="0" type="list">
      <formula1>$AA$1:$AA$177</formula1>
    </dataValidation>
    <dataValidation sqref="B4 E4" showDropDown="0" showInputMessage="0" showErrorMessage="0" allowBlank="0" type="list">
      <formula1>$AA$1:$AA$178</formula1>
    </dataValidation>
    <dataValidation sqref="B4 E4" showDropDown="0" showInputMessage="0" showErrorMessage="0" allowBlank="0" type="list">
      <formula1>$AA$1:$AA$179</formula1>
    </dataValidation>
    <dataValidation sqref="B4 E4" showDropDown="0" showInputMessage="0" showErrorMessage="0" allowBlank="0" type="list">
      <formula1>$AA$1:$AA$180</formula1>
    </dataValidation>
    <dataValidation sqref="B4 E4" showDropDown="0" showInputMessage="0" showErrorMessage="0" allowBlank="0" type="list">
      <formula1>$AA$1:$AA$181</formula1>
    </dataValidation>
    <dataValidation sqref="B4 E4" showDropDown="0" showInputMessage="0" showErrorMessage="0" allowBlank="0" type="list">
      <formula1>$AA$1:$AA$182</formula1>
    </dataValidation>
    <dataValidation sqref="B4 E4" showDropDown="0" showInputMessage="0" showErrorMessage="0" allowBlank="0" type="list">
      <formula1>$AA$1:$AA$183</formula1>
    </dataValidation>
    <dataValidation sqref="B4 E4" showDropDown="0" showInputMessage="0" showErrorMessage="0" allowBlank="0" type="list">
      <formula1>$AA$1:$AA$184</formula1>
    </dataValidation>
    <dataValidation sqref="B4 E4" showDropDown="0" showInputMessage="0" showErrorMessage="0" allowBlank="0" type="list">
      <formula1>$AA$1:$AA$185</formula1>
    </dataValidation>
    <dataValidation sqref="B4 E4" showDropDown="0" showInputMessage="0" showErrorMessage="0" allowBlank="0" type="list">
      <formula1>$AA$1:$AA$186</formula1>
    </dataValidation>
    <dataValidation sqref="B4 E4" showDropDown="0" showInputMessage="0" showErrorMessage="0" allowBlank="0" type="list">
      <formula1>$AA$1:$AA$187</formula1>
    </dataValidation>
    <dataValidation sqref="B4 E4" showDropDown="0" showInputMessage="0" showErrorMessage="0" allowBlank="0" type="list">
      <formula1>$AA$1:$AA$188</formula1>
    </dataValidation>
    <dataValidation sqref="B4 E4" showDropDown="0" showInputMessage="0" showErrorMessage="0" allowBlank="0" type="list">
      <formula1>$AA$1:$AA$189</formula1>
    </dataValidation>
    <dataValidation sqref="B4 E4" showDropDown="0" showInputMessage="0" showErrorMessage="0" allowBlank="0" type="list">
      <formula1>$AA$1:$AA$190</formula1>
    </dataValidation>
    <dataValidation sqref="B4 E4" showDropDown="0" showInputMessage="0" showErrorMessage="0" allowBlank="0" type="list">
      <formula1>$AA$1:$AA$191</formula1>
    </dataValidation>
    <dataValidation sqref="B4 E4" showDropDown="0" showInputMessage="0" showErrorMessage="0" allowBlank="0" type="list">
      <formula1>$AA$1:$AA$192</formula1>
    </dataValidation>
    <dataValidation sqref="B4 E4" showDropDown="0" showInputMessage="0" showErrorMessage="0" allowBlank="0" type="list">
      <formula1>$AA$1:$AA$193</formula1>
    </dataValidation>
    <dataValidation sqref="B4 E4" showDropDown="0" showInputMessage="0" showErrorMessage="0" allowBlank="0" type="list">
      <formula1>$AA$1:$AA$194</formula1>
    </dataValidation>
    <dataValidation sqref="B4 E4" showDropDown="0" showInputMessage="0" showErrorMessage="0" allowBlank="0" type="list">
      <formula1>$AA$1:$AA$195</formula1>
    </dataValidation>
    <dataValidation sqref="B4 E4" showDropDown="0" showInputMessage="0" showErrorMessage="0" allowBlank="0" type="list">
      <formula1>$AA$1:$AA$196</formula1>
    </dataValidation>
    <dataValidation sqref="B4 E4" showDropDown="0" showInputMessage="0" showErrorMessage="0" allowBlank="0" type="list">
      <formula1>$AA$1:$AA$197</formula1>
    </dataValidation>
    <dataValidation sqref="B4 E4" showDropDown="0" showInputMessage="0" showErrorMessage="0" allowBlank="0" type="list">
      <formula1>$AA$1:$AA$198</formula1>
    </dataValidation>
    <dataValidation sqref="B4 E4" showDropDown="0" showInputMessage="0" showErrorMessage="0" allowBlank="0" type="list">
      <formula1>$AA$1:$AA$199</formula1>
    </dataValidation>
    <dataValidation sqref="B4 E4" showDropDown="0" showInputMessage="0" showErrorMessage="0" allowBlank="0" type="list">
      <formula1>$AA$1:$AA$200</formula1>
    </dataValidation>
    <dataValidation sqref="B4 E4" showDropDown="0" showInputMessage="0" showErrorMessage="0" allowBlank="0" type="list">
      <formula1>$AA$1:$AA$201</formula1>
    </dataValidation>
    <dataValidation sqref="B4 E4" showDropDown="0" showInputMessage="0" showErrorMessage="0" allowBlank="0" type="list">
      <formula1>$AA$1:$AA$202</formula1>
    </dataValidation>
    <dataValidation sqref="B4 E4" showDropDown="0" showInputMessage="0" showErrorMessage="0" allowBlank="0" type="list">
      <formula1>$AA$1:$AA$203</formula1>
    </dataValidation>
    <dataValidation sqref="B4 E4" showDropDown="0" showInputMessage="0" showErrorMessage="0" allowBlank="0" type="list">
      <formula1>$AA$1:$AA$204</formula1>
    </dataValidation>
    <dataValidation sqref="B4 E4" showDropDown="0" showInputMessage="0" showErrorMessage="0" allowBlank="0" type="list">
      <formula1>$AA$1:$AA$209</formula1>
    </dataValidation>
    <dataValidation sqref="B4 E4" showDropDown="0" showInputMessage="0" showErrorMessage="0" allowBlank="0" type="list">
      <formula1>$AA$1:$AA$210</formula1>
    </dataValidation>
    <dataValidation sqref="B4 E4" showDropDown="0" showInputMessage="0" showErrorMessage="0" allowBlank="0" type="list">
      <formula1>$AA$1:$AA$211</formula1>
    </dataValidation>
    <dataValidation sqref="B4 E4" showDropDown="0" showInputMessage="0" showErrorMessage="0" allowBlank="0" type="list">
      <formula1>$AA$1:$AA$212</formula1>
    </dataValidation>
    <dataValidation sqref="B4 E4" showDropDown="0" showInputMessage="0" showErrorMessage="0" allowBlank="0" type="list">
      <formula1>$AA$1:$AA$213</formula1>
    </dataValidation>
    <dataValidation sqref="B4 E4" showDropDown="0" showInputMessage="0" showErrorMessage="0" allowBlank="0" type="list">
      <formula1>$AA$1:$AA$214</formula1>
    </dataValidation>
    <dataValidation sqref="B4 E4" showDropDown="0" showInputMessage="0" showErrorMessage="0" allowBlank="0" type="list">
      <formula1>$AA$1:$AA$215</formula1>
    </dataValidation>
    <dataValidation sqref="B4 E4" showDropDown="0" showInputMessage="0" showErrorMessage="0" allowBlank="0" type="list">
      <formula1>$AA$1:$AA$216</formula1>
    </dataValidation>
    <dataValidation sqref="B4 E4" showDropDown="0" showInputMessage="0" showErrorMessage="0" allowBlank="0" type="list">
      <formula1>$AA$1:$AA$217</formula1>
    </dataValidation>
    <dataValidation sqref="B4 E4" showDropDown="0" showInputMessage="0" showErrorMessage="0" allowBlank="0" type="list">
      <formula1>$AA$1:$AA$218</formula1>
    </dataValidation>
    <dataValidation sqref="B4 E4" showDropDown="0" showInputMessage="0" showErrorMessage="0" allowBlank="0" type="list">
      <formula1>$AA$1:$AA$219</formula1>
    </dataValidation>
    <dataValidation sqref="B4 E4" showDropDown="0" showInputMessage="0" showErrorMessage="0" allowBlank="0" type="list">
      <formula1>$AA$1:$AA$220</formula1>
    </dataValidation>
    <dataValidation sqref="B4 E4" showDropDown="0" showInputMessage="0" showErrorMessage="0" allowBlank="0" type="list">
      <formula1>$AA$1:$AA$221</formula1>
    </dataValidation>
    <dataValidation sqref="B4 E4" showDropDown="0" showInputMessage="0" showErrorMessage="0" allowBlank="0" type="list">
      <formula1>$AA$1:$AA$222</formula1>
    </dataValidation>
    <dataValidation sqref="B4 E4" showDropDown="0" showInputMessage="0" showErrorMessage="0" allowBlank="0" type="list">
      <formula1>$AA$1:$AA$223</formula1>
    </dataValidation>
    <dataValidation sqref="B4 E4" showDropDown="0" showInputMessage="0" showErrorMessage="0" allowBlank="0" type="list">
      <formula1>$AA$1:$AA$225</formula1>
    </dataValidation>
    <dataValidation sqref="B4 E4" showDropDown="0" showInputMessage="0" showErrorMessage="0" allowBlank="0" type="list">
      <formula1>$AA$1:$AA$226</formula1>
    </dataValidation>
    <dataValidation sqref="B4 E4" showDropDown="0" showInputMessage="0" showErrorMessage="0" allowBlank="0" type="list">
      <formula1>$AA$1:$AA$259</formula1>
    </dataValidation>
    <dataValidation sqref="B4 E4" showDropDown="0" showInputMessage="0" showErrorMessage="0" allowBlank="0" type="list">
      <formula1>$AA$1:$AA$260</formula1>
    </dataValidation>
    <dataValidation sqref="B4 E4" showDropDown="0" showInputMessage="0" showErrorMessage="0" allowBlank="0" type="list">
      <formula1>$AA$1:$AA$261</formula1>
    </dataValidation>
    <dataValidation sqref="B4 E4" showDropDown="0" showInputMessage="0" showErrorMessage="0" allowBlank="0" type="list">
      <formula1>$AA$1:$AA$262</formula1>
    </dataValidation>
    <dataValidation sqref="B4 E4" showDropDown="0" showInputMessage="0" showErrorMessage="0" allowBlank="0" type="list">
      <formula1>$AA$1:$AA$263</formula1>
    </dataValidation>
    <dataValidation sqref="B4 E4" showDropDown="0" showInputMessage="0" showErrorMessage="0" allowBlank="0" type="list">
      <formula1>$AA$1:$AA$264</formula1>
    </dataValidation>
    <dataValidation sqref="B4 E4" showDropDown="0" showInputMessage="0" showErrorMessage="0" allowBlank="0" type="list">
      <formula1>$AA$1:$AA$265</formula1>
    </dataValidation>
    <dataValidation sqref="B4 E4" showDropDown="0" showInputMessage="0" showErrorMessage="0" allowBlank="0" type="list">
      <formula1>$AA$1:$AA$266</formula1>
    </dataValidation>
    <dataValidation sqref="B4 E4" showDropDown="0" showInputMessage="0" showErrorMessage="0" allowBlank="0" type="list">
      <formula1>$AA$1:$AA$267</formula1>
    </dataValidation>
    <dataValidation sqref="B4 E4" showDropDown="0" showInputMessage="0" showErrorMessage="0" allowBlank="0" type="list">
      <formula1>$AA$1:$AA$268</formula1>
    </dataValidation>
    <dataValidation sqref="B4 E4" showDropDown="0" showInputMessage="0" showErrorMessage="0" allowBlank="0" type="list">
      <formula1>$AA$1:$AA$269</formula1>
    </dataValidation>
    <dataValidation sqref="B4 E4" showDropDown="0" showInputMessage="0" showErrorMessage="0" allowBlank="0" type="list">
      <formula1>$AA$1:$AA$270</formula1>
    </dataValidation>
    <dataValidation sqref="B4 E4" showDropDown="0" showInputMessage="0" showErrorMessage="0" allowBlank="0" type="list">
      <formula1>$AA$1:$AA$271</formula1>
    </dataValidation>
    <dataValidation sqref="B4 E4" showDropDown="0" showInputMessage="0" showErrorMessage="0" allowBlank="0" type="list">
      <formula1>$AA$1:$AA$272</formula1>
    </dataValidation>
    <dataValidation sqref="B4 E4" showDropDown="0" showInputMessage="0" showErrorMessage="0" allowBlank="0" type="list">
      <formula1>$AA$1:$AA$273</formula1>
    </dataValidation>
    <dataValidation sqref="B4 E4" showDropDown="0" showInputMessage="0" showErrorMessage="0" allowBlank="0" type="list">
      <formula1>$AA$1:$AA$274</formula1>
    </dataValidation>
    <dataValidation sqref="B4 E4" showDropDown="0" showInputMessage="0" showErrorMessage="0" allowBlank="0" type="list">
      <formula1>$AA$1:$AA$275</formula1>
    </dataValidation>
    <dataValidation sqref="B4 E4" showDropDown="0" showInputMessage="0" showErrorMessage="0" allowBlank="0" type="list">
      <formula1>$AA$1:$AA$276</formula1>
    </dataValidation>
    <dataValidation sqref="B4 E4" showDropDown="0" showInputMessage="0" showErrorMessage="0" allowBlank="0" type="list">
      <formula1>$AA$1:$AA$252</formula1>
    </dataValidation>
    <dataValidation sqref="B4 E4" showDropDown="0" showInputMessage="0" showErrorMessage="0" allowBlank="0" type="list">
      <formula1>$AA$1:$AA$253</formula1>
    </dataValidation>
    <dataValidation sqref="B4 E4" showDropDown="0" showInputMessage="0" showErrorMessage="0" allowBlank="0" type="list">
      <formula1>$AA$1:$AA$254</formula1>
    </dataValidation>
    <dataValidation sqref="B4 E4" showDropDown="0" showInputMessage="0" showErrorMessage="0" allowBlank="0" type="list">
      <formula1>$AA$1:$AA$255</formula1>
    </dataValidation>
    <dataValidation sqref="B4 E4" showDropDown="0" showInputMessage="0" showErrorMessage="0" allowBlank="0" type="list">
      <formula1>$AA$1:$AA$256</formula1>
    </dataValidation>
    <dataValidation sqref="B4 E4" showDropDown="0" showInputMessage="0" showErrorMessage="0" allowBlank="0" type="list">
      <formula1>$AA$1:$AA$257</formula1>
    </dataValidation>
    <dataValidation sqref="B4 E4" showDropDown="0" showInputMessage="0" showErrorMessage="0" allowBlank="0" type="list">
      <formula1>$AA$1:$AA$258</formula1>
    </dataValidation>
    <dataValidation sqref="B4 E4" showDropDown="0" showInputMessage="0" showErrorMessage="0" allowBlank="0" type="list">
      <formula1>=$AA$1:$AA$261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B38"/>
  <sheetViews>
    <sheetView showGridLines="0" workbookViewId="0">
      <selection activeCell="A1" sqref="A1"/>
    </sheetView>
  </sheetViews>
  <sheetFormatPr baseColWidth="8" defaultRowHeight="15"/>
  <cols>
    <col width="3" customWidth="1" style="72" min="1" max="1"/>
    <col width="6" customWidth="1" style="72" min="2" max="2"/>
    <col width="18" customWidth="1" style="72" min="3" max="3"/>
    <col width="18" customWidth="1" style="72" min="4" max="4"/>
    <col width="18" customWidth="1" style="72" min="5" max="5"/>
    <col width="18" customWidth="1" style="72" min="6" max="6"/>
    <col width="18" customWidth="1" style="72" min="7" max="7"/>
    <col width="18" customWidth="1" style="72" min="8" max="8"/>
    <col width="3" customWidth="1" style="72" min="9" max="9"/>
    <col hidden="1" width="13" customWidth="1" style="72" min="27" max="27"/>
    <col hidden="1" width="13" customWidth="1" style="72" min="28" max="28"/>
  </cols>
  <sheetData>
    <row r="1">
      <c r="AA1" t="n">
        <v>1</v>
      </c>
      <c r="AB1" t="inlineStr">
        <is>
          <t>Vietcombank</t>
        </is>
      </c>
    </row>
    <row r="2" ht="35" customHeight="1" s="72">
      <c r="B2" s="177" t="inlineStr">
        <is>
          <t>BÁO CÁO TỶ GIÁ USD THEO THÁNG</t>
        </is>
      </c>
      <c r="AA2" t="n">
        <v>2</v>
      </c>
      <c r="AB2" t="inlineStr">
        <is>
          <t>VietinBank</t>
        </is>
      </c>
    </row>
    <row r="3">
      <c r="AA3" t="n">
        <v>3</v>
      </c>
      <c r="AB3" t="inlineStr">
        <is>
          <t>BIDV</t>
        </is>
      </c>
    </row>
    <row r="4" ht="28" customHeight="1" s="72">
      <c r="B4" s="178" t="inlineStr">
        <is>
          <t>Chọn Năm:</t>
        </is>
      </c>
      <c r="C4" s="179" t="n">
        <v>2026</v>
      </c>
      <c r="E4" s="178" t="inlineStr">
        <is>
          <t>Chọn Tháng:</t>
        </is>
      </c>
      <c r="F4" s="180" t="n">
        <v>6</v>
      </c>
      <c r="G4" s="178" t="inlineStr">
        <is>
          <t>Ngân Hàng:</t>
        </is>
      </c>
      <c r="H4" s="180" t="inlineStr">
        <is>
          <t>Vietcombank</t>
        </is>
      </c>
      <c r="AA4" t="n">
        <v>4</v>
      </c>
      <c r="AB4" t="inlineStr">
        <is>
          <t>Agribank</t>
        </is>
      </c>
    </row>
    <row r="5">
      <c r="AA5" t="n">
        <v>5</v>
      </c>
      <c r="AB5" t="inlineStr">
        <is>
          <t>Techcombank</t>
        </is>
      </c>
    </row>
    <row r="6" ht="32" customHeight="1" s="72">
      <c r="B6" s="181" t="inlineStr">
        <is>
          <t>STT</t>
        </is>
      </c>
      <c r="C6" s="181" t="inlineStr">
        <is>
          <t>Ngày theo lịch</t>
        </is>
      </c>
      <c r="D6" s="181" t="inlineStr">
        <is>
          <t>Ngày áp dụng</t>
        </is>
      </c>
      <c r="E6" s="181" t="inlineStr">
        <is>
          <t>Mua tiền mặt</t>
        </is>
      </c>
      <c r="F6" s="181" t="inlineStr">
        <is>
          <t>Mua chuyển khoản</t>
        </is>
      </c>
      <c r="G6" s="181" t="inlineStr">
        <is>
          <t>Bán</t>
        </is>
      </c>
      <c r="H6" s="181" t="inlineStr">
        <is>
          <t>Bình quân</t>
        </is>
      </c>
      <c r="AA6" t="n">
        <v>6</v>
      </c>
      <c r="AB6" t="inlineStr">
        <is>
          <t>ACB</t>
        </is>
      </c>
    </row>
    <row r="7" ht="26" customHeight="1" s="72">
      <c r="B7" s="182">
        <f>IF(C7&lt;&gt;"", 1, "")</f>
        <v/>
      </c>
      <c r="C7" s="183">
        <f>IF(MONTH(DATE($C$4, $F$4, 1))=$F$4, DATE($C$4, $F$4, 1), "")</f>
        <v/>
      </c>
      <c r="D7" s="183">
        <f>IF(C7&lt;&gt;"", IF(E7&lt;&gt;"-", C7, "-"), "")</f>
        <v/>
      </c>
      <c r="E7" s="184">
        <f>IF(C7&lt;&gt;"", IF(SUMIFS(Data_TheoDoi_USD!$C$2:$C$10000, Data_TheoDoi_USD!$A$2:$A$10000, TEXT(C7, "dd/mm/yyyy"), Data_TheoDoi_USD!$B$2:$B$10000, $H$4)=0, "-", SUMIFS(Data_TheoDoi_USD!$C$2:$C$10000, Data_TheoDoi_USD!$A$2:$A$10000, TEXT(C7, "dd/mm/yyyy"), Data_TheoDoi_USD!$B$2:$B$10000, $H$4)), "")</f>
        <v/>
      </c>
      <c r="F7" s="184">
        <f>IF(C7&lt;&gt;"", IF(SUMIFS(Data_TheoDoi_USD!$D$2:$D$10000, Data_TheoDoi_USD!$A$2:$A$10000, TEXT(C7, "dd/mm/yyyy"), Data_TheoDoi_USD!$B$2:$B$10000, $H$4)=0, "-", SUMIFS(Data_TheoDoi_USD!$D$2:$D$10000, Data_TheoDoi_USD!$A$2:$A$10000, TEXT(C7, "dd/mm/yyyy"), Data_TheoDoi_USD!$B$2:$B$10000, $H$4)), "")</f>
        <v/>
      </c>
      <c r="G7" s="184">
        <f>IF(C7&lt;&gt;"", IF(SUMIFS(Data_TheoDoi_USD!$E$2:$E$10000, Data_TheoDoi_USD!$A$2:$A$10000, TEXT(C7, "dd/mm/yyyy"), Data_TheoDoi_USD!$B$2:$B$10000, $H$4)=0, "-", SUMIFS(Data_TheoDoi_USD!$E$2:$E$10000, Data_TheoDoi_USD!$A$2:$A$10000, TEXT(C7, "dd/mm/yyyy"), Data_TheoDoi_USD!$B$2:$B$10000, $H$4)), "")</f>
        <v/>
      </c>
      <c r="H7" s="185">
        <f>IF(AND(C7&lt;&gt;"", E7&lt;&gt;"-", F7&lt;&gt;"-", G7&lt;&gt;"-"), IFERROR(AVERAGE(F7, G7), "-"), "")</f>
        <v/>
      </c>
      <c r="AA7" t="n">
        <v>7</v>
      </c>
      <c r="AB7" t="inlineStr">
        <is>
          <t>Sacombank</t>
        </is>
      </c>
    </row>
    <row r="8" ht="26" customHeight="1" s="72">
      <c r="B8" s="186">
        <f>IF(C8&lt;&gt;"", 2, "")</f>
        <v/>
      </c>
      <c r="C8" s="187">
        <f>IF(MONTH(DATE($C$4, $F$4, 2))=$F$4, DATE($C$4, $F$4, 2), "")</f>
        <v/>
      </c>
      <c r="D8" s="187">
        <f>IF(C8&lt;&gt;"", IF(E8&lt;&gt;"-", C8, "-"), "")</f>
        <v/>
      </c>
      <c r="E8" s="188">
        <f>IF(C8&lt;&gt;"", IF(SUMIFS(Data_TheoDoi_USD!$C$2:$C$10000, Data_TheoDoi_USD!$A$2:$A$10000, TEXT(C8, "dd/mm/yyyy"), Data_TheoDoi_USD!$B$2:$B$10000, $H$4)=0, "-", SUMIFS(Data_TheoDoi_USD!$C$2:$C$10000, Data_TheoDoi_USD!$A$2:$A$10000, TEXT(C8, "dd/mm/yyyy"), Data_TheoDoi_USD!$B$2:$B$10000, $H$4)), "")</f>
        <v/>
      </c>
      <c r="F8" s="188">
        <f>IF(C8&lt;&gt;"", IF(SUMIFS(Data_TheoDoi_USD!$D$2:$D$10000, Data_TheoDoi_USD!$A$2:$A$10000, TEXT(C8, "dd/mm/yyyy"), Data_TheoDoi_USD!$B$2:$B$10000, $H$4)=0, "-", SUMIFS(Data_TheoDoi_USD!$D$2:$D$10000, Data_TheoDoi_USD!$A$2:$A$10000, TEXT(C8, "dd/mm/yyyy"), Data_TheoDoi_USD!$B$2:$B$10000, $H$4)), "")</f>
        <v/>
      </c>
      <c r="G8" s="188">
        <f>IF(C8&lt;&gt;"", IF(SUMIFS(Data_TheoDoi_USD!$E$2:$E$10000, Data_TheoDoi_USD!$A$2:$A$10000, TEXT(C8, "dd/mm/yyyy"), Data_TheoDoi_USD!$B$2:$B$10000, $H$4)=0, "-", SUMIFS(Data_TheoDoi_USD!$E$2:$E$10000, Data_TheoDoi_USD!$A$2:$A$10000, TEXT(C8, "dd/mm/yyyy"), Data_TheoDoi_USD!$B$2:$B$10000, $H$4)), "")</f>
        <v/>
      </c>
      <c r="H8" s="189">
        <f>IF(AND(C8&lt;&gt;"", E8&lt;&gt;"-", F8&lt;&gt;"-", G8&lt;&gt;"-"), IFERROR(AVERAGE(F8, G8), "-"), "")</f>
        <v/>
      </c>
      <c r="AA8" t="n">
        <v>8</v>
      </c>
      <c r="AB8" t="inlineStr">
        <is>
          <t>TPBank</t>
        </is>
      </c>
    </row>
    <row r="9" ht="26" customHeight="1" s="72">
      <c r="B9" s="182">
        <f>IF(C9&lt;&gt;"", 3, "")</f>
        <v/>
      </c>
      <c r="C9" s="183">
        <f>IF(MONTH(DATE($C$4, $F$4, 3))=$F$4, DATE($C$4, $F$4, 3), "")</f>
        <v/>
      </c>
      <c r="D9" s="183">
        <f>IF(C9&lt;&gt;"", IF(E9&lt;&gt;"-", C9, "-"), "")</f>
        <v/>
      </c>
      <c r="E9" s="184">
        <f>IF(C9&lt;&gt;"", IF(SUMIFS(Data_TheoDoi_USD!$C$2:$C$10000, Data_TheoDoi_USD!$A$2:$A$10000, TEXT(C9, "dd/mm/yyyy"), Data_TheoDoi_USD!$B$2:$B$10000, $H$4)=0, "-", SUMIFS(Data_TheoDoi_USD!$C$2:$C$10000, Data_TheoDoi_USD!$A$2:$A$10000, TEXT(C9, "dd/mm/yyyy"), Data_TheoDoi_USD!$B$2:$B$10000, $H$4)), "")</f>
        <v/>
      </c>
      <c r="F9" s="184">
        <f>IF(C9&lt;&gt;"", IF(SUMIFS(Data_TheoDoi_USD!$D$2:$D$10000, Data_TheoDoi_USD!$A$2:$A$10000, TEXT(C9, "dd/mm/yyyy"), Data_TheoDoi_USD!$B$2:$B$10000, $H$4)=0, "-", SUMIFS(Data_TheoDoi_USD!$D$2:$D$10000, Data_TheoDoi_USD!$A$2:$A$10000, TEXT(C9, "dd/mm/yyyy"), Data_TheoDoi_USD!$B$2:$B$10000, $H$4)), "")</f>
        <v/>
      </c>
      <c r="G9" s="184">
        <f>IF(C9&lt;&gt;"", IF(SUMIFS(Data_TheoDoi_USD!$E$2:$E$10000, Data_TheoDoi_USD!$A$2:$A$10000, TEXT(C9, "dd/mm/yyyy"), Data_TheoDoi_USD!$B$2:$B$10000, $H$4)=0, "-", SUMIFS(Data_TheoDoi_USD!$E$2:$E$10000, Data_TheoDoi_USD!$A$2:$A$10000, TEXT(C9, "dd/mm/yyyy"), Data_TheoDoi_USD!$B$2:$B$10000, $H$4)), "")</f>
        <v/>
      </c>
      <c r="H9" s="185">
        <f>IF(AND(C9&lt;&gt;"", E9&lt;&gt;"-", F9&lt;&gt;"-", G9&lt;&gt;"-"), IFERROR(AVERAGE(F9, G9), "-"), "")</f>
        <v/>
      </c>
      <c r="AA9" t="n">
        <v>9</v>
      </c>
      <c r="AB9" t="inlineStr">
        <is>
          <t>VPBank</t>
        </is>
      </c>
    </row>
    <row r="10" ht="26" customHeight="1" s="72">
      <c r="B10" s="186">
        <f>IF(C10&lt;&gt;"", 4, "")</f>
        <v/>
      </c>
      <c r="C10" s="187">
        <f>IF(MONTH(DATE($C$4, $F$4, 4))=$F$4, DATE($C$4, $F$4, 4), "")</f>
        <v/>
      </c>
      <c r="D10" s="187">
        <f>IF(C10&lt;&gt;"", IF(E10&lt;&gt;"-", C10, "-"), "")</f>
        <v/>
      </c>
      <c r="E10" s="188">
        <f>IF(C10&lt;&gt;"", IF(SUMIFS(Data_TheoDoi_USD!$C$2:$C$10000, Data_TheoDoi_USD!$A$2:$A$10000, TEXT(C10, "dd/mm/yyyy"), Data_TheoDoi_USD!$B$2:$B$10000, $H$4)=0, "-", SUMIFS(Data_TheoDoi_USD!$C$2:$C$10000, Data_TheoDoi_USD!$A$2:$A$10000, TEXT(C10, "dd/mm/yyyy"), Data_TheoDoi_USD!$B$2:$B$10000, $H$4)), "")</f>
        <v/>
      </c>
      <c r="F10" s="188">
        <f>IF(C10&lt;&gt;"", IF(SUMIFS(Data_TheoDoi_USD!$D$2:$D$10000, Data_TheoDoi_USD!$A$2:$A$10000, TEXT(C10, "dd/mm/yyyy"), Data_TheoDoi_USD!$B$2:$B$10000, $H$4)=0, "-", SUMIFS(Data_TheoDoi_USD!$D$2:$D$10000, Data_TheoDoi_USD!$A$2:$A$10000, TEXT(C10, "dd/mm/yyyy"), Data_TheoDoi_USD!$B$2:$B$10000, $H$4)), "")</f>
        <v/>
      </c>
      <c r="G10" s="188">
        <f>IF(C10&lt;&gt;"", IF(SUMIFS(Data_TheoDoi_USD!$E$2:$E$10000, Data_TheoDoi_USD!$A$2:$A$10000, TEXT(C10, "dd/mm/yyyy"), Data_TheoDoi_USD!$B$2:$B$10000, $H$4)=0, "-", SUMIFS(Data_TheoDoi_USD!$E$2:$E$10000, Data_TheoDoi_USD!$A$2:$A$10000, TEXT(C10, "dd/mm/yyyy"), Data_TheoDoi_USD!$B$2:$B$10000, $H$4)), "")</f>
        <v/>
      </c>
      <c r="H10" s="189">
        <f>IF(AND(C10&lt;&gt;"", E10&lt;&gt;"-", F10&lt;&gt;"-", G10&lt;&gt;"-"), IFERROR(AVERAGE(F10, G10), "-"), "")</f>
        <v/>
      </c>
      <c r="AA10" t="n">
        <v>10</v>
      </c>
      <c r="AB10" t="inlineStr">
        <is>
          <t>HDBank</t>
        </is>
      </c>
    </row>
    <row r="11" ht="26" customHeight="1" s="72">
      <c r="B11" s="182">
        <f>IF(C11&lt;&gt;"", 5, "")</f>
        <v/>
      </c>
      <c r="C11" s="183">
        <f>IF(MONTH(DATE($C$4, $F$4, 5))=$F$4, DATE($C$4, $F$4, 5), "")</f>
        <v/>
      </c>
      <c r="D11" s="183">
        <f>IF(C11&lt;&gt;"", IF(E11&lt;&gt;"-", C11, "-"), "")</f>
        <v/>
      </c>
      <c r="E11" s="184">
        <f>IF(C11&lt;&gt;"", IF(SUMIFS(Data_TheoDoi_USD!$C$2:$C$10000, Data_TheoDoi_USD!$A$2:$A$10000, TEXT(C11, "dd/mm/yyyy"), Data_TheoDoi_USD!$B$2:$B$10000, $H$4)=0, "-", SUMIFS(Data_TheoDoi_USD!$C$2:$C$10000, Data_TheoDoi_USD!$A$2:$A$10000, TEXT(C11, "dd/mm/yyyy"), Data_TheoDoi_USD!$B$2:$B$10000, $H$4)), "")</f>
        <v/>
      </c>
      <c r="F11" s="184">
        <f>IF(C11&lt;&gt;"", IF(SUMIFS(Data_TheoDoi_USD!$D$2:$D$10000, Data_TheoDoi_USD!$A$2:$A$10000, TEXT(C11, "dd/mm/yyyy"), Data_TheoDoi_USD!$B$2:$B$10000, $H$4)=0, "-", SUMIFS(Data_TheoDoi_USD!$D$2:$D$10000, Data_TheoDoi_USD!$A$2:$A$10000, TEXT(C11, "dd/mm/yyyy"), Data_TheoDoi_USD!$B$2:$B$10000, $H$4)), "")</f>
        <v/>
      </c>
      <c r="G11" s="184">
        <f>IF(C11&lt;&gt;"", IF(SUMIFS(Data_TheoDoi_USD!$E$2:$E$10000, Data_TheoDoi_USD!$A$2:$A$10000, TEXT(C11, "dd/mm/yyyy"), Data_TheoDoi_USD!$B$2:$B$10000, $H$4)=0, "-", SUMIFS(Data_TheoDoi_USD!$E$2:$E$10000, Data_TheoDoi_USD!$A$2:$A$10000, TEXT(C11, "dd/mm/yyyy"), Data_TheoDoi_USD!$B$2:$B$10000, $H$4)), "")</f>
        <v/>
      </c>
      <c r="H11" s="185">
        <f>IF(AND(C11&lt;&gt;"", E11&lt;&gt;"-", F11&lt;&gt;"-", G11&lt;&gt;"-"), IFERROR(AVERAGE(F11, G11), "-"), "")</f>
        <v/>
      </c>
      <c r="AA11" t="n">
        <v>11</v>
      </c>
      <c r="AB11" t="inlineStr">
        <is>
          <t>Eximbank</t>
        </is>
      </c>
    </row>
    <row r="12" ht="26" customHeight="1" s="72">
      <c r="B12" s="186">
        <f>IF(C12&lt;&gt;"", 6, "")</f>
        <v/>
      </c>
      <c r="C12" s="187">
        <f>IF(MONTH(DATE($C$4, $F$4, 6))=$F$4, DATE($C$4, $F$4, 6), "")</f>
        <v/>
      </c>
      <c r="D12" s="187">
        <f>IF(C12&lt;&gt;"", IF(E12&lt;&gt;"-", C12, "-"), "")</f>
        <v/>
      </c>
      <c r="E12" s="188">
        <f>IF(C12&lt;&gt;"", IF(SUMIFS(Data_TheoDoi_USD!$C$2:$C$10000, Data_TheoDoi_USD!$A$2:$A$10000, TEXT(C12, "dd/mm/yyyy"), Data_TheoDoi_USD!$B$2:$B$10000, $H$4)=0, "-", SUMIFS(Data_TheoDoi_USD!$C$2:$C$10000, Data_TheoDoi_USD!$A$2:$A$10000, TEXT(C12, "dd/mm/yyyy"), Data_TheoDoi_USD!$B$2:$B$10000, $H$4)), "")</f>
        <v/>
      </c>
      <c r="F12" s="188">
        <f>IF(C12&lt;&gt;"", IF(SUMIFS(Data_TheoDoi_USD!$D$2:$D$10000, Data_TheoDoi_USD!$A$2:$A$10000, TEXT(C12, "dd/mm/yyyy"), Data_TheoDoi_USD!$B$2:$B$10000, $H$4)=0, "-", SUMIFS(Data_TheoDoi_USD!$D$2:$D$10000, Data_TheoDoi_USD!$A$2:$A$10000, TEXT(C12, "dd/mm/yyyy"), Data_TheoDoi_USD!$B$2:$B$10000, $H$4)), "")</f>
        <v/>
      </c>
      <c r="G12" s="188">
        <f>IF(C12&lt;&gt;"", IF(SUMIFS(Data_TheoDoi_USD!$E$2:$E$10000, Data_TheoDoi_USD!$A$2:$A$10000, TEXT(C12, "dd/mm/yyyy"), Data_TheoDoi_USD!$B$2:$B$10000, $H$4)=0, "-", SUMIFS(Data_TheoDoi_USD!$E$2:$E$10000, Data_TheoDoi_USD!$A$2:$A$10000, TEXT(C12, "dd/mm/yyyy"), Data_TheoDoi_USD!$B$2:$B$10000, $H$4)), "")</f>
        <v/>
      </c>
      <c r="H12" s="189">
        <f>IF(AND(C12&lt;&gt;"", E12&lt;&gt;"-", F12&lt;&gt;"-", G12&lt;&gt;"-"), IFERROR(AVERAGE(F12, G12), "-"), "")</f>
        <v/>
      </c>
      <c r="AA12" t="n">
        <v>12</v>
      </c>
      <c r="AB12" t="inlineStr">
        <is>
          <t>OCB</t>
        </is>
      </c>
    </row>
    <row r="13" ht="26" customHeight="1" s="72">
      <c r="B13" s="182">
        <f>IF(C13&lt;&gt;"", 7, "")</f>
        <v/>
      </c>
      <c r="C13" s="183">
        <f>IF(MONTH(DATE($C$4, $F$4, 7))=$F$4, DATE($C$4, $F$4, 7), "")</f>
        <v/>
      </c>
      <c r="D13" s="183">
        <f>IF(C13&lt;&gt;"", IF(E13&lt;&gt;"-", C13, "-"), "")</f>
        <v/>
      </c>
      <c r="E13" s="184">
        <f>IF(C13&lt;&gt;"", IF(SUMIFS(Data_TheoDoi_USD!$C$2:$C$10000, Data_TheoDoi_USD!$A$2:$A$10000, TEXT(C13, "dd/mm/yyyy"), Data_TheoDoi_USD!$B$2:$B$10000, $H$4)=0, "-", SUMIFS(Data_TheoDoi_USD!$C$2:$C$10000, Data_TheoDoi_USD!$A$2:$A$10000, TEXT(C13, "dd/mm/yyyy"), Data_TheoDoi_USD!$B$2:$B$10000, $H$4)), "")</f>
        <v/>
      </c>
      <c r="F13" s="184">
        <f>IF(C13&lt;&gt;"", IF(SUMIFS(Data_TheoDoi_USD!$D$2:$D$10000, Data_TheoDoi_USD!$A$2:$A$10000, TEXT(C13, "dd/mm/yyyy"), Data_TheoDoi_USD!$B$2:$B$10000, $H$4)=0, "-", SUMIFS(Data_TheoDoi_USD!$D$2:$D$10000, Data_TheoDoi_USD!$A$2:$A$10000, TEXT(C13, "dd/mm/yyyy"), Data_TheoDoi_USD!$B$2:$B$10000, $H$4)), "")</f>
        <v/>
      </c>
      <c r="G13" s="184">
        <f>IF(C13&lt;&gt;"", IF(SUMIFS(Data_TheoDoi_USD!$E$2:$E$10000, Data_TheoDoi_USD!$A$2:$A$10000, TEXT(C13, "dd/mm/yyyy"), Data_TheoDoi_USD!$B$2:$B$10000, $H$4)=0, "-", SUMIFS(Data_TheoDoi_USD!$E$2:$E$10000, Data_TheoDoi_USD!$A$2:$A$10000, TEXT(C13, "dd/mm/yyyy"), Data_TheoDoi_USD!$B$2:$B$10000, $H$4)), "")</f>
        <v/>
      </c>
      <c r="H13" s="185">
        <f>IF(AND(C13&lt;&gt;"", E13&lt;&gt;"-", F13&lt;&gt;"-", G13&lt;&gt;"-"), IFERROR(AVERAGE(F13, G13), "-"), "")</f>
        <v/>
      </c>
      <c r="AB13" t="inlineStr">
        <is>
          <t>SeaBank</t>
        </is>
      </c>
    </row>
    <row r="14" ht="26" customHeight="1" s="72">
      <c r="B14" s="186">
        <f>IF(C14&lt;&gt;"", 8, "")</f>
        <v/>
      </c>
      <c r="C14" s="187">
        <f>IF(MONTH(DATE($C$4, $F$4, 8))=$F$4, DATE($C$4, $F$4, 8), "")</f>
        <v/>
      </c>
      <c r="D14" s="187">
        <f>IF(C14&lt;&gt;"", IF(E14&lt;&gt;"-", C14, "-"), "")</f>
        <v/>
      </c>
      <c r="E14" s="188">
        <f>IF(C14&lt;&gt;"", IF(SUMIFS(Data_TheoDoi_USD!$C$2:$C$10000, Data_TheoDoi_USD!$A$2:$A$10000, TEXT(C14, "dd/mm/yyyy"), Data_TheoDoi_USD!$B$2:$B$10000, $H$4)=0, "-", SUMIFS(Data_TheoDoi_USD!$C$2:$C$10000, Data_TheoDoi_USD!$A$2:$A$10000, TEXT(C14, "dd/mm/yyyy"), Data_TheoDoi_USD!$B$2:$B$10000, $H$4)), "")</f>
        <v/>
      </c>
      <c r="F14" s="188">
        <f>IF(C14&lt;&gt;"", IF(SUMIFS(Data_TheoDoi_USD!$D$2:$D$10000, Data_TheoDoi_USD!$A$2:$A$10000, TEXT(C14, "dd/mm/yyyy"), Data_TheoDoi_USD!$B$2:$B$10000, $H$4)=0, "-", SUMIFS(Data_TheoDoi_USD!$D$2:$D$10000, Data_TheoDoi_USD!$A$2:$A$10000, TEXT(C14, "dd/mm/yyyy"), Data_TheoDoi_USD!$B$2:$B$10000, $H$4)), "")</f>
        <v/>
      </c>
      <c r="G14" s="188">
        <f>IF(C14&lt;&gt;"", IF(SUMIFS(Data_TheoDoi_USD!$E$2:$E$10000, Data_TheoDoi_USD!$A$2:$A$10000, TEXT(C14, "dd/mm/yyyy"), Data_TheoDoi_USD!$B$2:$B$10000, $H$4)=0, "-", SUMIFS(Data_TheoDoi_USD!$E$2:$E$10000, Data_TheoDoi_USD!$A$2:$A$10000, TEXT(C14, "dd/mm/yyyy"), Data_TheoDoi_USD!$B$2:$B$10000, $H$4)), "")</f>
        <v/>
      </c>
      <c r="H14" s="189">
        <f>IF(AND(C14&lt;&gt;"", E14&lt;&gt;"-", F14&lt;&gt;"-", G14&lt;&gt;"-"), IFERROR(AVERAGE(F14, G14), "-"), "")</f>
        <v/>
      </c>
      <c r="AB14" t="inlineStr">
        <is>
          <t>VietABank</t>
        </is>
      </c>
    </row>
    <row r="15" ht="26" customHeight="1" s="72">
      <c r="B15" s="182">
        <f>IF(C15&lt;&gt;"", 9, "")</f>
        <v/>
      </c>
      <c r="C15" s="183">
        <f>IF(MONTH(DATE($C$4, $F$4, 9))=$F$4, DATE($C$4, $F$4, 9), "")</f>
        <v/>
      </c>
      <c r="D15" s="183">
        <f>IF(C15&lt;&gt;"", IF(E15&lt;&gt;"-", C15, "-"), "")</f>
        <v/>
      </c>
      <c r="E15" s="184">
        <f>IF(C15&lt;&gt;"", IF(SUMIFS(Data_TheoDoi_USD!$C$2:$C$10000, Data_TheoDoi_USD!$A$2:$A$10000, TEXT(C15, "dd/mm/yyyy"), Data_TheoDoi_USD!$B$2:$B$10000, $H$4)=0, "-", SUMIFS(Data_TheoDoi_USD!$C$2:$C$10000, Data_TheoDoi_USD!$A$2:$A$10000, TEXT(C15, "dd/mm/yyyy"), Data_TheoDoi_USD!$B$2:$B$10000, $H$4)), "")</f>
        <v/>
      </c>
      <c r="F15" s="184">
        <f>IF(C15&lt;&gt;"", IF(SUMIFS(Data_TheoDoi_USD!$D$2:$D$10000, Data_TheoDoi_USD!$A$2:$A$10000, TEXT(C15, "dd/mm/yyyy"), Data_TheoDoi_USD!$B$2:$B$10000, $H$4)=0, "-", SUMIFS(Data_TheoDoi_USD!$D$2:$D$10000, Data_TheoDoi_USD!$A$2:$A$10000, TEXT(C15, "dd/mm/yyyy"), Data_TheoDoi_USD!$B$2:$B$10000, $H$4)), "")</f>
        <v/>
      </c>
      <c r="G15" s="184">
        <f>IF(C15&lt;&gt;"", IF(SUMIFS(Data_TheoDoi_USD!$E$2:$E$10000, Data_TheoDoi_USD!$A$2:$A$10000, TEXT(C15, "dd/mm/yyyy"), Data_TheoDoi_USD!$B$2:$B$10000, $H$4)=0, "-", SUMIFS(Data_TheoDoi_USD!$E$2:$E$10000, Data_TheoDoi_USD!$A$2:$A$10000, TEXT(C15, "dd/mm/yyyy"), Data_TheoDoi_USD!$B$2:$B$10000, $H$4)), "")</f>
        <v/>
      </c>
      <c r="H15" s="185">
        <f>IF(AND(C15&lt;&gt;"", E15&lt;&gt;"-", F15&lt;&gt;"-", G15&lt;&gt;"-"), IFERROR(AVERAGE(F15, G15), "-"), "")</f>
        <v/>
      </c>
      <c r="AB15" t="inlineStr">
        <is>
          <t>PVcomBank</t>
        </is>
      </c>
    </row>
    <row r="16" ht="26" customHeight="1" s="72">
      <c r="B16" s="186">
        <f>IF(C16&lt;&gt;"", 10, "")</f>
        <v/>
      </c>
      <c r="C16" s="187">
        <f>IF(MONTH(DATE($C$4, $F$4, 10))=$F$4, DATE($C$4, $F$4, 10), "")</f>
        <v/>
      </c>
      <c r="D16" s="187">
        <f>IF(C16&lt;&gt;"", IF(E16&lt;&gt;"-", C16, "-"), "")</f>
        <v/>
      </c>
      <c r="E16" s="188">
        <f>IF(C16&lt;&gt;"", IF(SUMIFS(Data_TheoDoi_USD!$C$2:$C$10000, Data_TheoDoi_USD!$A$2:$A$10000, TEXT(C16, "dd/mm/yyyy"), Data_TheoDoi_USD!$B$2:$B$10000, $H$4)=0, "-", SUMIFS(Data_TheoDoi_USD!$C$2:$C$10000, Data_TheoDoi_USD!$A$2:$A$10000, TEXT(C16, "dd/mm/yyyy"), Data_TheoDoi_USD!$B$2:$B$10000, $H$4)), "")</f>
        <v/>
      </c>
      <c r="F16" s="188">
        <f>IF(C16&lt;&gt;"", IF(SUMIFS(Data_TheoDoi_USD!$D$2:$D$10000, Data_TheoDoi_USD!$A$2:$A$10000, TEXT(C16, "dd/mm/yyyy"), Data_TheoDoi_USD!$B$2:$B$10000, $H$4)=0, "-", SUMIFS(Data_TheoDoi_USD!$D$2:$D$10000, Data_TheoDoi_USD!$A$2:$A$10000, TEXT(C16, "dd/mm/yyyy"), Data_TheoDoi_USD!$B$2:$B$10000, $H$4)), "")</f>
        <v/>
      </c>
      <c r="G16" s="188">
        <f>IF(C16&lt;&gt;"", IF(SUMIFS(Data_TheoDoi_USD!$E$2:$E$10000, Data_TheoDoi_USD!$A$2:$A$10000, TEXT(C16, "dd/mm/yyyy"), Data_TheoDoi_USD!$B$2:$B$10000, $H$4)=0, "-", SUMIFS(Data_TheoDoi_USD!$E$2:$E$10000, Data_TheoDoi_USD!$A$2:$A$10000, TEXT(C16, "dd/mm/yyyy"), Data_TheoDoi_USD!$B$2:$B$10000, $H$4)), "")</f>
        <v/>
      </c>
      <c r="H16" s="189">
        <f>IF(AND(C16&lt;&gt;"", E16&lt;&gt;"-", F16&lt;&gt;"-", G16&lt;&gt;"-"), IFERROR(AVERAGE(F16, G16), "-"), "")</f>
        <v/>
      </c>
    </row>
    <row r="17" ht="26" customHeight="1" s="72">
      <c r="B17" s="182">
        <f>IF(C17&lt;&gt;"", 11, "")</f>
        <v/>
      </c>
      <c r="C17" s="183">
        <f>IF(MONTH(DATE($C$4, $F$4, 11))=$F$4, DATE($C$4, $F$4, 11), "")</f>
        <v/>
      </c>
      <c r="D17" s="183">
        <f>IF(C17&lt;&gt;"", IF(E17&lt;&gt;"-", C17, "-"), "")</f>
        <v/>
      </c>
      <c r="E17" s="184">
        <f>IF(C17&lt;&gt;"", IF(SUMIFS(Data_TheoDoi_USD!$C$2:$C$10000, Data_TheoDoi_USD!$A$2:$A$10000, TEXT(C17, "dd/mm/yyyy"), Data_TheoDoi_USD!$B$2:$B$10000, $H$4)=0, "-", SUMIFS(Data_TheoDoi_USD!$C$2:$C$10000, Data_TheoDoi_USD!$A$2:$A$10000, TEXT(C17, "dd/mm/yyyy"), Data_TheoDoi_USD!$B$2:$B$10000, $H$4)), "")</f>
        <v/>
      </c>
      <c r="F17" s="184">
        <f>IF(C17&lt;&gt;"", IF(SUMIFS(Data_TheoDoi_USD!$D$2:$D$10000, Data_TheoDoi_USD!$A$2:$A$10000, TEXT(C17, "dd/mm/yyyy"), Data_TheoDoi_USD!$B$2:$B$10000, $H$4)=0, "-", SUMIFS(Data_TheoDoi_USD!$D$2:$D$10000, Data_TheoDoi_USD!$A$2:$A$10000, TEXT(C17, "dd/mm/yyyy"), Data_TheoDoi_USD!$B$2:$B$10000, $H$4)), "")</f>
        <v/>
      </c>
      <c r="G17" s="184">
        <f>IF(C17&lt;&gt;"", IF(SUMIFS(Data_TheoDoi_USD!$E$2:$E$10000, Data_TheoDoi_USD!$A$2:$A$10000, TEXT(C17, "dd/mm/yyyy"), Data_TheoDoi_USD!$B$2:$B$10000, $H$4)=0, "-", SUMIFS(Data_TheoDoi_USD!$E$2:$E$10000, Data_TheoDoi_USD!$A$2:$A$10000, TEXT(C17, "dd/mm/yyyy"), Data_TheoDoi_USD!$B$2:$B$10000, $H$4)), "")</f>
        <v/>
      </c>
      <c r="H17" s="185">
        <f>IF(AND(C17&lt;&gt;"", E17&lt;&gt;"-", F17&lt;&gt;"-", G17&lt;&gt;"-"), IFERROR(AVERAGE(F17, G17), "-"), "")</f>
        <v/>
      </c>
    </row>
    <row r="18" ht="26" customHeight="1" s="72">
      <c r="B18" s="186">
        <f>IF(C18&lt;&gt;"", 12, "")</f>
        <v/>
      </c>
      <c r="C18" s="187">
        <f>IF(MONTH(DATE($C$4, $F$4, 12))=$F$4, DATE($C$4, $F$4, 12), "")</f>
        <v/>
      </c>
      <c r="D18" s="187">
        <f>IF(C18&lt;&gt;"", IF(E18&lt;&gt;"-", C18, "-"), "")</f>
        <v/>
      </c>
      <c r="E18" s="188">
        <f>IF(C18&lt;&gt;"", IF(SUMIFS(Data_TheoDoi_USD!$C$2:$C$10000, Data_TheoDoi_USD!$A$2:$A$10000, TEXT(C18, "dd/mm/yyyy"), Data_TheoDoi_USD!$B$2:$B$10000, $H$4)=0, "-", SUMIFS(Data_TheoDoi_USD!$C$2:$C$10000, Data_TheoDoi_USD!$A$2:$A$10000, TEXT(C18, "dd/mm/yyyy"), Data_TheoDoi_USD!$B$2:$B$10000, $H$4)), "")</f>
        <v/>
      </c>
      <c r="F18" s="188">
        <f>IF(C18&lt;&gt;"", IF(SUMIFS(Data_TheoDoi_USD!$D$2:$D$10000, Data_TheoDoi_USD!$A$2:$A$10000, TEXT(C18, "dd/mm/yyyy"), Data_TheoDoi_USD!$B$2:$B$10000, $H$4)=0, "-", SUMIFS(Data_TheoDoi_USD!$D$2:$D$10000, Data_TheoDoi_USD!$A$2:$A$10000, TEXT(C18, "dd/mm/yyyy"), Data_TheoDoi_USD!$B$2:$B$10000, $H$4)), "")</f>
        <v/>
      </c>
      <c r="G18" s="188">
        <f>IF(C18&lt;&gt;"", IF(SUMIFS(Data_TheoDoi_USD!$E$2:$E$10000, Data_TheoDoi_USD!$A$2:$A$10000, TEXT(C18, "dd/mm/yyyy"), Data_TheoDoi_USD!$B$2:$B$10000, $H$4)=0, "-", SUMIFS(Data_TheoDoi_USD!$E$2:$E$10000, Data_TheoDoi_USD!$A$2:$A$10000, TEXT(C18, "dd/mm/yyyy"), Data_TheoDoi_USD!$B$2:$B$10000, $H$4)), "")</f>
        <v/>
      </c>
      <c r="H18" s="189">
        <f>IF(AND(C18&lt;&gt;"", E18&lt;&gt;"-", F18&lt;&gt;"-", G18&lt;&gt;"-"), IFERROR(AVERAGE(F18, G18), "-"), "")</f>
        <v/>
      </c>
    </row>
    <row r="19" ht="26" customHeight="1" s="72">
      <c r="B19" s="182">
        <f>IF(C19&lt;&gt;"", 13, "")</f>
        <v/>
      </c>
      <c r="C19" s="183">
        <f>IF(MONTH(DATE($C$4, $F$4, 13))=$F$4, DATE($C$4, $F$4, 13), "")</f>
        <v/>
      </c>
      <c r="D19" s="183">
        <f>IF(C19&lt;&gt;"", IF(E19&lt;&gt;"-", C19, "-"), "")</f>
        <v/>
      </c>
      <c r="E19" s="184">
        <f>IF(C19&lt;&gt;"", IF(SUMIFS(Data_TheoDoi_USD!$C$2:$C$10000, Data_TheoDoi_USD!$A$2:$A$10000, TEXT(C19, "dd/mm/yyyy"), Data_TheoDoi_USD!$B$2:$B$10000, $H$4)=0, "-", SUMIFS(Data_TheoDoi_USD!$C$2:$C$10000, Data_TheoDoi_USD!$A$2:$A$10000, TEXT(C19, "dd/mm/yyyy"), Data_TheoDoi_USD!$B$2:$B$10000, $H$4)), "")</f>
        <v/>
      </c>
      <c r="F19" s="184">
        <f>IF(C19&lt;&gt;"", IF(SUMIFS(Data_TheoDoi_USD!$D$2:$D$10000, Data_TheoDoi_USD!$A$2:$A$10000, TEXT(C19, "dd/mm/yyyy"), Data_TheoDoi_USD!$B$2:$B$10000, $H$4)=0, "-", SUMIFS(Data_TheoDoi_USD!$D$2:$D$10000, Data_TheoDoi_USD!$A$2:$A$10000, TEXT(C19, "dd/mm/yyyy"), Data_TheoDoi_USD!$B$2:$B$10000, $H$4)), "")</f>
        <v/>
      </c>
      <c r="G19" s="184">
        <f>IF(C19&lt;&gt;"", IF(SUMIFS(Data_TheoDoi_USD!$E$2:$E$10000, Data_TheoDoi_USD!$A$2:$A$10000, TEXT(C19, "dd/mm/yyyy"), Data_TheoDoi_USD!$B$2:$B$10000, $H$4)=0, "-", SUMIFS(Data_TheoDoi_USD!$E$2:$E$10000, Data_TheoDoi_USD!$A$2:$A$10000, TEXT(C19, "dd/mm/yyyy"), Data_TheoDoi_USD!$B$2:$B$10000, $H$4)), "")</f>
        <v/>
      </c>
      <c r="H19" s="185">
        <f>IF(AND(C19&lt;&gt;"", E19&lt;&gt;"-", F19&lt;&gt;"-", G19&lt;&gt;"-"), IFERROR(AVERAGE(F19, G19), "-"), "")</f>
        <v/>
      </c>
    </row>
    <row r="20" ht="26" customHeight="1" s="72">
      <c r="B20" s="186">
        <f>IF(C20&lt;&gt;"", 14, "")</f>
        <v/>
      </c>
      <c r="C20" s="187">
        <f>IF(MONTH(DATE($C$4, $F$4, 14))=$F$4, DATE($C$4, $F$4, 14), "")</f>
        <v/>
      </c>
      <c r="D20" s="187">
        <f>IF(C20&lt;&gt;"", IF(E20&lt;&gt;"-", C20, "-"), "")</f>
        <v/>
      </c>
      <c r="E20" s="188">
        <f>IF(C20&lt;&gt;"", IF(SUMIFS(Data_TheoDoi_USD!$C$2:$C$10000, Data_TheoDoi_USD!$A$2:$A$10000, TEXT(C20, "dd/mm/yyyy"), Data_TheoDoi_USD!$B$2:$B$10000, $H$4)=0, "-", SUMIFS(Data_TheoDoi_USD!$C$2:$C$10000, Data_TheoDoi_USD!$A$2:$A$10000, TEXT(C20, "dd/mm/yyyy"), Data_TheoDoi_USD!$B$2:$B$10000, $H$4)), "")</f>
        <v/>
      </c>
      <c r="F20" s="188">
        <f>IF(C20&lt;&gt;"", IF(SUMIFS(Data_TheoDoi_USD!$D$2:$D$10000, Data_TheoDoi_USD!$A$2:$A$10000, TEXT(C20, "dd/mm/yyyy"), Data_TheoDoi_USD!$B$2:$B$10000, $H$4)=0, "-", SUMIFS(Data_TheoDoi_USD!$D$2:$D$10000, Data_TheoDoi_USD!$A$2:$A$10000, TEXT(C20, "dd/mm/yyyy"), Data_TheoDoi_USD!$B$2:$B$10000, $H$4)), "")</f>
        <v/>
      </c>
      <c r="G20" s="188">
        <f>IF(C20&lt;&gt;"", IF(SUMIFS(Data_TheoDoi_USD!$E$2:$E$10000, Data_TheoDoi_USD!$A$2:$A$10000, TEXT(C20, "dd/mm/yyyy"), Data_TheoDoi_USD!$B$2:$B$10000, $H$4)=0, "-", SUMIFS(Data_TheoDoi_USD!$E$2:$E$10000, Data_TheoDoi_USD!$A$2:$A$10000, TEXT(C20, "dd/mm/yyyy"), Data_TheoDoi_USD!$B$2:$B$10000, $H$4)), "")</f>
        <v/>
      </c>
      <c r="H20" s="189">
        <f>IF(AND(C20&lt;&gt;"", E20&lt;&gt;"-", F20&lt;&gt;"-", G20&lt;&gt;"-"), IFERROR(AVERAGE(F20, G20), "-"), "")</f>
        <v/>
      </c>
    </row>
    <row r="21" ht="26" customHeight="1" s="72">
      <c r="B21" s="182">
        <f>IF(C21&lt;&gt;"", 15, "")</f>
        <v/>
      </c>
      <c r="C21" s="183">
        <f>IF(MONTH(DATE($C$4, $F$4, 15))=$F$4, DATE($C$4, $F$4, 15), "")</f>
        <v/>
      </c>
      <c r="D21" s="183">
        <f>IF(C21&lt;&gt;"", IF(E21&lt;&gt;"-", C21, "-"), "")</f>
        <v/>
      </c>
      <c r="E21" s="184">
        <f>IF(C21&lt;&gt;"", IF(SUMIFS(Data_TheoDoi_USD!$C$2:$C$10000, Data_TheoDoi_USD!$A$2:$A$10000, TEXT(C21, "dd/mm/yyyy"), Data_TheoDoi_USD!$B$2:$B$10000, $H$4)=0, "-", SUMIFS(Data_TheoDoi_USD!$C$2:$C$10000, Data_TheoDoi_USD!$A$2:$A$10000, TEXT(C21, "dd/mm/yyyy"), Data_TheoDoi_USD!$B$2:$B$10000, $H$4)), "")</f>
        <v/>
      </c>
      <c r="F21" s="184">
        <f>IF(C21&lt;&gt;"", IF(SUMIFS(Data_TheoDoi_USD!$D$2:$D$10000, Data_TheoDoi_USD!$A$2:$A$10000, TEXT(C21, "dd/mm/yyyy"), Data_TheoDoi_USD!$B$2:$B$10000, $H$4)=0, "-", SUMIFS(Data_TheoDoi_USD!$D$2:$D$10000, Data_TheoDoi_USD!$A$2:$A$10000, TEXT(C21, "dd/mm/yyyy"), Data_TheoDoi_USD!$B$2:$B$10000, $H$4)), "")</f>
        <v/>
      </c>
      <c r="G21" s="184">
        <f>IF(C21&lt;&gt;"", IF(SUMIFS(Data_TheoDoi_USD!$E$2:$E$10000, Data_TheoDoi_USD!$A$2:$A$10000, TEXT(C21, "dd/mm/yyyy"), Data_TheoDoi_USD!$B$2:$B$10000, $H$4)=0, "-", SUMIFS(Data_TheoDoi_USD!$E$2:$E$10000, Data_TheoDoi_USD!$A$2:$A$10000, TEXT(C21, "dd/mm/yyyy"), Data_TheoDoi_USD!$B$2:$B$10000, $H$4)), "")</f>
        <v/>
      </c>
      <c r="H21" s="185">
        <f>IF(AND(C21&lt;&gt;"", E21&lt;&gt;"-", F21&lt;&gt;"-", G21&lt;&gt;"-"), IFERROR(AVERAGE(F21, G21), "-"), "")</f>
        <v/>
      </c>
    </row>
    <row r="22" ht="26" customHeight="1" s="72">
      <c r="B22" s="186">
        <f>IF(C22&lt;&gt;"", 16, "")</f>
        <v/>
      </c>
      <c r="C22" s="187">
        <f>IF(MONTH(DATE($C$4, $F$4, 16))=$F$4, DATE($C$4, $F$4, 16), "")</f>
        <v/>
      </c>
      <c r="D22" s="187">
        <f>IF(C22&lt;&gt;"", IF(E22&lt;&gt;"-", C22, "-"), "")</f>
        <v/>
      </c>
      <c r="E22" s="188">
        <f>IF(C22&lt;&gt;"", IF(SUMIFS(Data_TheoDoi_USD!$C$2:$C$10000, Data_TheoDoi_USD!$A$2:$A$10000, TEXT(C22, "dd/mm/yyyy"), Data_TheoDoi_USD!$B$2:$B$10000, $H$4)=0, "-", SUMIFS(Data_TheoDoi_USD!$C$2:$C$10000, Data_TheoDoi_USD!$A$2:$A$10000, TEXT(C22, "dd/mm/yyyy"), Data_TheoDoi_USD!$B$2:$B$10000, $H$4)), "")</f>
        <v/>
      </c>
      <c r="F22" s="188">
        <f>IF(C22&lt;&gt;"", IF(SUMIFS(Data_TheoDoi_USD!$D$2:$D$10000, Data_TheoDoi_USD!$A$2:$A$10000, TEXT(C22, "dd/mm/yyyy"), Data_TheoDoi_USD!$B$2:$B$10000, $H$4)=0, "-", SUMIFS(Data_TheoDoi_USD!$D$2:$D$10000, Data_TheoDoi_USD!$A$2:$A$10000, TEXT(C22, "dd/mm/yyyy"), Data_TheoDoi_USD!$B$2:$B$10000, $H$4)), "")</f>
        <v/>
      </c>
      <c r="G22" s="188">
        <f>IF(C22&lt;&gt;"", IF(SUMIFS(Data_TheoDoi_USD!$E$2:$E$10000, Data_TheoDoi_USD!$A$2:$A$10000, TEXT(C22, "dd/mm/yyyy"), Data_TheoDoi_USD!$B$2:$B$10000, $H$4)=0, "-", SUMIFS(Data_TheoDoi_USD!$E$2:$E$10000, Data_TheoDoi_USD!$A$2:$A$10000, TEXT(C22, "dd/mm/yyyy"), Data_TheoDoi_USD!$B$2:$B$10000, $H$4)), "")</f>
        <v/>
      </c>
      <c r="H22" s="189">
        <f>IF(AND(C22&lt;&gt;"", E22&lt;&gt;"-", F22&lt;&gt;"-", G22&lt;&gt;"-"), IFERROR(AVERAGE(F22, G22), "-"), "")</f>
        <v/>
      </c>
    </row>
    <row r="23" ht="26" customHeight="1" s="72">
      <c r="B23" s="182">
        <f>IF(C23&lt;&gt;"", 17, "")</f>
        <v/>
      </c>
      <c r="C23" s="183">
        <f>IF(MONTH(DATE($C$4, $F$4, 17))=$F$4, DATE($C$4, $F$4, 17), "")</f>
        <v/>
      </c>
      <c r="D23" s="183">
        <f>IF(C23&lt;&gt;"", IF(E23&lt;&gt;"-", C23, "-"), "")</f>
        <v/>
      </c>
      <c r="E23" s="184">
        <f>IF(C23&lt;&gt;"", IF(SUMIFS(Data_TheoDoi_USD!$C$2:$C$10000, Data_TheoDoi_USD!$A$2:$A$10000, TEXT(C23, "dd/mm/yyyy"), Data_TheoDoi_USD!$B$2:$B$10000, $H$4)=0, "-", SUMIFS(Data_TheoDoi_USD!$C$2:$C$10000, Data_TheoDoi_USD!$A$2:$A$10000, TEXT(C23, "dd/mm/yyyy"), Data_TheoDoi_USD!$B$2:$B$10000, $H$4)), "")</f>
        <v/>
      </c>
      <c r="F23" s="184">
        <f>IF(C23&lt;&gt;"", IF(SUMIFS(Data_TheoDoi_USD!$D$2:$D$10000, Data_TheoDoi_USD!$A$2:$A$10000, TEXT(C23, "dd/mm/yyyy"), Data_TheoDoi_USD!$B$2:$B$10000, $H$4)=0, "-", SUMIFS(Data_TheoDoi_USD!$D$2:$D$10000, Data_TheoDoi_USD!$A$2:$A$10000, TEXT(C23, "dd/mm/yyyy"), Data_TheoDoi_USD!$B$2:$B$10000, $H$4)), "")</f>
        <v/>
      </c>
      <c r="G23" s="184">
        <f>IF(C23&lt;&gt;"", IF(SUMIFS(Data_TheoDoi_USD!$E$2:$E$10000, Data_TheoDoi_USD!$A$2:$A$10000, TEXT(C23, "dd/mm/yyyy"), Data_TheoDoi_USD!$B$2:$B$10000, $H$4)=0, "-", SUMIFS(Data_TheoDoi_USD!$E$2:$E$10000, Data_TheoDoi_USD!$A$2:$A$10000, TEXT(C23, "dd/mm/yyyy"), Data_TheoDoi_USD!$B$2:$B$10000, $H$4)), "")</f>
        <v/>
      </c>
      <c r="H23" s="185">
        <f>IF(AND(C23&lt;&gt;"", E23&lt;&gt;"-", F23&lt;&gt;"-", G23&lt;&gt;"-"), IFERROR(AVERAGE(F23, G23), "-"), "")</f>
        <v/>
      </c>
    </row>
    <row r="24" ht="26" customHeight="1" s="72">
      <c r="B24" s="186">
        <f>IF(C24&lt;&gt;"", 18, "")</f>
        <v/>
      </c>
      <c r="C24" s="187">
        <f>IF(MONTH(DATE($C$4, $F$4, 18))=$F$4, DATE($C$4, $F$4, 18), "")</f>
        <v/>
      </c>
      <c r="D24" s="187">
        <f>IF(C24&lt;&gt;"", IF(E24&lt;&gt;"-", C24, "-"), "")</f>
        <v/>
      </c>
      <c r="E24" s="188">
        <f>IF(C24&lt;&gt;"", IF(SUMIFS(Data_TheoDoi_USD!$C$2:$C$10000, Data_TheoDoi_USD!$A$2:$A$10000, TEXT(C24, "dd/mm/yyyy"), Data_TheoDoi_USD!$B$2:$B$10000, $H$4)=0, "-", SUMIFS(Data_TheoDoi_USD!$C$2:$C$10000, Data_TheoDoi_USD!$A$2:$A$10000, TEXT(C24, "dd/mm/yyyy"), Data_TheoDoi_USD!$B$2:$B$10000, $H$4)), "")</f>
        <v/>
      </c>
      <c r="F24" s="188">
        <f>IF(C24&lt;&gt;"", IF(SUMIFS(Data_TheoDoi_USD!$D$2:$D$10000, Data_TheoDoi_USD!$A$2:$A$10000, TEXT(C24, "dd/mm/yyyy"), Data_TheoDoi_USD!$B$2:$B$10000, $H$4)=0, "-", SUMIFS(Data_TheoDoi_USD!$D$2:$D$10000, Data_TheoDoi_USD!$A$2:$A$10000, TEXT(C24, "dd/mm/yyyy"), Data_TheoDoi_USD!$B$2:$B$10000, $H$4)), "")</f>
        <v/>
      </c>
      <c r="G24" s="188">
        <f>IF(C24&lt;&gt;"", IF(SUMIFS(Data_TheoDoi_USD!$E$2:$E$10000, Data_TheoDoi_USD!$A$2:$A$10000, TEXT(C24, "dd/mm/yyyy"), Data_TheoDoi_USD!$B$2:$B$10000, $H$4)=0, "-", SUMIFS(Data_TheoDoi_USD!$E$2:$E$10000, Data_TheoDoi_USD!$A$2:$A$10000, TEXT(C24, "dd/mm/yyyy"), Data_TheoDoi_USD!$B$2:$B$10000, $H$4)), "")</f>
        <v/>
      </c>
      <c r="H24" s="189">
        <f>IF(AND(C24&lt;&gt;"", E24&lt;&gt;"-", F24&lt;&gt;"-", G24&lt;&gt;"-"), IFERROR(AVERAGE(F24, G24), "-"), "")</f>
        <v/>
      </c>
    </row>
    <row r="25" ht="26" customHeight="1" s="72">
      <c r="B25" s="182">
        <f>IF(C25&lt;&gt;"", 19, "")</f>
        <v/>
      </c>
      <c r="C25" s="183">
        <f>IF(MONTH(DATE($C$4, $F$4, 19))=$F$4, DATE($C$4, $F$4, 19), "")</f>
        <v/>
      </c>
      <c r="D25" s="183">
        <f>IF(C25&lt;&gt;"", IF(E25&lt;&gt;"-", C25, "-"), "")</f>
        <v/>
      </c>
      <c r="E25" s="184">
        <f>IF(C25&lt;&gt;"", IF(SUMIFS(Data_TheoDoi_USD!$C$2:$C$10000, Data_TheoDoi_USD!$A$2:$A$10000, TEXT(C25, "dd/mm/yyyy"), Data_TheoDoi_USD!$B$2:$B$10000, $H$4)=0, "-", SUMIFS(Data_TheoDoi_USD!$C$2:$C$10000, Data_TheoDoi_USD!$A$2:$A$10000, TEXT(C25, "dd/mm/yyyy"), Data_TheoDoi_USD!$B$2:$B$10000, $H$4)), "")</f>
        <v/>
      </c>
      <c r="F25" s="184">
        <f>IF(C25&lt;&gt;"", IF(SUMIFS(Data_TheoDoi_USD!$D$2:$D$10000, Data_TheoDoi_USD!$A$2:$A$10000, TEXT(C25, "dd/mm/yyyy"), Data_TheoDoi_USD!$B$2:$B$10000, $H$4)=0, "-", SUMIFS(Data_TheoDoi_USD!$D$2:$D$10000, Data_TheoDoi_USD!$A$2:$A$10000, TEXT(C25, "dd/mm/yyyy"), Data_TheoDoi_USD!$B$2:$B$10000, $H$4)), "")</f>
        <v/>
      </c>
      <c r="G25" s="184">
        <f>IF(C25&lt;&gt;"", IF(SUMIFS(Data_TheoDoi_USD!$E$2:$E$10000, Data_TheoDoi_USD!$A$2:$A$10000, TEXT(C25, "dd/mm/yyyy"), Data_TheoDoi_USD!$B$2:$B$10000, $H$4)=0, "-", SUMIFS(Data_TheoDoi_USD!$E$2:$E$10000, Data_TheoDoi_USD!$A$2:$A$10000, TEXT(C25, "dd/mm/yyyy"), Data_TheoDoi_USD!$B$2:$B$10000, $H$4)), "")</f>
        <v/>
      </c>
      <c r="H25" s="185">
        <f>IF(AND(C25&lt;&gt;"", E25&lt;&gt;"-", F25&lt;&gt;"-", G25&lt;&gt;"-"), IFERROR(AVERAGE(F25, G25), "-"), "")</f>
        <v/>
      </c>
    </row>
    <row r="26" ht="26" customHeight="1" s="72">
      <c r="B26" s="186">
        <f>IF(C26&lt;&gt;"", 20, "")</f>
        <v/>
      </c>
      <c r="C26" s="187">
        <f>IF(MONTH(DATE($C$4, $F$4, 20))=$F$4, DATE($C$4, $F$4, 20), "")</f>
        <v/>
      </c>
      <c r="D26" s="187">
        <f>IF(C26&lt;&gt;"", IF(E26&lt;&gt;"-", C26, "-"), "")</f>
        <v/>
      </c>
      <c r="E26" s="188">
        <f>IF(C26&lt;&gt;"", IF(SUMIFS(Data_TheoDoi_USD!$C$2:$C$10000, Data_TheoDoi_USD!$A$2:$A$10000, TEXT(C26, "dd/mm/yyyy"), Data_TheoDoi_USD!$B$2:$B$10000, $H$4)=0, "-", SUMIFS(Data_TheoDoi_USD!$C$2:$C$10000, Data_TheoDoi_USD!$A$2:$A$10000, TEXT(C26, "dd/mm/yyyy"), Data_TheoDoi_USD!$B$2:$B$10000, $H$4)), "")</f>
        <v/>
      </c>
      <c r="F26" s="188">
        <f>IF(C26&lt;&gt;"", IF(SUMIFS(Data_TheoDoi_USD!$D$2:$D$10000, Data_TheoDoi_USD!$A$2:$A$10000, TEXT(C26, "dd/mm/yyyy"), Data_TheoDoi_USD!$B$2:$B$10000, $H$4)=0, "-", SUMIFS(Data_TheoDoi_USD!$D$2:$D$10000, Data_TheoDoi_USD!$A$2:$A$10000, TEXT(C26, "dd/mm/yyyy"), Data_TheoDoi_USD!$B$2:$B$10000, $H$4)), "")</f>
        <v/>
      </c>
      <c r="G26" s="188">
        <f>IF(C26&lt;&gt;"", IF(SUMIFS(Data_TheoDoi_USD!$E$2:$E$10000, Data_TheoDoi_USD!$A$2:$A$10000, TEXT(C26, "dd/mm/yyyy"), Data_TheoDoi_USD!$B$2:$B$10000, $H$4)=0, "-", SUMIFS(Data_TheoDoi_USD!$E$2:$E$10000, Data_TheoDoi_USD!$A$2:$A$10000, TEXT(C26, "dd/mm/yyyy"), Data_TheoDoi_USD!$B$2:$B$10000, $H$4)), "")</f>
        <v/>
      </c>
      <c r="H26" s="189">
        <f>IF(AND(C26&lt;&gt;"", E26&lt;&gt;"-", F26&lt;&gt;"-", G26&lt;&gt;"-"), IFERROR(AVERAGE(F26, G26), "-"), "")</f>
        <v/>
      </c>
    </row>
    <row r="27" ht="26" customHeight="1" s="72">
      <c r="B27" s="182">
        <f>IF(C27&lt;&gt;"", 21, "")</f>
        <v/>
      </c>
      <c r="C27" s="183">
        <f>IF(MONTH(DATE($C$4, $F$4, 21))=$F$4, DATE($C$4, $F$4, 21), "")</f>
        <v/>
      </c>
      <c r="D27" s="183">
        <f>IF(C27&lt;&gt;"", IF(E27&lt;&gt;"-", C27, "-"), "")</f>
        <v/>
      </c>
      <c r="E27" s="184">
        <f>IF(C27&lt;&gt;"", IF(SUMIFS(Data_TheoDoi_USD!$C$2:$C$10000, Data_TheoDoi_USD!$A$2:$A$10000, TEXT(C27, "dd/mm/yyyy"), Data_TheoDoi_USD!$B$2:$B$10000, $H$4)=0, "-", SUMIFS(Data_TheoDoi_USD!$C$2:$C$10000, Data_TheoDoi_USD!$A$2:$A$10000, TEXT(C27, "dd/mm/yyyy"), Data_TheoDoi_USD!$B$2:$B$10000, $H$4)), "")</f>
        <v/>
      </c>
      <c r="F27" s="184">
        <f>IF(C27&lt;&gt;"", IF(SUMIFS(Data_TheoDoi_USD!$D$2:$D$10000, Data_TheoDoi_USD!$A$2:$A$10000, TEXT(C27, "dd/mm/yyyy"), Data_TheoDoi_USD!$B$2:$B$10000, $H$4)=0, "-", SUMIFS(Data_TheoDoi_USD!$D$2:$D$10000, Data_TheoDoi_USD!$A$2:$A$10000, TEXT(C27, "dd/mm/yyyy"), Data_TheoDoi_USD!$B$2:$B$10000, $H$4)), "")</f>
        <v/>
      </c>
      <c r="G27" s="184">
        <f>IF(C27&lt;&gt;"", IF(SUMIFS(Data_TheoDoi_USD!$E$2:$E$10000, Data_TheoDoi_USD!$A$2:$A$10000, TEXT(C27, "dd/mm/yyyy"), Data_TheoDoi_USD!$B$2:$B$10000, $H$4)=0, "-", SUMIFS(Data_TheoDoi_USD!$E$2:$E$10000, Data_TheoDoi_USD!$A$2:$A$10000, TEXT(C27, "dd/mm/yyyy"), Data_TheoDoi_USD!$B$2:$B$10000, $H$4)), "")</f>
        <v/>
      </c>
      <c r="H27" s="185">
        <f>IF(AND(C27&lt;&gt;"", E27&lt;&gt;"-", F27&lt;&gt;"-", G27&lt;&gt;"-"), IFERROR(AVERAGE(F27, G27), "-"), "")</f>
        <v/>
      </c>
    </row>
    <row r="28" ht="26" customHeight="1" s="72">
      <c r="B28" s="186">
        <f>IF(C28&lt;&gt;"", 22, "")</f>
        <v/>
      </c>
      <c r="C28" s="187">
        <f>IF(MONTH(DATE($C$4, $F$4, 22))=$F$4, DATE($C$4, $F$4, 22), "")</f>
        <v/>
      </c>
      <c r="D28" s="187">
        <f>IF(C28&lt;&gt;"", IF(E28&lt;&gt;"-", C28, "-"), "")</f>
        <v/>
      </c>
      <c r="E28" s="188">
        <f>IF(C28&lt;&gt;"", IF(SUMIFS(Data_TheoDoi_USD!$C$2:$C$10000, Data_TheoDoi_USD!$A$2:$A$10000, TEXT(C28, "dd/mm/yyyy"), Data_TheoDoi_USD!$B$2:$B$10000, $H$4)=0, "-", SUMIFS(Data_TheoDoi_USD!$C$2:$C$10000, Data_TheoDoi_USD!$A$2:$A$10000, TEXT(C28, "dd/mm/yyyy"), Data_TheoDoi_USD!$B$2:$B$10000, $H$4)), "")</f>
        <v/>
      </c>
      <c r="F28" s="188">
        <f>IF(C28&lt;&gt;"", IF(SUMIFS(Data_TheoDoi_USD!$D$2:$D$10000, Data_TheoDoi_USD!$A$2:$A$10000, TEXT(C28, "dd/mm/yyyy"), Data_TheoDoi_USD!$B$2:$B$10000, $H$4)=0, "-", SUMIFS(Data_TheoDoi_USD!$D$2:$D$10000, Data_TheoDoi_USD!$A$2:$A$10000, TEXT(C28, "dd/mm/yyyy"), Data_TheoDoi_USD!$B$2:$B$10000, $H$4)), "")</f>
        <v/>
      </c>
      <c r="G28" s="188">
        <f>IF(C28&lt;&gt;"", IF(SUMIFS(Data_TheoDoi_USD!$E$2:$E$10000, Data_TheoDoi_USD!$A$2:$A$10000, TEXT(C28, "dd/mm/yyyy"), Data_TheoDoi_USD!$B$2:$B$10000, $H$4)=0, "-", SUMIFS(Data_TheoDoi_USD!$E$2:$E$10000, Data_TheoDoi_USD!$A$2:$A$10000, TEXT(C28, "dd/mm/yyyy"), Data_TheoDoi_USD!$B$2:$B$10000, $H$4)), "")</f>
        <v/>
      </c>
      <c r="H28" s="189">
        <f>IF(AND(C28&lt;&gt;"", E28&lt;&gt;"-", F28&lt;&gt;"-", G28&lt;&gt;"-"), IFERROR(AVERAGE(F28, G28), "-"), "")</f>
        <v/>
      </c>
    </row>
    <row r="29" ht="26" customHeight="1" s="72">
      <c r="B29" s="182">
        <f>IF(C29&lt;&gt;"", 23, "")</f>
        <v/>
      </c>
      <c r="C29" s="183">
        <f>IF(MONTH(DATE($C$4, $F$4, 23))=$F$4, DATE($C$4, $F$4, 23), "")</f>
        <v/>
      </c>
      <c r="D29" s="183">
        <f>IF(C29&lt;&gt;"", IF(E29&lt;&gt;"-", C29, "-"), "")</f>
        <v/>
      </c>
      <c r="E29" s="184">
        <f>IF(C29&lt;&gt;"", IF(SUMIFS(Data_TheoDoi_USD!$C$2:$C$10000, Data_TheoDoi_USD!$A$2:$A$10000, TEXT(C29, "dd/mm/yyyy"), Data_TheoDoi_USD!$B$2:$B$10000, $H$4)=0, "-", SUMIFS(Data_TheoDoi_USD!$C$2:$C$10000, Data_TheoDoi_USD!$A$2:$A$10000, TEXT(C29, "dd/mm/yyyy"), Data_TheoDoi_USD!$B$2:$B$10000, $H$4)), "")</f>
        <v/>
      </c>
      <c r="F29" s="184">
        <f>IF(C29&lt;&gt;"", IF(SUMIFS(Data_TheoDoi_USD!$D$2:$D$10000, Data_TheoDoi_USD!$A$2:$A$10000, TEXT(C29, "dd/mm/yyyy"), Data_TheoDoi_USD!$B$2:$B$10000, $H$4)=0, "-", SUMIFS(Data_TheoDoi_USD!$D$2:$D$10000, Data_TheoDoi_USD!$A$2:$A$10000, TEXT(C29, "dd/mm/yyyy"), Data_TheoDoi_USD!$B$2:$B$10000, $H$4)), "")</f>
        <v/>
      </c>
      <c r="G29" s="184">
        <f>IF(C29&lt;&gt;"", IF(SUMIFS(Data_TheoDoi_USD!$E$2:$E$10000, Data_TheoDoi_USD!$A$2:$A$10000, TEXT(C29, "dd/mm/yyyy"), Data_TheoDoi_USD!$B$2:$B$10000, $H$4)=0, "-", SUMIFS(Data_TheoDoi_USD!$E$2:$E$10000, Data_TheoDoi_USD!$A$2:$A$10000, TEXT(C29, "dd/mm/yyyy"), Data_TheoDoi_USD!$B$2:$B$10000, $H$4)), "")</f>
        <v/>
      </c>
      <c r="H29" s="185">
        <f>IF(AND(C29&lt;&gt;"", E29&lt;&gt;"-", F29&lt;&gt;"-", G29&lt;&gt;"-"), IFERROR(AVERAGE(F29, G29), "-"), "")</f>
        <v/>
      </c>
    </row>
    <row r="30" ht="26" customHeight="1" s="72">
      <c r="B30" s="186">
        <f>IF(C30&lt;&gt;"", 24, "")</f>
        <v/>
      </c>
      <c r="C30" s="187">
        <f>IF(MONTH(DATE($C$4, $F$4, 24))=$F$4, DATE($C$4, $F$4, 24), "")</f>
        <v/>
      </c>
      <c r="D30" s="187">
        <f>IF(C30&lt;&gt;"", IF(E30&lt;&gt;"-", C30, "-"), "")</f>
        <v/>
      </c>
      <c r="E30" s="188">
        <f>IF(C30&lt;&gt;"", IF(SUMIFS(Data_TheoDoi_USD!$C$2:$C$10000, Data_TheoDoi_USD!$A$2:$A$10000, TEXT(C30, "dd/mm/yyyy"), Data_TheoDoi_USD!$B$2:$B$10000, $H$4)=0, "-", SUMIFS(Data_TheoDoi_USD!$C$2:$C$10000, Data_TheoDoi_USD!$A$2:$A$10000, TEXT(C30, "dd/mm/yyyy"), Data_TheoDoi_USD!$B$2:$B$10000, $H$4)), "")</f>
        <v/>
      </c>
      <c r="F30" s="188">
        <f>IF(C30&lt;&gt;"", IF(SUMIFS(Data_TheoDoi_USD!$D$2:$D$10000, Data_TheoDoi_USD!$A$2:$A$10000, TEXT(C30, "dd/mm/yyyy"), Data_TheoDoi_USD!$B$2:$B$10000, $H$4)=0, "-", SUMIFS(Data_TheoDoi_USD!$D$2:$D$10000, Data_TheoDoi_USD!$A$2:$A$10000, TEXT(C30, "dd/mm/yyyy"), Data_TheoDoi_USD!$B$2:$B$10000, $H$4)), "")</f>
        <v/>
      </c>
      <c r="G30" s="188">
        <f>IF(C30&lt;&gt;"", IF(SUMIFS(Data_TheoDoi_USD!$E$2:$E$10000, Data_TheoDoi_USD!$A$2:$A$10000, TEXT(C30, "dd/mm/yyyy"), Data_TheoDoi_USD!$B$2:$B$10000, $H$4)=0, "-", SUMIFS(Data_TheoDoi_USD!$E$2:$E$10000, Data_TheoDoi_USD!$A$2:$A$10000, TEXT(C30, "dd/mm/yyyy"), Data_TheoDoi_USD!$B$2:$B$10000, $H$4)), "")</f>
        <v/>
      </c>
      <c r="H30" s="189">
        <f>IF(AND(C30&lt;&gt;"", E30&lt;&gt;"-", F30&lt;&gt;"-", G30&lt;&gt;"-"), IFERROR(AVERAGE(F30, G30), "-"), "")</f>
        <v/>
      </c>
    </row>
    <row r="31" ht="26" customHeight="1" s="72">
      <c r="B31" s="182">
        <f>IF(C31&lt;&gt;"", 25, "")</f>
        <v/>
      </c>
      <c r="C31" s="183">
        <f>IF(MONTH(DATE($C$4, $F$4, 25))=$F$4, DATE($C$4, $F$4, 25), "")</f>
        <v/>
      </c>
      <c r="D31" s="183">
        <f>IF(C31&lt;&gt;"", IF(E31&lt;&gt;"-", C31, "-"), "")</f>
        <v/>
      </c>
      <c r="E31" s="184">
        <f>IF(C31&lt;&gt;"", IF(SUMIFS(Data_TheoDoi_USD!$C$2:$C$10000, Data_TheoDoi_USD!$A$2:$A$10000, TEXT(C31, "dd/mm/yyyy"), Data_TheoDoi_USD!$B$2:$B$10000, $H$4)=0, "-", SUMIFS(Data_TheoDoi_USD!$C$2:$C$10000, Data_TheoDoi_USD!$A$2:$A$10000, TEXT(C31, "dd/mm/yyyy"), Data_TheoDoi_USD!$B$2:$B$10000, $H$4)), "")</f>
        <v/>
      </c>
      <c r="F31" s="184">
        <f>IF(C31&lt;&gt;"", IF(SUMIFS(Data_TheoDoi_USD!$D$2:$D$10000, Data_TheoDoi_USD!$A$2:$A$10000, TEXT(C31, "dd/mm/yyyy"), Data_TheoDoi_USD!$B$2:$B$10000, $H$4)=0, "-", SUMIFS(Data_TheoDoi_USD!$D$2:$D$10000, Data_TheoDoi_USD!$A$2:$A$10000, TEXT(C31, "dd/mm/yyyy"), Data_TheoDoi_USD!$B$2:$B$10000, $H$4)), "")</f>
        <v/>
      </c>
      <c r="G31" s="184">
        <f>IF(C31&lt;&gt;"", IF(SUMIFS(Data_TheoDoi_USD!$E$2:$E$10000, Data_TheoDoi_USD!$A$2:$A$10000, TEXT(C31, "dd/mm/yyyy"), Data_TheoDoi_USD!$B$2:$B$10000, $H$4)=0, "-", SUMIFS(Data_TheoDoi_USD!$E$2:$E$10000, Data_TheoDoi_USD!$A$2:$A$10000, TEXT(C31, "dd/mm/yyyy"), Data_TheoDoi_USD!$B$2:$B$10000, $H$4)), "")</f>
        <v/>
      </c>
      <c r="H31" s="185">
        <f>IF(AND(C31&lt;&gt;"", E31&lt;&gt;"-", F31&lt;&gt;"-", G31&lt;&gt;"-"), IFERROR(AVERAGE(F31, G31), "-"), "")</f>
        <v/>
      </c>
    </row>
    <row r="32" ht="26" customHeight="1" s="72">
      <c r="B32" s="186">
        <f>IF(C32&lt;&gt;"", 26, "")</f>
        <v/>
      </c>
      <c r="C32" s="187">
        <f>IF(MONTH(DATE($C$4, $F$4, 26))=$F$4, DATE($C$4, $F$4, 26), "")</f>
        <v/>
      </c>
      <c r="D32" s="187">
        <f>IF(C32&lt;&gt;"", IF(E32&lt;&gt;"-", C32, "-"), "")</f>
        <v/>
      </c>
      <c r="E32" s="188">
        <f>IF(C32&lt;&gt;"", IF(SUMIFS(Data_TheoDoi_USD!$C$2:$C$10000, Data_TheoDoi_USD!$A$2:$A$10000, TEXT(C32, "dd/mm/yyyy"), Data_TheoDoi_USD!$B$2:$B$10000, $H$4)=0, "-", SUMIFS(Data_TheoDoi_USD!$C$2:$C$10000, Data_TheoDoi_USD!$A$2:$A$10000, TEXT(C32, "dd/mm/yyyy"), Data_TheoDoi_USD!$B$2:$B$10000, $H$4)), "")</f>
        <v/>
      </c>
      <c r="F32" s="188">
        <f>IF(C32&lt;&gt;"", IF(SUMIFS(Data_TheoDoi_USD!$D$2:$D$10000, Data_TheoDoi_USD!$A$2:$A$10000, TEXT(C32, "dd/mm/yyyy"), Data_TheoDoi_USD!$B$2:$B$10000, $H$4)=0, "-", SUMIFS(Data_TheoDoi_USD!$D$2:$D$10000, Data_TheoDoi_USD!$A$2:$A$10000, TEXT(C32, "dd/mm/yyyy"), Data_TheoDoi_USD!$B$2:$B$10000, $H$4)), "")</f>
        <v/>
      </c>
      <c r="G32" s="188">
        <f>IF(C32&lt;&gt;"", IF(SUMIFS(Data_TheoDoi_USD!$E$2:$E$10000, Data_TheoDoi_USD!$A$2:$A$10000, TEXT(C32, "dd/mm/yyyy"), Data_TheoDoi_USD!$B$2:$B$10000, $H$4)=0, "-", SUMIFS(Data_TheoDoi_USD!$E$2:$E$10000, Data_TheoDoi_USD!$A$2:$A$10000, TEXT(C32, "dd/mm/yyyy"), Data_TheoDoi_USD!$B$2:$B$10000, $H$4)), "")</f>
        <v/>
      </c>
      <c r="H32" s="189">
        <f>IF(AND(C32&lt;&gt;"", E32&lt;&gt;"-", F32&lt;&gt;"-", G32&lt;&gt;"-"), IFERROR(AVERAGE(F32, G32), "-"), "")</f>
        <v/>
      </c>
    </row>
    <row r="33" ht="26" customHeight="1" s="72">
      <c r="B33" s="182">
        <f>IF(C33&lt;&gt;"", 27, "")</f>
        <v/>
      </c>
      <c r="C33" s="183">
        <f>IF(MONTH(DATE($C$4, $F$4, 27))=$F$4, DATE($C$4, $F$4, 27), "")</f>
        <v/>
      </c>
      <c r="D33" s="183">
        <f>IF(C33&lt;&gt;"", IF(E33&lt;&gt;"-", C33, "-"), "")</f>
        <v/>
      </c>
      <c r="E33" s="184">
        <f>IF(C33&lt;&gt;"", IF(SUMIFS(Data_TheoDoi_USD!$C$2:$C$10000, Data_TheoDoi_USD!$A$2:$A$10000, TEXT(C33, "dd/mm/yyyy"), Data_TheoDoi_USD!$B$2:$B$10000, $H$4)=0, "-", SUMIFS(Data_TheoDoi_USD!$C$2:$C$10000, Data_TheoDoi_USD!$A$2:$A$10000, TEXT(C33, "dd/mm/yyyy"), Data_TheoDoi_USD!$B$2:$B$10000, $H$4)), "")</f>
        <v/>
      </c>
      <c r="F33" s="184">
        <f>IF(C33&lt;&gt;"", IF(SUMIFS(Data_TheoDoi_USD!$D$2:$D$10000, Data_TheoDoi_USD!$A$2:$A$10000, TEXT(C33, "dd/mm/yyyy"), Data_TheoDoi_USD!$B$2:$B$10000, $H$4)=0, "-", SUMIFS(Data_TheoDoi_USD!$D$2:$D$10000, Data_TheoDoi_USD!$A$2:$A$10000, TEXT(C33, "dd/mm/yyyy"), Data_TheoDoi_USD!$B$2:$B$10000, $H$4)), "")</f>
        <v/>
      </c>
      <c r="G33" s="184">
        <f>IF(C33&lt;&gt;"", IF(SUMIFS(Data_TheoDoi_USD!$E$2:$E$10000, Data_TheoDoi_USD!$A$2:$A$10000, TEXT(C33, "dd/mm/yyyy"), Data_TheoDoi_USD!$B$2:$B$10000, $H$4)=0, "-", SUMIFS(Data_TheoDoi_USD!$E$2:$E$10000, Data_TheoDoi_USD!$A$2:$A$10000, TEXT(C33, "dd/mm/yyyy"), Data_TheoDoi_USD!$B$2:$B$10000, $H$4)), "")</f>
        <v/>
      </c>
      <c r="H33" s="185">
        <f>IF(AND(C33&lt;&gt;"", E33&lt;&gt;"-", F33&lt;&gt;"-", G33&lt;&gt;"-"), IFERROR(AVERAGE(F33, G33), "-"), "")</f>
        <v/>
      </c>
    </row>
    <row r="34" ht="26" customHeight="1" s="72">
      <c r="B34" s="186">
        <f>IF(C34&lt;&gt;"", 28, "")</f>
        <v/>
      </c>
      <c r="C34" s="187">
        <f>IF(MONTH(DATE($C$4, $F$4, 28))=$F$4, DATE($C$4, $F$4, 28), "")</f>
        <v/>
      </c>
      <c r="D34" s="187">
        <f>IF(C34&lt;&gt;"", IF(E34&lt;&gt;"-", C34, "-"), "")</f>
        <v/>
      </c>
      <c r="E34" s="188">
        <f>IF(C34&lt;&gt;"", IF(SUMIFS(Data_TheoDoi_USD!$C$2:$C$10000, Data_TheoDoi_USD!$A$2:$A$10000, TEXT(C34, "dd/mm/yyyy"), Data_TheoDoi_USD!$B$2:$B$10000, $H$4)=0, "-", SUMIFS(Data_TheoDoi_USD!$C$2:$C$10000, Data_TheoDoi_USD!$A$2:$A$10000, TEXT(C34, "dd/mm/yyyy"), Data_TheoDoi_USD!$B$2:$B$10000, $H$4)), "")</f>
        <v/>
      </c>
      <c r="F34" s="188">
        <f>IF(C34&lt;&gt;"", IF(SUMIFS(Data_TheoDoi_USD!$D$2:$D$10000, Data_TheoDoi_USD!$A$2:$A$10000, TEXT(C34, "dd/mm/yyyy"), Data_TheoDoi_USD!$B$2:$B$10000, $H$4)=0, "-", SUMIFS(Data_TheoDoi_USD!$D$2:$D$10000, Data_TheoDoi_USD!$A$2:$A$10000, TEXT(C34, "dd/mm/yyyy"), Data_TheoDoi_USD!$B$2:$B$10000, $H$4)), "")</f>
        <v/>
      </c>
      <c r="G34" s="188">
        <f>IF(C34&lt;&gt;"", IF(SUMIFS(Data_TheoDoi_USD!$E$2:$E$10000, Data_TheoDoi_USD!$A$2:$A$10000, TEXT(C34, "dd/mm/yyyy"), Data_TheoDoi_USD!$B$2:$B$10000, $H$4)=0, "-", SUMIFS(Data_TheoDoi_USD!$E$2:$E$10000, Data_TheoDoi_USD!$A$2:$A$10000, TEXT(C34, "dd/mm/yyyy"), Data_TheoDoi_USD!$B$2:$B$10000, $H$4)), "")</f>
        <v/>
      </c>
      <c r="H34" s="189">
        <f>IF(AND(C34&lt;&gt;"", E34&lt;&gt;"-", F34&lt;&gt;"-", G34&lt;&gt;"-"), IFERROR(AVERAGE(F34, G34), "-"), "")</f>
        <v/>
      </c>
    </row>
    <row r="35" ht="26" customHeight="1" s="72">
      <c r="B35" s="182">
        <f>IF(C35&lt;&gt;"", 29, "")</f>
        <v/>
      </c>
      <c r="C35" s="183">
        <f>IF(MONTH(DATE($C$4, $F$4, 29))=$F$4, DATE($C$4, $F$4, 29), "")</f>
        <v/>
      </c>
      <c r="D35" s="183">
        <f>IF(C35&lt;&gt;"", IF(E35&lt;&gt;"-", C35, "-"), "")</f>
        <v/>
      </c>
      <c r="E35" s="184">
        <f>IF(C35&lt;&gt;"", IF(SUMIFS(Data_TheoDoi_USD!$C$2:$C$10000, Data_TheoDoi_USD!$A$2:$A$10000, TEXT(C35, "dd/mm/yyyy"), Data_TheoDoi_USD!$B$2:$B$10000, $H$4)=0, "-", SUMIFS(Data_TheoDoi_USD!$C$2:$C$10000, Data_TheoDoi_USD!$A$2:$A$10000, TEXT(C35, "dd/mm/yyyy"), Data_TheoDoi_USD!$B$2:$B$10000, $H$4)), "")</f>
        <v/>
      </c>
      <c r="F35" s="184">
        <f>IF(C35&lt;&gt;"", IF(SUMIFS(Data_TheoDoi_USD!$D$2:$D$10000, Data_TheoDoi_USD!$A$2:$A$10000, TEXT(C35, "dd/mm/yyyy"), Data_TheoDoi_USD!$B$2:$B$10000, $H$4)=0, "-", SUMIFS(Data_TheoDoi_USD!$D$2:$D$10000, Data_TheoDoi_USD!$A$2:$A$10000, TEXT(C35, "dd/mm/yyyy"), Data_TheoDoi_USD!$B$2:$B$10000, $H$4)), "")</f>
        <v/>
      </c>
      <c r="G35" s="184">
        <f>IF(C35&lt;&gt;"", IF(SUMIFS(Data_TheoDoi_USD!$E$2:$E$10000, Data_TheoDoi_USD!$A$2:$A$10000, TEXT(C35, "dd/mm/yyyy"), Data_TheoDoi_USD!$B$2:$B$10000, $H$4)=0, "-", SUMIFS(Data_TheoDoi_USD!$E$2:$E$10000, Data_TheoDoi_USD!$A$2:$A$10000, TEXT(C35, "dd/mm/yyyy"), Data_TheoDoi_USD!$B$2:$B$10000, $H$4)), "")</f>
        <v/>
      </c>
      <c r="H35" s="185">
        <f>IF(AND(C35&lt;&gt;"", E35&lt;&gt;"-", F35&lt;&gt;"-", G35&lt;&gt;"-"), IFERROR(AVERAGE(F35, G35), "-"), "")</f>
        <v/>
      </c>
    </row>
    <row r="36" ht="26" customHeight="1" s="72">
      <c r="B36" s="186">
        <f>IF(C36&lt;&gt;"", 30, "")</f>
        <v/>
      </c>
      <c r="C36" s="187">
        <f>IF(MONTH(DATE($C$4, $F$4, 30))=$F$4, DATE($C$4, $F$4, 30), "")</f>
        <v/>
      </c>
      <c r="D36" s="187">
        <f>IF(C36&lt;&gt;"", IF(E36&lt;&gt;"-", C36, "-"), "")</f>
        <v/>
      </c>
      <c r="E36" s="188">
        <f>IF(C36&lt;&gt;"", IF(SUMIFS(Data_TheoDoi_USD!$C$2:$C$10000, Data_TheoDoi_USD!$A$2:$A$10000, TEXT(C36, "dd/mm/yyyy"), Data_TheoDoi_USD!$B$2:$B$10000, $H$4)=0, "-", SUMIFS(Data_TheoDoi_USD!$C$2:$C$10000, Data_TheoDoi_USD!$A$2:$A$10000, TEXT(C36, "dd/mm/yyyy"), Data_TheoDoi_USD!$B$2:$B$10000, $H$4)), "")</f>
        <v/>
      </c>
      <c r="F36" s="188">
        <f>IF(C36&lt;&gt;"", IF(SUMIFS(Data_TheoDoi_USD!$D$2:$D$10000, Data_TheoDoi_USD!$A$2:$A$10000, TEXT(C36, "dd/mm/yyyy"), Data_TheoDoi_USD!$B$2:$B$10000, $H$4)=0, "-", SUMIFS(Data_TheoDoi_USD!$D$2:$D$10000, Data_TheoDoi_USD!$A$2:$A$10000, TEXT(C36, "dd/mm/yyyy"), Data_TheoDoi_USD!$B$2:$B$10000, $H$4)), "")</f>
        <v/>
      </c>
      <c r="G36" s="188">
        <f>IF(C36&lt;&gt;"", IF(SUMIFS(Data_TheoDoi_USD!$E$2:$E$10000, Data_TheoDoi_USD!$A$2:$A$10000, TEXT(C36, "dd/mm/yyyy"), Data_TheoDoi_USD!$B$2:$B$10000, $H$4)=0, "-", SUMIFS(Data_TheoDoi_USD!$E$2:$E$10000, Data_TheoDoi_USD!$A$2:$A$10000, TEXT(C36, "dd/mm/yyyy"), Data_TheoDoi_USD!$B$2:$B$10000, $H$4)), "")</f>
        <v/>
      </c>
      <c r="H36" s="189">
        <f>IF(AND(C36&lt;&gt;"", E36&lt;&gt;"-", F36&lt;&gt;"-", G36&lt;&gt;"-"), IFERROR(AVERAGE(F36, G36), "-"), "")</f>
        <v/>
      </c>
    </row>
    <row r="37" ht="26" customHeight="1" s="72">
      <c r="B37" s="182">
        <f>IF(C37&lt;&gt;"", 31, "")</f>
        <v/>
      </c>
      <c r="C37" s="183">
        <f>IF(MONTH(DATE($C$4, $F$4, 31))=$F$4, DATE($C$4, $F$4, 31), "")</f>
        <v/>
      </c>
      <c r="D37" s="183">
        <f>IF(C37&lt;&gt;"", IF(E37&lt;&gt;"-", C37, "-"), "")</f>
        <v/>
      </c>
      <c r="E37" s="184">
        <f>IF(C37&lt;&gt;"", IF(SUMIFS(Data_TheoDoi_USD!$C$2:$C$10000, Data_TheoDoi_USD!$A$2:$A$10000, TEXT(C37, "dd/mm/yyyy"), Data_TheoDoi_USD!$B$2:$B$10000, $H$4)=0, "-", SUMIFS(Data_TheoDoi_USD!$C$2:$C$10000, Data_TheoDoi_USD!$A$2:$A$10000, TEXT(C37, "dd/mm/yyyy"), Data_TheoDoi_USD!$B$2:$B$10000, $H$4)), "")</f>
        <v/>
      </c>
      <c r="F37" s="184">
        <f>IF(C37&lt;&gt;"", IF(SUMIFS(Data_TheoDoi_USD!$D$2:$D$10000, Data_TheoDoi_USD!$A$2:$A$10000, TEXT(C37, "dd/mm/yyyy"), Data_TheoDoi_USD!$B$2:$B$10000, $H$4)=0, "-", SUMIFS(Data_TheoDoi_USD!$D$2:$D$10000, Data_TheoDoi_USD!$A$2:$A$10000, TEXT(C37, "dd/mm/yyyy"), Data_TheoDoi_USD!$B$2:$B$10000, $H$4)), "")</f>
        <v/>
      </c>
      <c r="G37" s="184">
        <f>IF(C37&lt;&gt;"", IF(SUMIFS(Data_TheoDoi_USD!$E$2:$E$10000, Data_TheoDoi_USD!$A$2:$A$10000, TEXT(C37, "dd/mm/yyyy"), Data_TheoDoi_USD!$B$2:$B$10000, $H$4)=0, "-", SUMIFS(Data_TheoDoi_USD!$E$2:$E$10000, Data_TheoDoi_USD!$A$2:$A$10000, TEXT(C37, "dd/mm/yyyy"), Data_TheoDoi_USD!$B$2:$B$10000, $H$4)), "")</f>
        <v/>
      </c>
      <c r="H37" s="185">
        <f>IF(AND(C37&lt;&gt;"", E37&lt;&gt;"-", F37&lt;&gt;"-", G37&lt;&gt;"-"), IFERROR(AVERAGE(F37, G37), "-"), "")</f>
        <v/>
      </c>
    </row>
    <row r="38" ht="28" customHeight="1" s="72">
      <c r="B38" s="190" t="n"/>
      <c r="C38" s="191" t="inlineStr">
        <is>
          <t>BÌNH QUÂN THÁNG</t>
        </is>
      </c>
      <c r="D38" s="190" t="n"/>
      <c r="E38" s="192">
        <f>IFERROR(AVERAGE(E7:E37), "-")</f>
        <v/>
      </c>
      <c r="F38" s="192">
        <f>IFERROR(AVERAGE(F7:F37), "-")</f>
        <v/>
      </c>
      <c r="G38" s="192">
        <f>IFERROR(AVERAGE(G7:G37), "-")</f>
        <v/>
      </c>
      <c r="H38" s="192">
        <f>IFERROR(AVERAGE(H7:H37), "-")</f>
        <v/>
      </c>
    </row>
  </sheetData>
  <mergeCells count="1">
    <mergeCell ref="B2:H2"/>
  </mergeCells>
  <dataValidations count="2">
    <dataValidation sqref="F4" showDropDown="0" showInputMessage="0" showErrorMessage="0" allowBlank="0" promptTitle="Chọn tháng" prompt="Chọn tháng cần theo dõi (1 - 12)" type="list">
      <formula1>=$AA$1:$AA$12</formula1>
    </dataValidation>
    <dataValidation sqref="H4" showDropDown="0" showInputMessage="0" showErrorMessage="0" allowBlank="0" promptTitle="Chọn ngân hàng" prompt="Chọn ngân hàng cần xem tỷ giá" type="list">
      <formula1>=$AB$1:$AB$15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72" min="1" max="1"/>
    <col width="12" customWidth="1" style="72" min="2" max="2"/>
    <col width="24" customWidth="1" style="72" min="3" max="3"/>
    <col width="18" customWidth="1" style="72" min="4" max="4"/>
    <col width="20" customWidth="1" style="72" min="5" max="5"/>
    <col width="14" customWidth="1" style="72" min="6" max="6"/>
    <col width="20" customWidth="1" style="72" min="7" max="7"/>
  </cols>
  <sheetData>
    <row r="1" ht="32" customHeight="1" s="72">
      <c r="A1" s="193" t="inlineStr">
        <is>
          <t>Ngày Cập Nhật</t>
        </is>
      </c>
      <c r="B1" s="193" t="inlineStr">
        <is>
          <t>Mã Ngoại Tệ</t>
        </is>
      </c>
      <c r="C1" s="193" t="inlineStr">
        <is>
          <t>Tên Ngoại Tệ</t>
        </is>
      </c>
      <c r="D1" s="193" t="inlineStr">
        <is>
          <t>Mua Tiền Mặt</t>
        </is>
      </c>
      <c r="E1" s="193" t="inlineStr">
        <is>
          <t>Mua Chuyển Khoản</t>
        </is>
      </c>
      <c r="F1" s="193" t="inlineStr">
        <is>
          <t>Bán</t>
        </is>
      </c>
      <c r="G1" s="193" t="inlineStr">
        <is>
          <t>Bình Quân CK &amp; Bán</t>
        </is>
      </c>
    </row>
    <row r="2">
      <c r="A2" s="194" t="inlineStr">
        <is>
          <t>2026-09-18 23:00:10</t>
        </is>
      </c>
      <c r="B2" s="194" t="inlineStr">
        <is>
          <t>AUD</t>
        </is>
      </c>
      <c r="C2" s="194" t="inlineStr">
        <is>
          <t>AUSTRALIAN DOLLAR</t>
        </is>
      </c>
      <c r="D2" s="195" t="n">
        <v>18067.19</v>
      </c>
      <c r="E2" s="195" t="n">
        <v>18249.69</v>
      </c>
      <c r="F2" s="195" t="n">
        <v>18834.45</v>
      </c>
      <c r="G2" s="195" t="n">
        <v>18542.07</v>
      </c>
    </row>
    <row r="3">
      <c r="A3" s="196" t="inlineStr">
        <is>
          <t>2026-09-18 23:00:10</t>
        </is>
      </c>
      <c r="B3" s="196" t="inlineStr">
        <is>
          <t>CAD</t>
        </is>
      </c>
      <c r="C3" s="196" t="inlineStr">
        <is>
          <t>CANADIAN DOLLAR</t>
        </is>
      </c>
      <c r="D3" s="184" t="n">
        <v>18117.89</v>
      </c>
      <c r="E3" s="184" t="n">
        <v>18300.9</v>
      </c>
      <c r="F3" s="184" t="n">
        <v>18887.3</v>
      </c>
      <c r="G3" s="184" t="n">
        <v>18594.1</v>
      </c>
    </row>
    <row r="4">
      <c r="A4" s="194" t="inlineStr">
        <is>
          <t>2026-09-18 23:00:10</t>
        </is>
      </c>
      <c r="B4" s="194" t="inlineStr">
        <is>
          <t>CHF</t>
        </is>
      </c>
      <c r="C4" s="194" t="inlineStr">
        <is>
          <t>SWISS FRANC</t>
        </is>
      </c>
      <c r="D4" s="195" t="n">
        <v>30753.83</v>
      </c>
      <c r="E4" s="195" t="n">
        <v>31064.47</v>
      </c>
      <c r="F4" s="195" t="n">
        <v>32059.85</v>
      </c>
      <c r="G4" s="195" t="n">
        <v>31562.16</v>
      </c>
    </row>
    <row r="5">
      <c r="A5" s="196" t="inlineStr">
        <is>
          <t>2026-09-18 23:00:10</t>
        </is>
      </c>
      <c r="B5" s="196" t="inlineStr">
        <is>
          <t>CNY</t>
        </is>
      </c>
      <c r="C5" s="196" t="inlineStr">
        <is>
          <t>YUAN RENMINBI</t>
        </is>
      </c>
      <c r="D5" s="184" t="n">
        <v>3786.37</v>
      </c>
      <c r="E5" s="184" t="n">
        <v>3824.62</v>
      </c>
      <c r="F5" s="184" t="n">
        <v>3947.17</v>
      </c>
      <c r="G5" s="184" t="n">
        <v>3885.9</v>
      </c>
    </row>
    <row r="6">
      <c r="A6" s="194" t="inlineStr">
        <is>
          <t>2026-09-18 23:00:10</t>
        </is>
      </c>
      <c r="B6" s="194" t="inlineStr">
        <is>
          <t>DKK</t>
        </is>
      </c>
      <c r="C6" s="194" t="inlineStr">
        <is>
          <t>DANISH KRONE</t>
        </is>
      </c>
      <c r="D6" s="195" t="n"/>
      <c r="E6" s="195" t="n">
        <v>3924.2</v>
      </c>
      <c r="F6" s="195" t="n">
        <v>4074.32</v>
      </c>
      <c r="G6" s="195" t="n">
        <v>3999.26</v>
      </c>
    </row>
    <row r="7">
      <c r="A7" s="196" t="inlineStr">
        <is>
          <t>2026-09-18 23:00:10</t>
        </is>
      </c>
      <c r="B7" s="196" t="inlineStr">
        <is>
          <t>EUR</t>
        </is>
      </c>
      <c r="C7" s="196" t="inlineStr">
        <is>
          <t>EURO</t>
        </is>
      </c>
      <c r="D7" s="184" t="n">
        <v>29118.95</v>
      </c>
      <c r="E7" s="184" t="n">
        <v>29413.09</v>
      </c>
      <c r="F7" s="184" t="n">
        <v>30654.61</v>
      </c>
      <c r="G7" s="184" t="n">
        <v>30033.85</v>
      </c>
    </row>
    <row r="8">
      <c r="A8" s="194" t="inlineStr">
        <is>
          <t>2026-09-18 23:00:10</t>
        </is>
      </c>
      <c r="B8" s="194" t="inlineStr">
        <is>
          <t>GBP</t>
        </is>
      </c>
      <c r="C8" s="194" t="inlineStr">
        <is>
          <t>POUND STERLING</t>
        </is>
      </c>
      <c r="D8" s="195" t="n">
        <v>33885.49</v>
      </c>
      <c r="E8" s="195" t="n">
        <v>34227.77</v>
      </c>
      <c r="F8" s="195" t="n">
        <v>35324.5</v>
      </c>
      <c r="G8" s="195" t="n">
        <v>34776.13</v>
      </c>
    </row>
    <row r="9">
      <c r="A9" s="196" t="inlineStr">
        <is>
          <t>2026-09-18 23:00:10</t>
        </is>
      </c>
      <c r="B9" s="196" t="inlineStr">
        <is>
          <t>HKD</t>
        </is>
      </c>
      <c r="C9" s="196" t="inlineStr">
        <is>
          <t>HONGKONG DOLLAR</t>
        </is>
      </c>
      <c r="D9" s="184" t="n">
        <v>3223.1</v>
      </c>
      <c r="E9" s="184" t="n">
        <v>3255.65</v>
      </c>
      <c r="F9" s="184" t="n">
        <v>3380.2</v>
      </c>
      <c r="G9" s="184" t="n">
        <v>3317.92</v>
      </c>
    </row>
    <row r="10">
      <c r="A10" s="194" t="inlineStr">
        <is>
          <t>2026-09-18 23:00:10</t>
        </is>
      </c>
      <c r="B10" s="194" t="inlineStr">
        <is>
          <t>INR</t>
        </is>
      </c>
      <c r="C10" s="194" t="inlineStr">
        <is>
          <t>INDIAN RUPEE</t>
        </is>
      </c>
      <c r="D10" s="195" t="n"/>
      <c r="E10" s="195" t="n">
        <v>269.9</v>
      </c>
      <c r="F10" s="195" t="n">
        <v>281.52</v>
      </c>
      <c r="G10" s="195" t="n">
        <v>275.71</v>
      </c>
    </row>
    <row r="11">
      <c r="A11" s="196" t="inlineStr">
        <is>
          <t>2026-09-18 23:00:10</t>
        </is>
      </c>
      <c r="B11" s="196" t="inlineStr">
        <is>
          <t>JPY</t>
        </is>
      </c>
      <c r="C11" s="196" t="inlineStr">
        <is>
          <t>YEN</t>
        </is>
      </c>
      <c r="D11" s="184" t="n">
        <v>158.98</v>
      </c>
      <c r="E11" s="184" t="n">
        <v>160.58</v>
      </c>
      <c r="F11" s="184" t="n">
        <v>169.95</v>
      </c>
      <c r="G11" s="184" t="n">
        <v>165.26</v>
      </c>
    </row>
    <row r="12">
      <c r="A12" s="194" t="inlineStr">
        <is>
          <t>2026-09-18 23:00:10</t>
        </is>
      </c>
      <c r="B12" s="194" t="inlineStr">
        <is>
          <t>KRW</t>
        </is>
      </c>
      <c r="C12" s="194" t="inlineStr">
        <is>
          <t>KOREAN WON</t>
        </is>
      </c>
      <c r="D12" s="195" t="n">
        <v>16.23</v>
      </c>
      <c r="E12" s="195" t="n">
        <v>18.03</v>
      </c>
      <c r="F12" s="195" t="n">
        <v>19.57</v>
      </c>
      <c r="G12" s="195" t="n">
        <v>18.8</v>
      </c>
    </row>
    <row r="13">
      <c r="A13" s="196" t="inlineStr">
        <is>
          <t>2026-09-18 23:00:10</t>
        </is>
      </c>
      <c r="B13" s="196" t="inlineStr">
        <is>
          <t>KWD</t>
        </is>
      </c>
      <c r="C13" s="196" t="inlineStr">
        <is>
          <t>KUWAITI DINAR</t>
        </is>
      </c>
      <c r="D13" s="184" t="n"/>
      <c r="E13" s="184" t="n">
        <v>84186.94</v>
      </c>
      <c r="F13" s="184" t="n">
        <v>88268.78999999999</v>
      </c>
      <c r="G13" s="184" t="n">
        <v>86227.86</v>
      </c>
    </row>
    <row r="14">
      <c r="A14" s="194" t="inlineStr">
        <is>
          <t>2026-09-18 23:00:10</t>
        </is>
      </c>
      <c r="B14" s="194" t="inlineStr">
        <is>
          <t>MYR</t>
        </is>
      </c>
      <c r="C14" s="194" t="inlineStr">
        <is>
          <t>MALAYSIAN RINGGIT</t>
        </is>
      </c>
      <c r="D14" s="195" t="n"/>
      <c r="E14" s="195" t="n">
        <v>6309.45</v>
      </c>
      <c r="F14" s="195" t="n">
        <v>6446.82</v>
      </c>
      <c r="G14" s="195" t="n">
        <v>6378.14</v>
      </c>
    </row>
    <row r="15">
      <c r="A15" s="196" t="inlineStr">
        <is>
          <t>2026-09-18 23:00:10</t>
        </is>
      </c>
      <c r="B15" s="196" t="inlineStr">
        <is>
          <t>NOK</t>
        </is>
      </c>
      <c r="C15" s="196" t="inlineStr">
        <is>
          <t>NORWEGIAN KRONER</t>
        </is>
      </c>
      <c r="D15" s="184" t="n"/>
      <c r="E15" s="184" t="n">
        <v>2706.4</v>
      </c>
      <c r="F15" s="184" t="n">
        <v>2821.2</v>
      </c>
      <c r="G15" s="184" t="n">
        <v>2763.8</v>
      </c>
    </row>
    <row r="16">
      <c r="A16" s="194" t="inlineStr">
        <is>
          <t>2026-09-18 23:00:10</t>
        </is>
      </c>
      <c r="B16" s="194" t="inlineStr">
        <is>
          <t>RUB</t>
        </is>
      </c>
      <c r="C16" s="194" t="inlineStr">
        <is>
          <t>RUSSIAN RUBLE</t>
        </is>
      </c>
      <c r="D16" s="195" t="n"/>
      <c r="E16" s="195" t="n">
        <v>294.35</v>
      </c>
      <c r="F16" s="195" t="n">
        <v>325.84</v>
      </c>
      <c r="G16" s="195" t="n">
        <v>310.1</v>
      </c>
    </row>
    <row r="17">
      <c r="A17" s="196" t="inlineStr">
        <is>
          <t>2026-09-18 23:00:10</t>
        </is>
      </c>
      <c r="B17" s="196" t="inlineStr">
        <is>
          <t>SAR</t>
        </is>
      </c>
      <c r="C17" s="196" t="inlineStr">
        <is>
          <t>SAUDI RIAL</t>
        </is>
      </c>
      <c r="D17" s="184" t="n"/>
      <c r="E17" s="184" t="n">
        <v>6887.09</v>
      </c>
      <c r="F17" s="184" t="n">
        <v>7183.59</v>
      </c>
      <c r="G17" s="184" t="n">
        <v>7035.34</v>
      </c>
    </row>
    <row r="18">
      <c r="A18" s="194" t="inlineStr">
        <is>
          <t>2026-09-18 23:00:10</t>
        </is>
      </c>
      <c r="B18" s="194" t="inlineStr">
        <is>
          <t>SEK</t>
        </is>
      </c>
      <c r="C18" s="194" t="inlineStr">
        <is>
          <t>SWEDISH KRONA</t>
        </is>
      </c>
      <c r="D18" s="195" t="n"/>
      <c r="E18" s="195" t="n">
        <v>2596.69</v>
      </c>
      <c r="F18" s="195" t="n">
        <v>2706.84</v>
      </c>
      <c r="G18" s="195" t="n">
        <v>2651.77</v>
      </c>
    </row>
    <row r="19">
      <c r="A19" s="196" t="inlineStr">
        <is>
          <t>2026-09-18 23:00:10</t>
        </is>
      </c>
      <c r="B19" s="196" t="inlineStr">
        <is>
          <t>SGD</t>
        </is>
      </c>
      <c r="C19" s="196" t="inlineStr">
        <is>
          <t>SINGAPORE DOLLAR</t>
        </is>
      </c>
      <c r="D19" s="184" t="n">
        <v>19836.08</v>
      </c>
      <c r="E19" s="184" t="n">
        <v>20036.45</v>
      </c>
      <c r="F19" s="184" t="n">
        <v>20719.87</v>
      </c>
      <c r="G19" s="184" t="n">
        <v>20378.16</v>
      </c>
    </row>
    <row r="20">
      <c r="A20" s="194" t="inlineStr">
        <is>
          <t>2026-09-18 23:00:10</t>
        </is>
      </c>
      <c r="B20" s="194" t="inlineStr">
        <is>
          <t>THB</t>
        </is>
      </c>
      <c r="C20" s="194" t="inlineStr">
        <is>
          <t>THAILAND BAHT</t>
        </is>
      </c>
      <c r="D20" s="195" t="n">
        <v>688.51</v>
      </c>
      <c r="E20" s="195" t="n">
        <v>765.01</v>
      </c>
      <c r="F20" s="195" t="n">
        <v>797.46</v>
      </c>
      <c r="G20" s="195" t="n">
        <v>781.24</v>
      </c>
    </row>
    <row r="21">
      <c r="A21" s="196" t="inlineStr">
        <is>
          <t>2026-09-18 23:00:10</t>
        </is>
      </c>
      <c r="B21" s="196" t="inlineStr">
        <is>
          <t>USD</t>
        </is>
      </c>
      <c r="C21" s="196" t="inlineStr">
        <is>
          <t>US DOLLAR</t>
        </is>
      </c>
      <c r="D21" s="184" t="n">
        <v>25800</v>
      </c>
      <c r="E21" s="184" t="n">
        <v>25830</v>
      </c>
      <c r="F21" s="184" t="n">
        <v>26210</v>
      </c>
      <c r="G21" s="184" t="n">
        <v>26020</v>
      </c>
    </row>
    <row r="22">
      <c r="A22" s="194" t="inlineStr">
        <is>
          <t>2026-09-17 18:00:00</t>
        </is>
      </c>
      <c r="B22" s="194" t="inlineStr">
        <is>
          <t>AUD</t>
        </is>
      </c>
      <c r="C22" s="194" t="inlineStr">
        <is>
          <t>AUSTRALIAN DOLLAR</t>
        </is>
      </c>
      <c r="D22" s="195" t="n">
        <v>18035.83</v>
      </c>
      <c r="E22" s="195" t="n">
        <v>18218.01</v>
      </c>
      <c r="F22" s="195" t="n">
        <v>18801.76</v>
      </c>
      <c r="G22" s="195" t="n">
        <v>18509.88</v>
      </c>
    </row>
    <row r="23">
      <c r="A23" s="196" t="inlineStr">
        <is>
          <t>2026-09-17 18:00:00</t>
        </is>
      </c>
      <c r="B23" s="196" t="inlineStr">
        <is>
          <t>CAD</t>
        </is>
      </c>
      <c r="C23" s="196" t="inlineStr">
        <is>
          <t>CANADIAN DOLLAR</t>
        </is>
      </c>
      <c r="D23" s="184" t="n">
        <v>18128.65</v>
      </c>
      <c r="E23" s="184" t="n">
        <v>18311.77</v>
      </c>
      <c r="F23" s="184" t="n">
        <v>18898.52</v>
      </c>
      <c r="G23" s="184" t="n">
        <v>18605.14</v>
      </c>
    </row>
    <row r="24">
      <c r="A24" s="194" t="inlineStr">
        <is>
          <t>2026-09-17 18:00:00</t>
        </is>
      </c>
      <c r="B24" s="194" t="inlineStr">
        <is>
          <t>CHF</t>
        </is>
      </c>
      <c r="C24" s="194" t="inlineStr">
        <is>
          <t>SWISS FRANC</t>
        </is>
      </c>
      <c r="D24" s="195" t="n">
        <v>30718.11</v>
      </c>
      <c r="E24" s="195" t="n">
        <v>31028.4</v>
      </c>
      <c r="F24" s="195" t="n">
        <v>32022.62</v>
      </c>
      <c r="G24" s="195" t="n">
        <v>31525.51</v>
      </c>
    </row>
    <row r="25">
      <c r="A25" s="196" t="inlineStr">
        <is>
          <t>2026-09-17 18:00:00</t>
        </is>
      </c>
      <c r="B25" s="196" t="inlineStr">
        <is>
          <t>CNY</t>
        </is>
      </c>
      <c r="C25" s="196" t="inlineStr">
        <is>
          <t>YUAN RENMINBI</t>
        </is>
      </c>
      <c r="D25" s="184" t="n">
        <v>3780.39</v>
      </c>
      <c r="E25" s="184" t="n">
        <v>3818.58</v>
      </c>
      <c r="F25" s="184" t="n">
        <v>3940.94</v>
      </c>
      <c r="G25" s="184" t="n">
        <v>3879.76</v>
      </c>
    </row>
    <row r="26">
      <c r="A26" s="194" t="inlineStr">
        <is>
          <t>2026-09-17 18:00:00</t>
        </is>
      </c>
      <c r="B26" s="194" t="inlineStr">
        <is>
          <t>DKK</t>
        </is>
      </c>
      <c r="C26" s="194" t="inlineStr">
        <is>
          <t>DANISH KRONE</t>
        </is>
      </c>
      <c r="D26" s="195" t="n"/>
      <c r="E26" s="195" t="n">
        <v>3920.38</v>
      </c>
      <c r="F26" s="195" t="n">
        <v>4070.35</v>
      </c>
      <c r="G26" s="195" t="n">
        <v>3995.36</v>
      </c>
    </row>
    <row r="27">
      <c r="A27" s="196" t="inlineStr">
        <is>
          <t>2026-09-17 18:00:00</t>
        </is>
      </c>
      <c r="B27" s="196" t="inlineStr">
        <is>
          <t>EUR</t>
        </is>
      </c>
      <c r="C27" s="196" t="inlineStr">
        <is>
          <t>EURO</t>
        </is>
      </c>
      <c r="D27" s="184" t="n">
        <v>29090.54</v>
      </c>
      <c r="E27" s="184" t="n">
        <v>29384.38</v>
      </c>
      <c r="F27" s="184" t="n">
        <v>30624.71</v>
      </c>
      <c r="G27" s="184" t="n">
        <v>30004.54</v>
      </c>
    </row>
    <row r="28">
      <c r="A28" s="194" t="inlineStr">
        <is>
          <t>2026-09-17 18:00:00</t>
        </is>
      </c>
      <c r="B28" s="194" t="inlineStr">
        <is>
          <t>GBP</t>
        </is>
      </c>
      <c r="C28" s="194" t="inlineStr">
        <is>
          <t>POUND STERLING</t>
        </is>
      </c>
      <c r="D28" s="195" t="n">
        <v>33957.55</v>
      </c>
      <c r="E28" s="195" t="n">
        <v>34300.56</v>
      </c>
      <c r="F28" s="195" t="n">
        <v>35399.63</v>
      </c>
      <c r="G28" s="195" t="n">
        <v>34850.1</v>
      </c>
    </row>
    <row r="29">
      <c r="A29" s="196" t="inlineStr">
        <is>
          <t>2026-09-17 18:00:00</t>
        </is>
      </c>
      <c r="B29" s="196" t="inlineStr">
        <is>
          <t>HKD</t>
        </is>
      </c>
      <c r="C29" s="196" t="inlineStr">
        <is>
          <t>HONGKONG DOLLAR</t>
        </is>
      </c>
      <c r="D29" s="184" t="n">
        <v>3222.6</v>
      </c>
      <c r="E29" s="184" t="n">
        <v>3255.15</v>
      </c>
      <c r="F29" s="184" t="n">
        <v>3379.68</v>
      </c>
      <c r="G29" s="184" t="n">
        <v>3317.42</v>
      </c>
    </row>
    <row r="30">
      <c r="A30" s="194" t="inlineStr">
        <is>
          <t>2026-09-17 18:00:00</t>
        </is>
      </c>
      <c r="B30" s="194" t="inlineStr">
        <is>
          <t>INR</t>
        </is>
      </c>
      <c r="C30" s="194" t="inlineStr">
        <is>
          <t>INDIAN RUPEE</t>
        </is>
      </c>
      <c r="D30" s="195" t="n"/>
      <c r="E30" s="195" t="n">
        <v>269.64</v>
      </c>
      <c r="F30" s="195" t="n">
        <v>281.25</v>
      </c>
      <c r="G30" s="195" t="n">
        <v>275.44</v>
      </c>
    </row>
    <row r="31">
      <c r="A31" s="196" t="inlineStr">
        <is>
          <t>2026-09-17 18:00:00</t>
        </is>
      </c>
      <c r="B31" s="196" t="inlineStr">
        <is>
          <t>JPY</t>
        </is>
      </c>
      <c r="C31" s="196" t="inlineStr">
        <is>
          <t>YEN</t>
        </is>
      </c>
      <c r="D31" s="184" t="n">
        <v>161.31</v>
      </c>
      <c r="E31" s="184" t="n">
        <v>162.94</v>
      </c>
      <c r="F31" s="184" t="n">
        <v>172.44</v>
      </c>
      <c r="G31" s="184" t="n">
        <v>167.69</v>
      </c>
    </row>
    <row r="32">
      <c r="A32" s="194" t="inlineStr">
        <is>
          <t>2026-09-17 18:00:00</t>
        </is>
      </c>
      <c r="B32" s="194" t="inlineStr">
        <is>
          <t>KRW</t>
        </is>
      </c>
      <c r="C32" s="194" t="inlineStr">
        <is>
          <t>KOREAN WON</t>
        </is>
      </c>
      <c r="D32" s="195" t="n">
        <v>16.25</v>
      </c>
      <c r="E32" s="195" t="n">
        <v>18.05</v>
      </c>
      <c r="F32" s="195" t="n">
        <v>19.59</v>
      </c>
      <c r="G32" s="195" t="n">
        <v>18.82</v>
      </c>
    </row>
    <row r="33">
      <c r="A33" s="196" t="inlineStr">
        <is>
          <t>2026-09-17 18:00:00</t>
        </is>
      </c>
      <c r="B33" s="196" t="inlineStr">
        <is>
          <t>KWD</t>
        </is>
      </c>
      <c r="C33" s="196" t="inlineStr">
        <is>
          <t>KUWAITI DINAR</t>
        </is>
      </c>
      <c r="D33" s="184" t="n"/>
      <c r="E33" s="184" t="n">
        <v>84170.75</v>
      </c>
      <c r="F33" s="184" t="n">
        <v>88251.84</v>
      </c>
      <c r="G33" s="184" t="n">
        <v>86211.3</v>
      </c>
    </row>
    <row r="34">
      <c r="A34" s="194" t="inlineStr">
        <is>
          <t>2026-09-17 18:00:00</t>
        </is>
      </c>
      <c r="B34" s="194" t="inlineStr">
        <is>
          <t>MYR</t>
        </is>
      </c>
      <c r="C34" s="194" t="inlineStr">
        <is>
          <t>MALAYSIAN RINGGIT</t>
        </is>
      </c>
      <c r="D34" s="195" t="n"/>
      <c r="E34" s="195" t="n">
        <v>6282.07</v>
      </c>
      <c r="F34" s="195" t="n">
        <v>6418.84</v>
      </c>
      <c r="G34" s="195" t="n">
        <v>6350.46</v>
      </c>
    </row>
    <row r="35">
      <c r="A35" s="196" t="inlineStr">
        <is>
          <t>2026-09-17 18:00:00</t>
        </is>
      </c>
      <c r="B35" s="196" t="inlineStr">
        <is>
          <t>NOK</t>
        </is>
      </c>
      <c r="C35" s="196" t="inlineStr">
        <is>
          <t>NORWEGIAN KRONER</t>
        </is>
      </c>
      <c r="D35" s="184" t="n"/>
      <c r="E35" s="184" t="n">
        <v>2706.11</v>
      </c>
      <c r="F35" s="184" t="n">
        <v>2820.89</v>
      </c>
      <c r="G35" s="184" t="n">
        <v>2763.5</v>
      </c>
    </row>
    <row r="36">
      <c r="A36" s="194" t="inlineStr">
        <is>
          <t>2026-09-17 18:00:00</t>
        </is>
      </c>
      <c r="B36" s="194" t="inlineStr">
        <is>
          <t>RUB</t>
        </is>
      </c>
      <c r="C36" s="194" t="inlineStr">
        <is>
          <t>RUSSIAN RUBLE</t>
        </is>
      </c>
      <c r="D36" s="195" t="n"/>
      <c r="E36" s="195" t="n">
        <v>293.37</v>
      </c>
      <c r="F36" s="195" t="n">
        <v>324.75</v>
      </c>
      <c r="G36" s="195" t="n">
        <v>309.06</v>
      </c>
    </row>
    <row r="37">
      <c r="A37" s="196" t="inlineStr">
        <is>
          <t>2026-09-17 18:00:00</t>
        </is>
      </c>
      <c r="B37" s="196" t="inlineStr">
        <is>
          <t>SAR</t>
        </is>
      </c>
      <c r="C37" s="196" t="inlineStr">
        <is>
          <t>SAUDI RIAL</t>
        </is>
      </c>
      <c r="D37" s="184" t="n"/>
      <c r="E37" s="184" t="n">
        <v>6885.76</v>
      </c>
      <c r="F37" s="184" t="n">
        <v>7182.22</v>
      </c>
      <c r="G37" s="184" t="n">
        <v>7033.99</v>
      </c>
    </row>
    <row r="38">
      <c r="A38" s="194" t="inlineStr">
        <is>
          <t>2026-09-17 18:00:00</t>
        </is>
      </c>
      <c r="B38" s="194" t="inlineStr">
        <is>
          <t>SEK</t>
        </is>
      </c>
      <c r="C38" s="194" t="inlineStr">
        <is>
          <t>SWEDISH KRONA</t>
        </is>
      </c>
      <c r="D38" s="195" t="n"/>
      <c r="E38" s="195" t="n">
        <v>2596.33</v>
      </c>
      <c r="F38" s="195" t="n">
        <v>2706.46</v>
      </c>
      <c r="G38" s="195" t="n">
        <v>2651.4</v>
      </c>
    </row>
    <row r="39">
      <c r="A39" s="196" t="inlineStr">
        <is>
          <t>2026-09-17 18:00:00</t>
        </is>
      </c>
      <c r="B39" s="196" t="inlineStr">
        <is>
          <t>SGD</t>
        </is>
      </c>
      <c r="C39" s="196" t="inlineStr">
        <is>
          <t>SINGAPORE DOLLAR</t>
        </is>
      </c>
      <c r="D39" s="184" t="n">
        <v>19855.59</v>
      </c>
      <c r="E39" s="184" t="n">
        <v>20056.15</v>
      </c>
      <c r="F39" s="184" t="n">
        <v>20740.25</v>
      </c>
      <c r="G39" s="184" t="n">
        <v>20398.2</v>
      </c>
    </row>
    <row r="40">
      <c r="A40" s="194" t="inlineStr">
        <is>
          <t>2026-09-17 18:00:00</t>
        </is>
      </c>
      <c r="B40" s="194" t="inlineStr">
        <is>
          <t>THB</t>
        </is>
      </c>
      <c r="C40" s="194" t="inlineStr">
        <is>
          <t>THAILAND BAHT</t>
        </is>
      </c>
      <c r="D40" s="195" t="n">
        <v>687.76</v>
      </c>
      <c r="E40" s="195" t="n">
        <v>764.1799999999999</v>
      </c>
      <c r="F40" s="195" t="n">
        <v>796.59</v>
      </c>
      <c r="G40" s="195" t="n">
        <v>780.38</v>
      </c>
    </row>
    <row r="41">
      <c r="A41" s="196" t="inlineStr">
        <is>
          <t>2026-09-17 18:00:00</t>
        </is>
      </c>
      <c r="B41" s="196" t="inlineStr">
        <is>
          <t>USD</t>
        </is>
      </c>
      <c r="C41" s="196" t="inlineStr">
        <is>
          <t>US DOLLAR</t>
        </is>
      </c>
      <c r="D41" s="184" t="n">
        <v>25795</v>
      </c>
      <c r="E41" s="184" t="n">
        <v>25825</v>
      </c>
      <c r="F41" s="184" t="n">
        <v>26205</v>
      </c>
      <c r="G41" s="184" t="n">
        <v>26015</v>
      </c>
    </row>
    <row r="42">
      <c r="A42" s="194" t="inlineStr">
        <is>
          <t>2026-09-16 23:01:10</t>
        </is>
      </c>
      <c r="B42" s="194" t="inlineStr">
        <is>
          <t>AUD</t>
        </is>
      </c>
      <c r="C42" s="194" t="inlineStr">
        <is>
          <t>AUSTRALIAN DOLLAR</t>
        </is>
      </c>
      <c r="D42" s="195" t="n">
        <v>18064.07</v>
      </c>
      <c r="E42" s="195" t="n">
        <v>18246.53</v>
      </c>
      <c r="F42" s="195" t="n">
        <v>18831.23</v>
      </c>
      <c r="G42" s="195" t="n">
        <v>18538.88</v>
      </c>
    </row>
    <row r="43">
      <c r="A43" s="196" t="inlineStr">
        <is>
          <t>2026-09-16 23:01:10</t>
        </is>
      </c>
      <c r="B43" s="196" t="inlineStr">
        <is>
          <t>CAD</t>
        </is>
      </c>
      <c r="C43" s="196" t="inlineStr">
        <is>
          <t>CANADIAN DOLLAR</t>
        </is>
      </c>
      <c r="D43" s="184" t="n">
        <v>18181.41</v>
      </c>
      <c r="E43" s="184" t="n">
        <v>18365.06</v>
      </c>
      <c r="F43" s="184" t="n">
        <v>18953.55</v>
      </c>
      <c r="G43" s="184" t="n">
        <v>18659.3</v>
      </c>
    </row>
    <row r="44">
      <c r="A44" s="194" t="inlineStr">
        <is>
          <t>2026-09-16 23:01:10</t>
        </is>
      </c>
      <c r="B44" s="194" t="inlineStr">
        <is>
          <t>CHF</t>
        </is>
      </c>
      <c r="C44" s="194" t="inlineStr">
        <is>
          <t>SWISS FRANC</t>
        </is>
      </c>
      <c r="D44" s="195" t="n">
        <v>30951.06</v>
      </c>
      <c r="E44" s="195" t="n">
        <v>31263.69</v>
      </c>
      <c r="F44" s="195" t="n">
        <v>32265.51</v>
      </c>
      <c r="G44" s="195" t="n">
        <v>31764.6</v>
      </c>
    </row>
    <row r="45">
      <c r="A45" s="196" t="inlineStr">
        <is>
          <t>2026-09-16 23:01:10</t>
        </is>
      </c>
      <c r="B45" s="196" t="inlineStr">
        <is>
          <t>CNY</t>
        </is>
      </c>
      <c r="C45" s="196" t="inlineStr">
        <is>
          <t>YUAN RENMINBI</t>
        </is>
      </c>
      <c r="D45" s="184" t="n">
        <v>3777.49</v>
      </c>
      <c r="E45" s="184" t="n">
        <v>3815.65</v>
      </c>
      <c r="F45" s="184" t="n">
        <v>3937.92</v>
      </c>
      <c r="G45" s="184" t="n">
        <v>3876.78</v>
      </c>
    </row>
    <row r="46">
      <c r="A46" s="194" t="inlineStr">
        <is>
          <t>2026-09-16 23:01:10</t>
        </is>
      </c>
      <c r="B46" s="194" t="inlineStr">
        <is>
          <t>DKK</t>
        </is>
      </c>
      <c r="C46" s="194" t="inlineStr">
        <is>
          <t>DANISH KRONE</t>
        </is>
      </c>
      <c r="D46" s="195" t="n"/>
      <c r="E46" s="195" t="n">
        <v>3943.67</v>
      </c>
      <c r="F46" s="195" t="n">
        <v>4094.54</v>
      </c>
      <c r="G46" s="195" t="n">
        <v>4019.1</v>
      </c>
    </row>
    <row r="47">
      <c r="A47" s="196" t="inlineStr">
        <is>
          <t>2026-09-16 23:01:10</t>
        </is>
      </c>
      <c r="B47" s="196" t="inlineStr">
        <is>
          <t>EUR</t>
        </is>
      </c>
      <c r="C47" s="196" t="inlineStr">
        <is>
          <t>EURO</t>
        </is>
      </c>
      <c r="D47" s="184" t="n">
        <v>29262.63</v>
      </c>
      <c r="E47" s="184" t="n">
        <v>29558.21</v>
      </c>
      <c r="F47" s="184" t="n">
        <v>30805.92</v>
      </c>
      <c r="G47" s="184" t="n">
        <v>30182.06</v>
      </c>
    </row>
    <row r="48">
      <c r="A48" s="194" t="inlineStr">
        <is>
          <t>2026-09-16 23:01:10</t>
        </is>
      </c>
      <c r="B48" s="194" t="inlineStr">
        <is>
          <t>GBP</t>
        </is>
      </c>
      <c r="C48" s="194" t="inlineStr">
        <is>
          <t>POUND STERLING</t>
        </is>
      </c>
      <c r="D48" s="195" t="n">
        <v>34142.69</v>
      </c>
      <c r="E48" s="195" t="n">
        <v>34487.56</v>
      </c>
      <c r="F48" s="195" t="n">
        <v>35592.68</v>
      </c>
      <c r="G48" s="195" t="n">
        <v>35040.12</v>
      </c>
    </row>
    <row r="49">
      <c r="A49" s="196" t="inlineStr">
        <is>
          <t>2026-09-16 23:01:10</t>
        </is>
      </c>
      <c r="B49" s="196" t="inlineStr">
        <is>
          <t>HKD</t>
        </is>
      </c>
      <c r="C49" s="196" t="inlineStr">
        <is>
          <t>HONGKONG DOLLAR</t>
        </is>
      </c>
      <c r="D49" s="184" t="n">
        <v>3219.87</v>
      </c>
      <c r="E49" s="184" t="n">
        <v>3252.39</v>
      </c>
      <c r="F49" s="184" t="n">
        <v>3376.82</v>
      </c>
      <c r="G49" s="184" t="n">
        <v>3314.6</v>
      </c>
    </row>
    <row r="50">
      <c r="A50" s="194" t="inlineStr">
        <is>
          <t>2026-09-16 23:01:10</t>
        </is>
      </c>
      <c r="B50" s="194" t="inlineStr">
        <is>
          <t>INR</t>
        </is>
      </c>
      <c r="C50" s="194" t="inlineStr">
        <is>
          <t>INDIAN RUPEE</t>
        </is>
      </c>
      <c r="D50" s="195" t="n"/>
      <c r="E50" s="195" t="n">
        <v>269.34</v>
      </c>
      <c r="F50" s="195" t="n">
        <v>280.94</v>
      </c>
      <c r="G50" s="195" t="n">
        <v>275.14</v>
      </c>
    </row>
    <row r="51">
      <c r="A51" s="196" t="inlineStr">
        <is>
          <t>2026-09-16 23:01:10</t>
        </is>
      </c>
      <c r="B51" s="196" t="inlineStr">
        <is>
          <t>JPY</t>
        </is>
      </c>
      <c r="C51" s="196" t="inlineStr">
        <is>
          <t>YEN</t>
        </is>
      </c>
      <c r="D51" s="184" t="n">
        <v>161.91</v>
      </c>
      <c r="E51" s="184" t="n">
        <v>163.55</v>
      </c>
      <c r="F51" s="184" t="n">
        <v>173.09</v>
      </c>
      <c r="G51" s="184" t="n">
        <v>168.32</v>
      </c>
    </row>
    <row r="52">
      <c r="A52" s="194" t="inlineStr">
        <is>
          <t>2026-09-16 23:01:10</t>
        </is>
      </c>
      <c r="B52" s="194" t="inlineStr">
        <is>
          <t>KRW</t>
        </is>
      </c>
      <c r="C52" s="194" t="inlineStr">
        <is>
          <t>KOREAN WON</t>
        </is>
      </c>
      <c r="D52" s="195" t="n">
        <v>16.46</v>
      </c>
      <c r="E52" s="195" t="n">
        <v>18.29</v>
      </c>
      <c r="F52" s="195" t="n">
        <v>19.85</v>
      </c>
      <c r="G52" s="195" t="n">
        <v>19.07</v>
      </c>
    </row>
    <row r="53">
      <c r="A53" s="196" t="inlineStr">
        <is>
          <t>2026-09-16 23:01:10</t>
        </is>
      </c>
      <c r="B53" s="196" t="inlineStr">
        <is>
          <t>KWD</t>
        </is>
      </c>
      <c r="C53" s="196" t="inlineStr">
        <is>
          <t>KUWAITI DINAR</t>
        </is>
      </c>
      <c r="D53" s="184" t="n"/>
      <c r="E53" s="184" t="n">
        <v>84171.97</v>
      </c>
      <c r="F53" s="184" t="n">
        <v>88253.25999999999</v>
      </c>
      <c r="G53" s="184" t="n">
        <v>86212.62</v>
      </c>
    </row>
    <row r="54">
      <c r="A54" s="194" t="inlineStr">
        <is>
          <t>2026-09-16 23:01:10</t>
        </is>
      </c>
      <c r="B54" s="194" t="inlineStr">
        <is>
          <t>MYR</t>
        </is>
      </c>
      <c r="C54" s="194" t="inlineStr">
        <is>
          <t>MALAYSIAN RINGGIT</t>
        </is>
      </c>
      <c r="D54" s="195" t="n"/>
      <c r="E54" s="195" t="n">
        <v>6298.32</v>
      </c>
      <c r="F54" s="195" t="n">
        <v>6435.45</v>
      </c>
      <c r="G54" s="195" t="n">
        <v>6366.88</v>
      </c>
    </row>
    <row r="55">
      <c r="A55" s="196" t="inlineStr">
        <is>
          <t>2026-09-16 23:01:10</t>
        </is>
      </c>
      <c r="B55" s="196" t="inlineStr">
        <is>
          <t>NOK</t>
        </is>
      </c>
      <c r="C55" s="196" t="inlineStr">
        <is>
          <t>NORWEGIAN KRONER</t>
        </is>
      </c>
      <c r="D55" s="184" t="n"/>
      <c r="E55" s="184" t="n">
        <v>2726.26</v>
      </c>
      <c r="F55" s="184" t="n">
        <v>2841.9</v>
      </c>
      <c r="G55" s="184" t="n">
        <v>2784.08</v>
      </c>
    </row>
    <row r="56">
      <c r="A56" s="194" t="inlineStr">
        <is>
          <t>2026-09-16 23:01:10</t>
        </is>
      </c>
      <c r="B56" s="194" t="inlineStr">
        <is>
          <t>RUB</t>
        </is>
      </c>
      <c r="C56" s="194" t="inlineStr">
        <is>
          <t>RUSSIAN RUBLE</t>
        </is>
      </c>
      <c r="D56" s="195" t="n"/>
      <c r="E56" s="195" t="n">
        <v>294.01</v>
      </c>
      <c r="F56" s="195" t="n">
        <v>325.46</v>
      </c>
      <c r="G56" s="195" t="n">
        <v>309.74</v>
      </c>
    </row>
    <row r="57">
      <c r="A57" s="196" t="inlineStr">
        <is>
          <t>2026-09-16 23:01:10</t>
        </is>
      </c>
      <c r="B57" s="196" t="inlineStr">
        <is>
          <t>SAR</t>
        </is>
      </c>
      <c r="C57" s="196" t="inlineStr">
        <is>
          <t>SAUDI RIAL</t>
        </is>
      </c>
      <c r="D57" s="184" t="n"/>
      <c r="E57" s="184" t="n">
        <v>6880.42</v>
      </c>
      <c r="F57" s="184" t="n">
        <v>7176.66</v>
      </c>
      <c r="G57" s="184" t="n">
        <v>7028.54</v>
      </c>
    </row>
    <row r="58">
      <c r="A58" s="194" t="inlineStr">
        <is>
          <t>2026-09-16 23:01:10</t>
        </is>
      </c>
      <c r="B58" s="194" t="inlineStr">
        <is>
          <t>SEK</t>
        </is>
      </c>
      <c r="C58" s="194" t="inlineStr">
        <is>
          <t>SWEDISH KRONA</t>
        </is>
      </c>
      <c r="D58" s="195" t="n"/>
      <c r="E58" s="195" t="n">
        <v>2606.28</v>
      </c>
      <c r="F58" s="195" t="n">
        <v>2716.84</v>
      </c>
      <c r="G58" s="195" t="n">
        <v>2661.56</v>
      </c>
    </row>
    <row r="59">
      <c r="A59" s="196" t="inlineStr">
        <is>
          <t>2026-09-16 23:01:10</t>
        </is>
      </c>
      <c r="B59" s="196" t="inlineStr">
        <is>
          <t>SGD</t>
        </is>
      </c>
      <c r="C59" s="196" t="inlineStr">
        <is>
          <t>SINGAPORE DOLLAR</t>
        </is>
      </c>
      <c r="D59" s="184" t="n">
        <v>19894.19</v>
      </c>
      <c r="E59" s="184" t="n">
        <v>20095.14</v>
      </c>
      <c r="F59" s="184" t="n">
        <v>20780.6</v>
      </c>
      <c r="G59" s="184" t="n">
        <v>20437.87</v>
      </c>
    </row>
    <row r="60">
      <c r="A60" s="194" t="inlineStr">
        <is>
          <t>2026-09-16 23:01:10</t>
        </is>
      </c>
      <c r="B60" s="194" t="inlineStr">
        <is>
          <t>THB</t>
        </is>
      </c>
      <c r="C60" s="194" t="inlineStr">
        <is>
          <t>THAILAND BAHT</t>
        </is>
      </c>
      <c r="D60" s="195" t="n">
        <v>689.79</v>
      </c>
      <c r="E60" s="195" t="n">
        <v>766.4299999999999</v>
      </c>
      <c r="F60" s="195" t="n">
        <v>798.9400000000001</v>
      </c>
      <c r="G60" s="195" t="n">
        <v>782.6799999999999</v>
      </c>
    </row>
    <row r="61">
      <c r="A61" s="196" t="inlineStr">
        <is>
          <t>2026-09-16 23:01:10</t>
        </is>
      </c>
      <c r="B61" s="196" t="inlineStr">
        <is>
          <t>USD</t>
        </is>
      </c>
      <c r="C61" s="196" t="inlineStr">
        <is>
          <t>US DOLLAR</t>
        </is>
      </c>
      <c r="D61" s="184" t="n">
        <v>25770</v>
      </c>
      <c r="E61" s="184" t="n">
        <v>25800</v>
      </c>
      <c r="F61" s="184" t="n">
        <v>26180</v>
      </c>
      <c r="G61" s="184" t="n">
        <v>25990</v>
      </c>
    </row>
    <row r="62">
      <c r="A62" s="194" t="inlineStr">
        <is>
          <t>2026-09-15 23:00:08</t>
        </is>
      </c>
      <c r="B62" s="194" t="inlineStr">
        <is>
          <t>AUD</t>
        </is>
      </c>
      <c r="C62" s="194" t="inlineStr">
        <is>
          <t>AUSTRALIAN DOLLAR</t>
        </is>
      </c>
      <c r="D62" s="195" t="n">
        <v>17996.43</v>
      </c>
      <c r="E62" s="195" t="n">
        <v>18178.21</v>
      </c>
      <c r="F62" s="195" t="n">
        <v>18760.77</v>
      </c>
      <c r="G62" s="195" t="n">
        <v>18469.49</v>
      </c>
    </row>
    <row r="63">
      <c r="A63" s="196" t="inlineStr">
        <is>
          <t>2026-09-15 23:00:08</t>
        </is>
      </c>
      <c r="B63" s="196" t="inlineStr">
        <is>
          <t>CAD</t>
        </is>
      </c>
      <c r="C63" s="196" t="inlineStr">
        <is>
          <t>CANADIAN DOLLAR</t>
        </is>
      </c>
      <c r="D63" s="184" t="n">
        <v>18189.49</v>
      </c>
      <c r="E63" s="184" t="n">
        <v>18373.23</v>
      </c>
      <c r="F63" s="184" t="n">
        <v>18962.03</v>
      </c>
      <c r="G63" s="184" t="n">
        <v>18667.63</v>
      </c>
    </row>
    <row r="64">
      <c r="A64" s="194" t="inlineStr">
        <is>
          <t>2026-09-15 23:00:08</t>
        </is>
      </c>
      <c r="B64" s="194" t="inlineStr">
        <is>
          <t>CHF</t>
        </is>
      </c>
      <c r="C64" s="194" t="inlineStr">
        <is>
          <t>SWISS FRANC</t>
        </is>
      </c>
      <c r="D64" s="195" t="n">
        <v>30925.48</v>
      </c>
      <c r="E64" s="195" t="n">
        <v>31237.85</v>
      </c>
      <c r="F64" s="195" t="n">
        <v>32238.94</v>
      </c>
      <c r="G64" s="195" t="n">
        <v>31738.39</v>
      </c>
    </row>
    <row r="65">
      <c r="A65" s="196" t="inlineStr">
        <is>
          <t>2026-09-15 23:00:08</t>
        </is>
      </c>
      <c r="B65" s="196" t="inlineStr">
        <is>
          <t>CNY</t>
        </is>
      </c>
      <c r="C65" s="196" t="inlineStr">
        <is>
          <t>YUAN RENMINBI</t>
        </is>
      </c>
      <c r="D65" s="184" t="n">
        <v>3766.46</v>
      </c>
      <c r="E65" s="184" t="n">
        <v>3804.5</v>
      </c>
      <c r="F65" s="184" t="n">
        <v>3926.42</v>
      </c>
      <c r="G65" s="184" t="n">
        <v>3865.46</v>
      </c>
    </row>
    <row r="66">
      <c r="A66" s="194" t="inlineStr">
        <is>
          <t>2026-09-15 23:00:08</t>
        </is>
      </c>
      <c r="B66" s="194" t="inlineStr">
        <is>
          <t>DKK</t>
        </is>
      </c>
      <c r="C66" s="194" t="inlineStr">
        <is>
          <t>DANISH KRONE</t>
        </is>
      </c>
      <c r="D66" s="195" t="n"/>
      <c r="E66" s="195" t="n">
        <v>3930.24</v>
      </c>
      <c r="F66" s="195" t="n">
        <v>4080.61</v>
      </c>
      <c r="G66" s="195" t="n">
        <v>4005.42</v>
      </c>
    </row>
    <row r="67">
      <c r="A67" s="196" t="inlineStr">
        <is>
          <t>2026-09-15 23:00:08</t>
        </is>
      </c>
      <c r="B67" s="196" t="inlineStr">
        <is>
          <t>EUR</t>
        </is>
      </c>
      <c r="C67" s="196" t="inlineStr">
        <is>
          <t>EURO</t>
        </is>
      </c>
      <c r="D67" s="184" t="n">
        <v>29163.32</v>
      </c>
      <c r="E67" s="184" t="n">
        <v>29457.9</v>
      </c>
      <c r="F67" s="184" t="n">
        <v>30701.46</v>
      </c>
      <c r="G67" s="184" t="n">
        <v>30079.68</v>
      </c>
    </row>
    <row r="68">
      <c r="A68" s="194" t="inlineStr">
        <is>
          <t>2026-09-15 23:00:08</t>
        </is>
      </c>
      <c r="B68" s="194" t="inlineStr">
        <is>
          <t>GBP</t>
        </is>
      </c>
      <c r="C68" s="194" t="inlineStr">
        <is>
          <t>POUND STERLING</t>
        </is>
      </c>
      <c r="D68" s="195" t="n">
        <v>34049.15</v>
      </c>
      <c r="E68" s="195" t="n">
        <v>34393.08</v>
      </c>
      <c r="F68" s="195" t="n">
        <v>35495.28</v>
      </c>
      <c r="G68" s="195" t="n">
        <v>34944.18</v>
      </c>
    </row>
    <row r="69">
      <c r="A69" s="196" t="inlineStr">
        <is>
          <t>2026-09-15 23:00:08</t>
        </is>
      </c>
      <c r="B69" s="196" t="inlineStr">
        <is>
          <t>HKD</t>
        </is>
      </c>
      <c r="C69" s="196" t="inlineStr">
        <is>
          <t>HONGKONG DOLLAR</t>
        </is>
      </c>
      <c r="D69" s="184" t="n">
        <v>3213.71</v>
      </c>
      <c r="E69" s="184" t="n">
        <v>3246.17</v>
      </c>
      <c r="F69" s="184" t="n">
        <v>3370.37</v>
      </c>
      <c r="G69" s="184" t="n">
        <v>3308.27</v>
      </c>
    </row>
    <row r="70">
      <c r="A70" s="194" t="inlineStr">
        <is>
          <t>2026-09-15 23:00:08</t>
        </is>
      </c>
      <c r="B70" s="194" t="inlineStr">
        <is>
          <t>INR</t>
        </is>
      </c>
      <c r="C70" s="194" t="inlineStr">
        <is>
          <t>INDIAN RUPEE</t>
        </is>
      </c>
      <c r="D70" s="195" t="n"/>
      <c r="E70" s="195" t="n">
        <v>268.94</v>
      </c>
      <c r="F70" s="195" t="n">
        <v>280.52</v>
      </c>
      <c r="G70" s="195" t="n">
        <v>274.73</v>
      </c>
    </row>
    <row r="71">
      <c r="A71" s="196" t="inlineStr">
        <is>
          <t>2026-09-15 23:00:08</t>
        </is>
      </c>
      <c r="B71" s="196" t="inlineStr">
        <is>
          <t>JPY</t>
        </is>
      </c>
      <c r="C71" s="196" t="inlineStr">
        <is>
          <t>YEN</t>
        </is>
      </c>
      <c r="D71" s="184" t="n">
        <v>161.66</v>
      </c>
      <c r="E71" s="184" t="n">
        <v>163.29</v>
      </c>
      <c r="F71" s="184" t="n">
        <v>172.82</v>
      </c>
      <c r="G71" s="184" t="n">
        <v>168.06</v>
      </c>
    </row>
    <row r="72">
      <c r="A72" s="194" t="inlineStr">
        <is>
          <t>2026-09-15 23:00:08</t>
        </is>
      </c>
      <c r="B72" s="194" t="inlineStr">
        <is>
          <t>KRW</t>
        </is>
      </c>
      <c r="C72" s="194" t="inlineStr">
        <is>
          <t>KOREAN WON</t>
        </is>
      </c>
      <c r="D72" s="195" t="n">
        <v>16.5</v>
      </c>
      <c r="E72" s="195" t="n">
        <v>18.34</v>
      </c>
      <c r="F72" s="195" t="n">
        <v>19.89</v>
      </c>
      <c r="G72" s="195" t="n">
        <v>19.12</v>
      </c>
    </row>
    <row r="73">
      <c r="A73" s="196" t="inlineStr">
        <is>
          <t>2026-09-15 23:00:08</t>
        </is>
      </c>
      <c r="B73" s="196" t="inlineStr">
        <is>
          <t>KWD</t>
        </is>
      </c>
      <c r="C73" s="196" t="inlineStr">
        <is>
          <t>KUWAITI DINAR</t>
        </is>
      </c>
      <c r="D73" s="184" t="n"/>
      <c r="E73" s="184" t="n">
        <v>84009.92</v>
      </c>
      <c r="F73" s="184" t="n">
        <v>88083.60000000001</v>
      </c>
      <c r="G73" s="184" t="n">
        <v>86046.75999999999</v>
      </c>
    </row>
    <row r="74">
      <c r="A74" s="194" t="inlineStr">
        <is>
          <t>2026-09-15 23:00:08</t>
        </is>
      </c>
      <c r="B74" s="194" t="inlineStr">
        <is>
          <t>MYR</t>
        </is>
      </c>
      <c r="C74" s="194" t="inlineStr">
        <is>
          <t>MALAYSIAN RINGGIT</t>
        </is>
      </c>
      <c r="D74" s="195" t="n"/>
      <c r="E74" s="195" t="n">
        <v>6290.81</v>
      </c>
      <c r="F74" s="195" t="n">
        <v>6427.8</v>
      </c>
      <c r="G74" s="195" t="n">
        <v>6359.3</v>
      </c>
    </row>
    <row r="75">
      <c r="A75" s="196" t="inlineStr">
        <is>
          <t>2026-09-15 23:00:08</t>
        </is>
      </c>
      <c r="B75" s="196" t="inlineStr">
        <is>
          <t>NOK</t>
        </is>
      </c>
      <c r="C75" s="196" t="inlineStr">
        <is>
          <t>NORWEGIAN KRONER</t>
        </is>
      </c>
      <c r="D75" s="184" t="n"/>
      <c r="E75" s="184" t="n">
        <v>2718.27</v>
      </c>
      <c r="F75" s="184" t="n">
        <v>2833.59</v>
      </c>
      <c r="G75" s="184" t="n">
        <v>2775.93</v>
      </c>
    </row>
    <row r="76">
      <c r="A76" s="194" t="inlineStr">
        <is>
          <t>2026-09-15 23:00:08</t>
        </is>
      </c>
      <c r="B76" s="194" t="inlineStr">
        <is>
          <t>RUB</t>
        </is>
      </c>
      <c r="C76" s="194" t="inlineStr">
        <is>
          <t>RUSSIAN RUBLE</t>
        </is>
      </c>
      <c r="D76" s="195" t="n"/>
      <c r="E76" s="195" t="n">
        <v>292.34</v>
      </c>
      <c r="F76" s="195" t="n">
        <v>323.62</v>
      </c>
      <c r="G76" s="195" t="n">
        <v>307.98</v>
      </c>
    </row>
    <row r="77">
      <c r="A77" s="196" t="inlineStr">
        <is>
          <t>2026-09-15 23:00:08</t>
        </is>
      </c>
      <c r="B77" s="196" t="inlineStr">
        <is>
          <t>SAR</t>
        </is>
      </c>
      <c r="C77" s="196" t="inlineStr">
        <is>
          <t>SAUDI RIAL</t>
        </is>
      </c>
      <c r="D77" s="184" t="n"/>
      <c r="E77" s="184" t="n">
        <v>6866.26</v>
      </c>
      <c r="F77" s="184" t="n">
        <v>7161.91</v>
      </c>
      <c r="G77" s="184" t="n">
        <v>7014.08</v>
      </c>
    </row>
    <row r="78">
      <c r="A78" s="194" t="inlineStr">
        <is>
          <t>2026-09-15 23:00:08</t>
        </is>
      </c>
      <c r="B78" s="194" t="inlineStr">
        <is>
          <t>SEK</t>
        </is>
      </c>
      <c r="C78" s="194" t="inlineStr">
        <is>
          <t>SWEDISH KRONA</t>
        </is>
      </c>
      <c r="D78" s="195" t="n"/>
      <c r="E78" s="195" t="n">
        <v>2598.66</v>
      </c>
      <c r="F78" s="195" t="n">
        <v>2708.9</v>
      </c>
      <c r="G78" s="195" t="n">
        <v>2653.78</v>
      </c>
    </row>
    <row r="79">
      <c r="A79" s="196" t="inlineStr">
        <is>
          <t>2026-09-15 23:00:08</t>
        </is>
      </c>
      <c r="B79" s="196" t="inlineStr">
        <is>
          <t>SGD</t>
        </is>
      </c>
      <c r="C79" s="196" t="inlineStr">
        <is>
          <t>SINGAPORE DOLLAR</t>
        </is>
      </c>
      <c r="D79" s="184" t="n">
        <v>19854.33</v>
      </c>
      <c r="E79" s="184" t="n">
        <v>20054.88</v>
      </c>
      <c r="F79" s="184" t="n">
        <v>20739.03</v>
      </c>
      <c r="G79" s="184" t="n">
        <v>20396.96</v>
      </c>
    </row>
    <row r="80">
      <c r="A80" s="194" t="inlineStr">
        <is>
          <t>2026-09-15 23:00:08</t>
        </is>
      </c>
      <c r="B80" s="194" t="inlineStr">
        <is>
          <t>THB</t>
        </is>
      </c>
      <c r="C80" s="194" t="inlineStr">
        <is>
          <t>THAILAND BAHT</t>
        </is>
      </c>
      <c r="D80" s="195" t="n">
        <v>687.63</v>
      </c>
      <c r="E80" s="195" t="n">
        <v>764.03</v>
      </c>
      <c r="F80" s="195" t="n">
        <v>796.45</v>
      </c>
      <c r="G80" s="195" t="n">
        <v>780.24</v>
      </c>
    </row>
    <row r="81">
      <c r="A81" s="196" t="inlineStr">
        <is>
          <t>2026-09-15 23:00:08</t>
        </is>
      </c>
      <c r="B81" s="196" t="inlineStr">
        <is>
          <t>USD</t>
        </is>
      </c>
      <c r="C81" s="196" t="inlineStr">
        <is>
          <t>US DOLLAR</t>
        </is>
      </c>
      <c r="D81" s="184" t="n">
        <v>25720</v>
      </c>
      <c r="E81" s="184" t="n">
        <v>25750</v>
      </c>
      <c r="F81" s="184" t="n">
        <v>26130</v>
      </c>
      <c r="G81" s="184" t="n">
        <v>25940</v>
      </c>
    </row>
    <row r="82">
      <c r="A82" s="194" t="inlineStr">
        <is>
          <t>2026-09-14 23:00:12</t>
        </is>
      </c>
      <c r="B82" s="194" t="inlineStr">
        <is>
          <t>AUD</t>
        </is>
      </c>
      <c r="C82" s="194" t="inlineStr">
        <is>
          <t>AUSTRALIAN DOLLAR</t>
        </is>
      </c>
      <c r="D82" s="195" t="n">
        <v>18074.2</v>
      </c>
      <c r="E82" s="195" t="n">
        <v>18256.77</v>
      </c>
      <c r="F82" s="195" t="n">
        <v>18841.79</v>
      </c>
      <c r="G82" s="195" t="n">
        <v>18549.28</v>
      </c>
    </row>
    <row r="83">
      <c r="A83" s="196" t="inlineStr">
        <is>
          <t>2026-09-14 23:00:12</t>
        </is>
      </c>
      <c r="B83" s="196" t="inlineStr">
        <is>
          <t>CAD</t>
        </is>
      </c>
      <c r="C83" s="196" t="inlineStr">
        <is>
          <t>CANADIAN DOLLAR</t>
        </is>
      </c>
      <c r="D83" s="184" t="n">
        <v>18256.1</v>
      </c>
      <c r="E83" s="184" t="n">
        <v>18440.51</v>
      </c>
      <c r="F83" s="184" t="n">
        <v>19031.42</v>
      </c>
      <c r="G83" s="184" t="n">
        <v>18735.96</v>
      </c>
    </row>
    <row r="84">
      <c r="A84" s="194" t="inlineStr">
        <is>
          <t>2026-09-14 23:00:12</t>
        </is>
      </c>
      <c r="B84" s="194" t="inlineStr">
        <is>
          <t>CHF</t>
        </is>
      </c>
      <c r="C84" s="194" t="inlineStr">
        <is>
          <t>SWISS FRANC</t>
        </is>
      </c>
      <c r="D84" s="195" t="n">
        <v>30951.06</v>
      </c>
      <c r="E84" s="195" t="n">
        <v>31263.69</v>
      </c>
      <c r="F84" s="195" t="n">
        <v>32265.51</v>
      </c>
      <c r="G84" s="195" t="n">
        <v>31764.6</v>
      </c>
    </row>
    <row r="85">
      <c r="A85" s="196" t="inlineStr">
        <is>
          <t>2026-09-14 23:00:12</t>
        </is>
      </c>
      <c r="B85" s="196" t="inlineStr">
        <is>
          <t>CNY</t>
        </is>
      </c>
      <c r="C85" s="196" t="inlineStr">
        <is>
          <t>YUAN RENMINBI</t>
        </is>
      </c>
      <c r="D85" s="184" t="n">
        <v>3776.53</v>
      </c>
      <c r="E85" s="184" t="n">
        <v>3814.68</v>
      </c>
      <c r="F85" s="184" t="n">
        <v>3936.92</v>
      </c>
      <c r="G85" s="184" t="n">
        <v>3875.8</v>
      </c>
    </row>
    <row r="86">
      <c r="A86" s="194" t="inlineStr">
        <is>
          <t>2026-09-14 23:00:12</t>
        </is>
      </c>
      <c r="B86" s="194" t="inlineStr">
        <is>
          <t>DKK</t>
        </is>
      </c>
      <c r="C86" s="194" t="inlineStr">
        <is>
          <t>DANISH KRONE</t>
        </is>
      </c>
      <c r="D86" s="195" t="n"/>
      <c r="E86" s="195" t="n">
        <v>3943.36</v>
      </c>
      <c r="F86" s="195" t="n">
        <v>4094.22</v>
      </c>
      <c r="G86" s="195" t="n">
        <v>4018.79</v>
      </c>
    </row>
    <row r="87">
      <c r="A87" s="196" t="inlineStr">
        <is>
          <t>2026-09-14 23:00:12</t>
        </is>
      </c>
      <c r="B87" s="196" t="inlineStr">
        <is>
          <t>EUR</t>
        </is>
      </c>
      <c r="C87" s="196" t="inlineStr">
        <is>
          <t>EURO</t>
        </is>
      </c>
      <c r="D87" s="184" t="n">
        <v>29257.56</v>
      </c>
      <c r="E87" s="184" t="n">
        <v>29553.09</v>
      </c>
      <c r="F87" s="184" t="n">
        <v>30800.59</v>
      </c>
      <c r="G87" s="184" t="n">
        <v>30176.84</v>
      </c>
    </row>
    <row r="88">
      <c r="A88" s="194" t="inlineStr">
        <is>
          <t>2026-09-14 23:00:12</t>
        </is>
      </c>
      <c r="B88" s="194" t="inlineStr">
        <is>
          <t>GBP</t>
        </is>
      </c>
      <c r="C88" s="194" t="inlineStr">
        <is>
          <t>POUND STERLING</t>
        </is>
      </c>
      <c r="D88" s="195" t="n">
        <v>34170.54</v>
      </c>
      <c r="E88" s="195" t="n">
        <v>34515.7</v>
      </c>
      <c r="F88" s="195" t="n">
        <v>35621.72</v>
      </c>
      <c r="G88" s="195" t="n">
        <v>35068.71</v>
      </c>
    </row>
    <row r="89">
      <c r="A89" s="196" t="inlineStr">
        <is>
          <t>2026-09-14 23:00:12</t>
        </is>
      </c>
      <c r="B89" s="196" t="inlineStr">
        <is>
          <t>HKD</t>
        </is>
      </c>
      <c r="C89" s="196" t="inlineStr">
        <is>
          <t>HONGKONG DOLLAR</t>
        </is>
      </c>
      <c r="D89" s="184" t="n">
        <v>3220.2</v>
      </c>
      <c r="E89" s="184" t="n">
        <v>3252.73</v>
      </c>
      <c r="F89" s="184" t="n">
        <v>3377.16</v>
      </c>
      <c r="G89" s="184" t="n">
        <v>3314.94</v>
      </c>
    </row>
    <row r="90">
      <c r="A90" s="194" t="inlineStr">
        <is>
          <t>2026-09-14 23:00:12</t>
        </is>
      </c>
      <c r="B90" s="194" t="inlineStr">
        <is>
          <t>INR</t>
        </is>
      </c>
      <c r="C90" s="194" t="inlineStr">
        <is>
          <t>INDIAN RUPEE</t>
        </is>
      </c>
      <c r="D90" s="195" t="n"/>
      <c r="E90" s="195" t="n">
        <v>270.44</v>
      </c>
      <c r="F90" s="195" t="n">
        <v>282.09</v>
      </c>
      <c r="G90" s="195" t="n">
        <v>276.26</v>
      </c>
    </row>
    <row r="91">
      <c r="A91" s="196" t="inlineStr">
        <is>
          <t>2026-09-14 23:00:12</t>
        </is>
      </c>
      <c r="B91" s="196" t="inlineStr">
        <is>
          <t>JPY</t>
        </is>
      </c>
      <c r="C91" s="196" t="inlineStr">
        <is>
          <t>YEN</t>
        </is>
      </c>
      <c r="D91" s="184" t="n">
        <v>162.49</v>
      </c>
      <c r="E91" s="184" t="n">
        <v>164.13</v>
      </c>
      <c r="F91" s="184" t="n">
        <v>173.7</v>
      </c>
      <c r="G91" s="184" t="n">
        <v>168.92</v>
      </c>
    </row>
    <row r="92">
      <c r="A92" s="194" t="inlineStr">
        <is>
          <t>2026-09-14 23:00:12</t>
        </is>
      </c>
      <c r="B92" s="194" t="inlineStr">
        <is>
          <t>KRW</t>
        </is>
      </c>
      <c r="C92" s="194" t="inlineStr">
        <is>
          <t>KOREAN WON</t>
        </is>
      </c>
      <c r="D92" s="195" t="n">
        <v>16.69</v>
      </c>
      <c r="E92" s="195" t="n">
        <v>18.55</v>
      </c>
      <c r="F92" s="195" t="n">
        <v>20.13</v>
      </c>
      <c r="G92" s="195" t="n">
        <v>19.34</v>
      </c>
    </row>
    <row r="93">
      <c r="A93" s="196" t="inlineStr">
        <is>
          <t>2026-09-14 23:00:12</t>
        </is>
      </c>
      <c r="B93" s="196" t="inlineStr">
        <is>
          <t>KWD</t>
        </is>
      </c>
      <c r="C93" s="196" t="inlineStr">
        <is>
          <t>KUWAITI DINAR</t>
        </is>
      </c>
      <c r="D93" s="184" t="n"/>
      <c r="E93" s="184" t="n">
        <v>84226.84</v>
      </c>
      <c r="F93" s="184" t="n">
        <v>88310.78999999999</v>
      </c>
      <c r="G93" s="184" t="n">
        <v>86268.82000000001</v>
      </c>
    </row>
    <row r="94">
      <c r="A94" s="194" t="inlineStr">
        <is>
          <t>2026-09-14 23:00:12</t>
        </is>
      </c>
      <c r="B94" s="194" t="inlineStr">
        <is>
          <t>MYR</t>
        </is>
      </c>
      <c r="C94" s="194" t="inlineStr">
        <is>
          <t>MALAYSIAN RINGGIT</t>
        </is>
      </c>
      <c r="D94" s="195" t="n"/>
      <c r="E94" s="195" t="n">
        <v>6309.91</v>
      </c>
      <c r="F94" s="195" t="n">
        <v>6447.3</v>
      </c>
      <c r="G94" s="195" t="n">
        <v>6378.6</v>
      </c>
    </row>
    <row r="95">
      <c r="A95" s="196" t="inlineStr">
        <is>
          <t>2026-09-14 23:00:12</t>
        </is>
      </c>
      <c r="B95" s="196" t="inlineStr">
        <is>
          <t>NOK</t>
        </is>
      </c>
      <c r="C95" s="196" t="inlineStr">
        <is>
          <t>NORWEGIAN KRONER</t>
        </is>
      </c>
      <c r="D95" s="184" t="n"/>
      <c r="E95" s="184" t="n">
        <v>2738.28</v>
      </c>
      <c r="F95" s="184" t="n">
        <v>2854.43</v>
      </c>
      <c r="G95" s="184" t="n">
        <v>2796.36</v>
      </c>
    </row>
    <row r="96">
      <c r="A96" s="194" t="inlineStr">
        <is>
          <t>2026-09-14 23:00:12</t>
        </is>
      </c>
      <c r="B96" s="194" t="inlineStr">
        <is>
          <t>RUB</t>
        </is>
      </c>
      <c r="C96" s="194" t="inlineStr">
        <is>
          <t>RUSSIAN RUBLE</t>
        </is>
      </c>
      <c r="D96" s="195" t="n"/>
      <c r="E96" s="195" t="n">
        <v>294.97</v>
      </c>
      <c r="F96" s="195" t="n">
        <v>326.52</v>
      </c>
      <c r="G96" s="195" t="n">
        <v>310.74</v>
      </c>
    </row>
    <row r="97">
      <c r="A97" s="196" t="inlineStr">
        <is>
          <t>2026-09-14 23:00:12</t>
        </is>
      </c>
      <c r="B97" s="196" t="inlineStr">
        <is>
          <t>SAR</t>
        </is>
      </c>
      <c r="C97" s="196" t="inlineStr">
        <is>
          <t>SAUDI RIAL</t>
        </is>
      </c>
      <c r="D97" s="184" t="n"/>
      <c r="E97" s="184" t="n">
        <v>6880.6</v>
      </c>
      <c r="F97" s="184" t="n">
        <v>7176.85</v>
      </c>
      <c r="G97" s="184" t="n">
        <v>7028.72</v>
      </c>
    </row>
    <row r="98">
      <c r="A98" s="194" t="inlineStr">
        <is>
          <t>2026-09-14 23:00:12</t>
        </is>
      </c>
      <c r="B98" s="194" t="inlineStr">
        <is>
          <t>SEK</t>
        </is>
      </c>
      <c r="C98" s="194" t="inlineStr">
        <is>
          <t>SWEDISH KRONA</t>
        </is>
      </c>
      <c r="D98" s="195" t="n"/>
      <c r="E98" s="195" t="n">
        <v>2612.78</v>
      </c>
      <c r="F98" s="195" t="n">
        <v>2723.62</v>
      </c>
      <c r="G98" s="195" t="n">
        <v>2668.2</v>
      </c>
    </row>
    <row r="99">
      <c r="A99" s="196" t="inlineStr">
        <is>
          <t>2026-09-14 23:00:12</t>
        </is>
      </c>
      <c r="B99" s="196" t="inlineStr">
        <is>
          <t>SGD</t>
        </is>
      </c>
      <c r="C99" s="196" t="inlineStr">
        <is>
          <t>SINGAPORE DOLLAR</t>
        </is>
      </c>
      <c r="D99" s="184" t="n">
        <v>19928.66</v>
      </c>
      <c r="E99" s="184" t="n">
        <v>20129.96</v>
      </c>
      <c r="F99" s="184" t="n">
        <v>20816.61</v>
      </c>
      <c r="G99" s="184" t="n">
        <v>20473.28</v>
      </c>
    </row>
    <row r="100">
      <c r="A100" s="194" t="inlineStr">
        <is>
          <t>2026-09-14 23:00:12</t>
        </is>
      </c>
      <c r="B100" s="194" t="inlineStr">
        <is>
          <t>THB</t>
        </is>
      </c>
      <c r="C100" s="194" t="inlineStr">
        <is>
          <t>THAILAND BAHT</t>
        </is>
      </c>
      <c r="D100" s="195" t="n">
        <v>690.62</v>
      </c>
      <c r="E100" s="195" t="n">
        <v>767.35</v>
      </c>
      <c r="F100" s="195" t="n">
        <v>799.9</v>
      </c>
      <c r="G100" s="195" t="n">
        <v>783.62</v>
      </c>
    </row>
    <row r="101">
      <c r="A101" s="196" t="inlineStr">
        <is>
          <t>2026-09-14 23:00:12</t>
        </is>
      </c>
      <c r="B101" s="196" t="inlineStr">
        <is>
          <t>USD</t>
        </is>
      </c>
      <c r="C101" s="196" t="inlineStr">
        <is>
          <t>US DOLLAR</t>
        </is>
      </c>
      <c r="D101" s="184" t="n">
        <v>25770</v>
      </c>
      <c r="E101" s="184" t="n">
        <v>25800</v>
      </c>
      <c r="F101" s="184" t="n">
        <v>26180</v>
      </c>
      <c r="G101" s="184" t="n">
        <v>25990</v>
      </c>
    </row>
    <row r="102">
      <c r="A102" s="194" t="inlineStr">
        <is>
          <t>2026-09-13 23:00:08</t>
        </is>
      </c>
      <c r="B102" s="194" t="inlineStr">
        <is>
          <t>AUD</t>
        </is>
      </c>
      <c r="C102" s="194" t="inlineStr">
        <is>
          <t>AUSTRALIAN DOLLAR</t>
        </is>
      </c>
      <c r="D102" s="195" t="n">
        <v>18101.25</v>
      </c>
      <c r="E102" s="195" t="n">
        <v>18284.09</v>
      </c>
      <c r="F102" s="195" t="n">
        <v>18870.07</v>
      </c>
      <c r="G102" s="195" t="n">
        <v>18577.08</v>
      </c>
    </row>
    <row r="103">
      <c r="A103" s="196" t="inlineStr">
        <is>
          <t>2026-09-13 23:00:08</t>
        </is>
      </c>
      <c r="B103" s="196" t="inlineStr">
        <is>
          <t>CAD</t>
        </is>
      </c>
      <c r="C103" s="196" t="inlineStr">
        <is>
          <t>CANADIAN DOLLAR</t>
        </is>
      </c>
      <c r="D103" s="184" t="n">
        <v>18247.67</v>
      </c>
      <c r="E103" s="184" t="n">
        <v>18431.99</v>
      </c>
      <c r="F103" s="184" t="n">
        <v>19022.7</v>
      </c>
      <c r="G103" s="184" t="n">
        <v>18727.34</v>
      </c>
    </row>
    <row r="104">
      <c r="A104" s="194" t="inlineStr">
        <is>
          <t>2026-09-13 23:00:08</t>
        </is>
      </c>
      <c r="B104" s="194" t="inlineStr">
        <is>
          <t>CHF</t>
        </is>
      </c>
      <c r="C104" s="194" t="inlineStr">
        <is>
          <t>SWISS FRANC</t>
        </is>
      </c>
      <c r="D104" s="195" t="n">
        <v>31015.43</v>
      </c>
      <c r="E104" s="195" t="n">
        <v>31328.72</v>
      </c>
      <c r="F104" s="195" t="n">
        <v>32332.75</v>
      </c>
      <c r="G104" s="195" t="n">
        <v>31830.74</v>
      </c>
    </row>
    <row r="105">
      <c r="A105" s="196" t="inlineStr">
        <is>
          <t>2026-09-13 23:00:08</t>
        </is>
      </c>
      <c r="B105" s="196" t="inlineStr">
        <is>
          <t>CNY</t>
        </is>
      </c>
      <c r="C105" s="196" t="inlineStr">
        <is>
          <t>YUAN RENMINBI</t>
        </is>
      </c>
      <c r="D105" s="184" t="n">
        <v>3766.07</v>
      </c>
      <c r="E105" s="184" t="n">
        <v>3804.11</v>
      </c>
      <c r="F105" s="184" t="n">
        <v>3926.03</v>
      </c>
      <c r="G105" s="184" t="n">
        <v>3865.07</v>
      </c>
    </row>
    <row r="106">
      <c r="A106" s="194" t="inlineStr">
        <is>
          <t>2026-09-13 23:00:08</t>
        </is>
      </c>
      <c r="B106" s="194" t="inlineStr">
        <is>
          <t>DKK</t>
        </is>
      </c>
      <c r="C106" s="194" t="inlineStr">
        <is>
          <t>DANISH KRONE</t>
        </is>
      </c>
      <c r="D106" s="195" t="n"/>
      <c r="E106" s="195" t="n">
        <v>3948.85</v>
      </c>
      <c r="F106" s="195" t="n">
        <v>4099.94</v>
      </c>
      <c r="G106" s="195" t="n">
        <v>4024.39</v>
      </c>
    </row>
    <row r="107">
      <c r="A107" s="196" t="inlineStr">
        <is>
          <t>2026-09-13 23:00:08</t>
        </is>
      </c>
      <c r="B107" s="196" t="inlineStr">
        <is>
          <t>EUR</t>
        </is>
      </c>
      <c r="C107" s="196" t="inlineStr">
        <is>
          <t>EURO</t>
        </is>
      </c>
      <c r="D107" s="184" t="n">
        <v>29297.41</v>
      </c>
      <c r="E107" s="184" t="n">
        <v>29593.34</v>
      </c>
      <c r="F107" s="184" t="n">
        <v>30842.66</v>
      </c>
      <c r="G107" s="184" t="n">
        <v>30218</v>
      </c>
    </row>
    <row r="108">
      <c r="A108" s="194" t="inlineStr">
        <is>
          <t>2026-09-13 23:00:08</t>
        </is>
      </c>
      <c r="B108" s="194" t="inlineStr">
        <is>
          <t>GBP</t>
        </is>
      </c>
      <c r="C108" s="194" t="inlineStr">
        <is>
          <t>POUND STERLING</t>
        </is>
      </c>
      <c r="D108" s="195" t="n">
        <v>34116.32</v>
      </c>
      <c r="E108" s="195" t="n">
        <v>34460.93</v>
      </c>
      <c r="F108" s="195" t="n">
        <v>35565.35</v>
      </c>
      <c r="G108" s="195" t="n">
        <v>35013.14</v>
      </c>
    </row>
    <row r="109">
      <c r="A109" s="196" t="inlineStr">
        <is>
          <t>2026-09-13 23:00:08</t>
        </is>
      </c>
      <c r="B109" s="196" t="inlineStr">
        <is>
          <t>HKD</t>
        </is>
      </c>
      <c r="C109" s="196" t="inlineStr">
        <is>
          <t>HONGKONG DOLLAR</t>
        </is>
      </c>
      <c r="D109" s="184" t="n">
        <v>3211.89</v>
      </c>
      <c r="E109" s="184" t="n">
        <v>3244.33</v>
      </c>
      <c r="F109" s="184" t="n">
        <v>3368.46</v>
      </c>
      <c r="G109" s="184" t="n">
        <v>3306.4</v>
      </c>
    </row>
    <row r="110">
      <c r="A110" s="194" t="inlineStr">
        <is>
          <t>2026-09-13 23:00:08</t>
        </is>
      </c>
      <c r="B110" s="194" t="inlineStr">
        <is>
          <t>INR</t>
        </is>
      </c>
      <c r="C110" s="194" t="inlineStr">
        <is>
          <t>INDIAN RUPEE</t>
        </is>
      </c>
      <c r="D110" s="195" t="n"/>
      <c r="E110" s="195" t="n">
        <v>269.71</v>
      </c>
      <c r="F110" s="195" t="n">
        <v>281.33</v>
      </c>
      <c r="G110" s="195" t="n">
        <v>275.52</v>
      </c>
    </row>
    <row r="111">
      <c r="A111" s="196" t="inlineStr">
        <is>
          <t>2026-09-13 23:00:08</t>
        </is>
      </c>
      <c r="B111" s="196" t="inlineStr">
        <is>
          <t>JPY</t>
        </is>
      </c>
      <c r="C111" s="196" t="inlineStr">
        <is>
          <t>YEN</t>
        </is>
      </c>
      <c r="D111" s="184" t="n">
        <v>162.3</v>
      </c>
      <c r="E111" s="184" t="n">
        <v>163.94</v>
      </c>
      <c r="F111" s="184" t="n">
        <v>173.5</v>
      </c>
      <c r="G111" s="184" t="n">
        <v>168.72</v>
      </c>
    </row>
    <row r="112">
      <c r="A112" s="194" t="inlineStr">
        <is>
          <t>2026-09-13 23:00:08</t>
        </is>
      </c>
      <c r="B112" s="194" t="inlineStr">
        <is>
          <t>KRW</t>
        </is>
      </c>
      <c r="C112" s="194" t="inlineStr">
        <is>
          <t>KOREAN WON</t>
        </is>
      </c>
      <c r="D112" s="195" t="n">
        <v>16.69</v>
      </c>
      <c r="E112" s="195" t="n">
        <v>18.55</v>
      </c>
      <c r="F112" s="195" t="n">
        <v>20.12</v>
      </c>
      <c r="G112" s="195" t="n">
        <v>19.34</v>
      </c>
    </row>
    <row r="113">
      <c r="A113" s="196" t="inlineStr">
        <is>
          <t>2026-09-13 23:00:08</t>
        </is>
      </c>
      <c r="B113" s="196" t="inlineStr">
        <is>
          <t>KWD</t>
        </is>
      </c>
      <c r="C113" s="196" t="inlineStr">
        <is>
          <t>KUWAITI DINAR</t>
        </is>
      </c>
      <c r="D113" s="184" t="n"/>
      <c r="E113" s="184" t="n">
        <v>84054.61</v>
      </c>
      <c r="F113" s="184" t="n">
        <v>88130.57000000001</v>
      </c>
      <c r="G113" s="184" t="n">
        <v>86092.59</v>
      </c>
    </row>
    <row r="114">
      <c r="A114" s="194" t="inlineStr">
        <is>
          <t>2026-09-13 23:00:08</t>
        </is>
      </c>
      <c r="B114" s="194" t="inlineStr">
        <is>
          <t>MYR</t>
        </is>
      </c>
      <c r="C114" s="194" t="inlineStr">
        <is>
          <t>MALAYSIAN RINGGIT</t>
        </is>
      </c>
      <c r="D114" s="195" t="n"/>
      <c r="E114" s="195" t="n">
        <v>6306.83</v>
      </c>
      <c r="F114" s="195" t="n">
        <v>6444.18</v>
      </c>
      <c r="G114" s="195" t="n">
        <v>6375.5</v>
      </c>
    </row>
    <row r="115">
      <c r="A115" s="196" t="inlineStr">
        <is>
          <t>2026-09-13 23:00:08</t>
        </is>
      </c>
      <c r="B115" s="196" t="inlineStr">
        <is>
          <t>NOK</t>
        </is>
      </c>
      <c r="C115" s="196" t="inlineStr">
        <is>
          <t>NORWEGIAN KRONER</t>
        </is>
      </c>
      <c r="D115" s="184" t="n"/>
      <c r="E115" s="184" t="n">
        <v>2730.4</v>
      </c>
      <c r="F115" s="184" t="n">
        <v>2846.23</v>
      </c>
      <c r="G115" s="184" t="n">
        <v>2788.32</v>
      </c>
    </row>
    <row r="116">
      <c r="A116" s="194" t="inlineStr">
        <is>
          <t>2026-09-13 23:00:08</t>
        </is>
      </c>
      <c r="B116" s="194" t="inlineStr">
        <is>
          <t>RUB</t>
        </is>
      </c>
      <c r="C116" s="194" t="inlineStr">
        <is>
          <t>RUSSIAN RUBLE</t>
        </is>
      </c>
      <c r="D116" s="195" t="n"/>
      <c r="E116" s="195" t="n">
        <v>292.61</v>
      </c>
      <c r="F116" s="195" t="n">
        <v>323.91</v>
      </c>
      <c r="G116" s="195" t="n">
        <v>308.26</v>
      </c>
    </row>
    <row r="117">
      <c r="A117" s="196" t="inlineStr">
        <is>
          <t>2026-09-13 23:00:08</t>
        </is>
      </c>
      <c r="B117" s="196" t="inlineStr">
        <is>
          <t>SAR</t>
        </is>
      </c>
      <c r="C117" s="196" t="inlineStr">
        <is>
          <t>SAUDI RIAL</t>
        </is>
      </c>
      <c r="D117" s="184" t="n"/>
      <c r="E117" s="184" t="n">
        <v>6863.52</v>
      </c>
      <c r="F117" s="184" t="n">
        <v>7159.06</v>
      </c>
      <c r="G117" s="184" t="n">
        <v>7011.29</v>
      </c>
    </row>
    <row r="118">
      <c r="A118" s="194" t="inlineStr">
        <is>
          <t>2026-09-13 23:00:08</t>
        </is>
      </c>
      <c r="B118" s="194" t="inlineStr">
        <is>
          <t>SEK</t>
        </is>
      </c>
      <c r="C118" s="194" t="inlineStr">
        <is>
          <t>SWEDISH KRONA</t>
        </is>
      </c>
      <c r="D118" s="195" t="n"/>
      <c r="E118" s="195" t="n">
        <v>2621.94</v>
      </c>
      <c r="F118" s="195" t="n">
        <v>2733.17</v>
      </c>
      <c r="G118" s="195" t="n">
        <v>2677.56</v>
      </c>
    </row>
    <row r="119">
      <c r="A119" s="196" t="inlineStr">
        <is>
          <t>2026-09-13 23:00:08</t>
        </is>
      </c>
      <c r="B119" s="196" t="inlineStr">
        <is>
          <t>SGD</t>
        </is>
      </c>
      <c r="C119" s="196" t="inlineStr">
        <is>
          <t>SINGAPORE DOLLAR</t>
        </is>
      </c>
      <c r="D119" s="184" t="n">
        <v>19909.44</v>
      </c>
      <c r="E119" s="184" t="n">
        <v>20110.54</v>
      </c>
      <c r="F119" s="184" t="n">
        <v>20796.61</v>
      </c>
      <c r="G119" s="184" t="n">
        <v>20453.58</v>
      </c>
    </row>
    <row r="120">
      <c r="A120" s="194" t="inlineStr">
        <is>
          <t>2026-09-13 23:00:08</t>
        </is>
      </c>
      <c r="B120" s="194" t="inlineStr">
        <is>
          <t>THB</t>
        </is>
      </c>
      <c r="C120" s="194" t="inlineStr">
        <is>
          <t>THAILAND BAHT</t>
        </is>
      </c>
      <c r="D120" s="195" t="n">
        <v>691.88</v>
      </c>
      <c r="E120" s="195" t="n">
        <v>768.76</v>
      </c>
      <c r="F120" s="195" t="n">
        <v>801.37</v>
      </c>
      <c r="G120" s="195" t="n">
        <v>785.0599999999999</v>
      </c>
    </row>
    <row r="121">
      <c r="A121" s="196" t="inlineStr">
        <is>
          <t>2026-09-13 23:00:08</t>
        </is>
      </c>
      <c r="B121" s="196" t="inlineStr">
        <is>
          <t>USD</t>
        </is>
      </c>
      <c r="C121" s="196" t="inlineStr">
        <is>
          <t>US DOLLAR</t>
        </is>
      </c>
      <c r="D121" s="184" t="n">
        <v>25700</v>
      </c>
      <c r="E121" s="184" t="n">
        <v>25730</v>
      </c>
      <c r="F121" s="184" t="n">
        <v>26110</v>
      </c>
      <c r="G121" s="184" t="n">
        <v>25920</v>
      </c>
    </row>
    <row r="122">
      <c r="A122" s="194" t="inlineStr">
        <is>
          <t>2026-09-12 23:00:07</t>
        </is>
      </c>
      <c r="B122" s="194" t="inlineStr">
        <is>
          <t>AUD</t>
        </is>
      </c>
      <c r="C122" s="194" t="inlineStr">
        <is>
          <t>AUSTRALIAN DOLLAR</t>
        </is>
      </c>
      <c r="D122" s="195" t="n">
        <v>18101.25</v>
      </c>
      <c r="E122" s="195" t="n">
        <v>18284.09</v>
      </c>
      <c r="F122" s="195" t="n">
        <v>18870.07</v>
      </c>
      <c r="G122" s="195" t="n">
        <v>18577.08</v>
      </c>
    </row>
    <row r="123">
      <c r="A123" s="196" t="inlineStr">
        <is>
          <t>2026-09-12 23:00:07</t>
        </is>
      </c>
      <c r="B123" s="196" t="inlineStr">
        <is>
          <t>CAD</t>
        </is>
      </c>
      <c r="C123" s="196" t="inlineStr">
        <is>
          <t>CANADIAN DOLLAR</t>
        </is>
      </c>
      <c r="D123" s="184" t="n">
        <v>18247.67</v>
      </c>
      <c r="E123" s="184" t="n">
        <v>18431.99</v>
      </c>
      <c r="F123" s="184" t="n">
        <v>19022.7</v>
      </c>
      <c r="G123" s="184" t="n">
        <v>18727.34</v>
      </c>
    </row>
    <row r="124">
      <c r="A124" s="194" t="inlineStr">
        <is>
          <t>2026-09-12 23:00:07</t>
        </is>
      </c>
      <c r="B124" s="194" t="inlineStr">
        <is>
          <t>CHF</t>
        </is>
      </c>
      <c r="C124" s="194" t="inlineStr">
        <is>
          <t>SWISS FRANC</t>
        </is>
      </c>
      <c r="D124" s="195" t="n">
        <v>31015.43</v>
      </c>
      <c r="E124" s="195" t="n">
        <v>31328.72</v>
      </c>
      <c r="F124" s="195" t="n">
        <v>32332.75</v>
      </c>
      <c r="G124" s="195" t="n">
        <v>31830.74</v>
      </c>
    </row>
    <row r="125">
      <c r="A125" s="196" t="inlineStr">
        <is>
          <t>2026-09-12 23:00:07</t>
        </is>
      </c>
      <c r="B125" s="196" t="inlineStr">
        <is>
          <t>CNY</t>
        </is>
      </c>
      <c r="C125" s="196" t="inlineStr">
        <is>
          <t>YUAN RENMINBI</t>
        </is>
      </c>
      <c r="D125" s="184" t="n">
        <v>3766.07</v>
      </c>
      <c r="E125" s="184" t="n">
        <v>3804.11</v>
      </c>
      <c r="F125" s="184" t="n">
        <v>3926.03</v>
      </c>
      <c r="G125" s="184" t="n">
        <v>3865.07</v>
      </c>
    </row>
    <row r="126">
      <c r="A126" s="194" t="inlineStr">
        <is>
          <t>2026-09-12 23:00:07</t>
        </is>
      </c>
      <c r="B126" s="194" t="inlineStr">
        <is>
          <t>DKK</t>
        </is>
      </c>
      <c r="C126" s="194" t="inlineStr">
        <is>
          <t>DANISH KRONE</t>
        </is>
      </c>
      <c r="D126" s="195" t="n"/>
      <c r="E126" s="195" t="n">
        <v>3948.85</v>
      </c>
      <c r="F126" s="195" t="n">
        <v>4099.94</v>
      </c>
      <c r="G126" s="195" t="n">
        <v>4024.39</v>
      </c>
    </row>
    <row r="127">
      <c r="A127" s="196" t="inlineStr">
        <is>
          <t>2026-09-12 23:00:07</t>
        </is>
      </c>
      <c r="B127" s="196" t="inlineStr">
        <is>
          <t>EUR</t>
        </is>
      </c>
      <c r="C127" s="196" t="inlineStr">
        <is>
          <t>EURO</t>
        </is>
      </c>
      <c r="D127" s="184" t="n">
        <v>29297.41</v>
      </c>
      <c r="E127" s="184" t="n">
        <v>29593.34</v>
      </c>
      <c r="F127" s="184" t="n">
        <v>30842.66</v>
      </c>
      <c r="G127" s="184" t="n">
        <v>30218</v>
      </c>
    </row>
    <row r="128">
      <c r="A128" s="194" t="inlineStr">
        <is>
          <t>2026-09-12 23:00:07</t>
        </is>
      </c>
      <c r="B128" s="194" t="inlineStr">
        <is>
          <t>GBP</t>
        </is>
      </c>
      <c r="C128" s="194" t="inlineStr">
        <is>
          <t>POUND STERLING</t>
        </is>
      </c>
      <c r="D128" s="195" t="n">
        <v>34116.32</v>
      </c>
      <c r="E128" s="195" t="n">
        <v>34460.93</v>
      </c>
      <c r="F128" s="195" t="n">
        <v>35565.35</v>
      </c>
      <c r="G128" s="195" t="n">
        <v>35013.14</v>
      </c>
    </row>
    <row r="129">
      <c r="A129" s="196" t="inlineStr">
        <is>
          <t>2026-09-12 23:00:07</t>
        </is>
      </c>
      <c r="B129" s="196" t="inlineStr">
        <is>
          <t>HKD</t>
        </is>
      </c>
      <c r="C129" s="196" t="inlineStr">
        <is>
          <t>HONGKONG DOLLAR</t>
        </is>
      </c>
      <c r="D129" s="184" t="n">
        <v>3211.89</v>
      </c>
      <c r="E129" s="184" t="n">
        <v>3244.33</v>
      </c>
      <c r="F129" s="184" t="n">
        <v>3368.46</v>
      </c>
      <c r="G129" s="184" t="n">
        <v>3306.4</v>
      </c>
    </row>
    <row r="130">
      <c r="A130" s="194" t="inlineStr">
        <is>
          <t>2026-09-12 23:00:07</t>
        </is>
      </c>
      <c r="B130" s="194" t="inlineStr">
        <is>
          <t>INR</t>
        </is>
      </c>
      <c r="C130" s="194" t="inlineStr">
        <is>
          <t>INDIAN RUPEE</t>
        </is>
      </c>
      <c r="D130" s="195" t="n"/>
      <c r="E130" s="195" t="n">
        <v>269.71</v>
      </c>
      <c r="F130" s="195" t="n">
        <v>281.33</v>
      </c>
      <c r="G130" s="195" t="n">
        <v>275.52</v>
      </c>
    </row>
    <row r="131">
      <c r="A131" s="196" t="inlineStr">
        <is>
          <t>2026-09-12 23:00:07</t>
        </is>
      </c>
      <c r="B131" s="196" t="inlineStr">
        <is>
          <t>JPY</t>
        </is>
      </c>
      <c r="C131" s="196" t="inlineStr">
        <is>
          <t>YEN</t>
        </is>
      </c>
      <c r="D131" s="184" t="n">
        <v>162.3</v>
      </c>
      <c r="E131" s="184" t="n">
        <v>163.94</v>
      </c>
      <c r="F131" s="184" t="n">
        <v>173.5</v>
      </c>
      <c r="G131" s="184" t="n">
        <v>168.72</v>
      </c>
    </row>
    <row r="132">
      <c r="A132" s="194" t="inlineStr">
        <is>
          <t>2026-09-12 23:00:07</t>
        </is>
      </c>
      <c r="B132" s="194" t="inlineStr">
        <is>
          <t>KRW</t>
        </is>
      </c>
      <c r="C132" s="194" t="inlineStr">
        <is>
          <t>KOREAN WON</t>
        </is>
      </c>
      <c r="D132" s="195" t="n">
        <v>16.69</v>
      </c>
      <c r="E132" s="195" t="n">
        <v>18.55</v>
      </c>
      <c r="F132" s="195" t="n">
        <v>20.12</v>
      </c>
      <c r="G132" s="195" t="n">
        <v>19.34</v>
      </c>
    </row>
    <row r="133">
      <c r="A133" s="196" t="inlineStr">
        <is>
          <t>2026-09-12 23:00:07</t>
        </is>
      </c>
      <c r="B133" s="196" t="inlineStr">
        <is>
          <t>KWD</t>
        </is>
      </c>
      <c r="C133" s="196" t="inlineStr">
        <is>
          <t>KUWAITI DINAR</t>
        </is>
      </c>
      <c r="D133" s="184" t="n"/>
      <c r="E133" s="184" t="n">
        <v>84054.61</v>
      </c>
      <c r="F133" s="184" t="n">
        <v>88130.57000000001</v>
      </c>
      <c r="G133" s="184" t="n">
        <v>86092.59</v>
      </c>
    </row>
    <row r="134">
      <c r="A134" s="194" t="inlineStr">
        <is>
          <t>2026-09-12 23:00:07</t>
        </is>
      </c>
      <c r="B134" s="194" t="inlineStr">
        <is>
          <t>MYR</t>
        </is>
      </c>
      <c r="C134" s="194" t="inlineStr">
        <is>
          <t>MALAYSIAN RINGGIT</t>
        </is>
      </c>
      <c r="D134" s="195" t="n"/>
      <c r="E134" s="195" t="n">
        <v>6306.83</v>
      </c>
      <c r="F134" s="195" t="n">
        <v>6444.18</v>
      </c>
      <c r="G134" s="195" t="n">
        <v>6375.5</v>
      </c>
    </row>
    <row r="135">
      <c r="A135" s="196" t="inlineStr">
        <is>
          <t>2026-09-12 23:00:07</t>
        </is>
      </c>
      <c r="B135" s="196" t="inlineStr">
        <is>
          <t>NOK</t>
        </is>
      </c>
      <c r="C135" s="196" t="inlineStr">
        <is>
          <t>NORWEGIAN KRONER</t>
        </is>
      </c>
      <c r="D135" s="184" t="n"/>
      <c r="E135" s="184" t="n">
        <v>2730.4</v>
      </c>
      <c r="F135" s="184" t="n">
        <v>2846.23</v>
      </c>
      <c r="G135" s="184" t="n">
        <v>2788.32</v>
      </c>
    </row>
    <row r="136">
      <c r="A136" s="194" t="inlineStr">
        <is>
          <t>2026-09-12 23:00:07</t>
        </is>
      </c>
      <c r="B136" s="194" t="inlineStr">
        <is>
          <t>RUB</t>
        </is>
      </c>
      <c r="C136" s="194" t="inlineStr">
        <is>
          <t>RUSSIAN RUBLE</t>
        </is>
      </c>
      <c r="D136" s="195" t="n"/>
      <c r="E136" s="195" t="n">
        <v>292.61</v>
      </c>
      <c r="F136" s="195" t="n">
        <v>323.91</v>
      </c>
      <c r="G136" s="195" t="n">
        <v>308.26</v>
      </c>
    </row>
    <row r="137">
      <c r="A137" s="196" t="inlineStr">
        <is>
          <t>2026-09-12 23:00:07</t>
        </is>
      </c>
      <c r="B137" s="196" t="inlineStr">
        <is>
          <t>SAR</t>
        </is>
      </c>
      <c r="C137" s="196" t="inlineStr">
        <is>
          <t>SAUDI RIAL</t>
        </is>
      </c>
      <c r="D137" s="184" t="n"/>
      <c r="E137" s="184" t="n">
        <v>6863.52</v>
      </c>
      <c r="F137" s="184" t="n">
        <v>7159.06</v>
      </c>
      <c r="G137" s="184" t="n">
        <v>7011.29</v>
      </c>
    </row>
    <row r="138">
      <c r="A138" s="194" t="inlineStr">
        <is>
          <t>2026-09-12 23:00:07</t>
        </is>
      </c>
      <c r="B138" s="194" t="inlineStr">
        <is>
          <t>SEK</t>
        </is>
      </c>
      <c r="C138" s="194" t="inlineStr">
        <is>
          <t>SWEDISH KRONA</t>
        </is>
      </c>
      <c r="D138" s="195" t="n"/>
      <c r="E138" s="195" t="n">
        <v>2621.94</v>
      </c>
      <c r="F138" s="195" t="n">
        <v>2733.17</v>
      </c>
      <c r="G138" s="195" t="n">
        <v>2677.56</v>
      </c>
    </row>
    <row r="139">
      <c r="A139" s="196" t="inlineStr">
        <is>
          <t>2026-09-12 23:00:07</t>
        </is>
      </c>
      <c r="B139" s="196" t="inlineStr">
        <is>
          <t>SGD</t>
        </is>
      </c>
      <c r="C139" s="196" t="inlineStr">
        <is>
          <t>SINGAPORE DOLLAR</t>
        </is>
      </c>
      <c r="D139" s="184" t="n">
        <v>19909.44</v>
      </c>
      <c r="E139" s="184" t="n">
        <v>20110.54</v>
      </c>
      <c r="F139" s="184" t="n">
        <v>20796.61</v>
      </c>
      <c r="G139" s="184" t="n">
        <v>20453.58</v>
      </c>
    </row>
    <row r="140">
      <c r="A140" s="194" t="inlineStr">
        <is>
          <t>2026-09-12 23:00:07</t>
        </is>
      </c>
      <c r="B140" s="194" t="inlineStr">
        <is>
          <t>THB</t>
        </is>
      </c>
      <c r="C140" s="194" t="inlineStr">
        <is>
          <t>THAILAND BAHT</t>
        </is>
      </c>
      <c r="D140" s="195" t="n">
        <v>691.88</v>
      </c>
      <c r="E140" s="195" t="n">
        <v>768.76</v>
      </c>
      <c r="F140" s="195" t="n">
        <v>801.37</v>
      </c>
      <c r="G140" s="195" t="n">
        <v>785.0599999999999</v>
      </c>
    </row>
    <row r="141">
      <c r="A141" s="196" t="inlineStr">
        <is>
          <t>2026-09-12 23:00:07</t>
        </is>
      </c>
      <c r="B141" s="196" t="inlineStr">
        <is>
          <t>USD</t>
        </is>
      </c>
      <c r="C141" s="196" t="inlineStr">
        <is>
          <t>US DOLLAR</t>
        </is>
      </c>
      <c r="D141" s="184" t="n">
        <v>25700</v>
      </c>
      <c r="E141" s="184" t="n">
        <v>25730</v>
      </c>
      <c r="F141" s="184" t="n">
        <v>26110</v>
      </c>
      <c r="G141" s="184" t="n">
        <v>25920</v>
      </c>
    </row>
    <row r="142">
      <c r="A142" s="194" t="inlineStr">
        <is>
          <t>2026-09-11 23:00:07</t>
        </is>
      </c>
      <c r="B142" s="194" t="inlineStr">
        <is>
          <t>AUD</t>
        </is>
      </c>
      <c r="C142" s="194" t="inlineStr">
        <is>
          <t>AUSTRALIAN DOLLAR</t>
        </is>
      </c>
      <c r="D142" s="195" t="n">
        <v>18101.25</v>
      </c>
      <c r="E142" s="195" t="n">
        <v>18284.09</v>
      </c>
      <c r="F142" s="195" t="n">
        <v>18870.07</v>
      </c>
      <c r="G142" s="195" t="n">
        <v>18577.08</v>
      </c>
    </row>
    <row r="143">
      <c r="A143" s="196" t="inlineStr">
        <is>
          <t>2026-09-11 23:00:07</t>
        </is>
      </c>
      <c r="B143" s="196" t="inlineStr">
        <is>
          <t>CAD</t>
        </is>
      </c>
      <c r="C143" s="196" t="inlineStr">
        <is>
          <t>CANADIAN DOLLAR</t>
        </is>
      </c>
      <c r="D143" s="184" t="n">
        <v>18247.67</v>
      </c>
      <c r="E143" s="184" t="n">
        <v>18431.99</v>
      </c>
      <c r="F143" s="184" t="n">
        <v>19022.7</v>
      </c>
      <c r="G143" s="184" t="n">
        <v>18727.34</v>
      </c>
    </row>
    <row r="144">
      <c r="A144" s="194" t="inlineStr">
        <is>
          <t>2026-09-11 23:00:07</t>
        </is>
      </c>
      <c r="B144" s="194" t="inlineStr">
        <is>
          <t>CHF</t>
        </is>
      </c>
      <c r="C144" s="194" t="inlineStr">
        <is>
          <t>SWISS FRANC</t>
        </is>
      </c>
      <c r="D144" s="195" t="n">
        <v>31015.43</v>
      </c>
      <c r="E144" s="195" t="n">
        <v>31328.72</v>
      </c>
      <c r="F144" s="195" t="n">
        <v>32332.75</v>
      </c>
      <c r="G144" s="195" t="n">
        <v>31830.74</v>
      </c>
    </row>
    <row r="145">
      <c r="A145" s="196" t="inlineStr">
        <is>
          <t>2026-09-11 23:00:07</t>
        </is>
      </c>
      <c r="B145" s="196" t="inlineStr">
        <is>
          <t>CNY</t>
        </is>
      </c>
      <c r="C145" s="196" t="inlineStr">
        <is>
          <t>YUAN RENMINBI</t>
        </is>
      </c>
      <c r="D145" s="184" t="n">
        <v>3766.07</v>
      </c>
      <c r="E145" s="184" t="n">
        <v>3804.11</v>
      </c>
      <c r="F145" s="184" t="n">
        <v>3926.03</v>
      </c>
      <c r="G145" s="184" t="n">
        <v>3865.07</v>
      </c>
    </row>
    <row r="146">
      <c r="A146" s="194" t="inlineStr">
        <is>
          <t>2026-09-11 23:00:07</t>
        </is>
      </c>
      <c r="B146" s="194" t="inlineStr">
        <is>
          <t>DKK</t>
        </is>
      </c>
      <c r="C146" s="194" t="inlineStr">
        <is>
          <t>DANISH KRONE</t>
        </is>
      </c>
      <c r="D146" s="195" t="n"/>
      <c r="E146" s="195" t="n">
        <v>3948.85</v>
      </c>
      <c r="F146" s="195" t="n">
        <v>4099.94</v>
      </c>
      <c r="G146" s="195" t="n">
        <v>4024.39</v>
      </c>
    </row>
    <row r="147">
      <c r="A147" s="196" t="inlineStr">
        <is>
          <t>2026-09-11 23:00:07</t>
        </is>
      </c>
      <c r="B147" s="196" t="inlineStr">
        <is>
          <t>EUR</t>
        </is>
      </c>
      <c r="C147" s="196" t="inlineStr">
        <is>
          <t>EURO</t>
        </is>
      </c>
      <c r="D147" s="184" t="n">
        <v>29297.41</v>
      </c>
      <c r="E147" s="184" t="n">
        <v>29593.34</v>
      </c>
      <c r="F147" s="184" t="n">
        <v>30842.66</v>
      </c>
      <c r="G147" s="184" t="n">
        <v>30218</v>
      </c>
    </row>
    <row r="148">
      <c r="A148" s="194" t="inlineStr">
        <is>
          <t>2026-09-11 23:00:07</t>
        </is>
      </c>
      <c r="B148" s="194" t="inlineStr">
        <is>
          <t>GBP</t>
        </is>
      </c>
      <c r="C148" s="194" t="inlineStr">
        <is>
          <t>POUND STERLING</t>
        </is>
      </c>
      <c r="D148" s="195" t="n">
        <v>34116.32</v>
      </c>
      <c r="E148" s="195" t="n">
        <v>34460.93</v>
      </c>
      <c r="F148" s="195" t="n">
        <v>35565.35</v>
      </c>
      <c r="G148" s="195" t="n">
        <v>35013.14</v>
      </c>
    </row>
    <row r="149">
      <c r="A149" s="196" t="inlineStr">
        <is>
          <t>2026-09-11 23:00:07</t>
        </is>
      </c>
      <c r="B149" s="196" t="inlineStr">
        <is>
          <t>HKD</t>
        </is>
      </c>
      <c r="C149" s="196" t="inlineStr">
        <is>
          <t>HONGKONG DOLLAR</t>
        </is>
      </c>
      <c r="D149" s="184" t="n">
        <v>3211.89</v>
      </c>
      <c r="E149" s="184" t="n">
        <v>3244.33</v>
      </c>
      <c r="F149" s="184" t="n">
        <v>3368.46</v>
      </c>
      <c r="G149" s="184" t="n">
        <v>3306.4</v>
      </c>
    </row>
    <row r="150">
      <c r="A150" s="194" t="inlineStr">
        <is>
          <t>2026-09-11 23:00:07</t>
        </is>
      </c>
      <c r="B150" s="194" t="inlineStr">
        <is>
          <t>INR</t>
        </is>
      </c>
      <c r="C150" s="194" t="inlineStr">
        <is>
          <t>INDIAN RUPEE</t>
        </is>
      </c>
      <c r="D150" s="195" t="n"/>
      <c r="E150" s="195" t="n">
        <v>269.71</v>
      </c>
      <c r="F150" s="195" t="n">
        <v>281.33</v>
      </c>
      <c r="G150" s="195" t="n">
        <v>275.52</v>
      </c>
    </row>
    <row r="151">
      <c r="A151" s="196" t="inlineStr">
        <is>
          <t>2026-09-11 23:00:07</t>
        </is>
      </c>
      <c r="B151" s="196" t="inlineStr">
        <is>
          <t>JPY</t>
        </is>
      </c>
      <c r="C151" s="196" t="inlineStr">
        <is>
          <t>YEN</t>
        </is>
      </c>
      <c r="D151" s="184" t="n">
        <v>162.3</v>
      </c>
      <c r="E151" s="184" t="n">
        <v>163.94</v>
      </c>
      <c r="F151" s="184" t="n">
        <v>173.5</v>
      </c>
      <c r="G151" s="184" t="n">
        <v>168.72</v>
      </c>
    </row>
    <row r="152">
      <c r="A152" s="194" t="inlineStr">
        <is>
          <t>2026-09-11 23:00:07</t>
        </is>
      </c>
      <c r="B152" s="194" t="inlineStr">
        <is>
          <t>KRW</t>
        </is>
      </c>
      <c r="C152" s="194" t="inlineStr">
        <is>
          <t>KOREAN WON</t>
        </is>
      </c>
      <c r="D152" s="195" t="n">
        <v>16.69</v>
      </c>
      <c r="E152" s="195" t="n">
        <v>18.55</v>
      </c>
      <c r="F152" s="195" t="n">
        <v>20.12</v>
      </c>
      <c r="G152" s="195" t="n">
        <v>19.34</v>
      </c>
    </row>
    <row r="153">
      <c r="A153" s="196" t="inlineStr">
        <is>
          <t>2026-09-11 23:00:07</t>
        </is>
      </c>
      <c r="B153" s="196" t="inlineStr">
        <is>
          <t>KWD</t>
        </is>
      </c>
      <c r="C153" s="196" t="inlineStr">
        <is>
          <t>KUWAITI DINAR</t>
        </is>
      </c>
      <c r="D153" s="184" t="n"/>
      <c r="E153" s="184" t="n">
        <v>84054.61</v>
      </c>
      <c r="F153" s="184" t="n">
        <v>88130.57000000001</v>
      </c>
      <c r="G153" s="184" t="n">
        <v>86092.59</v>
      </c>
    </row>
    <row r="154">
      <c r="A154" s="194" t="inlineStr">
        <is>
          <t>2026-09-11 23:00:07</t>
        </is>
      </c>
      <c r="B154" s="194" t="inlineStr">
        <is>
          <t>MYR</t>
        </is>
      </c>
      <c r="C154" s="194" t="inlineStr">
        <is>
          <t>MALAYSIAN RINGGIT</t>
        </is>
      </c>
      <c r="D154" s="195" t="n"/>
      <c r="E154" s="195" t="n">
        <v>6306.83</v>
      </c>
      <c r="F154" s="195" t="n">
        <v>6444.18</v>
      </c>
      <c r="G154" s="195" t="n">
        <v>6375.5</v>
      </c>
    </row>
    <row r="155">
      <c r="A155" s="196" t="inlineStr">
        <is>
          <t>2026-09-11 23:00:07</t>
        </is>
      </c>
      <c r="B155" s="196" t="inlineStr">
        <is>
          <t>NOK</t>
        </is>
      </c>
      <c r="C155" s="196" t="inlineStr">
        <is>
          <t>NORWEGIAN KRONER</t>
        </is>
      </c>
      <c r="D155" s="184" t="n"/>
      <c r="E155" s="184" t="n">
        <v>2730.4</v>
      </c>
      <c r="F155" s="184" t="n">
        <v>2846.23</v>
      </c>
      <c r="G155" s="184" t="n">
        <v>2788.32</v>
      </c>
    </row>
    <row r="156">
      <c r="A156" s="194" t="inlineStr">
        <is>
          <t>2026-09-11 23:00:07</t>
        </is>
      </c>
      <c r="B156" s="194" t="inlineStr">
        <is>
          <t>RUB</t>
        </is>
      </c>
      <c r="C156" s="194" t="inlineStr">
        <is>
          <t>RUSSIAN RUBLE</t>
        </is>
      </c>
      <c r="D156" s="195" t="n"/>
      <c r="E156" s="195" t="n">
        <v>292.61</v>
      </c>
      <c r="F156" s="195" t="n">
        <v>323.91</v>
      </c>
      <c r="G156" s="195" t="n">
        <v>308.26</v>
      </c>
    </row>
    <row r="157">
      <c r="A157" s="196" t="inlineStr">
        <is>
          <t>2026-09-11 23:00:07</t>
        </is>
      </c>
      <c r="B157" s="196" t="inlineStr">
        <is>
          <t>SAR</t>
        </is>
      </c>
      <c r="C157" s="196" t="inlineStr">
        <is>
          <t>SAUDI RIAL</t>
        </is>
      </c>
      <c r="D157" s="184" t="n"/>
      <c r="E157" s="184" t="n">
        <v>6863.52</v>
      </c>
      <c r="F157" s="184" t="n">
        <v>7159.06</v>
      </c>
      <c r="G157" s="184" t="n">
        <v>7011.29</v>
      </c>
    </row>
    <row r="158">
      <c r="A158" s="194" t="inlineStr">
        <is>
          <t>2026-09-11 23:00:07</t>
        </is>
      </c>
      <c r="B158" s="194" t="inlineStr">
        <is>
          <t>SEK</t>
        </is>
      </c>
      <c r="C158" s="194" t="inlineStr">
        <is>
          <t>SWEDISH KRONA</t>
        </is>
      </c>
      <c r="D158" s="195" t="n"/>
      <c r="E158" s="195" t="n">
        <v>2621.94</v>
      </c>
      <c r="F158" s="195" t="n">
        <v>2733.17</v>
      </c>
      <c r="G158" s="195" t="n">
        <v>2677.56</v>
      </c>
    </row>
    <row r="159">
      <c r="A159" s="196" t="inlineStr">
        <is>
          <t>2026-09-11 23:00:07</t>
        </is>
      </c>
      <c r="B159" s="196" t="inlineStr">
        <is>
          <t>SGD</t>
        </is>
      </c>
      <c r="C159" s="196" t="inlineStr">
        <is>
          <t>SINGAPORE DOLLAR</t>
        </is>
      </c>
      <c r="D159" s="184" t="n">
        <v>19909.44</v>
      </c>
      <c r="E159" s="184" t="n">
        <v>20110.54</v>
      </c>
      <c r="F159" s="184" t="n">
        <v>20796.61</v>
      </c>
      <c r="G159" s="184" t="n">
        <v>20453.58</v>
      </c>
    </row>
    <row r="160">
      <c r="A160" s="194" t="inlineStr">
        <is>
          <t>2026-09-11 23:00:07</t>
        </is>
      </c>
      <c r="B160" s="194" t="inlineStr">
        <is>
          <t>THB</t>
        </is>
      </c>
      <c r="C160" s="194" t="inlineStr">
        <is>
          <t>THAILAND BAHT</t>
        </is>
      </c>
      <c r="D160" s="195" t="n">
        <v>691.88</v>
      </c>
      <c r="E160" s="195" t="n">
        <v>768.76</v>
      </c>
      <c r="F160" s="195" t="n">
        <v>801.37</v>
      </c>
      <c r="G160" s="195" t="n">
        <v>785.0599999999999</v>
      </c>
    </row>
    <row r="161">
      <c r="A161" s="196" t="inlineStr">
        <is>
          <t>2026-09-11 23:00:07</t>
        </is>
      </c>
      <c r="B161" s="196" t="inlineStr">
        <is>
          <t>USD</t>
        </is>
      </c>
      <c r="C161" s="196" t="inlineStr">
        <is>
          <t>US DOLLAR</t>
        </is>
      </c>
      <c r="D161" s="184" t="n">
        <v>25700</v>
      </c>
      <c r="E161" s="184" t="n">
        <v>25730</v>
      </c>
      <c r="F161" s="184" t="n">
        <v>26110</v>
      </c>
      <c r="G161" s="184" t="n">
        <v>25920</v>
      </c>
    </row>
    <row r="162">
      <c r="A162" s="194" t="inlineStr">
        <is>
          <t>2026-09-10 23:00:07</t>
        </is>
      </c>
      <c r="B162" s="194" t="inlineStr">
        <is>
          <t>AUD</t>
        </is>
      </c>
      <c r="C162" s="194" t="inlineStr">
        <is>
          <t>AUSTRALIAN DOLLAR</t>
        </is>
      </c>
      <c r="D162" s="195" t="n">
        <v>18202.28</v>
      </c>
      <c r="E162" s="195" t="n">
        <v>18386.14</v>
      </c>
      <c r="F162" s="195" t="n">
        <v>18975.38</v>
      </c>
      <c r="G162" s="195" t="n">
        <v>18680.76</v>
      </c>
    </row>
    <row r="163">
      <c r="A163" s="196" t="inlineStr">
        <is>
          <t>2026-09-10 23:00:07</t>
        </is>
      </c>
      <c r="B163" s="196" t="inlineStr">
        <is>
          <t>CAD</t>
        </is>
      </c>
      <c r="C163" s="196" t="inlineStr">
        <is>
          <t>CANADIAN DOLLAR</t>
        </is>
      </c>
      <c r="D163" s="184" t="n">
        <v>18289.94</v>
      </c>
      <c r="E163" s="184" t="n">
        <v>18474.69</v>
      </c>
      <c r="F163" s="184" t="n">
        <v>19066.77</v>
      </c>
      <c r="G163" s="184" t="n">
        <v>18770.73</v>
      </c>
    </row>
    <row r="164">
      <c r="A164" s="194" t="inlineStr">
        <is>
          <t>2026-09-10 23:00:07</t>
        </is>
      </c>
      <c r="B164" s="194" t="inlineStr">
        <is>
          <t>CHF</t>
        </is>
      </c>
      <c r="C164" s="194" t="inlineStr">
        <is>
          <t>SWISS FRANC</t>
        </is>
      </c>
      <c r="D164" s="195" t="n">
        <v>31153.12</v>
      </c>
      <c r="E164" s="195" t="n">
        <v>31467.8</v>
      </c>
      <c r="F164" s="195" t="n">
        <v>32476.29</v>
      </c>
      <c r="G164" s="195" t="n">
        <v>31972.04</v>
      </c>
    </row>
    <row r="165">
      <c r="A165" s="196" t="inlineStr">
        <is>
          <t>2026-09-10 23:00:07</t>
        </is>
      </c>
      <c r="B165" s="196" t="inlineStr">
        <is>
          <t>CNY</t>
        </is>
      </c>
      <c r="C165" s="196" t="inlineStr">
        <is>
          <t>YUAN RENMINBI</t>
        </is>
      </c>
      <c r="D165" s="184" t="n">
        <v>3766.69</v>
      </c>
      <c r="E165" s="184" t="n">
        <v>3804.74</v>
      </c>
      <c r="F165" s="184" t="n">
        <v>3926.67</v>
      </c>
      <c r="G165" s="184" t="n">
        <v>3865.7</v>
      </c>
    </row>
    <row r="166">
      <c r="A166" s="194" t="inlineStr">
        <is>
          <t>2026-09-10 23:00:07</t>
        </is>
      </c>
      <c r="B166" s="194" t="inlineStr">
        <is>
          <t>DKK</t>
        </is>
      </c>
      <c r="C166" s="194" t="inlineStr">
        <is>
          <t>DANISH KRONE</t>
        </is>
      </c>
      <c r="D166" s="195" t="n"/>
      <c r="E166" s="195" t="n">
        <v>3959.6</v>
      </c>
      <c r="F166" s="195" t="n">
        <v>4111.1</v>
      </c>
      <c r="G166" s="195" t="n">
        <v>4035.35</v>
      </c>
    </row>
    <row r="167">
      <c r="A167" s="196" t="inlineStr">
        <is>
          <t>2026-09-10 23:00:07</t>
        </is>
      </c>
      <c r="B167" s="196" t="inlineStr">
        <is>
          <t>EUR</t>
        </is>
      </c>
      <c r="C167" s="196" t="inlineStr">
        <is>
          <t>EURO</t>
        </is>
      </c>
      <c r="D167" s="184" t="n">
        <v>29378.23</v>
      </c>
      <c r="E167" s="184" t="n">
        <v>29674.98</v>
      </c>
      <c r="F167" s="184" t="n">
        <v>30927.74</v>
      </c>
      <c r="G167" s="184" t="n">
        <v>30301.36</v>
      </c>
    </row>
    <row r="168">
      <c r="A168" s="194" t="inlineStr">
        <is>
          <t>2026-09-10 23:00:07</t>
        </is>
      </c>
      <c r="B168" s="194" t="inlineStr">
        <is>
          <t>GBP</t>
        </is>
      </c>
      <c r="C168" s="194" t="inlineStr">
        <is>
          <t>POUND STERLING</t>
        </is>
      </c>
      <c r="D168" s="195" t="n">
        <v>34199.67</v>
      </c>
      <c r="E168" s="195" t="n">
        <v>34545.12</v>
      </c>
      <c r="F168" s="195" t="n">
        <v>35652.23</v>
      </c>
      <c r="G168" s="195" t="n">
        <v>35098.68</v>
      </c>
    </row>
    <row r="169">
      <c r="A169" s="196" t="inlineStr">
        <is>
          <t>2026-09-10 23:00:07</t>
        </is>
      </c>
      <c r="B169" s="196" t="inlineStr">
        <is>
          <t>HKD</t>
        </is>
      </c>
      <c r="C169" s="196" t="inlineStr">
        <is>
          <t>HONGKONG DOLLAR</t>
        </is>
      </c>
      <c r="D169" s="184" t="n">
        <v>3212.17</v>
      </c>
      <c r="E169" s="184" t="n">
        <v>3244.62</v>
      </c>
      <c r="F169" s="184" t="n">
        <v>3368.76</v>
      </c>
      <c r="G169" s="184" t="n">
        <v>3306.69</v>
      </c>
    </row>
    <row r="170">
      <c r="A170" s="194" t="inlineStr">
        <is>
          <t>2026-09-10 23:00:07</t>
        </is>
      </c>
      <c r="B170" s="194" t="inlineStr">
        <is>
          <t>INR</t>
        </is>
      </c>
      <c r="C170" s="194" t="inlineStr">
        <is>
          <t>INDIAN RUPEE</t>
        </is>
      </c>
      <c r="D170" s="195" t="n"/>
      <c r="E170" s="195" t="n">
        <v>269.98</v>
      </c>
      <c r="F170" s="195" t="n">
        <v>281.61</v>
      </c>
      <c r="G170" s="195" t="n">
        <v>275.8</v>
      </c>
    </row>
    <row r="171">
      <c r="A171" s="196" t="inlineStr">
        <is>
          <t>2026-09-10 23:00:07</t>
        </is>
      </c>
      <c r="B171" s="196" t="inlineStr">
        <is>
          <t>JPY</t>
        </is>
      </c>
      <c r="C171" s="196" t="inlineStr">
        <is>
          <t>YEN</t>
        </is>
      </c>
      <c r="D171" s="184" t="n">
        <v>162.76</v>
      </c>
      <c r="E171" s="184" t="n">
        <v>164.4</v>
      </c>
      <c r="F171" s="184" t="n">
        <v>173.99</v>
      </c>
      <c r="G171" s="184" t="n">
        <v>169.2</v>
      </c>
    </row>
    <row r="172">
      <c r="A172" s="194" t="inlineStr">
        <is>
          <t>2026-09-10 23:00:07</t>
        </is>
      </c>
      <c r="B172" s="194" t="inlineStr">
        <is>
          <t>KRW</t>
        </is>
      </c>
      <c r="C172" s="194" t="inlineStr">
        <is>
          <t>KOREAN WON</t>
        </is>
      </c>
      <c r="D172" s="195" t="n">
        <v>16.7</v>
      </c>
      <c r="E172" s="195" t="n">
        <v>18.55</v>
      </c>
      <c r="F172" s="195" t="n">
        <v>20.13</v>
      </c>
      <c r="G172" s="195" t="n">
        <v>19.34</v>
      </c>
    </row>
    <row r="173">
      <c r="A173" s="196" t="inlineStr">
        <is>
          <t>2026-09-10 23:00:07</t>
        </is>
      </c>
      <c r="B173" s="196" t="inlineStr">
        <is>
          <t>KWD</t>
        </is>
      </c>
      <c r="C173" s="196" t="inlineStr">
        <is>
          <t>KUWAITI DINAR</t>
        </is>
      </c>
      <c r="D173" s="184" t="n"/>
      <c r="E173" s="184" t="n">
        <v>84054.61</v>
      </c>
      <c r="F173" s="184" t="n">
        <v>88130.57000000001</v>
      </c>
      <c r="G173" s="184" t="n">
        <v>86092.59</v>
      </c>
    </row>
    <row r="174">
      <c r="A174" s="194" t="inlineStr">
        <is>
          <t>2026-09-10 23:00:07</t>
        </is>
      </c>
      <c r="B174" s="194" t="inlineStr">
        <is>
          <t>MYR</t>
        </is>
      </c>
      <c r="C174" s="194" t="inlineStr">
        <is>
          <t>MALAYSIAN RINGGIT</t>
        </is>
      </c>
      <c r="D174" s="195" t="n"/>
      <c r="E174" s="195" t="n">
        <v>6313.04</v>
      </c>
      <c r="F174" s="195" t="n">
        <v>6450.52</v>
      </c>
      <c r="G174" s="195" t="n">
        <v>6381.78</v>
      </c>
    </row>
    <row r="175">
      <c r="A175" s="196" t="inlineStr">
        <is>
          <t>2026-09-10 23:00:07</t>
        </is>
      </c>
      <c r="B175" s="196" t="inlineStr">
        <is>
          <t>NOK</t>
        </is>
      </c>
      <c r="C175" s="196" t="inlineStr">
        <is>
          <t>NORWEGIAN KRONER</t>
        </is>
      </c>
      <c r="D175" s="184" t="n"/>
      <c r="E175" s="184" t="n">
        <v>2753.82</v>
      </c>
      <c r="F175" s="184" t="n">
        <v>2870.65</v>
      </c>
      <c r="G175" s="184" t="n">
        <v>2812.24</v>
      </c>
    </row>
    <row r="176">
      <c r="A176" s="194" t="inlineStr">
        <is>
          <t>2026-09-10 23:00:07</t>
        </is>
      </c>
      <c r="B176" s="194" t="inlineStr">
        <is>
          <t>RUB</t>
        </is>
      </c>
      <c r="C176" s="194" t="inlineStr">
        <is>
          <t>RUSSIAN RUBLE</t>
        </is>
      </c>
      <c r="D176" s="195" t="n"/>
      <c r="E176" s="195" t="n">
        <v>292.75</v>
      </c>
      <c r="F176" s="195" t="n">
        <v>324.06</v>
      </c>
      <c r="G176" s="195" t="n">
        <v>308.4</v>
      </c>
    </row>
    <row r="177">
      <c r="A177" s="196" t="inlineStr">
        <is>
          <t>2026-09-10 23:00:07</t>
        </is>
      </c>
      <c r="B177" s="196" t="inlineStr">
        <is>
          <t>SAR</t>
        </is>
      </c>
      <c r="C177" s="196" t="inlineStr">
        <is>
          <t>SAUDI RIAL</t>
        </is>
      </c>
      <c r="D177" s="184" t="n"/>
      <c r="E177" s="184" t="n">
        <v>6863.52</v>
      </c>
      <c r="F177" s="184" t="n">
        <v>7159.06</v>
      </c>
      <c r="G177" s="184" t="n">
        <v>7011.29</v>
      </c>
    </row>
    <row r="178">
      <c r="A178" s="194" t="inlineStr">
        <is>
          <t>2026-09-10 23:00:07</t>
        </is>
      </c>
      <c r="B178" s="194" t="inlineStr">
        <is>
          <t>SEK</t>
        </is>
      </c>
      <c r="C178" s="194" t="inlineStr">
        <is>
          <t>SWEDISH KRONA</t>
        </is>
      </c>
      <c r="D178" s="195" t="n"/>
      <c r="E178" s="195" t="n">
        <v>2643.86</v>
      </c>
      <c r="F178" s="195" t="n">
        <v>2756.02</v>
      </c>
      <c r="G178" s="195" t="n">
        <v>2699.94</v>
      </c>
    </row>
    <row r="179">
      <c r="A179" s="196" t="inlineStr">
        <is>
          <t>2026-09-10 23:00:07</t>
        </is>
      </c>
      <c r="B179" s="196" t="inlineStr">
        <is>
          <t>SGD</t>
        </is>
      </c>
      <c r="C179" s="196" t="inlineStr">
        <is>
          <t>SINGAPORE DOLLAR</t>
        </is>
      </c>
      <c r="D179" s="184" t="n">
        <v>19942.48</v>
      </c>
      <c r="E179" s="184" t="n">
        <v>20143.92</v>
      </c>
      <c r="F179" s="184" t="n">
        <v>20831.12</v>
      </c>
      <c r="G179" s="184" t="n">
        <v>20487.52</v>
      </c>
    </row>
    <row r="180">
      <c r="A180" s="194" t="inlineStr">
        <is>
          <t>2026-09-10 23:00:07</t>
        </is>
      </c>
      <c r="B180" s="194" t="inlineStr">
        <is>
          <t>THB</t>
        </is>
      </c>
      <c r="C180" s="194" t="inlineStr">
        <is>
          <t>THAILAND BAHT</t>
        </is>
      </c>
      <c r="D180" s="195" t="n">
        <v>694.2</v>
      </c>
      <c r="E180" s="195" t="n">
        <v>771.33</v>
      </c>
      <c r="F180" s="195" t="n">
        <v>804.05</v>
      </c>
      <c r="G180" s="195" t="n">
        <v>787.6900000000001</v>
      </c>
    </row>
    <row r="181">
      <c r="A181" s="196" t="inlineStr">
        <is>
          <t>2026-09-10 23:00:07</t>
        </is>
      </c>
      <c r="B181" s="196" t="inlineStr">
        <is>
          <t>USD</t>
        </is>
      </c>
      <c r="C181" s="196" t="inlineStr">
        <is>
          <t>US DOLLAR</t>
        </is>
      </c>
      <c r="D181" s="184" t="n">
        <v>25700</v>
      </c>
      <c r="E181" s="184" t="n">
        <v>25730</v>
      </c>
      <c r="F181" s="184" t="n">
        <v>26110</v>
      </c>
      <c r="G181" s="184" t="n">
        <v>25920</v>
      </c>
    </row>
    <row r="182">
      <c r="A182" s="194" t="inlineStr">
        <is>
          <t>2026-09-09 23:00:03</t>
        </is>
      </c>
      <c r="B182" s="194" t="inlineStr">
        <is>
          <t>AUD</t>
        </is>
      </c>
      <c r="C182" s="194" t="inlineStr">
        <is>
          <t>AUSTRALIAN DOLLAR</t>
        </is>
      </c>
      <c r="D182" s="195" t="n">
        <v>18256.36</v>
      </c>
      <c r="E182" s="195" t="n">
        <v>18440.77</v>
      </c>
      <c r="F182" s="195" t="n">
        <v>19031.79</v>
      </c>
      <c r="G182" s="195" t="n">
        <v>18736.28</v>
      </c>
    </row>
    <row r="183">
      <c r="A183" s="196" t="inlineStr">
        <is>
          <t>2026-09-09 23:00:03</t>
        </is>
      </c>
      <c r="B183" s="196" t="inlineStr">
        <is>
          <t>CAD</t>
        </is>
      </c>
      <c r="C183" s="196" t="inlineStr">
        <is>
          <t>CANADIAN DOLLAR</t>
        </is>
      </c>
      <c r="D183" s="184" t="n">
        <v>18328.9</v>
      </c>
      <c r="E183" s="184" t="n">
        <v>18514.04</v>
      </c>
      <c r="F183" s="184" t="n">
        <v>19107.41</v>
      </c>
      <c r="G183" s="184" t="n">
        <v>18810.72</v>
      </c>
    </row>
    <row r="184">
      <c r="A184" s="194" t="inlineStr">
        <is>
          <t>2026-09-09 23:00:03</t>
        </is>
      </c>
      <c r="B184" s="194" t="inlineStr">
        <is>
          <t>CHF</t>
        </is>
      </c>
      <c r="C184" s="194" t="inlineStr">
        <is>
          <t>SWISS FRANC</t>
        </is>
      </c>
      <c r="D184" s="195" t="n">
        <v>31217.61</v>
      </c>
      <c r="E184" s="195" t="n">
        <v>31532.94</v>
      </c>
      <c r="F184" s="195" t="n">
        <v>32543.56</v>
      </c>
      <c r="G184" s="195" t="n">
        <v>32038.25</v>
      </c>
    </row>
    <row r="185">
      <c r="A185" s="196" t="inlineStr">
        <is>
          <t>2026-09-09 23:00:03</t>
        </is>
      </c>
      <c r="B185" s="196" t="inlineStr">
        <is>
          <t>CNY</t>
        </is>
      </c>
      <c r="C185" s="196" t="inlineStr">
        <is>
          <t>YUAN RENMINBI</t>
        </is>
      </c>
      <c r="D185" s="184" t="n">
        <v>3763.56</v>
      </c>
      <c r="E185" s="184" t="n">
        <v>3801.57</v>
      </c>
      <c r="F185" s="184" t="n">
        <v>3923.41</v>
      </c>
      <c r="G185" s="184" t="n">
        <v>3862.49</v>
      </c>
    </row>
    <row r="186">
      <c r="A186" s="194" t="inlineStr">
        <is>
          <t>2026-09-09 23:00:03</t>
        </is>
      </c>
      <c r="B186" s="194" t="inlineStr">
        <is>
          <t>DKK</t>
        </is>
      </c>
      <c r="C186" s="194" t="inlineStr">
        <is>
          <t>DANISH KRONE</t>
        </is>
      </c>
      <c r="D186" s="195" t="n"/>
      <c r="E186" s="195" t="n">
        <v>3958.95</v>
      </c>
      <c r="F186" s="195" t="n">
        <v>4110.43</v>
      </c>
      <c r="G186" s="195" t="n">
        <v>4034.69</v>
      </c>
    </row>
    <row r="187">
      <c r="A187" s="196" t="inlineStr">
        <is>
          <t>2026-09-09 23:00:03</t>
        </is>
      </c>
      <c r="B187" s="196" t="inlineStr">
        <is>
          <t>EUR</t>
        </is>
      </c>
      <c r="C187" s="196" t="inlineStr">
        <is>
          <t>EURO</t>
        </is>
      </c>
      <c r="D187" s="184" t="n">
        <v>29368.16</v>
      </c>
      <c r="E187" s="184" t="n">
        <v>29664.81</v>
      </c>
      <c r="F187" s="184" t="n">
        <v>30917.18</v>
      </c>
      <c r="G187" s="184" t="n">
        <v>30291</v>
      </c>
    </row>
    <row r="188">
      <c r="A188" s="194" t="inlineStr">
        <is>
          <t>2026-09-09 23:00:03</t>
        </is>
      </c>
      <c r="B188" s="194" t="inlineStr">
        <is>
          <t>GBP</t>
        </is>
      </c>
      <c r="C188" s="194" t="inlineStr">
        <is>
          <t>POUND STERLING</t>
        </is>
      </c>
      <c r="D188" s="195" t="n">
        <v>34216.16</v>
      </c>
      <c r="E188" s="195" t="n">
        <v>34561.78</v>
      </c>
      <c r="F188" s="195" t="n">
        <v>35669.47</v>
      </c>
      <c r="G188" s="195" t="n">
        <v>35115.62</v>
      </c>
    </row>
    <row r="189">
      <c r="A189" s="196" t="inlineStr">
        <is>
          <t>2026-09-09 23:00:03</t>
        </is>
      </c>
      <c r="B189" s="196" t="inlineStr">
        <is>
          <t>HKD</t>
        </is>
      </c>
      <c r="C189" s="196" t="inlineStr">
        <is>
          <t>HONGKONG DOLLAR</t>
        </is>
      </c>
      <c r="D189" s="184" t="n">
        <v>3209.2</v>
      </c>
      <c r="E189" s="184" t="n">
        <v>3241.62</v>
      </c>
      <c r="F189" s="184" t="n">
        <v>3365.65</v>
      </c>
      <c r="G189" s="184" t="n">
        <v>3303.64</v>
      </c>
    </row>
    <row r="190">
      <c r="A190" s="194" t="inlineStr">
        <is>
          <t>2026-09-09 23:00:03</t>
        </is>
      </c>
      <c r="B190" s="194" t="inlineStr">
        <is>
          <t>INR</t>
        </is>
      </c>
      <c r="C190" s="194" t="inlineStr">
        <is>
          <t>INDIAN RUPEE</t>
        </is>
      </c>
      <c r="D190" s="195" t="n"/>
      <c r="E190" s="195" t="n">
        <v>270.74</v>
      </c>
      <c r="F190" s="195" t="n">
        <v>282.4</v>
      </c>
      <c r="G190" s="195" t="n">
        <v>276.57</v>
      </c>
    </row>
    <row r="191">
      <c r="A191" s="196" t="inlineStr">
        <is>
          <t>2026-09-09 23:00:03</t>
        </is>
      </c>
      <c r="B191" s="196" t="inlineStr">
        <is>
          <t>JPY</t>
        </is>
      </c>
      <c r="C191" s="196" t="inlineStr">
        <is>
          <t>YEN</t>
        </is>
      </c>
      <c r="D191" s="184" t="n">
        <v>163.05</v>
      </c>
      <c r="E191" s="184" t="n">
        <v>164.7</v>
      </c>
      <c r="F191" s="184" t="n">
        <v>174.31</v>
      </c>
      <c r="G191" s="184" t="n">
        <v>169.5</v>
      </c>
    </row>
    <row r="192">
      <c r="A192" s="194" t="inlineStr">
        <is>
          <t>2026-09-09 23:00:03</t>
        </is>
      </c>
      <c r="B192" s="194" t="inlineStr">
        <is>
          <t>KRW</t>
        </is>
      </c>
      <c r="C192" s="194" t="inlineStr">
        <is>
          <t>KOREAN WON</t>
        </is>
      </c>
      <c r="D192" s="195" t="n">
        <v>16.77</v>
      </c>
      <c r="E192" s="195" t="n">
        <v>18.63</v>
      </c>
      <c r="F192" s="195" t="n">
        <v>20.21</v>
      </c>
      <c r="G192" s="195" t="n">
        <v>19.42</v>
      </c>
    </row>
    <row r="193">
      <c r="A193" s="196" t="inlineStr">
        <is>
          <t>2026-09-09 23:00:03</t>
        </is>
      </c>
      <c r="B193" s="196" t="inlineStr">
        <is>
          <t>KWD</t>
        </is>
      </c>
      <c r="C193" s="196" t="inlineStr">
        <is>
          <t>KUWAITI DINAR</t>
        </is>
      </c>
      <c r="D193" s="184" t="n"/>
      <c r="E193" s="184" t="n">
        <v>83989.71000000001</v>
      </c>
      <c r="F193" s="184" t="n">
        <v>88062.62</v>
      </c>
      <c r="G193" s="184" t="n">
        <v>86026.16</v>
      </c>
    </row>
    <row r="194">
      <c r="A194" s="194" t="inlineStr">
        <is>
          <t>2026-09-09 23:00:03</t>
        </is>
      </c>
      <c r="B194" s="194" t="inlineStr">
        <is>
          <t>MYR</t>
        </is>
      </c>
      <c r="C194" s="194" t="inlineStr">
        <is>
          <t>MALAYSIAN RINGGIT</t>
        </is>
      </c>
      <c r="D194" s="195" t="n"/>
      <c r="E194" s="195" t="n">
        <v>6303.51</v>
      </c>
      <c r="F194" s="195" t="n">
        <v>6440.79</v>
      </c>
      <c r="G194" s="195" t="n">
        <v>6372.15</v>
      </c>
    </row>
    <row r="195">
      <c r="A195" s="196" t="inlineStr">
        <is>
          <t>2026-09-09 23:00:03</t>
        </is>
      </c>
      <c r="B195" s="196" t="inlineStr">
        <is>
          <t>NOK</t>
        </is>
      </c>
      <c r="C195" s="196" t="inlineStr">
        <is>
          <t>NORWEGIAN KRONER</t>
        </is>
      </c>
      <c r="D195" s="184" t="n"/>
      <c r="E195" s="184" t="n">
        <v>2757.41</v>
      </c>
      <c r="F195" s="184" t="n">
        <v>2874.39</v>
      </c>
      <c r="G195" s="184" t="n">
        <v>2815.9</v>
      </c>
    </row>
    <row r="196">
      <c r="A196" s="194" t="inlineStr">
        <is>
          <t>2026-09-09 23:00:03</t>
        </is>
      </c>
      <c r="B196" s="194" t="inlineStr">
        <is>
          <t>RUB</t>
        </is>
      </c>
      <c r="C196" s="194" t="inlineStr">
        <is>
          <t>RUSSIAN RUBLE</t>
        </is>
      </c>
      <c r="D196" s="195" t="n"/>
      <c r="E196" s="195" t="n">
        <v>287.96</v>
      </c>
      <c r="F196" s="195" t="n">
        <v>318.76</v>
      </c>
      <c r="G196" s="195" t="n">
        <v>303.36</v>
      </c>
    </row>
    <row r="197">
      <c r="A197" s="196" t="inlineStr">
        <is>
          <t>2026-09-09 23:00:03</t>
        </is>
      </c>
      <c r="B197" s="196" t="inlineStr">
        <is>
          <t>SAR</t>
        </is>
      </c>
      <c r="C197" s="196" t="inlineStr">
        <is>
          <t>SAUDI RIAL</t>
        </is>
      </c>
      <c r="D197" s="184" t="n"/>
      <c r="E197" s="184" t="n">
        <v>6858.04</v>
      </c>
      <c r="F197" s="184" t="n">
        <v>7153.35</v>
      </c>
      <c r="G197" s="184" t="n">
        <v>7005.7</v>
      </c>
    </row>
    <row r="198">
      <c r="A198" s="194" t="inlineStr">
        <is>
          <t>2026-09-09 23:00:03</t>
        </is>
      </c>
      <c r="B198" s="194" t="inlineStr">
        <is>
          <t>SEK</t>
        </is>
      </c>
      <c r="C198" s="194" t="inlineStr">
        <is>
          <t>SWEDISH KRONA</t>
        </is>
      </c>
      <c r="D198" s="195" t="n"/>
      <c r="E198" s="195" t="n">
        <v>2649.32</v>
      </c>
      <c r="F198" s="195" t="n">
        <v>2761.72</v>
      </c>
      <c r="G198" s="195" t="n">
        <v>2705.52</v>
      </c>
    </row>
    <row r="199">
      <c r="A199" s="196" t="inlineStr">
        <is>
          <t>2026-09-09 23:00:03</t>
        </is>
      </c>
      <c r="B199" s="196" t="inlineStr">
        <is>
          <t>SGD</t>
        </is>
      </c>
      <c r="C199" s="196" t="inlineStr">
        <is>
          <t>SINGAPORE DOLLAR</t>
        </is>
      </c>
      <c r="D199" s="184" t="n">
        <v>19950.73</v>
      </c>
      <c r="E199" s="184" t="n">
        <v>20152.25</v>
      </c>
      <c r="F199" s="184" t="n">
        <v>20839.77</v>
      </c>
      <c r="G199" s="184" t="n">
        <v>20496.01</v>
      </c>
    </row>
    <row r="200">
      <c r="A200" s="194" t="inlineStr">
        <is>
          <t>2026-09-09 23:00:03</t>
        </is>
      </c>
      <c r="B200" s="194" t="inlineStr">
        <is>
          <t>THB</t>
        </is>
      </c>
      <c r="C200" s="194" t="inlineStr">
        <is>
          <t>THAILAND BAHT</t>
        </is>
      </c>
      <c r="D200" s="195" t="n">
        <v>695.35</v>
      </c>
      <c r="E200" s="195" t="n">
        <v>772.61</v>
      </c>
      <c r="F200" s="195" t="n">
        <v>805.39</v>
      </c>
      <c r="G200" s="195" t="n">
        <v>789</v>
      </c>
    </row>
    <row r="201">
      <c r="A201" s="196" t="inlineStr">
        <is>
          <t>2026-09-09 23:00:03</t>
        </is>
      </c>
      <c r="B201" s="196" t="inlineStr">
        <is>
          <t>USD</t>
        </is>
      </c>
      <c r="C201" s="196" t="inlineStr">
        <is>
          <t>US DOLLAR</t>
        </is>
      </c>
      <c r="D201" s="184" t="n">
        <v>25680</v>
      </c>
      <c r="E201" s="184" t="n">
        <v>25710</v>
      </c>
      <c r="F201" s="184" t="n">
        <v>26090</v>
      </c>
      <c r="G201" s="184" t="n">
        <v>25900</v>
      </c>
    </row>
    <row r="202">
      <c r="A202" s="194" t="inlineStr">
        <is>
          <t>2026-09-08 18:00:07</t>
        </is>
      </c>
      <c r="B202" s="194" t="inlineStr">
        <is>
          <t>AUD</t>
        </is>
      </c>
      <c r="C202" s="194" t="inlineStr">
        <is>
          <t>AUSTRALIAN DOLLAR</t>
        </is>
      </c>
      <c r="D202" s="195" t="n">
        <v>18250.07</v>
      </c>
      <c r="E202" s="195" t="n">
        <v>18434.41</v>
      </c>
      <c r="F202" s="195" t="n">
        <v>19025.15</v>
      </c>
      <c r="G202" s="195" t="n">
        <v>18729.78</v>
      </c>
    </row>
    <row r="203">
      <c r="A203" s="196" t="inlineStr">
        <is>
          <t>2026-09-08 18:00:07</t>
        </is>
      </c>
      <c r="B203" s="196" t="inlineStr">
        <is>
          <t>CAD</t>
        </is>
      </c>
      <c r="C203" s="196" t="inlineStr">
        <is>
          <t>CANADIAN DOLLAR</t>
        </is>
      </c>
      <c r="D203" s="184" t="n">
        <v>18333.22</v>
      </c>
      <c r="E203" s="184" t="n">
        <v>18518.4</v>
      </c>
      <c r="F203" s="184" t="n">
        <v>19111.83</v>
      </c>
      <c r="G203" s="184" t="n">
        <v>18815.12</v>
      </c>
    </row>
    <row r="204">
      <c r="A204" s="194" t="inlineStr">
        <is>
          <t>2026-09-08 18:00:07</t>
        </is>
      </c>
      <c r="B204" s="194" t="inlineStr">
        <is>
          <t>CHF</t>
        </is>
      </c>
      <c r="C204" s="194" t="inlineStr">
        <is>
          <t>SWISS FRANC</t>
        </is>
      </c>
      <c r="D204" s="195" t="n">
        <v>31197.88</v>
      </c>
      <c r="E204" s="195" t="n">
        <v>31513.01</v>
      </c>
      <c r="F204" s="195" t="n">
        <v>32522.85</v>
      </c>
      <c r="G204" s="195" t="n">
        <v>32017.93</v>
      </c>
    </row>
    <row r="205">
      <c r="A205" s="196" t="inlineStr">
        <is>
          <t>2026-09-08 18:00:07</t>
        </is>
      </c>
      <c r="B205" s="196" t="inlineStr">
        <is>
          <t>CNY</t>
        </is>
      </c>
      <c r="C205" s="196" t="inlineStr">
        <is>
          <t>YUAN RENMINBI</t>
        </is>
      </c>
      <c r="D205" s="184" t="n">
        <v>3771.83</v>
      </c>
      <c r="E205" s="184" t="n">
        <v>3809.93</v>
      </c>
      <c r="F205" s="184" t="n">
        <v>3932.02</v>
      </c>
      <c r="G205" s="184" t="n">
        <v>3870.98</v>
      </c>
    </row>
    <row r="206">
      <c r="A206" s="194" t="inlineStr">
        <is>
          <t>2026-09-08 18:00:07</t>
        </is>
      </c>
      <c r="B206" s="194" t="inlineStr">
        <is>
          <t>DKK</t>
        </is>
      </c>
      <c r="C206" s="194" t="inlineStr">
        <is>
          <t>DANISH KRONE</t>
        </is>
      </c>
      <c r="D206" s="195" t="n"/>
      <c r="E206" s="195" t="n">
        <v>3960.9</v>
      </c>
      <c r="F206" s="195" t="n">
        <v>4112.43</v>
      </c>
      <c r="G206" s="195" t="n">
        <v>4036.66</v>
      </c>
    </row>
    <row r="207">
      <c r="A207" s="196" t="inlineStr">
        <is>
          <t>2026-09-08 18:00:07</t>
        </is>
      </c>
      <c r="B207" s="196" t="inlineStr">
        <is>
          <t>EUR</t>
        </is>
      </c>
      <c r="C207" s="196" t="inlineStr">
        <is>
          <t>EURO</t>
        </is>
      </c>
      <c r="D207" s="184" t="n">
        <v>29386.86</v>
      </c>
      <c r="E207" s="184" t="n">
        <v>29683.7</v>
      </c>
      <c r="F207" s="184" t="n">
        <v>30936.74</v>
      </c>
      <c r="G207" s="184" t="n">
        <v>30310.22</v>
      </c>
    </row>
    <row r="208">
      <c r="A208" s="194" t="inlineStr">
        <is>
          <t>2026-09-08 18:00:07</t>
        </is>
      </c>
      <c r="B208" s="194" t="inlineStr">
        <is>
          <t>GBP</t>
        </is>
      </c>
      <c r="C208" s="194" t="inlineStr">
        <is>
          <t>POUND STERLING</t>
        </is>
      </c>
      <c r="D208" s="195" t="n">
        <v>34227.74</v>
      </c>
      <c r="E208" s="195" t="n">
        <v>34573.47</v>
      </c>
      <c r="F208" s="195" t="n">
        <v>35681.39</v>
      </c>
      <c r="G208" s="195" t="n">
        <v>35127.43</v>
      </c>
    </row>
    <row r="209">
      <c r="A209" s="196" t="inlineStr">
        <is>
          <t>2026-09-08 18:00:07</t>
        </is>
      </c>
      <c r="B209" s="196" t="inlineStr">
        <is>
          <t>HKD</t>
        </is>
      </c>
      <c r="C209" s="196" t="inlineStr">
        <is>
          <t>HONGKONG DOLLAR</t>
        </is>
      </c>
      <c r="D209" s="184" t="n">
        <v>3218.21</v>
      </c>
      <c r="E209" s="184" t="n">
        <v>3250.72</v>
      </c>
      <c r="F209" s="184" t="n">
        <v>3375.08</v>
      </c>
      <c r="G209" s="184" t="n">
        <v>3312.9</v>
      </c>
    </row>
    <row r="210">
      <c r="A210" s="194" t="inlineStr">
        <is>
          <t>2026-09-08 18:00:07</t>
        </is>
      </c>
      <c r="B210" s="194" t="inlineStr">
        <is>
          <t>INR</t>
        </is>
      </c>
      <c r="C210" s="194" t="inlineStr">
        <is>
          <t>INDIAN RUPEE</t>
        </is>
      </c>
      <c r="D210" s="195" t="n"/>
      <c r="E210" s="195" t="n">
        <v>272.32</v>
      </c>
      <c r="F210" s="195" t="n">
        <v>284.05</v>
      </c>
      <c r="G210" s="195" t="n">
        <v>278.18</v>
      </c>
    </row>
    <row r="211">
      <c r="A211" s="196" t="inlineStr">
        <is>
          <t>2026-09-08 18:00:07</t>
        </is>
      </c>
      <c r="B211" s="196" t="inlineStr">
        <is>
          <t>JPY</t>
        </is>
      </c>
      <c r="C211" s="196" t="inlineStr">
        <is>
          <t>YEN</t>
        </is>
      </c>
      <c r="D211" s="184" t="n">
        <v>162.78</v>
      </c>
      <c r="E211" s="184" t="n">
        <v>164.43</v>
      </c>
      <c r="F211" s="184" t="n">
        <v>174.02</v>
      </c>
      <c r="G211" s="184" t="n">
        <v>169.23</v>
      </c>
    </row>
    <row r="212">
      <c r="A212" s="194" t="inlineStr">
        <is>
          <t>2026-09-08 18:00:07</t>
        </is>
      </c>
      <c r="B212" s="194" t="inlineStr">
        <is>
          <t>KRW</t>
        </is>
      </c>
      <c r="C212" s="194" t="inlineStr">
        <is>
          <t>KOREAN WON</t>
        </is>
      </c>
      <c r="D212" s="195" t="n">
        <v>16.72</v>
      </c>
      <c r="E212" s="195" t="n">
        <v>18.58</v>
      </c>
      <c r="F212" s="195" t="n">
        <v>20.16</v>
      </c>
      <c r="G212" s="195" t="n">
        <v>19.37</v>
      </c>
    </row>
    <row r="213">
      <c r="A213" s="196" t="inlineStr">
        <is>
          <t>2026-09-08 18:00:07</t>
        </is>
      </c>
      <c r="B213" s="196" t="inlineStr">
        <is>
          <t>KWD</t>
        </is>
      </c>
      <c r="C213" s="196" t="inlineStr">
        <is>
          <t>KUWAITI DINAR</t>
        </is>
      </c>
      <c r="D213" s="184" t="n"/>
      <c r="E213" s="184" t="n">
        <v>84216.88</v>
      </c>
      <c r="F213" s="184" t="n">
        <v>88300.45</v>
      </c>
      <c r="G213" s="184" t="n">
        <v>86258.66</v>
      </c>
    </row>
    <row r="214">
      <c r="A214" s="194" t="inlineStr">
        <is>
          <t>2026-09-08 18:00:07</t>
        </is>
      </c>
      <c r="B214" s="194" t="inlineStr">
        <is>
          <t>MYR</t>
        </is>
      </c>
      <c r="C214" s="194" t="inlineStr">
        <is>
          <t>MALAYSIAN RINGGIT</t>
        </is>
      </c>
      <c r="D214" s="195" t="n"/>
      <c r="E214" s="195" t="n">
        <v>6333.02</v>
      </c>
      <c r="F214" s="195" t="n">
        <v>6470.92</v>
      </c>
      <c r="G214" s="195" t="n">
        <v>6401.97</v>
      </c>
    </row>
    <row r="215">
      <c r="A215" s="196" t="inlineStr">
        <is>
          <t>2026-09-08 18:00:07</t>
        </is>
      </c>
      <c r="B215" s="196" t="inlineStr">
        <is>
          <t>NOK</t>
        </is>
      </c>
      <c r="C215" s="196" t="inlineStr">
        <is>
          <t>NORWEGIAN KRONER</t>
        </is>
      </c>
      <c r="D215" s="184" t="n"/>
      <c r="E215" s="184" t="n">
        <v>2746.8</v>
      </c>
      <c r="F215" s="184" t="n">
        <v>2863.33</v>
      </c>
      <c r="G215" s="184" t="n">
        <v>2805.06</v>
      </c>
    </row>
    <row r="216">
      <c r="A216" s="194" t="inlineStr">
        <is>
          <t>2026-09-08 18:00:07</t>
        </is>
      </c>
      <c r="B216" s="194" t="inlineStr">
        <is>
          <t>RUB</t>
        </is>
      </c>
      <c r="C216" s="194" t="inlineStr">
        <is>
          <t>RUSSIAN RUBLE</t>
        </is>
      </c>
      <c r="D216" s="195" t="n"/>
      <c r="E216" s="195" t="n">
        <v>285.64</v>
      </c>
      <c r="F216" s="195" t="n">
        <v>316.19</v>
      </c>
      <c r="G216" s="195" t="n">
        <v>300.91</v>
      </c>
    </row>
    <row r="217">
      <c r="A217" s="196" t="inlineStr">
        <is>
          <t>2026-09-08 18:00:07</t>
        </is>
      </c>
      <c r="B217" s="196" t="inlineStr">
        <is>
          <t>SAR</t>
        </is>
      </c>
      <c r="C217" s="196" t="inlineStr">
        <is>
          <t>SAUDI RIAL</t>
        </is>
      </c>
      <c r="D217" s="184" t="n"/>
      <c r="E217" s="184" t="n">
        <v>6875.67</v>
      </c>
      <c r="F217" s="184" t="n">
        <v>7171.71</v>
      </c>
      <c r="G217" s="184" t="n">
        <v>7023.69</v>
      </c>
    </row>
    <row r="218">
      <c r="A218" s="194" t="inlineStr">
        <is>
          <t>2026-09-08 18:00:07</t>
        </is>
      </c>
      <c r="B218" s="194" t="inlineStr">
        <is>
          <t>SEK</t>
        </is>
      </c>
      <c r="C218" s="194" t="inlineStr">
        <is>
          <t>SWEDISH KRONA</t>
        </is>
      </c>
      <c r="D218" s="195" t="n"/>
      <c r="E218" s="195" t="n">
        <v>2647.59</v>
      </c>
      <c r="F218" s="195" t="n">
        <v>2759.9</v>
      </c>
      <c r="G218" s="195" t="n">
        <v>2703.74</v>
      </c>
    </row>
    <row r="219">
      <c r="A219" s="196" t="inlineStr">
        <is>
          <t>2026-09-08 18:00:07</t>
        </is>
      </c>
      <c r="B219" s="196" t="inlineStr">
        <is>
          <t>SGD</t>
        </is>
      </c>
      <c r="C219" s="196" t="inlineStr">
        <is>
          <t>SINGAPORE DOLLAR</t>
        </is>
      </c>
      <c r="D219" s="184" t="n">
        <v>19976.24</v>
      </c>
      <c r="E219" s="184" t="n">
        <v>20178.02</v>
      </c>
      <c r="F219" s="184" t="n">
        <v>20866.33</v>
      </c>
      <c r="G219" s="184" t="n">
        <v>20522.18</v>
      </c>
    </row>
    <row r="220">
      <c r="A220" s="194" t="inlineStr">
        <is>
          <t>2026-09-08 18:00:07</t>
        </is>
      </c>
      <c r="B220" s="194" t="inlineStr">
        <is>
          <t>THB</t>
        </is>
      </c>
      <c r="C220" s="194" t="inlineStr">
        <is>
          <t>THAILAND BAHT</t>
        </is>
      </c>
      <c r="D220" s="195" t="n">
        <v>695.75</v>
      </c>
      <c r="E220" s="195" t="n">
        <v>773.05</v>
      </c>
      <c r="F220" s="195" t="n">
        <v>805.85</v>
      </c>
      <c r="G220" s="195" t="n">
        <v>789.45</v>
      </c>
    </row>
    <row r="221">
      <c r="A221" s="196" t="inlineStr">
        <is>
          <t>2026-09-08 18:00:07</t>
        </is>
      </c>
      <c r="B221" s="196" t="inlineStr">
        <is>
          <t>USD</t>
        </is>
      </c>
      <c r="C221" s="196" t="inlineStr">
        <is>
          <t>US DOLLAR</t>
        </is>
      </c>
      <c r="D221" s="184" t="n">
        <v>25750</v>
      </c>
      <c r="E221" s="184" t="n">
        <v>25780</v>
      </c>
      <c r="F221" s="184" t="n">
        <v>26160</v>
      </c>
      <c r="G221" s="184" t="n">
        <v>25970</v>
      </c>
    </row>
    <row r="222">
      <c r="A222" s="194" t="inlineStr">
        <is>
          <t>2026-09-07 18:00:09</t>
        </is>
      </c>
      <c r="B222" s="194" t="inlineStr">
        <is>
          <t>AUD</t>
        </is>
      </c>
      <c r="C222" s="194" t="inlineStr">
        <is>
          <t>AUSTRALIAN DOLLAR</t>
        </is>
      </c>
      <c r="D222" s="195" t="n">
        <v>18297.91</v>
      </c>
      <c r="E222" s="195" t="n">
        <v>18482.74</v>
      </c>
      <c r="F222" s="195" t="n">
        <v>19074.96</v>
      </c>
      <c r="G222" s="195" t="n">
        <v>18778.85</v>
      </c>
    </row>
    <row r="223">
      <c r="A223" s="196" t="inlineStr">
        <is>
          <t>2026-09-07 18:00:09</t>
        </is>
      </c>
      <c r="B223" s="196" t="inlineStr">
        <is>
          <t>CAD</t>
        </is>
      </c>
      <c r="C223" s="196" t="inlineStr">
        <is>
          <t>CANADIAN DOLLAR</t>
        </is>
      </c>
      <c r="D223" s="184" t="n">
        <v>18345.95</v>
      </c>
      <c r="E223" s="184" t="n">
        <v>18531.26</v>
      </c>
      <c r="F223" s="184" t="n">
        <v>19125.04</v>
      </c>
      <c r="G223" s="184" t="n">
        <v>18828.15</v>
      </c>
    </row>
    <row r="224">
      <c r="A224" s="194" t="inlineStr">
        <is>
          <t>2026-09-07 18:00:09</t>
        </is>
      </c>
      <c r="B224" s="194" t="inlineStr">
        <is>
          <t>CHF</t>
        </is>
      </c>
      <c r="C224" s="194" t="inlineStr">
        <is>
          <t>SWISS FRANC</t>
        </is>
      </c>
      <c r="D224" s="195" t="n">
        <v>31346.86</v>
      </c>
      <c r="E224" s="195" t="n">
        <v>31663.49</v>
      </c>
      <c r="F224" s="195" t="n">
        <v>32678.06</v>
      </c>
      <c r="G224" s="195" t="n">
        <v>32170.78</v>
      </c>
    </row>
    <row r="225">
      <c r="A225" s="196" t="inlineStr">
        <is>
          <t>2026-09-07 18:00:09</t>
        </is>
      </c>
      <c r="B225" s="196" t="inlineStr">
        <is>
          <t>CNY</t>
        </is>
      </c>
      <c r="C225" s="196" t="inlineStr">
        <is>
          <t>YUAN RENMINBI</t>
        </is>
      </c>
      <c r="D225" s="184" t="n">
        <v>3778.92</v>
      </c>
      <c r="E225" s="184" t="n">
        <v>3817.1</v>
      </c>
      <c r="F225" s="184" t="n">
        <v>3939.4</v>
      </c>
      <c r="G225" s="184" t="n">
        <v>3878.25</v>
      </c>
    </row>
    <row r="226">
      <c r="A226" s="194" t="inlineStr">
        <is>
          <t>2026-09-07 18:00:09</t>
        </is>
      </c>
      <c r="B226" s="194" t="inlineStr">
        <is>
          <t>DKK</t>
        </is>
      </c>
      <c r="C226" s="194" t="inlineStr">
        <is>
          <t>DANISH KRONE</t>
        </is>
      </c>
      <c r="D226" s="195" t="n"/>
      <c r="E226" s="195" t="n">
        <v>3971.62</v>
      </c>
      <c r="F226" s="195" t="n">
        <v>4123.55</v>
      </c>
      <c r="G226" s="195" t="n">
        <v>4047.58</v>
      </c>
    </row>
    <row r="227">
      <c r="A227" s="196" t="inlineStr">
        <is>
          <t>2026-09-07 18:00:09</t>
        </is>
      </c>
      <c r="B227" s="196" t="inlineStr">
        <is>
          <t>EUR</t>
        </is>
      </c>
      <c r="C227" s="196" t="inlineStr">
        <is>
          <t>EURO</t>
        </is>
      </c>
      <c r="D227" s="184" t="n">
        <v>29466.3</v>
      </c>
      <c r="E227" s="184" t="n">
        <v>29763.94</v>
      </c>
      <c r="F227" s="184" t="n">
        <v>31020.28</v>
      </c>
      <c r="G227" s="184" t="n">
        <v>30392.11</v>
      </c>
    </row>
    <row r="228">
      <c r="A228" s="194" t="inlineStr">
        <is>
          <t>2026-09-07 18:00:09</t>
        </is>
      </c>
      <c r="B228" s="194" t="inlineStr">
        <is>
          <t>GBP</t>
        </is>
      </c>
      <c r="C228" s="194" t="inlineStr">
        <is>
          <t>POUND STERLING</t>
        </is>
      </c>
      <c r="D228" s="195" t="n">
        <v>34311.43</v>
      </c>
      <c r="E228" s="195" t="n">
        <v>34658.01</v>
      </c>
      <c r="F228" s="195" t="n">
        <v>35768.53</v>
      </c>
      <c r="G228" s="195" t="n">
        <v>35213.27</v>
      </c>
    </row>
    <row r="229">
      <c r="A229" s="196" t="inlineStr">
        <is>
          <t>2026-09-07 18:00:09</t>
        </is>
      </c>
      <c r="B229" s="196" t="inlineStr">
        <is>
          <t>HKD</t>
        </is>
      </c>
      <c r="C229" s="196" t="inlineStr">
        <is>
          <t>HONGKONG DOLLAR</t>
        </is>
      </c>
      <c r="D229" s="184" t="n">
        <v>3225.11</v>
      </c>
      <c r="E229" s="184" t="n">
        <v>3257.69</v>
      </c>
      <c r="F229" s="184" t="n">
        <v>3382.31</v>
      </c>
      <c r="G229" s="184" t="n">
        <v>3320</v>
      </c>
    </row>
    <row r="230">
      <c r="A230" s="194" t="inlineStr">
        <is>
          <t>2026-09-07 18:00:09</t>
        </is>
      </c>
      <c r="B230" s="194" t="inlineStr">
        <is>
          <t>INR</t>
        </is>
      </c>
      <c r="C230" s="194" t="inlineStr">
        <is>
          <t>INDIAN RUPEE</t>
        </is>
      </c>
      <c r="D230" s="195" t="n"/>
      <c r="E230" s="195" t="n">
        <v>273.85</v>
      </c>
      <c r="F230" s="195" t="n">
        <v>285.64</v>
      </c>
      <c r="G230" s="195" t="n">
        <v>279.74</v>
      </c>
    </row>
    <row r="231">
      <c r="A231" s="196" t="inlineStr">
        <is>
          <t>2026-09-07 18:00:09</t>
        </is>
      </c>
      <c r="B231" s="196" t="inlineStr">
        <is>
          <t>JPY</t>
        </is>
      </c>
      <c r="C231" s="196" t="inlineStr">
        <is>
          <t>YEN</t>
        </is>
      </c>
      <c r="D231" s="184" t="n">
        <v>162.62</v>
      </c>
      <c r="E231" s="184" t="n">
        <v>164.27</v>
      </c>
      <c r="F231" s="184" t="n">
        <v>173.85</v>
      </c>
      <c r="G231" s="184" t="n">
        <v>169.06</v>
      </c>
    </row>
    <row r="232">
      <c r="A232" s="194" t="inlineStr">
        <is>
          <t>2026-09-07 18:00:09</t>
        </is>
      </c>
      <c r="B232" s="194" t="inlineStr">
        <is>
          <t>KRW</t>
        </is>
      </c>
      <c r="C232" s="194" t="inlineStr">
        <is>
          <t>KOREAN WON</t>
        </is>
      </c>
      <c r="D232" s="195" t="n">
        <v>16.74</v>
      </c>
      <c r="E232" s="195" t="n">
        <v>18.61</v>
      </c>
      <c r="F232" s="195" t="n">
        <v>20.19</v>
      </c>
      <c r="G232" s="195" t="n">
        <v>19.4</v>
      </c>
    </row>
    <row r="233">
      <c r="A233" s="196" t="inlineStr">
        <is>
          <t>2026-09-07 18:00:09</t>
        </is>
      </c>
      <c r="B233" s="196" t="inlineStr">
        <is>
          <t>KWD</t>
        </is>
      </c>
      <c r="C233" s="196" t="inlineStr">
        <is>
          <t>KUWAITI DINAR</t>
        </is>
      </c>
      <c r="D233" s="184" t="n"/>
      <c r="E233" s="184" t="n">
        <v>84324.14</v>
      </c>
      <c r="F233" s="184" t="n">
        <v>88412.64999999999</v>
      </c>
      <c r="G233" s="184" t="n">
        <v>86368.39</v>
      </c>
    </row>
    <row r="234">
      <c r="A234" s="194" t="inlineStr">
        <is>
          <t>2026-09-07 18:00:09</t>
        </is>
      </c>
      <c r="B234" s="194" t="inlineStr">
        <is>
          <t>MYR</t>
        </is>
      </c>
      <c r="C234" s="194" t="inlineStr">
        <is>
          <t>MALAYSIAN RINGGIT</t>
        </is>
      </c>
      <c r="D234" s="195" t="n"/>
      <c r="E234" s="195" t="n">
        <v>6365.62</v>
      </c>
      <c r="F234" s="195" t="n">
        <v>6504.21</v>
      </c>
      <c r="G234" s="195" t="n">
        <v>6434.92</v>
      </c>
    </row>
    <row r="235">
      <c r="A235" s="196" t="inlineStr">
        <is>
          <t>2026-09-07 18:00:09</t>
        </is>
      </c>
      <c r="B235" s="196" t="inlineStr">
        <is>
          <t>NOK</t>
        </is>
      </c>
      <c r="C235" s="196" t="inlineStr">
        <is>
          <t>NORWEGIAN KRONER</t>
        </is>
      </c>
      <c r="D235" s="184" t="n"/>
      <c r="E235" s="184" t="n">
        <v>2748.86</v>
      </c>
      <c r="F235" s="184" t="n">
        <v>2865.46</v>
      </c>
      <c r="G235" s="184" t="n">
        <v>2807.16</v>
      </c>
    </row>
    <row r="236">
      <c r="A236" s="194" t="inlineStr">
        <is>
          <t>2026-09-07 18:00:09</t>
        </is>
      </c>
      <c r="B236" s="194" t="inlineStr">
        <is>
          <t>RUB</t>
        </is>
      </c>
      <c r="C236" s="194" t="inlineStr">
        <is>
          <t>RUSSIAN RUBLE</t>
        </is>
      </c>
      <c r="D236" s="195" t="n"/>
      <c r="E236" s="195" t="n">
        <v>286.29</v>
      </c>
      <c r="F236" s="195" t="n">
        <v>316.92</v>
      </c>
      <c r="G236" s="195" t="n">
        <v>301.6</v>
      </c>
    </row>
    <row r="237">
      <c r="A237" s="196" t="inlineStr">
        <is>
          <t>2026-09-07 18:00:09</t>
        </is>
      </c>
      <c r="B237" s="196" t="inlineStr">
        <is>
          <t>SAR</t>
        </is>
      </c>
      <c r="C237" s="196" t="inlineStr">
        <is>
          <t>SAUDI RIAL</t>
        </is>
      </c>
      <c r="D237" s="184" t="n"/>
      <c r="E237" s="184" t="n">
        <v>6890.02</v>
      </c>
      <c r="F237" s="184" t="n">
        <v>7186.66</v>
      </c>
      <c r="G237" s="184" t="n">
        <v>7038.34</v>
      </c>
    </row>
    <row r="238">
      <c r="A238" s="194" t="inlineStr">
        <is>
          <t>2026-09-07 18:00:09</t>
        </is>
      </c>
      <c r="B238" s="194" t="inlineStr">
        <is>
          <t>SEK</t>
        </is>
      </c>
      <c r="C238" s="194" t="inlineStr">
        <is>
          <t>SWEDISH KRONA</t>
        </is>
      </c>
      <c r="D238" s="195" t="n"/>
      <c r="E238" s="195" t="n">
        <v>2654.81</v>
      </c>
      <c r="F238" s="195" t="n">
        <v>2767.42</v>
      </c>
      <c r="G238" s="195" t="n">
        <v>2711.12</v>
      </c>
    </row>
    <row r="239">
      <c r="A239" s="196" t="inlineStr">
        <is>
          <t>2026-09-07 18:00:09</t>
        </is>
      </c>
      <c r="B239" s="196" t="inlineStr">
        <is>
          <t>SGD</t>
        </is>
      </c>
      <c r="C239" s="196" t="inlineStr">
        <is>
          <t>SINGAPORE DOLLAR</t>
        </is>
      </c>
      <c r="D239" s="184" t="n">
        <v>20016.31</v>
      </c>
      <c r="E239" s="184" t="n">
        <v>20218.5</v>
      </c>
      <c r="F239" s="184" t="n">
        <v>20908.13</v>
      </c>
      <c r="G239" s="184" t="n">
        <v>20563.32</v>
      </c>
    </row>
    <row r="240">
      <c r="A240" s="194" t="inlineStr">
        <is>
          <t>2026-09-07 18:00:09</t>
        </is>
      </c>
      <c r="B240" s="194" t="inlineStr">
        <is>
          <t>THB</t>
        </is>
      </c>
      <c r="C240" s="194" t="inlineStr">
        <is>
          <t>THAILAND BAHT</t>
        </is>
      </c>
      <c r="D240" s="195" t="n">
        <v>698.36</v>
      </c>
      <c r="E240" s="195" t="n">
        <v>775.96</v>
      </c>
      <c r="F240" s="195" t="n">
        <v>808.87</v>
      </c>
      <c r="G240" s="195" t="n">
        <v>792.42</v>
      </c>
    </row>
    <row r="241">
      <c r="A241" s="196" t="inlineStr">
        <is>
          <t>2026-09-07 18:00:09</t>
        </is>
      </c>
      <c r="B241" s="196" t="inlineStr">
        <is>
          <t>USD</t>
        </is>
      </c>
      <c r="C241" s="196" t="inlineStr">
        <is>
          <t>US DOLLAR</t>
        </is>
      </c>
      <c r="D241" s="184" t="n">
        <v>25800</v>
      </c>
      <c r="E241" s="184" t="n">
        <v>25830</v>
      </c>
      <c r="F241" s="184" t="n">
        <v>26210</v>
      </c>
      <c r="G241" s="184" t="n">
        <v>26020</v>
      </c>
    </row>
    <row r="242">
      <c r="A242" s="194" t="inlineStr">
        <is>
          <t>2026-09-06 18:00:09</t>
        </is>
      </c>
      <c r="B242" s="194" t="inlineStr">
        <is>
          <t>AUD</t>
        </is>
      </c>
      <c r="C242" s="194" t="inlineStr">
        <is>
          <t>AUSTRALIAN DOLLAR</t>
        </is>
      </c>
      <c r="D242" s="195" t="n">
        <v>18283.86</v>
      </c>
      <c r="E242" s="195" t="n">
        <v>18468.55</v>
      </c>
      <c r="F242" s="195" t="n">
        <v>19060.27</v>
      </c>
      <c r="G242" s="195" t="n">
        <v>18764.41</v>
      </c>
    </row>
    <row r="243">
      <c r="A243" s="196" t="inlineStr">
        <is>
          <t>2026-09-06 18:00:09</t>
        </is>
      </c>
      <c r="B243" s="196" t="inlineStr">
        <is>
          <t>CAD</t>
        </is>
      </c>
      <c r="C243" s="196" t="inlineStr">
        <is>
          <t>CANADIAN DOLLAR</t>
        </is>
      </c>
      <c r="D243" s="184" t="n">
        <v>18407</v>
      </c>
      <c r="E243" s="184" t="n">
        <v>18592.93</v>
      </c>
      <c r="F243" s="184" t="n">
        <v>19188.63</v>
      </c>
      <c r="G243" s="184" t="n">
        <v>18890.78</v>
      </c>
    </row>
    <row r="244">
      <c r="A244" s="194" t="inlineStr">
        <is>
          <t>2026-09-06 18:00:09</t>
        </is>
      </c>
      <c r="B244" s="194" t="inlineStr">
        <is>
          <t>CHF</t>
        </is>
      </c>
      <c r="C244" s="194" t="inlineStr">
        <is>
          <t>SWISS FRANC</t>
        </is>
      </c>
      <c r="D244" s="195" t="n">
        <v>31412.76</v>
      </c>
      <c r="E244" s="195" t="n">
        <v>31730.06</v>
      </c>
      <c r="F244" s="195" t="n">
        <v>32746.67</v>
      </c>
      <c r="G244" s="195" t="n">
        <v>32238.36</v>
      </c>
    </row>
    <row r="245">
      <c r="A245" s="196" t="inlineStr">
        <is>
          <t>2026-09-06 18:00:09</t>
        </is>
      </c>
      <c r="B245" s="196" t="inlineStr">
        <is>
          <t>CNY</t>
        </is>
      </c>
      <c r="C245" s="196" t="inlineStr">
        <is>
          <t>YUAN RENMINBI</t>
        </is>
      </c>
      <c r="D245" s="184" t="n">
        <v>3785.58</v>
      </c>
      <c r="E245" s="184" t="n">
        <v>3823.82</v>
      </c>
      <c r="F245" s="184" t="n">
        <v>3946.33</v>
      </c>
      <c r="G245" s="184" t="n">
        <v>3885.08</v>
      </c>
    </row>
    <row r="246">
      <c r="A246" s="194" t="inlineStr">
        <is>
          <t>2026-09-06 18:00:09</t>
        </is>
      </c>
      <c r="B246" s="194" t="inlineStr">
        <is>
          <t>DKK</t>
        </is>
      </c>
      <c r="C246" s="194" t="inlineStr">
        <is>
          <t>DANISH KRONE</t>
        </is>
      </c>
      <c r="D246" s="195" t="n"/>
      <c r="E246" s="195" t="n">
        <v>3978.43</v>
      </c>
      <c r="F246" s="195" t="n">
        <v>4130.61</v>
      </c>
      <c r="G246" s="195" t="n">
        <v>4054.52</v>
      </c>
    </row>
    <row r="247">
      <c r="A247" s="196" t="inlineStr">
        <is>
          <t>2026-09-06 18:00:09</t>
        </is>
      </c>
      <c r="B247" s="196" t="inlineStr">
        <is>
          <t>EUR</t>
        </is>
      </c>
      <c r="C247" s="196" t="inlineStr">
        <is>
          <t>EURO</t>
        </is>
      </c>
      <c r="D247" s="184" t="n">
        <v>29514.76</v>
      </c>
      <c r="E247" s="184" t="n">
        <v>29812.89</v>
      </c>
      <c r="F247" s="184" t="n">
        <v>31071.21</v>
      </c>
      <c r="G247" s="184" t="n">
        <v>30442.05</v>
      </c>
    </row>
    <row r="248">
      <c r="A248" s="194" t="inlineStr">
        <is>
          <t>2026-09-06 18:00:09</t>
        </is>
      </c>
      <c r="B248" s="194" t="inlineStr">
        <is>
          <t>GBP</t>
        </is>
      </c>
      <c r="C248" s="194" t="inlineStr">
        <is>
          <t>POUND STERLING</t>
        </is>
      </c>
      <c r="D248" s="195" t="n">
        <v>34355.58</v>
      </c>
      <c r="E248" s="195" t="n">
        <v>34702.61</v>
      </c>
      <c r="F248" s="195" t="n">
        <v>35814.46</v>
      </c>
      <c r="G248" s="195" t="n">
        <v>35258.54</v>
      </c>
    </row>
    <row r="249">
      <c r="A249" s="196" t="inlineStr">
        <is>
          <t>2026-09-06 18:00:09</t>
        </is>
      </c>
      <c r="B249" s="196" t="inlineStr">
        <is>
          <t>HKD</t>
        </is>
      </c>
      <c r="C249" s="196" t="inlineStr">
        <is>
          <t>HONGKONG DOLLAR</t>
        </is>
      </c>
      <c r="D249" s="184" t="n">
        <v>3230.32</v>
      </c>
      <c r="E249" s="184" t="n">
        <v>3262.95</v>
      </c>
      <c r="F249" s="184" t="n">
        <v>3387.77</v>
      </c>
      <c r="G249" s="184" t="n">
        <v>3325.36</v>
      </c>
    </row>
    <row r="250">
      <c r="A250" s="194" t="inlineStr">
        <is>
          <t>2026-09-06 18:00:09</t>
        </is>
      </c>
      <c r="B250" s="194" t="inlineStr">
        <is>
          <t>INR</t>
        </is>
      </c>
      <c r="C250" s="194" t="inlineStr">
        <is>
          <t>INDIAN RUPEE</t>
        </is>
      </c>
      <c r="D250" s="195" t="n"/>
      <c r="E250" s="195" t="n">
        <v>274.26</v>
      </c>
      <c r="F250" s="195" t="n">
        <v>286.07</v>
      </c>
      <c r="G250" s="195" t="n">
        <v>280.16</v>
      </c>
    </row>
    <row r="251">
      <c r="A251" s="196" t="inlineStr">
        <is>
          <t>2026-09-06 18:00:09</t>
        </is>
      </c>
      <c r="B251" s="196" t="inlineStr">
        <is>
          <t>JPY</t>
        </is>
      </c>
      <c r="C251" s="196" t="inlineStr">
        <is>
          <t>YEN</t>
        </is>
      </c>
      <c r="D251" s="184" t="n">
        <v>160.9</v>
      </c>
      <c r="E251" s="184" t="n">
        <v>162.53</v>
      </c>
      <c r="F251" s="184" t="n">
        <v>172.01</v>
      </c>
      <c r="G251" s="184" t="n">
        <v>167.27</v>
      </c>
    </row>
    <row r="252">
      <c r="A252" s="194" t="inlineStr">
        <is>
          <t>2026-09-06 18:00:09</t>
        </is>
      </c>
      <c r="B252" s="194" t="inlineStr">
        <is>
          <t>KRW</t>
        </is>
      </c>
      <c r="C252" s="194" t="inlineStr">
        <is>
          <t>KOREAN WON</t>
        </is>
      </c>
      <c r="D252" s="195" t="n">
        <v>16.67</v>
      </c>
      <c r="E252" s="195" t="n">
        <v>18.52</v>
      </c>
      <c r="F252" s="195" t="n">
        <v>20.1</v>
      </c>
      <c r="G252" s="195" t="n">
        <v>19.31</v>
      </c>
    </row>
    <row r="253">
      <c r="A253" s="196" t="inlineStr">
        <is>
          <t>2026-09-06 18:00:09</t>
        </is>
      </c>
      <c r="B253" s="196" t="inlineStr">
        <is>
          <t>KWD</t>
        </is>
      </c>
      <c r="C253" s="196" t="inlineStr">
        <is>
          <t>KUWAITI DINAR</t>
        </is>
      </c>
      <c r="D253" s="184" t="n"/>
      <c r="E253" s="184" t="n">
        <v>84415.06</v>
      </c>
      <c r="F253" s="184" t="n">
        <v>88507.74000000001</v>
      </c>
      <c r="G253" s="184" t="n">
        <v>86461.39999999999</v>
      </c>
    </row>
    <row r="254">
      <c r="A254" s="194" t="inlineStr">
        <is>
          <t>2026-09-06 18:00:09</t>
        </is>
      </c>
      <c r="B254" s="194" t="inlineStr">
        <is>
          <t>MYR</t>
        </is>
      </c>
      <c r="C254" s="194" t="inlineStr">
        <is>
          <t>MALAYSIAN RINGGIT</t>
        </is>
      </c>
      <c r="D254" s="195" t="n"/>
      <c r="E254" s="195" t="n">
        <v>6378.22</v>
      </c>
      <c r="F254" s="195" t="n">
        <v>6517.06</v>
      </c>
      <c r="G254" s="195" t="n">
        <v>6447.64</v>
      </c>
    </row>
    <row r="255">
      <c r="A255" s="196" t="inlineStr">
        <is>
          <t>2026-09-06 18:00:09</t>
        </is>
      </c>
      <c r="B255" s="196" t="inlineStr">
        <is>
          <t>NOK</t>
        </is>
      </c>
      <c r="C255" s="196" t="inlineStr">
        <is>
          <t>NORWEGIAN KRONER</t>
        </is>
      </c>
      <c r="D255" s="184" t="n"/>
      <c r="E255" s="184" t="n">
        <v>2746.13</v>
      </c>
      <c r="F255" s="184" t="n">
        <v>2862.6</v>
      </c>
      <c r="G255" s="184" t="n">
        <v>2804.36</v>
      </c>
    </row>
    <row r="256">
      <c r="A256" s="194" t="inlineStr">
        <is>
          <t>2026-09-06 18:00:09</t>
        </is>
      </c>
      <c r="B256" s="194" t="inlineStr">
        <is>
          <t>RUB</t>
        </is>
      </c>
      <c r="C256" s="194" t="inlineStr">
        <is>
          <t>RUSSIAN RUBLE</t>
        </is>
      </c>
      <c r="D256" s="195" t="n"/>
      <c r="E256" s="195" t="n">
        <v>285.84</v>
      </c>
      <c r="F256" s="195" t="n">
        <v>316.41</v>
      </c>
      <c r="G256" s="195" t="n">
        <v>301.12</v>
      </c>
    </row>
    <row r="257">
      <c r="A257" s="196" t="inlineStr">
        <is>
          <t>2026-09-06 18:00:09</t>
        </is>
      </c>
      <c r="B257" s="196" t="inlineStr">
        <is>
          <t>SAR</t>
        </is>
      </c>
      <c r="C257" s="196" t="inlineStr">
        <is>
          <t>SAUDI RIAL</t>
        </is>
      </c>
      <c r="D257" s="184" t="n"/>
      <c r="E257" s="184" t="n">
        <v>6901.76</v>
      </c>
      <c r="F257" s="184" t="n">
        <v>7198.88</v>
      </c>
      <c r="G257" s="184" t="n">
        <v>7050.32</v>
      </c>
    </row>
    <row r="258">
      <c r="A258" s="194" t="inlineStr">
        <is>
          <t>2026-09-06 18:00:09</t>
        </is>
      </c>
      <c r="B258" s="194" t="inlineStr">
        <is>
          <t>SEK</t>
        </is>
      </c>
      <c r="C258" s="194" t="inlineStr">
        <is>
          <t>SWEDISH KRONA</t>
        </is>
      </c>
      <c r="D258" s="195" t="n"/>
      <c r="E258" s="195" t="n">
        <v>2674.98</v>
      </c>
      <c r="F258" s="195" t="n">
        <v>2788.44</v>
      </c>
      <c r="G258" s="195" t="n">
        <v>2731.71</v>
      </c>
    </row>
    <row r="259">
      <c r="A259" s="196" t="inlineStr">
        <is>
          <t>2026-09-06 18:00:09</t>
        </is>
      </c>
      <c r="B259" s="196" t="inlineStr">
        <is>
          <t>SGD</t>
        </is>
      </c>
      <c r="C259" s="196" t="inlineStr">
        <is>
          <t>SINGAPORE DOLLAR</t>
        </is>
      </c>
      <c r="D259" s="184" t="n">
        <v>20027.22</v>
      </c>
      <c r="E259" s="184" t="n">
        <v>20229.52</v>
      </c>
      <c r="F259" s="184" t="n">
        <v>20919.47</v>
      </c>
      <c r="G259" s="184" t="n">
        <v>20574.5</v>
      </c>
    </row>
    <row r="260">
      <c r="A260" s="194" t="inlineStr">
        <is>
          <t>2026-09-06 18:00:09</t>
        </is>
      </c>
      <c r="B260" s="194" t="inlineStr">
        <is>
          <t>THB</t>
        </is>
      </c>
      <c r="C260" s="194" t="inlineStr">
        <is>
          <t>THAILAND BAHT</t>
        </is>
      </c>
      <c r="D260" s="195" t="n">
        <v>698.51</v>
      </c>
      <c r="E260" s="195" t="n">
        <v>776.12</v>
      </c>
      <c r="F260" s="195" t="n">
        <v>809.04</v>
      </c>
      <c r="G260" s="195" t="n">
        <v>792.58</v>
      </c>
    </row>
    <row r="261">
      <c r="A261" s="196" t="inlineStr">
        <is>
          <t>2026-09-06 18:00:09</t>
        </is>
      </c>
      <c r="B261" s="196" t="inlineStr">
        <is>
          <t>USD</t>
        </is>
      </c>
      <c r="C261" s="196" t="inlineStr">
        <is>
          <t>US DOLLAR</t>
        </is>
      </c>
      <c r="D261" s="184" t="n">
        <v>25845</v>
      </c>
      <c r="E261" s="184" t="n">
        <v>25875</v>
      </c>
      <c r="F261" s="184" t="n">
        <v>26255</v>
      </c>
      <c r="G261" s="184" t="n">
        <v>26065</v>
      </c>
    </row>
    <row r="262">
      <c r="A262" s="194" t="inlineStr">
        <is>
          <t>2026-09-05 18:00:09</t>
        </is>
      </c>
      <c r="B262" s="194" t="inlineStr">
        <is>
          <t>AUD</t>
        </is>
      </c>
      <c r="C262" s="194" t="inlineStr">
        <is>
          <t>AUSTRALIAN DOLLAR</t>
        </is>
      </c>
      <c r="D262" s="195" t="n">
        <v>18283.86</v>
      </c>
      <c r="E262" s="195" t="n">
        <v>18468.55</v>
      </c>
      <c r="F262" s="195" t="n">
        <v>19060.27</v>
      </c>
      <c r="G262" s="195" t="n">
        <v>18764.41</v>
      </c>
    </row>
    <row r="263">
      <c r="A263" s="196" t="inlineStr">
        <is>
          <t>2026-09-05 18:00:09</t>
        </is>
      </c>
      <c r="B263" s="196" t="inlineStr">
        <is>
          <t>CAD</t>
        </is>
      </c>
      <c r="C263" s="196" t="inlineStr">
        <is>
          <t>CANADIAN DOLLAR</t>
        </is>
      </c>
      <c r="D263" s="184" t="n">
        <v>18407</v>
      </c>
      <c r="E263" s="184" t="n">
        <v>18592.93</v>
      </c>
      <c r="F263" s="184" t="n">
        <v>19188.63</v>
      </c>
      <c r="G263" s="184" t="n">
        <v>18890.78</v>
      </c>
    </row>
    <row r="264">
      <c r="A264" s="194" t="inlineStr">
        <is>
          <t>2026-09-05 18:00:09</t>
        </is>
      </c>
      <c r="B264" s="194" t="inlineStr">
        <is>
          <t>CHF</t>
        </is>
      </c>
      <c r="C264" s="194" t="inlineStr">
        <is>
          <t>SWISS FRANC</t>
        </is>
      </c>
      <c r="D264" s="195" t="n">
        <v>31412.76</v>
      </c>
      <c r="E264" s="195" t="n">
        <v>31730.06</v>
      </c>
      <c r="F264" s="195" t="n">
        <v>32746.67</v>
      </c>
      <c r="G264" s="195" t="n">
        <v>32238.36</v>
      </c>
    </row>
    <row r="265">
      <c r="A265" s="196" t="inlineStr">
        <is>
          <t>2026-09-05 18:00:09</t>
        </is>
      </c>
      <c r="B265" s="196" t="inlineStr">
        <is>
          <t>CNY</t>
        </is>
      </c>
      <c r="C265" s="196" t="inlineStr">
        <is>
          <t>YUAN RENMINBI</t>
        </is>
      </c>
      <c r="D265" s="184" t="n">
        <v>3785.58</v>
      </c>
      <c r="E265" s="184" t="n">
        <v>3823.82</v>
      </c>
      <c r="F265" s="184" t="n">
        <v>3946.33</v>
      </c>
      <c r="G265" s="184" t="n">
        <v>3885.08</v>
      </c>
    </row>
    <row r="266">
      <c r="A266" s="194" t="inlineStr">
        <is>
          <t>2026-09-05 18:00:09</t>
        </is>
      </c>
      <c r="B266" s="194" t="inlineStr">
        <is>
          <t>DKK</t>
        </is>
      </c>
      <c r="C266" s="194" t="inlineStr">
        <is>
          <t>DANISH KRONE</t>
        </is>
      </c>
      <c r="D266" s="195" t="n"/>
      <c r="E266" s="195" t="n">
        <v>3978.43</v>
      </c>
      <c r="F266" s="195" t="n">
        <v>4130.61</v>
      </c>
      <c r="G266" s="195" t="n">
        <v>4054.52</v>
      </c>
    </row>
    <row r="267">
      <c r="A267" s="196" t="inlineStr">
        <is>
          <t>2026-09-05 18:00:09</t>
        </is>
      </c>
      <c r="B267" s="196" t="inlineStr">
        <is>
          <t>EUR</t>
        </is>
      </c>
      <c r="C267" s="196" t="inlineStr">
        <is>
          <t>EURO</t>
        </is>
      </c>
      <c r="D267" s="184" t="n">
        <v>29514.76</v>
      </c>
      <c r="E267" s="184" t="n">
        <v>29812.89</v>
      </c>
      <c r="F267" s="184" t="n">
        <v>31071.21</v>
      </c>
      <c r="G267" s="184" t="n">
        <v>30442.05</v>
      </c>
    </row>
    <row r="268">
      <c r="A268" s="194" t="inlineStr">
        <is>
          <t>2026-09-05 18:00:09</t>
        </is>
      </c>
      <c r="B268" s="194" t="inlineStr">
        <is>
          <t>GBP</t>
        </is>
      </c>
      <c r="C268" s="194" t="inlineStr">
        <is>
          <t>POUND STERLING</t>
        </is>
      </c>
      <c r="D268" s="195" t="n">
        <v>34355.58</v>
      </c>
      <c r="E268" s="195" t="n">
        <v>34702.61</v>
      </c>
      <c r="F268" s="195" t="n">
        <v>35814.46</v>
      </c>
      <c r="G268" s="195" t="n">
        <v>35258.54</v>
      </c>
    </row>
    <row r="269">
      <c r="A269" s="196" t="inlineStr">
        <is>
          <t>2026-09-05 18:00:09</t>
        </is>
      </c>
      <c r="B269" s="196" t="inlineStr">
        <is>
          <t>HKD</t>
        </is>
      </c>
      <c r="C269" s="196" t="inlineStr">
        <is>
          <t>HONGKONG DOLLAR</t>
        </is>
      </c>
      <c r="D269" s="184" t="n">
        <v>3230.32</v>
      </c>
      <c r="E269" s="184" t="n">
        <v>3262.95</v>
      </c>
      <c r="F269" s="184" t="n">
        <v>3387.77</v>
      </c>
      <c r="G269" s="184" t="n">
        <v>3325.36</v>
      </c>
    </row>
    <row r="270">
      <c r="A270" s="194" t="inlineStr">
        <is>
          <t>2026-09-05 18:00:09</t>
        </is>
      </c>
      <c r="B270" s="194" t="inlineStr">
        <is>
          <t>INR</t>
        </is>
      </c>
      <c r="C270" s="194" t="inlineStr">
        <is>
          <t>INDIAN RUPEE</t>
        </is>
      </c>
      <c r="D270" s="195" t="n"/>
      <c r="E270" s="195" t="n">
        <v>274.26</v>
      </c>
      <c r="F270" s="195" t="n">
        <v>286.07</v>
      </c>
      <c r="G270" s="195" t="n">
        <v>280.16</v>
      </c>
    </row>
    <row r="271">
      <c r="A271" s="196" t="inlineStr">
        <is>
          <t>2026-09-05 18:00:09</t>
        </is>
      </c>
      <c r="B271" s="196" t="inlineStr">
        <is>
          <t>JPY</t>
        </is>
      </c>
      <c r="C271" s="196" t="inlineStr">
        <is>
          <t>YEN</t>
        </is>
      </c>
      <c r="D271" s="184" t="n">
        <v>160.9</v>
      </c>
      <c r="E271" s="184" t="n">
        <v>162.53</v>
      </c>
      <c r="F271" s="184" t="n">
        <v>172.01</v>
      </c>
      <c r="G271" s="184" t="n">
        <v>167.27</v>
      </c>
    </row>
    <row r="272">
      <c r="A272" s="194" t="inlineStr">
        <is>
          <t>2026-09-05 18:00:09</t>
        </is>
      </c>
      <c r="B272" s="194" t="inlineStr">
        <is>
          <t>KRW</t>
        </is>
      </c>
      <c r="C272" s="194" t="inlineStr">
        <is>
          <t>KOREAN WON</t>
        </is>
      </c>
      <c r="D272" s="195" t="n">
        <v>16.67</v>
      </c>
      <c r="E272" s="195" t="n">
        <v>18.52</v>
      </c>
      <c r="F272" s="195" t="n">
        <v>20.1</v>
      </c>
      <c r="G272" s="195" t="n">
        <v>19.31</v>
      </c>
    </row>
    <row r="273">
      <c r="A273" s="196" t="inlineStr">
        <is>
          <t>2026-09-05 18:00:09</t>
        </is>
      </c>
      <c r="B273" s="196" t="inlineStr">
        <is>
          <t>KWD</t>
        </is>
      </c>
      <c r="C273" s="196" t="inlineStr">
        <is>
          <t>KUWAITI DINAR</t>
        </is>
      </c>
      <c r="D273" s="184" t="n"/>
      <c r="E273" s="184" t="n">
        <v>84415.06</v>
      </c>
      <c r="F273" s="184" t="n">
        <v>88507.74000000001</v>
      </c>
      <c r="G273" s="184" t="n">
        <v>86461.39999999999</v>
      </c>
    </row>
    <row r="274">
      <c r="A274" s="194" t="inlineStr">
        <is>
          <t>2026-09-05 18:00:09</t>
        </is>
      </c>
      <c r="B274" s="194" t="inlineStr">
        <is>
          <t>MYR</t>
        </is>
      </c>
      <c r="C274" s="194" t="inlineStr">
        <is>
          <t>MALAYSIAN RINGGIT</t>
        </is>
      </c>
      <c r="D274" s="195" t="n"/>
      <c r="E274" s="195" t="n">
        <v>6378.22</v>
      </c>
      <c r="F274" s="195" t="n">
        <v>6517.06</v>
      </c>
      <c r="G274" s="195" t="n">
        <v>6447.64</v>
      </c>
    </row>
    <row r="275">
      <c r="A275" s="196" t="inlineStr">
        <is>
          <t>2026-09-05 18:00:09</t>
        </is>
      </c>
      <c r="B275" s="196" t="inlineStr">
        <is>
          <t>NOK</t>
        </is>
      </c>
      <c r="C275" s="196" t="inlineStr">
        <is>
          <t>NORWEGIAN KRONER</t>
        </is>
      </c>
      <c r="D275" s="184" t="n"/>
      <c r="E275" s="184" t="n">
        <v>2746.13</v>
      </c>
      <c r="F275" s="184" t="n">
        <v>2862.6</v>
      </c>
      <c r="G275" s="184" t="n">
        <v>2804.36</v>
      </c>
    </row>
    <row r="276">
      <c r="A276" s="194" t="inlineStr">
        <is>
          <t>2026-09-05 18:00:09</t>
        </is>
      </c>
      <c r="B276" s="194" t="inlineStr">
        <is>
          <t>RUB</t>
        </is>
      </c>
      <c r="C276" s="194" t="inlineStr">
        <is>
          <t>RUSSIAN RUBLE</t>
        </is>
      </c>
      <c r="D276" s="195" t="n"/>
      <c r="E276" s="195" t="n">
        <v>285.84</v>
      </c>
      <c r="F276" s="195" t="n">
        <v>316.41</v>
      </c>
      <c r="G276" s="195" t="n">
        <v>301.12</v>
      </c>
    </row>
    <row r="277">
      <c r="A277" s="196" t="inlineStr">
        <is>
          <t>2026-09-05 18:00:09</t>
        </is>
      </c>
      <c r="B277" s="196" t="inlineStr">
        <is>
          <t>SAR</t>
        </is>
      </c>
      <c r="C277" s="196" t="inlineStr">
        <is>
          <t>SAUDI RIAL</t>
        </is>
      </c>
      <c r="D277" s="184" t="n"/>
      <c r="E277" s="184" t="n">
        <v>6901.76</v>
      </c>
      <c r="F277" s="184" t="n">
        <v>7198.88</v>
      </c>
      <c r="G277" s="184" t="n">
        <v>7050.32</v>
      </c>
    </row>
    <row r="278">
      <c r="A278" s="194" t="inlineStr">
        <is>
          <t>2026-09-05 18:00:09</t>
        </is>
      </c>
      <c r="B278" s="194" t="inlineStr">
        <is>
          <t>SEK</t>
        </is>
      </c>
      <c r="C278" s="194" t="inlineStr">
        <is>
          <t>SWEDISH KRONA</t>
        </is>
      </c>
      <c r="D278" s="195" t="n"/>
      <c r="E278" s="195" t="n">
        <v>2674.98</v>
      </c>
      <c r="F278" s="195" t="n">
        <v>2788.44</v>
      </c>
      <c r="G278" s="195" t="n">
        <v>2731.71</v>
      </c>
    </row>
    <row r="279">
      <c r="A279" s="196" t="inlineStr">
        <is>
          <t>2026-09-05 18:00:09</t>
        </is>
      </c>
      <c r="B279" s="196" t="inlineStr">
        <is>
          <t>SGD</t>
        </is>
      </c>
      <c r="C279" s="196" t="inlineStr">
        <is>
          <t>SINGAPORE DOLLAR</t>
        </is>
      </c>
      <c r="D279" s="184" t="n">
        <v>20027.22</v>
      </c>
      <c r="E279" s="184" t="n">
        <v>20229.52</v>
      </c>
      <c r="F279" s="184" t="n">
        <v>20919.47</v>
      </c>
      <c r="G279" s="184" t="n">
        <v>20574.5</v>
      </c>
    </row>
    <row r="280">
      <c r="A280" s="194" t="inlineStr">
        <is>
          <t>2026-09-05 18:00:09</t>
        </is>
      </c>
      <c r="B280" s="194" t="inlineStr">
        <is>
          <t>THB</t>
        </is>
      </c>
      <c r="C280" s="194" t="inlineStr">
        <is>
          <t>THAILAND BAHT</t>
        </is>
      </c>
      <c r="D280" s="195" t="n">
        <v>698.51</v>
      </c>
      <c r="E280" s="195" t="n">
        <v>776.12</v>
      </c>
      <c r="F280" s="195" t="n">
        <v>809.04</v>
      </c>
      <c r="G280" s="195" t="n">
        <v>792.58</v>
      </c>
    </row>
    <row r="281">
      <c r="A281" s="196" t="inlineStr">
        <is>
          <t>2026-09-05 18:00:09</t>
        </is>
      </c>
      <c r="B281" s="196" t="inlineStr">
        <is>
          <t>USD</t>
        </is>
      </c>
      <c r="C281" s="196" t="inlineStr">
        <is>
          <t>US DOLLAR</t>
        </is>
      </c>
      <c r="D281" s="184" t="n">
        <v>25845</v>
      </c>
      <c r="E281" s="184" t="n">
        <v>25875</v>
      </c>
      <c r="F281" s="184" t="n">
        <v>26255</v>
      </c>
      <c r="G281" s="184" t="n">
        <v>26065</v>
      </c>
    </row>
    <row r="282">
      <c r="A282" s="194" t="inlineStr">
        <is>
          <t>2026-09-04 18:00:08</t>
        </is>
      </c>
      <c r="B282" s="194" t="inlineStr">
        <is>
          <t>AUD</t>
        </is>
      </c>
      <c r="C282" s="194" t="inlineStr">
        <is>
          <t>AUSTRALIAN DOLLAR</t>
        </is>
      </c>
      <c r="D282" s="195" t="n">
        <v>18283.86</v>
      </c>
      <c r="E282" s="195" t="n">
        <v>18468.55</v>
      </c>
      <c r="F282" s="195" t="n">
        <v>19060.27</v>
      </c>
      <c r="G282" s="195" t="n">
        <v>18764.41</v>
      </c>
    </row>
    <row r="283">
      <c r="A283" s="196" t="inlineStr">
        <is>
          <t>2026-09-04 18:00:08</t>
        </is>
      </c>
      <c r="B283" s="196" t="inlineStr">
        <is>
          <t>CAD</t>
        </is>
      </c>
      <c r="C283" s="196" t="inlineStr">
        <is>
          <t>CANADIAN DOLLAR</t>
        </is>
      </c>
      <c r="D283" s="184" t="n">
        <v>18407</v>
      </c>
      <c r="E283" s="184" t="n">
        <v>18592.93</v>
      </c>
      <c r="F283" s="184" t="n">
        <v>19188.63</v>
      </c>
      <c r="G283" s="184" t="n">
        <v>18890.78</v>
      </c>
    </row>
    <row r="284">
      <c r="A284" s="194" t="inlineStr">
        <is>
          <t>2026-09-04 18:00:08</t>
        </is>
      </c>
      <c r="B284" s="194" t="inlineStr">
        <is>
          <t>CHF</t>
        </is>
      </c>
      <c r="C284" s="194" t="inlineStr">
        <is>
          <t>SWISS FRANC</t>
        </is>
      </c>
      <c r="D284" s="195" t="n">
        <v>31412.76</v>
      </c>
      <c r="E284" s="195" t="n">
        <v>31730.06</v>
      </c>
      <c r="F284" s="195" t="n">
        <v>32746.67</v>
      </c>
      <c r="G284" s="195" t="n">
        <v>32238.36</v>
      </c>
    </row>
    <row r="285">
      <c r="A285" s="196" t="inlineStr">
        <is>
          <t>2026-09-04 18:00:08</t>
        </is>
      </c>
      <c r="B285" s="196" t="inlineStr">
        <is>
          <t>CNY</t>
        </is>
      </c>
      <c r="C285" s="196" t="inlineStr">
        <is>
          <t>YUAN RENMINBI</t>
        </is>
      </c>
      <c r="D285" s="184" t="n">
        <v>3785.58</v>
      </c>
      <c r="E285" s="184" t="n">
        <v>3823.82</v>
      </c>
      <c r="F285" s="184" t="n">
        <v>3946.33</v>
      </c>
      <c r="G285" s="184" t="n">
        <v>3885.08</v>
      </c>
    </row>
    <row r="286">
      <c r="A286" s="194" t="inlineStr">
        <is>
          <t>2026-09-04 18:00:08</t>
        </is>
      </c>
      <c r="B286" s="194" t="inlineStr">
        <is>
          <t>DKK</t>
        </is>
      </c>
      <c r="C286" s="194" t="inlineStr">
        <is>
          <t>DANISH KRONE</t>
        </is>
      </c>
      <c r="D286" s="195" t="n"/>
      <c r="E286" s="195" t="n">
        <v>3978.43</v>
      </c>
      <c r="F286" s="195" t="n">
        <v>4130.61</v>
      </c>
      <c r="G286" s="195" t="n">
        <v>4054.52</v>
      </c>
    </row>
    <row r="287">
      <c r="A287" s="196" t="inlineStr">
        <is>
          <t>2026-09-04 18:00:08</t>
        </is>
      </c>
      <c r="B287" s="196" t="inlineStr">
        <is>
          <t>EUR</t>
        </is>
      </c>
      <c r="C287" s="196" t="inlineStr">
        <is>
          <t>EURO</t>
        </is>
      </c>
      <c r="D287" s="184" t="n">
        <v>29514.76</v>
      </c>
      <c r="E287" s="184" t="n">
        <v>29812.89</v>
      </c>
      <c r="F287" s="184" t="n">
        <v>31071.21</v>
      </c>
      <c r="G287" s="184" t="n">
        <v>30442.05</v>
      </c>
    </row>
    <row r="288">
      <c r="A288" s="194" t="inlineStr">
        <is>
          <t>2026-09-04 18:00:08</t>
        </is>
      </c>
      <c r="B288" s="194" t="inlineStr">
        <is>
          <t>GBP</t>
        </is>
      </c>
      <c r="C288" s="194" t="inlineStr">
        <is>
          <t>POUND STERLING</t>
        </is>
      </c>
      <c r="D288" s="195" t="n">
        <v>34355.58</v>
      </c>
      <c r="E288" s="195" t="n">
        <v>34702.61</v>
      </c>
      <c r="F288" s="195" t="n">
        <v>35814.46</v>
      </c>
      <c r="G288" s="195" t="n">
        <v>35258.54</v>
      </c>
    </row>
    <row r="289">
      <c r="A289" s="196" t="inlineStr">
        <is>
          <t>2026-09-04 18:00:08</t>
        </is>
      </c>
      <c r="B289" s="196" t="inlineStr">
        <is>
          <t>HKD</t>
        </is>
      </c>
      <c r="C289" s="196" t="inlineStr">
        <is>
          <t>HONGKONG DOLLAR</t>
        </is>
      </c>
      <c r="D289" s="184" t="n">
        <v>3230.32</v>
      </c>
      <c r="E289" s="184" t="n">
        <v>3262.95</v>
      </c>
      <c r="F289" s="184" t="n">
        <v>3387.77</v>
      </c>
      <c r="G289" s="184" t="n">
        <v>3325.36</v>
      </c>
    </row>
    <row r="290">
      <c r="A290" s="194" t="inlineStr">
        <is>
          <t>2026-09-04 18:00:08</t>
        </is>
      </c>
      <c r="B290" s="194" t="inlineStr">
        <is>
          <t>INR</t>
        </is>
      </c>
      <c r="C290" s="194" t="inlineStr">
        <is>
          <t>INDIAN RUPEE</t>
        </is>
      </c>
      <c r="D290" s="195" t="n"/>
      <c r="E290" s="195" t="n">
        <v>274.26</v>
      </c>
      <c r="F290" s="195" t="n">
        <v>286.07</v>
      </c>
      <c r="G290" s="195" t="n">
        <v>280.16</v>
      </c>
    </row>
    <row r="291">
      <c r="A291" s="196" t="inlineStr">
        <is>
          <t>2026-09-04 18:00:08</t>
        </is>
      </c>
      <c r="B291" s="196" t="inlineStr">
        <is>
          <t>JPY</t>
        </is>
      </c>
      <c r="C291" s="196" t="inlineStr">
        <is>
          <t>YEN</t>
        </is>
      </c>
      <c r="D291" s="184" t="n">
        <v>160.9</v>
      </c>
      <c r="E291" s="184" t="n">
        <v>162.53</v>
      </c>
      <c r="F291" s="184" t="n">
        <v>172.01</v>
      </c>
      <c r="G291" s="184" t="n">
        <v>167.27</v>
      </c>
    </row>
    <row r="292">
      <c r="A292" s="194" t="inlineStr">
        <is>
          <t>2026-09-04 18:00:08</t>
        </is>
      </c>
      <c r="B292" s="194" t="inlineStr">
        <is>
          <t>KRW</t>
        </is>
      </c>
      <c r="C292" s="194" t="inlineStr">
        <is>
          <t>KOREAN WON</t>
        </is>
      </c>
      <c r="D292" s="195" t="n">
        <v>16.67</v>
      </c>
      <c r="E292" s="195" t="n">
        <v>18.52</v>
      </c>
      <c r="F292" s="195" t="n">
        <v>20.1</v>
      </c>
      <c r="G292" s="195" t="n">
        <v>19.31</v>
      </c>
    </row>
    <row r="293">
      <c r="A293" s="196" t="inlineStr">
        <is>
          <t>2026-09-04 18:00:08</t>
        </is>
      </c>
      <c r="B293" s="196" t="inlineStr">
        <is>
          <t>KWD</t>
        </is>
      </c>
      <c r="C293" s="196" t="inlineStr">
        <is>
          <t>KUWAITI DINAR</t>
        </is>
      </c>
      <c r="D293" s="184" t="n"/>
      <c r="E293" s="184" t="n">
        <v>84415.06</v>
      </c>
      <c r="F293" s="184" t="n">
        <v>88507.74000000001</v>
      </c>
      <c r="G293" s="184" t="n">
        <v>86461.39999999999</v>
      </c>
    </row>
    <row r="294">
      <c r="A294" s="194" t="inlineStr">
        <is>
          <t>2026-09-04 18:00:08</t>
        </is>
      </c>
      <c r="B294" s="194" t="inlineStr">
        <is>
          <t>MYR</t>
        </is>
      </c>
      <c r="C294" s="194" t="inlineStr">
        <is>
          <t>MALAYSIAN RINGGIT</t>
        </is>
      </c>
      <c r="D294" s="195" t="n"/>
      <c r="E294" s="195" t="n">
        <v>6378.22</v>
      </c>
      <c r="F294" s="195" t="n">
        <v>6517.06</v>
      </c>
      <c r="G294" s="195" t="n">
        <v>6447.64</v>
      </c>
    </row>
    <row r="295">
      <c r="A295" s="196" t="inlineStr">
        <is>
          <t>2026-09-04 18:00:08</t>
        </is>
      </c>
      <c r="B295" s="196" t="inlineStr">
        <is>
          <t>NOK</t>
        </is>
      </c>
      <c r="C295" s="196" t="inlineStr">
        <is>
          <t>NORWEGIAN KRONER</t>
        </is>
      </c>
      <c r="D295" s="184" t="n"/>
      <c r="E295" s="184" t="n">
        <v>2746.13</v>
      </c>
      <c r="F295" s="184" t="n">
        <v>2862.6</v>
      </c>
      <c r="G295" s="184" t="n">
        <v>2804.36</v>
      </c>
    </row>
    <row r="296">
      <c r="A296" s="194" t="inlineStr">
        <is>
          <t>2026-09-04 18:00:08</t>
        </is>
      </c>
      <c r="B296" s="194" t="inlineStr">
        <is>
          <t>RUB</t>
        </is>
      </c>
      <c r="C296" s="194" t="inlineStr">
        <is>
          <t>RUSSIAN RUBLE</t>
        </is>
      </c>
      <c r="D296" s="195" t="n"/>
      <c r="E296" s="195" t="n">
        <v>285.84</v>
      </c>
      <c r="F296" s="195" t="n">
        <v>316.41</v>
      </c>
      <c r="G296" s="195" t="n">
        <v>301.12</v>
      </c>
    </row>
    <row r="297">
      <c r="A297" s="196" t="inlineStr">
        <is>
          <t>2026-09-04 18:00:08</t>
        </is>
      </c>
      <c r="B297" s="196" t="inlineStr">
        <is>
          <t>SAR</t>
        </is>
      </c>
      <c r="C297" s="196" t="inlineStr">
        <is>
          <t>SAUDI RIAL</t>
        </is>
      </c>
      <c r="D297" s="184" t="n"/>
      <c r="E297" s="184" t="n">
        <v>6901.76</v>
      </c>
      <c r="F297" s="184" t="n">
        <v>7198.88</v>
      </c>
      <c r="G297" s="184" t="n">
        <v>7050.32</v>
      </c>
    </row>
    <row r="298">
      <c r="A298" s="194" t="inlineStr">
        <is>
          <t>2026-09-04 18:00:08</t>
        </is>
      </c>
      <c r="B298" s="194" t="inlineStr">
        <is>
          <t>SEK</t>
        </is>
      </c>
      <c r="C298" s="194" t="inlineStr">
        <is>
          <t>SWEDISH KRONA</t>
        </is>
      </c>
      <c r="D298" s="195" t="n"/>
      <c r="E298" s="195" t="n">
        <v>2674.98</v>
      </c>
      <c r="F298" s="195" t="n">
        <v>2788.44</v>
      </c>
      <c r="G298" s="195" t="n">
        <v>2731.71</v>
      </c>
    </row>
    <row r="299">
      <c r="A299" s="196" t="inlineStr">
        <is>
          <t>2026-09-04 18:00:08</t>
        </is>
      </c>
      <c r="B299" s="196" t="inlineStr">
        <is>
          <t>SGD</t>
        </is>
      </c>
      <c r="C299" s="196" t="inlineStr">
        <is>
          <t>SINGAPORE DOLLAR</t>
        </is>
      </c>
      <c r="D299" s="184" t="n">
        <v>20027.22</v>
      </c>
      <c r="E299" s="184" t="n">
        <v>20229.52</v>
      </c>
      <c r="F299" s="184" t="n">
        <v>20919.47</v>
      </c>
      <c r="G299" s="184" t="n">
        <v>20574.5</v>
      </c>
    </row>
    <row r="300">
      <c r="A300" s="194" t="inlineStr">
        <is>
          <t>2026-09-04 18:00:08</t>
        </is>
      </c>
      <c r="B300" s="194" t="inlineStr">
        <is>
          <t>THB</t>
        </is>
      </c>
      <c r="C300" s="194" t="inlineStr">
        <is>
          <t>THAILAND BAHT</t>
        </is>
      </c>
      <c r="D300" s="195" t="n">
        <v>698.51</v>
      </c>
      <c r="E300" s="195" t="n">
        <v>776.12</v>
      </c>
      <c r="F300" s="195" t="n">
        <v>809.04</v>
      </c>
      <c r="G300" s="195" t="n">
        <v>792.58</v>
      </c>
    </row>
    <row r="301">
      <c r="A301" s="196" t="inlineStr">
        <is>
          <t>2026-09-04 18:00:08</t>
        </is>
      </c>
      <c r="B301" s="196" t="inlineStr">
        <is>
          <t>USD</t>
        </is>
      </c>
      <c r="C301" s="196" t="inlineStr">
        <is>
          <t>US DOLLAR</t>
        </is>
      </c>
      <c r="D301" s="184" t="n">
        <v>25845</v>
      </c>
      <c r="E301" s="184" t="n">
        <v>25875</v>
      </c>
      <c r="F301" s="184" t="n">
        <v>26255</v>
      </c>
      <c r="G301" s="184" t="n">
        <v>26065</v>
      </c>
    </row>
    <row r="302">
      <c r="A302" s="194" t="inlineStr">
        <is>
          <t>2026-09-03 18:00:06</t>
        </is>
      </c>
      <c r="B302" s="194" t="inlineStr">
        <is>
          <t>AUD</t>
        </is>
      </c>
      <c r="C302" s="194" t="inlineStr">
        <is>
          <t>AUSTRALIAN DOLLAR</t>
        </is>
      </c>
      <c r="D302" s="195" t="n">
        <v>18263.28</v>
      </c>
      <c r="E302" s="195" t="n">
        <v>18447.76</v>
      </c>
      <c r="F302" s="195" t="n">
        <v>19038.79</v>
      </c>
      <c r="G302" s="195" t="n">
        <v>18743.28</v>
      </c>
    </row>
    <row r="303">
      <c r="A303" s="196" t="inlineStr">
        <is>
          <t>2026-09-03 18:00:06</t>
        </is>
      </c>
      <c r="B303" s="196" t="inlineStr">
        <is>
          <t>CAD</t>
        </is>
      </c>
      <c r="C303" s="196" t="inlineStr">
        <is>
          <t>CANADIAN DOLLAR</t>
        </is>
      </c>
      <c r="D303" s="184" t="n">
        <v>18411.33</v>
      </c>
      <c r="E303" s="184" t="n">
        <v>18597.3</v>
      </c>
      <c r="F303" s="184" t="n">
        <v>19193.12</v>
      </c>
      <c r="G303" s="184" t="n">
        <v>18895.21</v>
      </c>
    </row>
    <row r="304">
      <c r="A304" s="194" t="inlineStr">
        <is>
          <t>2026-09-03 18:00:06</t>
        </is>
      </c>
      <c r="B304" s="194" t="inlineStr">
        <is>
          <t>CHF</t>
        </is>
      </c>
      <c r="C304" s="194" t="inlineStr">
        <is>
          <t>SWISS FRANC</t>
        </is>
      </c>
      <c r="D304" s="195" t="n">
        <v>31411.84</v>
      </c>
      <c r="E304" s="195" t="n">
        <v>31729.13</v>
      </c>
      <c r="F304" s="195" t="n">
        <v>32745.66</v>
      </c>
      <c r="G304" s="195" t="n">
        <v>32237.4</v>
      </c>
    </row>
    <row r="305">
      <c r="A305" s="196" t="inlineStr">
        <is>
          <t>2026-09-03 18:00:06</t>
        </is>
      </c>
      <c r="B305" s="196" t="inlineStr">
        <is>
          <t>CNY</t>
        </is>
      </c>
      <c r="C305" s="196" t="inlineStr">
        <is>
          <t>YUAN RENMINBI</t>
        </is>
      </c>
      <c r="D305" s="184" t="n">
        <v>3784.47</v>
      </c>
      <c r="E305" s="184" t="n">
        <v>3822.7</v>
      </c>
      <c r="F305" s="184" t="n">
        <v>3945.17</v>
      </c>
      <c r="G305" s="184" t="n">
        <v>3883.94</v>
      </c>
    </row>
    <row r="306">
      <c r="A306" s="194" t="inlineStr">
        <is>
          <t>2026-09-03 18:00:06</t>
        </is>
      </c>
      <c r="B306" s="194" t="inlineStr">
        <is>
          <t>DKK</t>
        </is>
      </c>
      <c r="C306" s="194" t="inlineStr">
        <is>
          <t>DANISH KRONE</t>
        </is>
      </c>
      <c r="D306" s="195" t="n"/>
      <c r="E306" s="195" t="n">
        <v>3975.82</v>
      </c>
      <c r="F306" s="195" t="n">
        <v>4127.89</v>
      </c>
      <c r="G306" s="195" t="n">
        <v>4051.86</v>
      </c>
    </row>
    <row r="307">
      <c r="A307" s="196" t="inlineStr">
        <is>
          <t>2026-09-03 18:00:06</t>
        </is>
      </c>
      <c r="B307" s="196" t="inlineStr">
        <is>
          <t>EUR</t>
        </is>
      </c>
      <c r="C307" s="196" t="inlineStr">
        <is>
          <t>EURO</t>
        </is>
      </c>
      <c r="D307" s="184" t="n">
        <v>29494.79</v>
      </c>
      <c r="E307" s="184" t="n">
        <v>29792.72</v>
      </c>
      <c r="F307" s="184" t="n">
        <v>31050.14</v>
      </c>
      <c r="G307" s="184" t="n">
        <v>30421.43</v>
      </c>
    </row>
    <row r="308">
      <c r="A308" s="194" t="inlineStr">
        <is>
          <t>2026-09-03 18:00:06</t>
        </is>
      </c>
      <c r="B308" s="194" t="inlineStr">
        <is>
          <t>GBP</t>
        </is>
      </c>
      <c r="C308" s="194" t="inlineStr">
        <is>
          <t>POUND STERLING</t>
        </is>
      </c>
      <c r="D308" s="195" t="n">
        <v>34304.66</v>
      </c>
      <c r="E308" s="195" t="n">
        <v>34651.18</v>
      </c>
      <c r="F308" s="195" t="n">
        <v>35761.33</v>
      </c>
      <c r="G308" s="195" t="n">
        <v>35206.26</v>
      </c>
    </row>
    <row r="309">
      <c r="A309" s="196" t="inlineStr">
        <is>
          <t>2026-09-03 18:00:06</t>
        </is>
      </c>
      <c r="B309" s="196" t="inlineStr">
        <is>
          <t>HKD</t>
        </is>
      </c>
      <c r="C309" s="196" t="inlineStr">
        <is>
          <t>HONGKONG DOLLAR</t>
        </is>
      </c>
      <c r="D309" s="184" t="n">
        <v>3233.3</v>
      </c>
      <c r="E309" s="184" t="n">
        <v>3265.96</v>
      </c>
      <c r="F309" s="184" t="n">
        <v>3390.88</v>
      </c>
      <c r="G309" s="184" t="n">
        <v>3328.42</v>
      </c>
    </row>
    <row r="310">
      <c r="A310" s="194" t="inlineStr">
        <is>
          <t>2026-09-03 18:00:06</t>
        </is>
      </c>
      <c r="B310" s="194" t="inlineStr">
        <is>
          <t>INR</t>
        </is>
      </c>
      <c r="C310" s="194" t="inlineStr">
        <is>
          <t>INDIAN RUPEE</t>
        </is>
      </c>
      <c r="D310" s="195" t="n"/>
      <c r="E310" s="195" t="n">
        <v>274.56</v>
      </c>
      <c r="F310" s="195" t="n">
        <v>286.38</v>
      </c>
      <c r="G310" s="195" t="n">
        <v>280.47</v>
      </c>
    </row>
    <row r="311">
      <c r="A311" s="196" t="inlineStr">
        <is>
          <t>2026-09-03 18:00:06</t>
        </is>
      </c>
      <c r="B311" s="196" t="inlineStr">
        <is>
          <t>JPY</t>
        </is>
      </c>
      <c r="C311" s="196" t="inlineStr">
        <is>
          <t>YEN</t>
        </is>
      </c>
      <c r="D311" s="184" t="n">
        <v>161.17</v>
      </c>
      <c r="E311" s="184" t="n">
        <v>162.8</v>
      </c>
      <c r="F311" s="184" t="n">
        <v>172.29</v>
      </c>
      <c r="G311" s="184" t="n">
        <v>167.54</v>
      </c>
    </row>
    <row r="312">
      <c r="A312" s="194" t="inlineStr">
        <is>
          <t>2026-09-03 18:00:06</t>
        </is>
      </c>
      <c r="B312" s="194" t="inlineStr">
        <is>
          <t>KRW</t>
        </is>
      </c>
      <c r="C312" s="194" t="inlineStr">
        <is>
          <t>KOREAN WON</t>
        </is>
      </c>
      <c r="D312" s="195" t="n">
        <v>16.61</v>
      </c>
      <c r="E312" s="195" t="n">
        <v>18.46</v>
      </c>
      <c r="F312" s="195" t="n">
        <v>20.03</v>
      </c>
      <c r="G312" s="195" t="n">
        <v>19.24</v>
      </c>
    </row>
    <row r="313">
      <c r="A313" s="196" t="inlineStr">
        <is>
          <t>2026-09-03 18:00:06</t>
        </is>
      </c>
      <c r="B313" s="196" t="inlineStr">
        <is>
          <t>KWD</t>
        </is>
      </c>
      <c r="C313" s="196" t="inlineStr">
        <is>
          <t>KUWAITI DINAR</t>
        </is>
      </c>
      <c r="D313" s="184" t="n"/>
      <c r="E313" s="184" t="n">
        <v>84496.09</v>
      </c>
      <c r="F313" s="184" t="n">
        <v>88592.56</v>
      </c>
      <c r="G313" s="184" t="n">
        <v>86544.32000000001</v>
      </c>
    </row>
    <row r="314">
      <c r="A314" s="194" t="inlineStr">
        <is>
          <t>2026-09-03 18:00:06</t>
        </is>
      </c>
      <c r="B314" s="194" t="inlineStr">
        <is>
          <t>MYR</t>
        </is>
      </c>
      <c r="C314" s="194" t="inlineStr">
        <is>
          <t>MALAYSIAN RINGGIT</t>
        </is>
      </c>
      <c r="D314" s="195" t="n"/>
      <c r="E314" s="195" t="n">
        <v>6389.87</v>
      </c>
      <c r="F314" s="195" t="n">
        <v>6528.96</v>
      </c>
      <c r="G314" s="195" t="n">
        <v>6459.42</v>
      </c>
    </row>
    <row r="315">
      <c r="A315" s="196" t="inlineStr">
        <is>
          <t>2026-09-03 18:00:06</t>
        </is>
      </c>
      <c r="B315" s="196" t="inlineStr">
        <is>
          <t>NOK</t>
        </is>
      </c>
      <c r="C315" s="196" t="inlineStr">
        <is>
          <t>NORWEGIAN KRONER</t>
        </is>
      </c>
      <c r="D315" s="184" t="n"/>
      <c r="E315" s="184" t="n">
        <v>2742.95</v>
      </c>
      <c r="F315" s="184" t="n">
        <v>2859.29</v>
      </c>
      <c r="G315" s="184" t="n">
        <v>2801.12</v>
      </c>
    </row>
    <row r="316">
      <c r="A316" s="194" t="inlineStr">
        <is>
          <t>2026-09-03 18:00:06</t>
        </is>
      </c>
      <c r="B316" s="194" t="inlineStr">
        <is>
          <t>RUB</t>
        </is>
      </c>
      <c r="C316" s="194" t="inlineStr">
        <is>
          <t>RUSSIAN RUBLE</t>
        </is>
      </c>
      <c r="D316" s="195" t="n"/>
      <c r="E316" s="195" t="n">
        <v>285.66</v>
      </c>
      <c r="F316" s="195" t="n">
        <v>316.22</v>
      </c>
      <c r="G316" s="195" t="n">
        <v>300.94</v>
      </c>
    </row>
    <row r="317">
      <c r="A317" s="196" t="inlineStr">
        <is>
          <t>2026-09-03 18:00:06</t>
        </is>
      </c>
      <c r="B317" s="196" t="inlineStr">
        <is>
          <t>SAR</t>
        </is>
      </c>
      <c r="C317" s="196" t="inlineStr">
        <is>
          <t>SAUDI RIAL</t>
        </is>
      </c>
      <c r="D317" s="184" t="n"/>
      <c r="E317" s="184" t="n">
        <v>6908.39</v>
      </c>
      <c r="F317" s="184" t="n">
        <v>7205.78</v>
      </c>
      <c r="G317" s="184" t="n">
        <v>7057.08</v>
      </c>
    </row>
    <row r="318">
      <c r="A318" s="194" t="inlineStr">
        <is>
          <t>2026-09-03 18:00:06</t>
        </is>
      </c>
      <c r="B318" s="194" t="inlineStr">
        <is>
          <t>SEK</t>
        </is>
      </c>
      <c r="C318" s="194" t="inlineStr">
        <is>
          <t>SWEDISH KRONA</t>
        </is>
      </c>
      <c r="D318" s="195" t="n"/>
      <c r="E318" s="195" t="n">
        <v>2664.21</v>
      </c>
      <c r="F318" s="195" t="n">
        <v>2777.21</v>
      </c>
      <c r="G318" s="195" t="n">
        <v>2720.71</v>
      </c>
    </row>
    <row r="319">
      <c r="A319" s="196" t="inlineStr">
        <is>
          <t>2026-09-03 18:00:06</t>
        </is>
      </c>
      <c r="B319" s="196" t="inlineStr">
        <is>
          <t>SGD</t>
        </is>
      </c>
      <c r="C319" s="196" t="inlineStr">
        <is>
          <t>SINGAPORE DOLLAR</t>
        </is>
      </c>
      <c r="D319" s="184" t="n">
        <v>20029.06</v>
      </c>
      <c r="E319" s="184" t="n">
        <v>20231.37</v>
      </c>
      <c r="F319" s="184" t="n">
        <v>20921.35</v>
      </c>
      <c r="G319" s="184" t="n">
        <v>20576.36</v>
      </c>
    </row>
    <row r="320">
      <c r="A320" s="194" t="inlineStr">
        <is>
          <t>2026-09-03 18:00:06</t>
        </is>
      </c>
      <c r="B320" s="194" t="inlineStr">
        <is>
          <t>THB</t>
        </is>
      </c>
      <c r="C320" s="194" t="inlineStr">
        <is>
          <t>THAILAND BAHT</t>
        </is>
      </c>
      <c r="D320" s="195" t="n">
        <v>697.6900000000001</v>
      </c>
      <c r="E320" s="195" t="n">
        <v>775.21</v>
      </c>
      <c r="F320" s="195" t="n">
        <v>808.09</v>
      </c>
      <c r="G320" s="195" t="n">
        <v>791.65</v>
      </c>
    </row>
    <row r="321">
      <c r="A321" s="196" t="inlineStr">
        <is>
          <t>2026-09-03 18:00:06</t>
        </is>
      </c>
      <c r="B321" s="196" t="inlineStr">
        <is>
          <t>USD</t>
        </is>
      </c>
      <c r="C321" s="196" t="inlineStr">
        <is>
          <t>US DOLLAR</t>
        </is>
      </c>
      <c r="D321" s="184" t="n">
        <v>25850</v>
      </c>
      <c r="E321" s="184" t="n">
        <v>25880</v>
      </c>
      <c r="F321" s="184" t="n">
        <v>26260</v>
      </c>
      <c r="G321" s="184" t="n">
        <v>26070</v>
      </c>
    </row>
    <row r="322">
      <c r="A322" s="194" t="inlineStr">
        <is>
          <t>2026-09-02 18:00:00</t>
        </is>
      </c>
      <c r="B322" s="194" t="inlineStr">
        <is>
          <t>AUD</t>
        </is>
      </c>
      <c r="C322" s="194" t="inlineStr">
        <is>
          <t>AUSTRALIAN DOLLAR</t>
        </is>
      </c>
      <c r="D322" s="195" t="n">
        <v>18270.2</v>
      </c>
      <c r="E322" s="195" t="n">
        <v>18454.74</v>
      </c>
      <c r="F322" s="195" t="n">
        <v>19060.63</v>
      </c>
      <c r="G322" s="195" t="n">
        <v>18757.69</v>
      </c>
    </row>
    <row r="323">
      <c r="A323" s="196" t="inlineStr">
        <is>
          <t>2026-09-02 18:00:00</t>
        </is>
      </c>
      <c r="B323" s="196" t="inlineStr">
        <is>
          <t>CAD</t>
        </is>
      </c>
      <c r="C323" s="196" t="inlineStr">
        <is>
          <t>CANADIAN DOLLAR</t>
        </is>
      </c>
      <c r="D323" s="184" t="n">
        <v>18330.41</v>
      </c>
      <c r="E323" s="184" t="n">
        <v>18515.57</v>
      </c>
      <c r="F323" s="184" t="n">
        <v>19123.46</v>
      </c>
      <c r="G323" s="184" t="n">
        <v>18819.52</v>
      </c>
    </row>
    <row r="324">
      <c r="A324" s="194" t="inlineStr">
        <is>
          <t>2026-09-02 18:00:00</t>
        </is>
      </c>
      <c r="B324" s="194" t="inlineStr">
        <is>
          <t>CHF</t>
        </is>
      </c>
      <c r="C324" s="194" t="inlineStr">
        <is>
          <t>SWISS FRANC</t>
        </is>
      </c>
      <c r="D324" s="195" t="n">
        <v>31602.12</v>
      </c>
      <c r="E324" s="195" t="n">
        <v>31921.33</v>
      </c>
      <c r="F324" s="195" t="n">
        <v>32969.34</v>
      </c>
      <c r="G324" s="195" t="n">
        <v>32445.34</v>
      </c>
    </row>
    <row r="325">
      <c r="A325" s="196" t="inlineStr">
        <is>
          <t>2026-09-02 18:00:00</t>
        </is>
      </c>
      <c r="B325" s="196" t="inlineStr">
        <is>
          <t>CNY</t>
        </is>
      </c>
      <c r="C325" s="196" t="inlineStr">
        <is>
          <t>YUAN RENMINBI</t>
        </is>
      </c>
      <c r="D325" s="184" t="n">
        <v>3779.28</v>
      </c>
      <c r="E325" s="184" t="n">
        <v>3817.45</v>
      </c>
      <c r="F325" s="184" t="n">
        <v>3942.78</v>
      </c>
      <c r="G325" s="184" t="n">
        <v>3880.12</v>
      </c>
    </row>
    <row r="326">
      <c r="A326" s="194" t="inlineStr">
        <is>
          <t>2026-09-02 18:00:00</t>
        </is>
      </c>
      <c r="B326" s="194" t="inlineStr">
        <is>
          <t>DKK</t>
        </is>
      </c>
      <c r="C326" s="194" t="inlineStr">
        <is>
          <t>DANISH KRONE</t>
        </is>
      </c>
      <c r="D326" s="195" t="n"/>
      <c r="E326" s="195" t="n">
        <v>3984.23</v>
      </c>
      <c r="F326" s="195" t="n">
        <v>4139.81</v>
      </c>
      <c r="G326" s="195" t="n">
        <v>4062.02</v>
      </c>
    </row>
    <row r="327">
      <c r="A327" s="196" t="inlineStr">
        <is>
          <t>2026-09-02 18:00:00</t>
        </is>
      </c>
      <c r="B327" s="196" t="inlineStr">
        <is>
          <t>EUR</t>
        </is>
      </c>
      <c r="C327" s="196" t="inlineStr">
        <is>
          <t>EURO</t>
        </is>
      </c>
      <c r="D327" s="184" t="n">
        <v>29557.34</v>
      </c>
      <c r="E327" s="184" t="n">
        <v>29855.9</v>
      </c>
      <c r="F327" s="184" t="n">
        <v>31139.91</v>
      </c>
      <c r="G327" s="184" t="n">
        <v>30497.9</v>
      </c>
    </row>
    <row r="328">
      <c r="A328" s="194" t="inlineStr">
        <is>
          <t>2026-09-02 18:00:00</t>
        </is>
      </c>
      <c r="B328" s="194" t="inlineStr">
        <is>
          <t>GBP</t>
        </is>
      </c>
      <c r="C328" s="194" t="inlineStr">
        <is>
          <t>POUND STERLING</t>
        </is>
      </c>
      <c r="D328" s="195" t="n">
        <v>34483.57</v>
      </c>
      <c r="E328" s="195" t="n">
        <v>34831.89</v>
      </c>
      <c r="F328" s="195" t="n">
        <v>35975.46</v>
      </c>
      <c r="G328" s="195" t="n">
        <v>35403.68</v>
      </c>
    </row>
    <row r="329">
      <c r="A329" s="196" t="inlineStr">
        <is>
          <t>2026-09-02 18:00:00</t>
        </is>
      </c>
      <c r="B329" s="196" t="inlineStr">
        <is>
          <t>HKD</t>
        </is>
      </c>
      <c r="C329" s="196" t="inlineStr">
        <is>
          <t>HONGKONG DOLLAR</t>
        </is>
      </c>
      <c r="D329" s="184" t="n">
        <v>3230.11</v>
      </c>
      <c r="E329" s="184" t="n">
        <v>3262.74</v>
      </c>
      <c r="F329" s="184" t="n">
        <v>3390.15</v>
      </c>
      <c r="G329" s="184" t="n">
        <v>3326.44</v>
      </c>
    </row>
    <row r="330">
      <c r="A330" s="194" t="inlineStr">
        <is>
          <t>2026-09-02 18:00:00</t>
        </is>
      </c>
      <c r="B330" s="194" t="inlineStr">
        <is>
          <t>INR</t>
        </is>
      </c>
      <c r="C330" s="194" t="inlineStr">
        <is>
          <t>INDIAN RUPEE</t>
        </is>
      </c>
      <c r="D330" s="195" t="n"/>
      <c r="E330" s="195" t="n">
        <v>271.56</v>
      </c>
      <c r="F330" s="195" t="n">
        <v>283.47</v>
      </c>
      <c r="G330" s="195" t="n">
        <v>277.52</v>
      </c>
    </row>
    <row r="331">
      <c r="A331" s="196" t="inlineStr">
        <is>
          <t>2026-09-02 18:00:00</t>
        </is>
      </c>
      <c r="B331" s="196" t="inlineStr">
        <is>
          <t>JPY</t>
        </is>
      </c>
      <c r="C331" s="196" t="inlineStr">
        <is>
          <t>YEN</t>
        </is>
      </c>
      <c r="D331" s="184" t="n">
        <v>157.55</v>
      </c>
      <c r="E331" s="184" t="n">
        <v>159.14</v>
      </c>
      <c r="F331" s="184" t="n">
        <v>168.55</v>
      </c>
      <c r="G331" s="184" t="n">
        <v>163.84</v>
      </c>
    </row>
    <row r="332">
      <c r="A332" s="194" t="inlineStr">
        <is>
          <t>2026-09-02 18:00:00</t>
        </is>
      </c>
      <c r="B332" s="194" t="inlineStr">
        <is>
          <t>KRW</t>
        </is>
      </c>
      <c r="C332" s="194" t="inlineStr">
        <is>
          <t>KOREAN WON</t>
        </is>
      </c>
      <c r="D332" s="195" t="n">
        <v>16.43</v>
      </c>
      <c r="E332" s="195" t="n">
        <v>18.25</v>
      </c>
      <c r="F332" s="195" t="n">
        <v>19.82</v>
      </c>
      <c r="G332" s="195" t="n">
        <v>19.04</v>
      </c>
    </row>
    <row r="333">
      <c r="A333" s="196" t="inlineStr">
        <is>
          <t>2026-09-02 18:00:00</t>
        </is>
      </c>
      <c r="B333" s="196" t="inlineStr">
        <is>
          <t>KWD</t>
        </is>
      </c>
      <c r="C333" s="196" t="inlineStr">
        <is>
          <t>KUWAITI DINAR</t>
        </is>
      </c>
      <c r="D333" s="184" t="n"/>
      <c r="E333" s="184" t="n">
        <v>84453.87</v>
      </c>
      <c r="F333" s="184" t="n">
        <v>88616.36</v>
      </c>
      <c r="G333" s="184" t="n">
        <v>86535.12</v>
      </c>
    </row>
    <row r="334">
      <c r="A334" s="194" t="inlineStr">
        <is>
          <t>2026-09-02 18:00:00</t>
        </is>
      </c>
      <c r="B334" s="194" t="inlineStr">
        <is>
          <t>MYR</t>
        </is>
      </c>
      <c r="C334" s="194" t="inlineStr">
        <is>
          <t>MALAYSIAN RINGGIT</t>
        </is>
      </c>
      <c r="D334" s="195" t="n"/>
      <c r="E334" s="195" t="n">
        <v>6410.29</v>
      </c>
      <c r="F334" s="195" t="n">
        <v>6554.86</v>
      </c>
      <c r="G334" s="195" t="n">
        <v>6482.58</v>
      </c>
    </row>
    <row r="335">
      <c r="A335" s="196" t="inlineStr">
        <is>
          <t>2026-09-02 18:00:00</t>
        </is>
      </c>
      <c r="B335" s="196" t="inlineStr">
        <is>
          <t>NOK</t>
        </is>
      </c>
      <c r="C335" s="196" t="inlineStr">
        <is>
          <t>NORWEGIAN KRONER</t>
        </is>
      </c>
      <c r="D335" s="184" t="n"/>
      <c r="E335" s="184" t="n">
        <v>2739.32</v>
      </c>
      <c r="F335" s="184" t="n">
        <v>2857.7</v>
      </c>
      <c r="G335" s="184" t="n">
        <v>2798.51</v>
      </c>
    </row>
    <row r="336">
      <c r="A336" s="194" t="inlineStr">
        <is>
          <t>2026-09-02 18:00:00</t>
        </is>
      </c>
      <c r="B336" s="194" t="inlineStr">
        <is>
          <t>RUB</t>
        </is>
      </c>
      <c r="C336" s="194" t="inlineStr">
        <is>
          <t>RUSSIAN RUBLE</t>
        </is>
      </c>
      <c r="D336" s="195" t="n"/>
      <c r="E336" s="195" t="n">
        <v>289.72</v>
      </c>
      <c r="F336" s="195" t="n">
        <v>320.95</v>
      </c>
      <c r="G336" s="195" t="n">
        <v>305.34</v>
      </c>
    </row>
    <row r="337">
      <c r="A337" s="196" t="inlineStr">
        <is>
          <t>2026-09-02 18:00:00</t>
        </is>
      </c>
      <c r="B337" s="196" t="inlineStr">
        <is>
          <t>SAR</t>
        </is>
      </c>
      <c r="C337" s="196" t="inlineStr">
        <is>
          <t>SAUDI RIAL</t>
        </is>
      </c>
      <c r="D337" s="184" t="n"/>
      <c r="E337" s="184" t="n">
        <v>6901.72</v>
      </c>
      <c r="F337" s="184" t="n">
        <v>7204.37</v>
      </c>
      <c r="G337" s="184" t="n">
        <v>7053.04</v>
      </c>
    </row>
    <row r="338">
      <c r="A338" s="194" t="inlineStr">
        <is>
          <t>2026-09-02 18:00:00</t>
        </is>
      </c>
      <c r="B338" s="194" t="inlineStr">
        <is>
          <t>SEK</t>
        </is>
      </c>
      <c r="C338" s="194" t="inlineStr">
        <is>
          <t>SWEDISH KRONA</t>
        </is>
      </c>
      <c r="D338" s="195" t="n"/>
      <c r="E338" s="195" t="n">
        <v>2680.03</v>
      </c>
      <c r="F338" s="195" t="n">
        <v>2795.84</v>
      </c>
      <c r="G338" s="195" t="n">
        <v>2737.94</v>
      </c>
    </row>
    <row r="339">
      <c r="A339" s="196" t="inlineStr">
        <is>
          <t>2026-09-02 18:00:00</t>
        </is>
      </c>
      <c r="B339" s="196" t="inlineStr">
        <is>
          <t>SGD</t>
        </is>
      </c>
      <c r="C339" s="196" t="inlineStr">
        <is>
          <t>SINGAPORE DOLLAR</t>
        </is>
      </c>
      <c r="D339" s="184" t="n">
        <v>19969.8</v>
      </c>
      <c r="E339" s="184" t="n">
        <v>20171.51</v>
      </c>
      <c r="F339" s="184" t="n">
        <v>20875.48</v>
      </c>
      <c r="G339" s="184" t="n">
        <v>20523.5</v>
      </c>
    </row>
    <row r="340">
      <c r="A340" s="194" t="inlineStr">
        <is>
          <t>2026-09-02 18:00:00</t>
        </is>
      </c>
      <c r="B340" s="194" t="inlineStr">
        <is>
          <t>THB</t>
        </is>
      </c>
      <c r="C340" s="194" t="inlineStr">
        <is>
          <t>THAILAND BAHT</t>
        </is>
      </c>
      <c r="D340" s="195" t="n">
        <v>697.95</v>
      </c>
      <c r="E340" s="195" t="n">
        <v>775.5</v>
      </c>
      <c r="F340" s="195" t="n">
        <v>809.01</v>
      </c>
      <c r="G340" s="195" t="n">
        <v>792.26</v>
      </c>
    </row>
    <row r="341">
      <c r="A341" s="196" t="inlineStr">
        <is>
          <t>2026-09-02 18:00:00</t>
        </is>
      </c>
      <c r="B341" s="196" t="inlineStr">
        <is>
          <t>USD</t>
        </is>
      </c>
      <c r="C341" s="196" t="inlineStr">
        <is>
          <t>US DOLLAR</t>
        </is>
      </c>
      <c r="D341" s="184" t="n">
        <v>25850</v>
      </c>
      <c r="E341" s="184" t="n">
        <v>25880</v>
      </c>
      <c r="F341" s="184" t="n">
        <v>26260</v>
      </c>
      <c r="G341" s="184" t="n">
        <v>26070</v>
      </c>
    </row>
    <row r="342">
      <c r="A342" s="194" t="inlineStr">
        <is>
          <t>2026-09-01 18:00:18</t>
        </is>
      </c>
      <c r="B342" s="194" t="inlineStr">
        <is>
          <t>AUD</t>
        </is>
      </c>
      <c r="C342" s="194" t="inlineStr">
        <is>
          <t>AUSTRALIAN DOLLAR</t>
        </is>
      </c>
      <c r="D342" s="195" t="n">
        <v>18270.2</v>
      </c>
      <c r="E342" s="195" t="n">
        <v>18454.74</v>
      </c>
      <c r="F342" s="195" t="n">
        <v>19060.63</v>
      </c>
      <c r="G342" s="195" t="n">
        <v>18757.69</v>
      </c>
    </row>
    <row r="343">
      <c r="A343" s="196" t="inlineStr">
        <is>
          <t>2026-09-01 18:00:18</t>
        </is>
      </c>
      <c r="B343" s="196" t="inlineStr">
        <is>
          <t>CAD</t>
        </is>
      </c>
      <c r="C343" s="196" t="inlineStr">
        <is>
          <t>CANADIAN DOLLAR</t>
        </is>
      </c>
      <c r="D343" s="184" t="n">
        <v>18330.41</v>
      </c>
      <c r="E343" s="184" t="n">
        <v>18515.57</v>
      </c>
      <c r="F343" s="184" t="n">
        <v>19123.46</v>
      </c>
      <c r="G343" s="184" t="n">
        <v>18819.52</v>
      </c>
    </row>
    <row r="344">
      <c r="A344" s="194" t="inlineStr">
        <is>
          <t>2026-09-01 18:00:18</t>
        </is>
      </c>
      <c r="B344" s="194" t="inlineStr">
        <is>
          <t>CHF</t>
        </is>
      </c>
      <c r="C344" s="194" t="inlineStr">
        <is>
          <t>SWISS FRANC</t>
        </is>
      </c>
      <c r="D344" s="195" t="n">
        <v>31602.12</v>
      </c>
      <c r="E344" s="195" t="n">
        <v>31921.33</v>
      </c>
      <c r="F344" s="195" t="n">
        <v>32969.34</v>
      </c>
      <c r="G344" s="195" t="n">
        <v>32445.34</v>
      </c>
    </row>
    <row r="345">
      <c r="A345" s="196" t="inlineStr">
        <is>
          <t>2026-09-01 18:00:18</t>
        </is>
      </c>
      <c r="B345" s="196" t="inlineStr">
        <is>
          <t>CNY</t>
        </is>
      </c>
      <c r="C345" s="196" t="inlineStr">
        <is>
          <t>YUAN RENMINBI</t>
        </is>
      </c>
      <c r="D345" s="184" t="n">
        <v>3779.28</v>
      </c>
      <c r="E345" s="184" t="n">
        <v>3817.45</v>
      </c>
      <c r="F345" s="184" t="n">
        <v>3942.78</v>
      </c>
      <c r="G345" s="184" t="n">
        <v>3880.12</v>
      </c>
    </row>
    <row r="346">
      <c r="A346" s="194" t="inlineStr">
        <is>
          <t>2026-09-01 18:00:18</t>
        </is>
      </c>
      <c r="B346" s="194" t="inlineStr">
        <is>
          <t>DKK</t>
        </is>
      </c>
      <c r="C346" s="194" t="inlineStr">
        <is>
          <t>DANISH KRONE</t>
        </is>
      </c>
      <c r="D346" s="195" t="n"/>
      <c r="E346" s="195" t="n">
        <v>3984.23</v>
      </c>
      <c r="F346" s="195" t="n">
        <v>4139.81</v>
      </c>
      <c r="G346" s="195" t="n">
        <v>4062.02</v>
      </c>
    </row>
    <row r="347">
      <c r="A347" s="196" t="inlineStr">
        <is>
          <t>2026-09-01 18:00:18</t>
        </is>
      </c>
      <c r="B347" s="196" t="inlineStr">
        <is>
          <t>EUR</t>
        </is>
      </c>
      <c r="C347" s="196" t="inlineStr">
        <is>
          <t>EURO</t>
        </is>
      </c>
      <c r="D347" s="184" t="n">
        <v>29557.34</v>
      </c>
      <c r="E347" s="184" t="n">
        <v>29855.9</v>
      </c>
      <c r="F347" s="184" t="n">
        <v>31139.91</v>
      </c>
      <c r="G347" s="184" t="n">
        <v>30497.9</v>
      </c>
    </row>
    <row r="348">
      <c r="A348" s="194" t="inlineStr">
        <is>
          <t>2026-09-01 18:00:18</t>
        </is>
      </c>
      <c r="B348" s="194" t="inlineStr">
        <is>
          <t>GBP</t>
        </is>
      </c>
      <c r="C348" s="194" t="inlineStr">
        <is>
          <t>POUND STERLING</t>
        </is>
      </c>
      <c r="D348" s="195" t="n">
        <v>34483.57</v>
      </c>
      <c r="E348" s="195" t="n">
        <v>34831.89</v>
      </c>
      <c r="F348" s="195" t="n">
        <v>35975.46</v>
      </c>
      <c r="G348" s="195" t="n">
        <v>35403.68</v>
      </c>
    </row>
    <row r="349">
      <c r="A349" s="196" t="inlineStr">
        <is>
          <t>2026-09-01 18:00:18</t>
        </is>
      </c>
      <c r="B349" s="196" t="inlineStr">
        <is>
          <t>HKD</t>
        </is>
      </c>
      <c r="C349" s="196" t="inlineStr">
        <is>
          <t>HONGKONG DOLLAR</t>
        </is>
      </c>
      <c r="D349" s="184" t="n">
        <v>3230.11</v>
      </c>
      <c r="E349" s="184" t="n">
        <v>3262.74</v>
      </c>
      <c r="F349" s="184" t="n">
        <v>3390.15</v>
      </c>
      <c r="G349" s="184" t="n">
        <v>3326.44</v>
      </c>
    </row>
    <row r="350">
      <c r="A350" s="194" t="inlineStr">
        <is>
          <t>2026-09-01 18:00:18</t>
        </is>
      </c>
      <c r="B350" s="194" t="inlineStr">
        <is>
          <t>INR</t>
        </is>
      </c>
      <c r="C350" s="194" t="inlineStr">
        <is>
          <t>INDIAN RUPEE</t>
        </is>
      </c>
      <c r="D350" s="195" t="n"/>
      <c r="E350" s="195" t="n">
        <v>271.56</v>
      </c>
      <c r="F350" s="195" t="n">
        <v>283.47</v>
      </c>
      <c r="G350" s="195" t="n">
        <v>277.52</v>
      </c>
    </row>
    <row r="351">
      <c r="A351" s="196" t="inlineStr">
        <is>
          <t>2026-09-01 18:00:18</t>
        </is>
      </c>
      <c r="B351" s="196" t="inlineStr">
        <is>
          <t>JPY</t>
        </is>
      </c>
      <c r="C351" s="196" t="inlineStr">
        <is>
          <t>YEN</t>
        </is>
      </c>
      <c r="D351" s="184" t="n">
        <v>157.55</v>
      </c>
      <c r="E351" s="184" t="n">
        <v>159.14</v>
      </c>
      <c r="F351" s="184" t="n">
        <v>168.55</v>
      </c>
      <c r="G351" s="184" t="n">
        <v>163.84</v>
      </c>
    </row>
    <row r="352">
      <c r="A352" s="194" t="inlineStr">
        <is>
          <t>2026-09-01 18:00:18</t>
        </is>
      </c>
      <c r="B352" s="194" t="inlineStr">
        <is>
          <t>KRW</t>
        </is>
      </c>
      <c r="C352" s="194" t="inlineStr">
        <is>
          <t>KOREAN WON</t>
        </is>
      </c>
      <c r="D352" s="195" t="n">
        <v>16.43</v>
      </c>
      <c r="E352" s="195" t="n">
        <v>18.25</v>
      </c>
      <c r="F352" s="195" t="n">
        <v>19.82</v>
      </c>
      <c r="G352" s="195" t="n">
        <v>19.04</v>
      </c>
    </row>
    <row r="353">
      <c r="A353" s="196" t="inlineStr">
        <is>
          <t>2026-09-01 18:00:18</t>
        </is>
      </c>
      <c r="B353" s="196" t="inlineStr">
        <is>
          <t>KWD</t>
        </is>
      </c>
      <c r="C353" s="196" t="inlineStr">
        <is>
          <t>KUWAITI DINAR</t>
        </is>
      </c>
      <c r="D353" s="184" t="n"/>
      <c r="E353" s="184" t="n">
        <v>84453.87</v>
      </c>
      <c r="F353" s="184" t="n">
        <v>88616.36</v>
      </c>
      <c r="G353" s="184" t="n">
        <v>86535.12</v>
      </c>
    </row>
    <row r="354">
      <c r="A354" s="194" t="inlineStr">
        <is>
          <t>2026-09-01 18:00:18</t>
        </is>
      </c>
      <c r="B354" s="194" t="inlineStr">
        <is>
          <t>MYR</t>
        </is>
      </c>
      <c r="C354" s="194" t="inlineStr">
        <is>
          <t>MALAYSIAN RINGGIT</t>
        </is>
      </c>
      <c r="D354" s="195" t="n"/>
      <c r="E354" s="195" t="n">
        <v>6410.29</v>
      </c>
      <c r="F354" s="195" t="n">
        <v>6554.86</v>
      </c>
      <c r="G354" s="195" t="n">
        <v>6482.58</v>
      </c>
    </row>
    <row r="355">
      <c r="A355" s="196" t="inlineStr">
        <is>
          <t>2026-09-01 18:00:18</t>
        </is>
      </c>
      <c r="B355" s="196" t="inlineStr">
        <is>
          <t>NOK</t>
        </is>
      </c>
      <c r="C355" s="196" t="inlineStr">
        <is>
          <t>NORWEGIAN KRONER</t>
        </is>
      </c>
      <c r="D355" s="184" t="n"/>
      <c r="E355" s="184" t="n">
        <v>2739.32</v>
      </c>
      <c r="F355" s="184" t="n">
        <v>2857.7</v>
      </c>
      <c r="G355" s="184" t="n">
        <v>2798.51</v>
      </c>
    </row>
    <row r="356">
      <c r="A356" s="194" t="inlineStr">
        <is>
          <t>2026-09-01 18:00:18</t>
        </is>
      </c>
      <c r="B356" s="194" t="inlineStr">
        <is>
          <t>RUB</t>
        </is>
      </c>
      <c r="C356" s="194" t="inlineStr">
        <is>
          <t>RUSSIAN RUBLE</t>
        </is>
      </c>
      <c r="D356" s="195" t="n"/>
      <c r="E356" s="195" t="n">
        <v>289.72</v>
      </c>
      <c r="F356" s="195" t="n">
        <v>320.95</v>
      </c>
      <c r="G356" s="195" t="n">
        <v>305.34</v>
      </c>
    </row>
    <row r="357">
      <c r="A357" s="196" t="inlineStr">
        <is>
          <t>2026-09-01 18:00:18</t>
        </is>
      </c>
      <c r="B357" s="196" t="inlineStr">
        <is>
          <t>SAR</t>
        </is>
      </c>
      <c r="C357" s="196" t="inlineStr">
        <is>
          <t>SAUDI RIAL</t>
        </is>
      </c>
      <c r="D357" s="184" t="n"/>
      <c r="E357" s="184" t="n">
        <v>6901.72</v>
      </c>
      <c r="F357" s="184" t="n">
        <v>7204.37</v>
      </c>
      <c r="G357" s="184" t="n">
        <v>7053.04</v>
      </c>
    </row>
    <row r="358">
      <c r="A358" s="194" t="inlineStr">
        <is>
          <t>2026-09-01 18:00:18</t>
        </is>
      </c>
      <c r="B358" s="194" t="inlineStr">
        <is>
          <t>SEK</t>
        </is>
      </c>
      <c r="C358" s="194" t="inlineStr">
        <is>
          <t>SWEDISH KRONA</t>
        </is>
      </c>
      <c r="D358" s="195" t="n"/>
      <c r="E358" s="195" t="n">
        <v>2680.03</v>
      </c>
      <c r="F358" s="195" t="n">
        <v>2795.84</v>
      </c>
      <c r="G358" s="195" t="n">
        <v>2737.94</v>
      </c>
    </row>
    <row r="359">
      <c r="A359" s="196" t="inlineStr">
        <is>
          <t>2026-09-01 18:00:18</t>
        </is>
      </c>
      <c r="B359" s="196" t="inlineStr">
        <is>
          <t>SGD</t>
        </is>
      </c>
      <c r="C359" s="196" t="inlineStr">
        <is>
          <t>SINGAPORE DOLLAR</t>
        </is>
      </c>
      <c r="D359" s="184" t="n">
        <v>19969.8</v>
      </c>
      <c r="E359" s="184" t="n">
        <v>20171.51</v>
      </c>
      <c r="F359" s="184" t="n">
        <v>20875.48</v>
      </c>
      <c r="G359" s="184" t="n">
        <v>20523.5</v>
      </c>
    </row>
    <row r="360">
      <c r="A360" s="194" t="inlineStr">
        <is>
          <t>2026-09-01 18:00:18</t>
        </is>
      </c>
      <c r="B360" s="194" t="inlineStr">
        <is>
          <t>THB</t>
        </is>
      </c>
      <c r="C360" s="194" t="inlineStr">
        <is>
          <t>THAILAND BAHT</t>
        </is>
      </c>
      <c r="D360" s="195" t="n">
        <v>697.95</v>
      </c>
      <c r="E360" s="195" t="n">
        <v>775.5</v>
      </c>
      <c r="F360" s="195" t="n">
        <v>809.01</v>
      </c>
      <c r="G360" s="195" t="n">
        <v>792.26</v>
      </c>
    </row>
    <row r="361">
      <c r="A361" s="196" t="inlineStr">
        <is>
          <t>2026-09-01 18:00:18</t>
        </is>
      </c>
      <c r="B361" s="196" t="inlineStr">
        <is>
          <t>USD</t>
        </is>
      </c>
      <c r="C361" s="196" t="inlineStr">
        <is>
          <t>US DOLLAR</t>
        </is>
      </c>
      <c r="D361" s="184" t="n">
        <v>25850</v>
      </c>
      <c r="E361" s="184" t="n">
        <v>25880</v>
      </c>
      <c r="F361" s="184" t="n">
        <v>26260</v>
      </c>
      <c r="G361" s="184" t="n">
        <v>26070</v>
      </c>
    </row>
    <row r="362">
      <c r="A362" s="194" t="inlineStr">
        <is>
          <t>2026-08-31 18:00:09</t>
        </is>
      </c>
      <c r="B362" s="194" t="inlineStr">
        <is>
          <t>AUD</t>
        </is>
      </c>
      <c r="C362" s="194" t="inlineStr">
        <is>
          <t>AUSTRALIAN DOLLAR</t>
        </is>
      </c>
      <c r="D362" s="195" t="n">
        <v>18270.2</v>
      </c>
      <c r="E362" s="195" t="n">
        <v>18454.74</v>
      </c>
      <c r="F362" s="195" t="n">
        <v>19060.63</v>
      </c>
      <c r="G362" s="195" t="n">
        <v>18757.69</v>
      </c>
    </row>
    <row r="363">
      <c r="A363" s="196" t="inlineStr">
        <is>
          <t>2026-08-31 18:00:09</t>
        </is>
      </c>
      <c r="B363" s="196" t="inlineStr">
        <is>
          <t>CAD</t>
        </is>
      </c>
      <c r="C363" s="196" t="inlineStr">
        <is>
          <t>CANADIAN DOLLAR</t>
        </is>
      </c>
      <c r="D363" s="184" t="n">
        <v>18330.41</v>
      </c>
      <c r="E363" s="184" t="n">
        <v>18515.57</v>
      </c>
      <c r="F363" s="184" t="n">
        <v>19123.46</v>
      </c>
      <c r="G363" s="184" t="n">
        <v>18819.52</v>
      </c>
    </row>
    <row r="364">
      <c r="A364" s="194" t="inlineStr">
        <is>
          <t>2026-08-31 18:00:09</t>
        </is>
      </c>
      <c r="B364" s="194" t="inlineStr">
        <is>
          <t>CHF</t>
        </is>
      </c>
      <c r="C364" s="194" t="inlineStr">
        <is>
          <t>SWISS FRANC</t>
        </is>
      </c>
      <c r="D364" s="195" t="n">
        <v>31602.12</v>
      </c>
      <c r="E364" s="195" t="n">
        <v>31921.33</v>
      </c>
      <c r="F364" s="195" t="n">
        <v>32969.34</v>
      </c>
      <c r="G364" s="195" t="n">
        <v>32445.34</v>
      </c>
    </row>
    <row r="365">
      <c r="A365" s="196" t="inlineStr">
        <is>
          <t>2026-08-31 18:00:09</t>
        </is>
      </c>
      <c r="B365" s="196" t="inlineStr">
        <is>
          <t>CNY</t>
        </is>
      </c>
      <c r="C365" s="196" t="inlineStr">
        <is>
          <t>YUAN RENMINBI</t>
        </is>
      </c>
      <c r="D365" s="184" t="n">
        <v>3779.28</v>
      </c>
      <c r="E365" s="184" t="n">
        <v>3817.45</v>
      </c>
      <c r="F365" s="184" t="n">
        <v>3942.78</v>
      </c>
      <c r="G365" s="184" t="n">
        <v>3880.12</v>
      </c>
    </row>
    <row r="366">
      <c r="A366" s="194" t="inlineStr">
        <is>
          <t>2026-08-31 18:00:09</t>
        </is>
      </c>
      <c r="B366" s="194" t="inlineStr">
        <is>
          <t>DKK</t>
        </is>
      </c>
      <c r="C366" s="194" t="inlineStr">
        <is>
          <t>DANISH KRONE</t>
        </is>
      </c>
      <c r="D366" s="195" t="n"/>
      <c r="E366" s="195" t="n">
        <v>3984.23</v>
      </c>
      <c r="F366" s="195" t="n">
        <v>4139.81</v>
      </c>
      <c r="G366" s="195" t="n">
        <v>4062.02</v>
      </c>
    </row>
    <row r="367">
      <c r="A367" s="196" t="inlineStr">
        <is>
          <t>2026-08-31 18:00:09</t>
        </is>
      </c>
      <c r="B367" s="196" t="inlineStr">
        <is>
          <t>EUR</t>
        </is>
      </c>
      <c r="C367" s="196" t="inlineStr">
        <is>
          <t>EURO</t>
        </is>
      </c>
      <c r="D367" s="184" t="n">
        <v>29557.34</v>
      </c>
      <c r="E367" s="184" t="n">
        <v>29855.9</v>
      </c>
      <c r="F367" s="184" t="n">
        <v>31139.91</v>
      </c>
      <c r="G367" s="184" t="n">
        <v>30497.9</v>
      </c>
    </row>
    <row r="368">
      <c r="A368" s="194" t="inlineStr">
        <is>
          <t>2026-08-31 18:00:09</t>
        </is>
      </c>
      <c r="B368" s="194" t="inlineStr">
        <is>
          <t>GBP</t>
        </is>
      </c>
      <c r="C368" s="194" t="inlineStr">
        <is>
          <t>POUND STERLING</t>
        </is>
      </c>
      <c r="D368" s="195" t="n">
        <v>34483.57</v>
      </c>
      <c r="E368" s="195" t="n">
        <v>34831.89</v>
      </c>
      <c r="F368" s="195" t="n">
        <v>35975.46</v>
      </c>
      <c r="G368" s="195" t="n">
        <v>35403.68</v>
      </c>
    </row>
    <row r="369">
      <c r="A369" s="196" t="inlineStr">
        <is>
          <t>2026-08-31 18:00:09</t>
        </is>
      </c>
      <c r="B369" s="196" t="inlineStr">
        <is>
          <t>HKD</t>
        </is>
      </c>
      <c r="C369" s="196" t="inlineStr">
        <is>
          <t>HONGKONG DOLLAR</t>
        </is>
      </c>
      <c r="D369" s="184" t="n">
        <v>3230.11</v>
      </c>
      <c r="E369" s="184" t="n">
        <v>3262.74</v>
      </c>
      <c r="F369" s="184" t="n">
        <v>3390.15</v>
      </c>
      <c r="G369" s="184" t="n">
        <v>3326.44</v>
      </c>
    </row>
    <row r="370">
      <c r="A370" s="194" t="inlineStr">
        <is>
          <t>2026-08-31 18:00:09</t>
        </is>
      </c>
      <c r="B370" s="194" t="inlineStr">
        <is>
          <t>INR</t>
        </is>
      </c>
      <c r="C370" s="194" t="inlineStr">
        <is>
          <t>INDIAN RUPEE</t>
        </is>
      </c>
      <c r="D370" s="195" t="n"/>
      <c r="E370" s="195" t="n">
        <v>271.56</v>
      </c>
      <c r="F370" s="195" t="n">
        <v>283.47</v>
      </c>
      <c r="G370" s="195" t="n">
        <v>277.52</v>
      </c>
    </row>
    <row r="371">
      <c r="A371" s="196" t="inlineStr">
        <is>
          <t>2026-08-31 18:00:09</t>
        </is>
      </c>
      <c r="B371" s="196" t="inlineStr">
        <is>
          <t>JPY</t>
        </is>
      </c>
      <c r="C371" s="196" t="inlineStr">
        <is>
          <t>YEN</t>
        </is>
      </c>
      <c r="D371" s="184" t="n">
        <v>157.55</v>
      </c>
      <c r="E371" s="184" t="n">
        <v>159.14</v>
      </c>
      <c r="F371" s="184" t="n">
        <v>168.55</v>
      </c>
      <c r="G371" s="184" t="n">
        <v>163.84</v>
      </c>
    </row>
    <row r="372">
      <c r="A372" s="194" t="inlineStr">
        <is>
          <t>2026-08-31 18:00:09</t>
        </is>
      </c>
      <c r="B372" s="194" t="inlineStr">
        <is>
          <t>KRW</t>
        </is>
      </c>
      <c r="C372" s="194" t="inlineStr">
        <is>
          <t>KOREAN WON</t>
        </is>
      </c>
      <c r="D372" s="195" t="n">
        <v>16.43</v>
      </c>
      <c r="E372" s="195" t="n">
        <v>18.25</v>
      </c>
      <c r="F372" s="195" t="n">
        <v>19.82</v>
      </c>
      <c r="G372" s="195" t="n">
        <v>19.04</v>
      </c>
    </row>
    <row r="373">
      <c r="A373" s="196" t="inlineStr">
        <is>
          <t>2026-08-31 18:00:09</t>
        </is>
      </c>
      <c r="B373" s="196" t="inlineStr">
        <is>
          <t>KWD</t>
        </is>
      </c>
      <c r="C373" s="196" t="inlineStr">
        <is>
          <t>KUWAITI DINAR</t>
        </is>
      </c>
      <c r="D373" s="184" t="n"/>
      <c r="E373" s="184" t="n">
        <v>84453.87</v>
      </c>
      <c r="F373" s="184" t="n">
        <v>88616.36</v>
      </c>
      <c r="G373" s="184" t="n">
        <v>86535.12</v>
      </c>
    </row>
    <row r="374">
      <c r="A374" s="194" t="inlineStr">
        <is>
          <t>2026-08-31 18:00:09</t>
        </is>
      </c>
      <c r="B374" s="194" t="inlineStr">
        <is>
          <t>MYR</t>
        </is>
      </c>
      <c r="C374" s="194" t="inlineStr">
        <is>
          <t>MALAYSIAN RINGGIT</t>
        </is>
      </c>
      <c r="D374" s="195" t="n"/>
      <c r="E374" s="195" t="n">
        <v>6410.29</v>
      </c>
      <c r="F374" s="195" t="n">
        <v>6554.86</v>
      </c>
      <c r="G374" s="195" t="n">
        <v>6482.58</v>
      </c>
    </row>
    <row r="375">
      <c r="A375" s="196" t="inlineStr">
        <is>
          <t>2026-08-31 18:00:09</t>
        </is>
      </c>
      <c r="B375" s="196" t="inlineStr">
        <is>
          <t>NOK</t>
        </is>
      </c>
      <c r="C375" s="196" t="inlineStr">
        <is>
          <t>NORWEGIAN KRONER</t>
        </is>
      </c>
      <c r="D375" s="184" t="n"/>
      <c r="E375" s="184" t="n">
        <v>2739.32</v>
      </c>
      <c r="F375" s="184" t="n">
        <v>2857.7</v>
      </c>
      <c r="G375" s="184" t="n">
        <v>2798.51</v>
      </c>
    </row>
    <row r="376">
      <c r="A376" s="194" t="inlineStr">
        <is>
          <t>2026-08-31 18:00:09</t>
        </is>
      </c>
      <c r="B376" s="194" t="inlineStr">
        <is>
          <t>RUB</t>
        </is>
      </c>
      <c r="C376" s="194" t="inlineStr">
        <is>
          <t>RUSSIAN RUBLE</t>
        </is>
      </c>
      <c r="D376" s="195" t="n"/>
      <c r="E376" s="195" t="n">
        <v>289.72</v>
      </c>
      <c r="F376" s="195" t="n">
        <v>320.95</v>
      </c>
      <c r="G376" s="195" t="n">
        <v>305.34</v>
      </c>
    </row>
    <row r="377">
      <c r="A377" s="196" t="inlineStr">
        <is>
          <t>2026-08-31 18:00:09</t>
        </is>
      </c>
      <c r="B377" s="196" t="inlineStr">
        <is>
          <t>SAR</t>
        </is>
      </c>
      <c r="C377" s="196" t="inlineStr">
        <is>
          <t>SAUDI RIAL</t>
        </is>
      </c>
      <c r="D377" s="184" t="n"/>
      <c r="E377" s="184" t="n">
        <v>6901.72</v>
      </c>
      <c r="F377" s="184" t="n">
        <v>7204.37</v>
      </c>
      <c r="G377" s="184" t="n">
        <v>7053.04</v>
      </c>
    </row>
    <row r="378">
      <c r="A378" s="194" t="inlineStr">
        <is>
          <t>2026-08-31 18:00:09</t>
        </is>
      </c>
      <c r="B378" s="194" t="inlineStr">
        <is>
          <t>SEK</t>
        </is>
      </c>
      <c r="C378" s="194" t="inlineStr">
        <is>
          <t>SWEDISH KRONA</t>
        </is>
      </c>
      <c r="D378" s="195" t="n"/>
      <c r="E378" s="195" t="n">
        <v>2680.03</v>
      </c>
      <c r="F378" s="195" t="n">
        <v>2795.84</v>
      </c>
      <c r="G378" s="195" t="n">
        <v>2737.94</v>
      </c>
    </row>
    <row r="379">
      <c r="A379" s="196" t="inlineStr">
        <is>
          <t>2026-08-31 18:00:09</t>
        </is>
      </c>
      <c r="B379" s="196" t="inlineStr">
        <is>
          <t>SGD</t>
        </is>
      </c>
      <c r="C379" s="196" t="inlineStr">
        <is>
          <t>SINGAPORE DOLLAR</t>
        </is>
      </c>
      <c r="D379" s="184" t="n">
        <v>19969.8</v>
      </c>
      <c r="E379" s="184" t="n">
        <v>20171.51</v>
      </c>
      <c r="F379" s="184" t="n">
        <v>20875.48</v>
      </c>
      <c r="G379" s="184" t="n">
        <v>20523.5</v>
      </c>
    </row>
    <row r="380">
      <c r="A380" s="194" t="inlineStr">
        <is>
          <t>2026-08-31 18:00:09</t>
        </is>
      </c>
      <c r="B380" s="194" t="inlineStr">
        <is>
          <t>THB</t>
        </is>
      </c>
      <c r="C380" s="194" t="inlineStr">
        <is>
          <t>THAILAND BAHT</t>
        </is>
      </c>
      <c r="D380" s="195" t="n">
        <v>697.95</v>
      </c>
      <c r="E380" s="195" t="n">
        <v>775.5</v>
      </c>
      <c r="F380" s="195" t="n">
        <v>809.01</v>
      </c>
      <c r="G380" s="195" t="n">
        <v>792.26</v>
      </c>
    </row>
    <row r="381">
      <c r="A381" s="196" t="inlineStr">
        <is>
          <t>2026-08-31 18:00:09</t>
        </is>
      </c>
      <c r="B381" s="196" t="inlineStr">
        <is>
          <t>USD</t>
        </is>
      </c>
      <c r="C381" s="196" t="inlineStr">
        <is>
          <t>US DOLLAR</t>
        </is>
      </c>
      <c r="D381" s="184" t="n">
        <v>25850</v>
      </c>
      <c r="E381" s="184" t="n">
        <v>25880</v>
      </c>
      <c r="F381" s="184" t="n">
        <v>26260</v>
      </c>
      <c r="G381" s="184" t="n">
        <v>26070</v>
      </c>
    </row>
    <row r="382">
      <c r="A382" s="194" t="inlineStr">
        <is>
          <t>2026-08-30 18:00:09</t>
        </is>
      </c>
      <c r="B382" s="194" t="inlineStr">
        <is>
          <t>AUD</t>
        </is>
      </c>
      <c r="C382" s="194" t="inlineStr">
        <is>
          <t>AUSTRALIAN DOLLAR</t>
        </is>
      </c>
      <c r="D382" s="195" t="n">
        <v>18270.2</v>
      </c>
      <c r="E382" s="195" t="n">
        <v>18454.74</v>
      </c>
      <c r="F382" s="195" t="n">
        <v>19060.63</v>
      </c>
      <c r="G382" s="195" t="n">
        <v>18757.69</v>
      </c>
    </row>
    <row r="383">
      <c r="A383" s="196" t="inlineStr">
        <is>
          <t>2026-08-30 18:00:09</t>
        </is>
      </c>
      <c r="B383" s="196" t="inlineStr">
        <is>
          <t>CAD</t>
        </is>
      </c>
      <c r="C383" s="196" t="inlineStr">
        <is>
          <t>CANADIAN DOLLAR</t>
        </is>
      </c>
      <c r="D383" s="184" t="n">
        <v>18330.41</v>
      </c>
      <c r="E383" s="184" t="n">
        <v>18515.57</v>
      </c>
      <c r="F383" s="184" t="n">
        <v>19123.46</v>
      </c>
      <c r="G383" s="184" t="n">
        <v>18819.52</v>
      </c>
    </row>
    <row r="384">
      <c r="A384" s="194" t="inlineStr">
        <is>
          <t>2026-08-30 18:00:09</t>
        </is>
      </c>
      <c r="B384" s="194" t="inlineStr">
        <is>
          <t>CHF</t>
        </is>
      </c>
      <c r="C384" s="194" t="inlineStr">
        <is>
          <t>SWISS FRANC</t>
        </is>
      </c>
      <c r="D384" s="195" t="n">
        <v>31602.12</v>
      </c>
      <c r="E384" s="195" t="n">
        <v>31921.33</v>
      </c>
      <c r="F384" s="195" t="n">
        <v>32969.34</v>
      </c>
      <c r="G384" s="195" t="n">
        <v>32445.34</v>
      </c>
    </row>
    <row r="385">
      <c r="A385" s="196" t="inlineStr">
        <is>
          <t>2026-08-30 18:00:09</t>
        </is>
      </c>
      <c r="B385" s="196" t="inlineStr">
        <is>
          <t>CNY</t>
        </is>
      </c>
      <c r="C385" s="196" t="inlineStr">
        <is>
          <t>YUAN RENMINBI</t>
        </is>
      </c>
      <c r="D385" s="184" t="n">
        <v>3779.28</v>
      </c>
      <c r="E385" s="184" t="n">
        <v>3817.45</v>
      </c>
      <c r="F385" s="184" t="n">
        <v>3942.78</v>
      </c>
      <c r="G385" s="184" t="n">
        <v>3880.12</v>
      </c>
    </row>
    <row r="386">
      <c r="A386" s="194" t="inlineStr">
        <is>
          <t>2026-08-30 18:00:09</t>
        </is>
      </c>
      <c r="B386" s="194" t="inlineStr">
        <is>
          <t>DKK</t>
        </is>
      </c>
      <c r="C386" s="194" t="inlineStr">
        <is>
          <t>DANISH KRONE</t>
        </is>
      </c>
      <c r="D386" s="195" t="n"/>
      <c r="E386" s="195" t="n">
        <v>3984.23</v>
      </c>
      <c r="F386" s="195" t="n">
        <v>4139.81</v>
      </c>
      <c r="G386" s="195" t="n">
        <v>4062.02</v>
      </c>
    </row>
    <row r="387">
      <c r="A387" s="196" t="inlineStr">
        <is>
          <t>2026-08-30 18:00:09</t>
        </is>
      </c>
      <c r="B387" s="196" t="inlineStr">
        <is>
          <t>EUR</t>
        </is>
      </c>
      <c r="C387" s="196" t="inlineStr">
        <is>
          <t>EURO</t>
        </is>
      </c>
      <c r="D387" s="184" t="n">
        <v>29557.34</v>
      </c>
      <c r="E387" s="184" t="n">
        <v>29855.9</v>
      </c>
      <c r="F387" s="184" t="n">
        <v>31139.91</v>
      </c>
      <c r="G387" s="184" t="n">
        <v>30497.9</v>
      </c>
    </row>
    <row r="388">
      <c r="A388" s="194" t="inlineStr">
        <is>
          <t>2026-08-30 18:00:09</t>
        </is>
      </c>
      <c r="B388" s="194" t="inlineStr">
        <is>
          <t>GBP</t>
        </is>
      </c>
      <c r="C388" s="194" t="inlineStr">
        <is>
          <t>POUND STERLING</t>
        </is>
      </c>
      <c r="D388" s="195" t="n">
        <v>34483.57</v>
      </c>
      <c r="E388" s="195" t="n">
        <v>34831.89</v>
      </c>
      <c r="F388" s="195" t="n">
        <v>35975.46</v>
      </c>
      <c r="G388" s="195" t="n">
        <v>35403.68</v>
      </c>
    </row>
    <row r="389">
      <c r="A389" s="196" t="inlineStr">
        <is>
          <t>2026-08-30 18:00:09</t>
        </is>
      </c>
      <c r="B389" s="196" t="inlineStr">
        <is>
          <t>HKD</t>
        </is>
      </c>
      <c r="C389" s="196" t="inlineStr">
        <is>
          <t>HONGKONG DOLLAR</t>
        </is>
      </c>
      <c r="D389" s="184" t="n">
        <v>3230.11</v>
      </c>
      <c r="E389" s="184" t="n">
        <v>3262.74</v>
      </c>
      <c r="F389" s="184" t="n">
        <v>3390.15</v>
      </c>
      <c r="G389" s="184" t="n">
        <v>3326.44</v>
      </c>
    </row>
    <row r="390">
      <c r="A390" s="194" t="inlineStr">
        <is>
          <t>2026-08-30 18:00:09</t>
        </is>
      </c>
      <c r="B390" s="194" t="inlineStr">
        <is>
          <t>INR</t>
        </is>
      </c>
      <c r="C390" s="194" t="inlineStr">
        <is>
          <t>INDIAN RUPEE</t>
        </is>
      </c>
      <c r="D390" s="195" t="n"/>
      <c r="E390" s="195" t="n">
        <v>271.56</v>
      </c>
      <c r="F390" s="195" t="n">
        <v>283.47</v>
      </c>
      <c r="G390" s="195" t="n">
        <v>277.52</v>
      </c>
    </row>
    <row r="391">
      <c r="A391" s="196" t="inlineStr">
        <is>
          <t>2026-08-30 18:00:09</t>
        </is>
      </c>
      <c r="B391" s="196" t="inlineStr">
        <is>
          <t>JPY</t>
        </is>
      </c>
      <c r="C391" s="196" t="inlineStr">
        <is>
          <t>YEN</t>
        </is>
      </c>
      <c r="D391" s="184" t="n">
        <v>157.55</v>
      </c>
      <c r="E391" s="184" t="n">
        <v>159.14</v>
      </c>
      <c r="F391" s="184" t="n">
        <v>168.55</v>
      </c>
      <c r="G391" s="184" t="n">
        <v>163.84</v>
      </c>
    </row>
    <row r="392">
      <c r="A392" s="194" t="inlineStr">
        <is>
          <t>2026-08-30 18:00:09</t>
        </is>
      </c>
      <c r="B392" s="194" t="inlineStr">
        <is>
          <t>KRW</t>
        </is>
      </c>
      <c r="C392" s="194" t="inlineStr">
        <is>
          <t>KOREAN WON</t>
        </is>
      </c>
      <c r="D392" s="195" t="n">
        <v>16.43</v>
      </c>
      <c r="E392" s="195" t="n">
        <v>18.25</v>
      </c>
      <c r="F392" s="195" t="n">
        <v>19.82</v>
      </c>
      <c r="G392" s="195" t="n">
        <v>19.04</v>
      </c>
    </row>
    <row r="393">
      <c r="A393" s="196" t="inlineStr">
        <is>
          <t>2026-08-30 18:00:09</t>
        </is>
      </c>
      <c r="B393" s="196" t="inlineStr">
        <is>
          <t>KWD</t>
        </is>
      </c>
      <c r="C393" s="196" t="inlineStr">
        <is>
          <t>KUWAITI DINAR</t>
        </is>
      </c>
      <c r="D393" s="184" t="n"/>
      <c r="E393" s="184" t="n">
        <v>84453.87</v>
      </c>
      <c r="F393" s="184" t="n">
        <v>88616.36</v>
      </c>
      <c r="G393" s="184" t="n">
        <v>86535.12</v>
      </c>
    </row>
    <row r="394">
      <c r="A394" s="194" t="inlineStr">
        <is>
          <t>2026-08-30 18:00:09</t>
        </is>
      </c>
      <c r="B394" s="194" t="inlineStr">
        <is>
          <t>MYR</t>
        </is>
      </c>
      <c r="C394" s="194" t="inlineStr">
        <is>
          <t>MALAYSIAN RINGGIT</t>
        </is>
      </c>
      <c r="D394" s="195" t="n"/>
      <c r="E394" s="195" t="n">
        <v>6410.29</v>
      </c>
      <c r="F394" s="195" t="n">
        <v>6554.86</v>
      </c>
      <c r="G394" s="195" t="n">
        <v>6482.58</v>
      </c>
    </row>
    <row r="395">
      <c r="A395" s="196" t="inlineStr">
        <is>
          <t>2026-08-30 18:00:09</t>
        </is>
      </c>
      <c r="B395" s="196" t="inlineStr">
        <is>
          <t>NOK</t>
        </is>
      </c>
      <c r="C395" s="196" t="inlineStr">
        <is>
          <t>NORWEGIAN KRONER</t>
        </is>
      </c>
      <c r="D395" s="184" t="n"/>
      <c r="E395" s="184" t="n">
        <v>2739.32</v>
      </c>
      <c r="F395" s="184" t="n">
        <v>2857.7</v>
      </c>
      <c r="G395" s="184" t="n">
        <v>2798.51</v>
      </c>
    </row>
    <row r="396">
      <c r="A396" s="194" t="inlineStr">
        <is>
          <t>2026-08-30 18:00:09</t>
        </is>
      </c>
      <c r="B396" s="194" t="inlineStr">
        <is>
          <t>RUB</t>
        </is>
      </c>
      <c r="C396" s="194" t="inlineStr">
        <is>
          <t>RUSSIAN RUBLE</t>
        </is>
      </c>
      <c r="D396" s="195" t="n"/>
      <c r="E396" s="195" t="n">
        <v>289.72</v>
      </c>
      <c r="F396" s="195" t="n">
        <v>320.95</v>
      </c>
      <c r="G396" s="195" t="n">
        <v>305.34</v>
      </c>
    </row>
    <row r="397">
      <c r="A397" s="196" t="inlineStr">
        <is>
          <t>2026-08-30 18:00:09</t>
        </is>
      </c>
      <c r="B397" s="196" t="inlineStr">
        <is>
          <t>SAR</t>
        </is>
      </c>
      <c r="C397" s="196" t="inlineStr">
        <is>
          <t>SAUDI RIAL</t>
        </is>
      </c>
      <c r="D397" s="184" t="n"/>
      <c r="E397" s="184" t="n">
        <v>6901.72</v>
      </c>
      <c r="F397" s="184" t="n">
        <v>7204.37</v>
      </c>
      <c r="G397" s="184" t="n">
        <v>7053.04</v>
      </c>
    </row>
    <row r="398">
      <c r="A398" s="194" t="inlineStr">
        <is>
          <t>2026-08-30 18:00:09</t>
        </is>
      </c>
      <c r="B398" s="194" t="inlineStr">
        <is>
          <t>SEK</t>
        </is>
      </c>
      <c r="C398" s="194" t="inlineStr">
        <is>
          <t>SWEDISH KRONA</t>
        </is>
      </c>
      <c r="D398" s="195" t="n"/>
      <c r="E398" s="195" t="n">
        <v>2680.03</v>
      </c>
      <c r="F398" s="195" t="n">
        <v>2795.84</v>
      </c>
      <c r="G398" s="195" t="n">
        <v>2737.94</v>
      </c>
    </row>
    <row r="399">
      <c r="A399" s="196" t="inlineStr">
        <is>
          <t>2026-08-30 18:00:09</t>
        </is>
      </c>
      <c r="B399" s="196" t="inlineStr">
        <is>
          <t>SGD</t>
        </is>
      </c>
      <c r="C399" s="196" t="inlineStr">
        <is>
          <t>SINGAPORE DOLLAR</t>
        </is>
      </c>
      <c r="D399" s="184" t="n">
        <v>19969.8</v>
      </c>
      <c r="E399" s="184" t="n">
        <v>20171.51</v>
      </c>
      <c r="F399" s="184" t="n">
        <v>20875.48</v>
      </c>
      <c r="G399" s="184" t="n">
        <v>20523.5</v>
      </c>
    </row>
    <row r="400">
      <c r="A400" s="194" t="inlineStr">
        <is>
          <t>2026-08-30 18:00:09</t>
        </is>
      </c>
      <c r="B400" s="194" t="inlineStr">
        <is>
          <t>THB</t>
        </is>
      </c>
      <c r="C400" s="194" t="inlineStr">
        <is>
          <t>THAILAND BAHT</t>
        </is>
      </c>
      <c r="D400" s="195" t="n">
        <v>697.95</v>
      </c>
      <c r="E400" s="195" t="n">
        <v>775.5</v>
      </c>
      <c r="F400" s="195" t="n">
        <v>809.01</v>
      </c>
      <c r="G400" s="195" t="n">
        <v>792.26</v>
      </c>
    </row>
    <row r="401">
      <c r="A401" s="196" t="inlineStr">
        <is>
          <t>2026-08-30 18:00:09</t>
        </is>
      </c>
      <c r="B401" s="196" t="inlineStr">
        <is>
          <t>USD</t>
        </is>
      </c>
      <c r="C401" s="196" t="inlineStr">
        <is>
          <t>US DOLLAR</t>
        </is>
      </c>
      <c r="D401" s="184" t="n">
        <v>25850</v>
      </c>
      <c r="E401" s="184" t="n">
        <v>25880</v>
      </c>
      <c r="F401" s="184" t="n">
        <v>26260</v>
      </c>
      <c r="G401" s="184" t="n">
        <v>26070</v>
      </c>
    </row>
    <row r="402">
      <c r="A402" s="194" t="inlineStr">
        <is>
          <t>2026-08-29 18:00:10</t>
        </is>
      </c>
      <c r="B402" s="194" t="inlineStr">
        <is>
          <t>AUD</t>
        </is>
      </c>
      <c r="C402" s="194" t="inlineStr">
        <is>
          <t>AUSTRALIAN DOLLAR</t>
        </is>
      </c>
      <c r="D402" s="195" t="n">
        <v>18270.2</v>
      </c>
      <c r="E402" s="195" t="n">
        <v>18454.74</v>
      </c>
      <c r="F402" s="195" t="n">
        <v>19060.63</v>
      </c>
      <c r="G402" s="195" t="n">
        <v>18757.69</v>
      </c>
    </row>
    <row r="403">
      <c r="A403" s="196" t="inlineStr">
        <is>
          <t>2026-08-29 18:00:10</t>
        </is>
      </c>
      <c r="B403" s="196" t="inlineStr">
        <is>
          <t>CAD</t>
        </is>
      </c>
      <c r="C403" s="196" t="inlineStr">
        <is>
          <t>CANADIAN DOLLAR</t>
        </is>
      </c>
      <c r="D403" s="184" t="n">
        <v>18330.41</v>
      </c>
      <c r="E403" s="184" t="n">
        <v>18515.57</v>
      </c>
      <c r="F403" s="184" t="n">
        <v>19123.46</v>
      </c>
      <c r="G403" s="184" t="n">
        <v>18819.52</v>
      </c>
    </row>
    <row r="404">
      <c r="A404" s="194" t="inlineStr">
        <is>
          <t>2026-08-29 18:00:10</t>
        </is>
      </c>
      <c r="B404" s="194" t="inlineStr">
        <is>
          <t>CHF</t>
        </is>
      </c>
      <c r="C404" s="194" t="inlineStr">
        <is>
          <t>SWISS FRANC</t>
        </is>
      </c>
      <c r="D404" s="195" t="n">
        <v>31602.12</v>
      </c>
      <c r="E404" s="195" t="n">
        <v>31921.33</v>
      </c>
      <c r="F404" s="195" t="n">
        <v>32969.34</v>
      </c>
      <c r="G404" s="195" t="n">
        <v>32445.34</v>
      </c>
    </row>
    <row r="405">
      <c r="A405" s="196" t="inlineStr">
        <is>
          <t>2026-08-29 18:00:10</t>
        </is>
      </c>
      <c r="B405" s="196" t="inlineStr">
        <is>
          <t>CNY</t>
        </is>
      </c>
      <c r="C405" s="196" t="inlineStr">
        <is>
          <t>YUAN RENMINBI</t>
        </is>
      </c>
      <c r="D405" s="184" t="n">
        <v>3779.28</v>
      </c>
      <c r="E405" s="184" t="n">
        <v>3817.45</v>
      </c>
      <c r="F405" s="184" t="n">
        <v>3942.78</v>
      </c>
      <c r="G405" s="184" t="n">
        <v>3880.12</v>
      </c>
    </row>
    <row r="406">
      <c r="A406" s="194" t="inlineStr">
        <is>
          <t>2026-08-29 18:00:10</t>
        </is>
      </c>
      <c r="B406" s="194" t="inlineStr">
        <is>
          <t>DKK</t>
        </is>
      </c>
      <c r="C406" s="194" t="inlineStr">
        <is>
          <t>DANISH KRONE</t>
        </is>
      </c>
      <c r="D406" s="195" t="n"/>
      <c r="E406" s="195" t="n">
        <v>3984.23</v>
      </c>
      <c r="F406" s="195" t="n">
        <v>4139.81</v>
      </c>
      <c r="G406" s="195" t="n">
        <v>4062.02</v>
      </c>
    </row>
    <row r="407">
      <c r="A407" s="196" t="inlineStr">
        <is>
          <t>2026-08-29 18:00:10</t>
        </is>
      </c>
      <c r="B407" s="196" t="inlineStr">
        <is>
          <t>EUR</t>
        </is>
      </c>
      <c r="C407" s="196" t="inlineStr">
        <is>
          <t>EURO</t>
        </is>
      </c>
      <c r="D407" s="184" t="n">
        <v>29557.34</v>
      </c>
      <c r="E407" s="184" t="n">
        <v>29855.9</v>
      </c>
      <c r="F407" s="184" t="n">
        <v>31139.91</v>
      </c>
      <c r="G407" s="184" t="n">
        <v>30497.9</v>
      </c>
    </row>
    <row r="408">
      <c r="A408" s="194" t="inlineStr">
        <is>
          <t>2026-08-29 18:00:10</t>
        </is>
      </c>
      <c r="B408" s="194" t="inlineStr">
        <is>
          <t>GBP</t>
        </is>
      </c>
      <c r="C408" s="194" t="inlineStr">
        <is>
          <t>POUND STERLING</t>
        </is>
      </c>
      <c r="D408" s="195" t="n">
        <v>34483.57</v>
      </c>
      <c r="E408" s="195" t="n">
        <v>34831.89</v>
      </c>
      <c r="F408" s="195" t="n">
        <v>35975.46</v>
      </c>
      <c r="G408" s="195" t="n">
        <v>35403.68</v>
      </c>
    </row>
    <row r="409">
      <c r="A409" s="196" t="inlineStr">
        <is>
          <t>2026-08-29 18:00:10</t>
        </is>
      </c>
      <c r="B409" s="196" t="inlineStr">
        <is>
          <t>HKD</t>
        </is>
      </c>
      <c r="C409" s="196" t="inlineStr">
        <is>
          <t>HONGKONG DOLLAR</t>
        </is>
      </c>
      <c r="D409" s="184" t="n">
        <v>3230.11</v>
      </c>
      <c r="E409" s="184" t="n">
        <v>3262.74</v>
      </c>
      <c r="F409" s="184" t="n">
        <v>3390.15</v>
      </c>
      <c r="G409" s="184" t="n">
        <v>3326.44</v>
      </c>
    </row>
    <row r="410">
      <c r="A410" s="194" t="inlineStr">
        <is>
          <t>2026-08-29 18:00:10</t>
        </is>
      </c>
      <c r="B410" s="194" t="inlineStr">
        <is>
          <t>INR</t>
        </is>
      </c>
      <c r="C410" s="194" t="inlineStr">
        <is>
          <t>INDIAN RUPEE</t>
        </is>
      </c>
      <c r="D410" s="195" t="n"/>
      <c r="E410" s="195" t="n">
        <v>271.56</v>
      </c>
      <c r="F410" s="195" t="n">
        <v>283.47</v>
      </c>
      <c r="G410" s="195" t="n">
        <v>277.52</v>
      </c>
    </row>
    <row r="411">
      <c r="A411" s="196" t="inlineStr">
        <is>
          <t>2026-08-29 18:00:10</t>
        </is>
      </c>
      <c r="B411" s="196" t="inlineStr">
        <is>
          <t>JPY</t>
        </is>
      </c>
      <c r="C411" s="196" t="inlineStr">
        <is>
          <t>YEN</t>
        </is>
      </c>
      <c r="D411" s="184" t="n">
        <v>157.55</v>
      </c>
      <c r="E411" s="184" t="n">
        <v>159.14</v>
      </c>
      <c r="F411" s="184" t="n">
        <v>168.55</v>
      </c>
      <c r="G411" s="184" t="n">
        <v>163.84</v>
      </c>
    </row>
    <row r="412">
      <c r="A412" s="194" t="inlineStr">
        <is>
          <t>2026-08-29 18:00:10</t>
        </is>
      </c>
      <c r="B412" s="194" t="inlineStr">
        <is>
          <t>KRW</t>
        </is>
      </c>
      <c r="C412" s="194" t="inlineStr">
        <is>
          <t>KOREAN WON</t>
        </is>
      </c>
      <c r="D412" s="195" t="n">
        <v>16.43</v>
      </c>
      <c r="E412" s="195" t="n">
        <v>18.25</v>
      </c>
      <c r="F412" s="195" t="n">
        <v>19.82</v>
      </c>
      <c r="G412" s="195" t="n">
        <v>19.04</v>
      </c>
    </row>
    <row r="413">
      <c r="A413" s="196" t="inlineStr">
        <is>
          <t>2026-08-29 18:00:10</t>
        </is>
      </c>
      <c r="B413" s="196" t="inlineStr">
        <is>
          <t>KWD</t>
        </is>
      </c>
      <c r="C413" s="196" t="inlineStr">
        <is>
          <t>KUWAITI DINAR</t>
        </is>
      </c>
      <c r="D413" s="184" t="n"/>
      <c r="E413" s="184" t="n">
        <v>84453.87</v>
      </c>
      <c r="F413" s="184" t="n">
        <v>88616.36</v>
      </c>
      <c r="G413" s="184" t="n">
        <v>86535.12</v>
      </c>
    </row>
    <row r="414">
      <c r="A414" s="194" t="inlineStr">
        <is>
          <t>2026-08-29 18:00:10</t>
        </is>
      </c>
      <c r="B414" s="194" t="inlineStr">
        <is>
          <t>MYR</t>
        </is>
      </c>
      <c r="C414" s="194" t="inlineStr">
        <is>
          <t>MALAYSIAN RINGGIT</t>
        </is>
      </c>
      <c r="D414" s="195" t="n"/>
      <c r="E414" s="195" t="n">
        <v>6410.29</v>
      </c>
      <c r="F414" s="195" t="n">
        <v>6554.86</v>
      </c>
      <c r="G414" s="195" t="n">
        <v>6482.58</v>
      </c>
    </row>
    <row r="415">
      <c r="A415" s="196" t="inlineStr">
        <is>
          <t>2026-08-29 18:00:10</t>
        </is>
      </c>
      <c r="B415" s="196" t="inlineStr">
        <is>
          <t>NOK</t>
        </is>
      </c>
      <c r="C415" s="196" t="inlineStr">
        <is>
          <t>NORWEGIAN KRONER</t>
        </is>
      </c>
      <c r="D415" s="184" t="n"/>
      <c r="E415" s="184" t="n">
        <v>2739.32</v>
      </c>
      <c r="F415" s="184" t="n">
        <v>2857.7</v>
      </c>
      <c r="G415" s="184" t="n">
        <v>2798.51</v>
      </c>
    </row>
    <row r="416">
      <c r="A416" s="194" t="inlineStr">
        <is>
          <t>2026-08-29 18:00:10</t>
        </is>
      </c>
      <c r="B416" s="194" t="inlineStr">
        <is>
          <t>RUB</t>
        </is>
      </c>
      <c r="C416" s="194" t="inlineStr">
        <is>
          <t>RUSSIAN RUBLE</t>
        </is>
      </c>
      <c r="D416" s="195" t="n"/>
      <c r="E416" s="195" t="n">
        <v>289.72</v>
      </c>
      <c r="F416" s="195" t="n">
        <v>320.95</v>
      </c>
      <c r="G416" s="195" t="n">
        <v>305.34</v>
      </c>
    </row>
    <row r="417">
      <c r="A417" s="196" t="inlineStr">
        <is>
          <t>2026-08-29 18:00:10</t>
        </is>
      </c>
      <c r="B417" s="196" t="inlineStr">
        <is>
          <t>SAR</t>
        </is>
      </c>
      <c r="C417" s="196" t="inlineStr">
        <is>
          <t>SAUDI RIAL</t>
        </is>
      </c>
      <c r="D417" s="184" t="n"/>
      <c r="E417" s="184" t="n">
        <v>6901.72</v>
      </c>
      <c r="F417" s="184" t="n">
        <v>7204.37</v>
      </c>
      <c r="G417" s="184" t="n">
        <v>7053.04</v>
      </c>
    </row>
    <row r="418">
      <c r="A418" s="194" t="inlineStr">
        <is>
          <t>2026-08-29 18:00:10</t>
        </is>
      </c>
      <c r="B418" s="194" t="inlineStr">
        <is>
          <t>SEK</t>
        </is>
      </c>
      <c r="C418" s="194" t="inlineStr">
        <is>
          <t>SWEDISH KRONA</t>
        </is>
      </c>
      <c r="D418" s="195" t="n"/>
      <c r="E418" s="195" t="n">
        <v>2680.03</v>
      </c>
      <c r="F418" s="195" t="n">
        <v>2795.84</v>
      </c>
      <c r="G418" s="195" t="n">
        <v>2737.94</v>
      </c>
    </row>
    <row r="419">
      <c r="A419" s="196" t="inlineStr">
        <is>
          <t>2026-08-29 18:00:10</t>
        </is>
      </c>
      <c r="B419" s="196" t="inlineStr">
        <is>
          <t>SGD</t>
        </is>
      </c>
      <c r="C419" s="196" t="inlineStr">
        <is>
          <t>SINGAPORE DOLLAR</t>
        </is>
      </c>
      <c r="D419" s="184" t="n">
        <v>19969.8</v>
      </c>
      <c r="E419" s="184" t="n">
        <v>20171.51</v>
      </c>
      <c r="F419" s="184" t="n">
        <v>20875.48</v>
      </c>
      <c r="G419" s="184" t="n">
        <v>20523.5</v>
      </c>
    </row>
    <row r="420">
      <c r="A420" s="194" t="inlineStr">
        <is>
          <t>2026-08-29 18:00:10</t>
        </is>
      </c>
      <c r="B420" s="194" t="inlineStr">
        <is>
          <t>THB</t>
        </is>
      </c>
      <c r="C420" s="194" t="inlineStr">
        <is>
          <t>THAILAND BAHT</t>
        </is>
      </c>
      <c r="D420" s="195" t="n">
        <v>697.95</v>
      </c>
      <c r="E420" s="195" t="n">
        <v>775.5</v>
      </c>
      <c r="F420" s="195" t="n">
        <v>809.01</v>
      </c>
      <c r="G420" s="195" t="n">
        <v>792.26</v>
      </c>
    </row>
    <row r="421">
      <c r="A421" s="196" t="inlineStr">
        <is>
          <t>2026-08-29 18:00:10</t>
        </is>
      </c>
      <c r="B421" s="196" t="inlineStr">
        <is>
          <t>USD</t>
        </is>
      </c>
      <c r="C421" s="196" t="inlineStr">
        <is>
          <t>US DOLLAR</t>
        </is>
      </c>
      <c r="D421" s="184" t="n">
        <v>25850</v>
      </c>
      <c r="E421" s="184" t="n">
        <v>25880</v>
      </c>
      <c r="F421" s="184" t="n">
        <v>26260</v>
      </c>
      <c r="G421" s="184" t="n">
        <v>26070</v>
      </c>
    </row>
    <row r="422">
      <c r="A422" s="194" t="inlineStr">
        <is>
          <t>2026-08-28 18:00:12</t>
        </is>
      </c>
      <c r="B422" s="194" t="inlineStr">
        <is>
          <t>AUD</t>
        </is>
      </c>
      <c r="C422" s="194" t="inlineStr">
        <is>
          <t>AUSTRALIAN DOLLAR</t>
        </is>
      </c>
      <c r="D422" s="195" t="n">
        <v>18270.2</v>
      </c>
      <c r="E422" s="195" t="n">
        <v>18454.74</v>
      </c>
      <c r="F422" s="195" t="n">
        <v>19060.63</v>
      </c>
      <c r="G422" s="195" t="n">
        <v>18757.69</v>
      </c>
    </row>
    <row r="423">
      <c r="A423" s="196" t="inlineStr">
        <is>
          <t>2026-08-28 18:00:12</t>
        </is>
      </c>
      <c r="B423" s="196" t="inlineStr">
        <is>
          <t>CAD</t>
        </is>
      </c>
      <c r="C423" s="196" t="inlineStr">
        <is>
          <t>CANADIAN DOLLAR</t>
        </is>
      </c>
      <c r="D423" s="184" t="n">
        <v>18330.41</v>
      </c>
      <c r="E423" s="184" t="n">
        <v>18515.57</v>
      </c>
      <c r="F423" s="184" t="n">
        <v>19123.46</v>
      </c>
      <c r="G423" s="184" t="n">
        <v>18819.52</v>
      </c>
    </row>
    <row r="424">
      <c r="A424" s="194" t="inlineStr">
        <is>
          <t>2026-08-28 18:00:12</t>
        </is>
      </c>
      <c r="B424" s="194" t="inlineStr">
        <is>
          <t>CHF</t>
        </is>
      </c>
      <c r="C424" s="194" t="inlineStr">
        <is>
          <t>SWISS FRANC</t>
        </is>
      </c>
      <c r="D424" s="195" t="n">
        <v>31602.12</v>
      </c>
      <c r="E424" s="195" t="n">
        <v>31921.33</v>
      </c>
      <c r="F424" s="195" t="n">
        <v>32969.34</v>
      </c>
      <c r="G424" s="195" t="n">
        <v>32445.34</v>
      </c>
    </row>
    <row r="425">
      <c r="A425" s="196" t="inlineStr">
        <is>
          <t>2026-08-28 18:00:12</t>
        </is>
      </c>
      <c r="B425" s="196" t="inlineStr">
        <is>
          <t>CNY</t>
        </is>
      </c>
      <c r="C425" s="196" t="inlineStr">
        <is>
          <t>YUAN RENMINBI</t>
        </is>
      </c>
      <c r="D425" s="184" t="n">
        <v>3779.28</v>
      </c>
      <c r="E425" s="184" t="n">
        <v>3817.45</v>
      </c>
      <c r="F425" s="184" t="n">
        <v>3942.78</v>
      </c>
      <c r="G425" s="184" t="n">
        <v>3880.12</v>
      </c>
    </row>
    <row r="426">
      <c r="A426" s="194" t="inlineStr">
        <is>
          <t>2026-08-28 18:00:12</t>
        </is>
      </c>
      <c r="B426" s="194" t="inlineStr">
        <is>
          <t>DKK</t>
        </is>
      </c>
      <c r="C426" s="194" t="inlineStr">
        <is>
          <t>DANISH KRONE</t>
        </is>
      </c>
      <c r="D426" s="195" t="n"/>
      <c r="E426" s="195" t="n">
        <v>3984.23</v>
      </c>
      <c r="F426" s="195" t="n">
        <v>4139.81</v>
      </c>
      <c r="G426" s="195" t="n">
        <v>4062.02</v>
      </c>
    </row>
    <row r="427">
      <c r="A427" s="196" t="inlineStr">
        <is>
          <t>2026-08-28 18:00:12</t>
        </is>
      </c>
      <c r="B427" s="196" t="inlineStr">
        <is>
          <t>EUR</t>
        </is>
      </c>
      <c r="C427" s="196" t="inlineStr">
        <is>
          <t>EURO</t>
        </is>
      </c>
      <c r="D427" s="184" t="n">
        <v>29557.34</v>
      </c>
      <c r="E427" s="184" t="n">
        <v>29855.9</v>
      </c>
      <c r="F427" s="184" t="n">
        <v>31139.91</v>
      </c>
      <c r="G427" s="184" t="n">
        <v>30497.9</v>
      </c>
    </row>
    <row r="428">
      <c r="A428" s="194" t="inlineStr">
        <is>
          <t>2026-08-28 18:00:12</t>
        </is>
      </c>
      <c r="B428" s="194" t="inlineStr">
        <is>
          <t>GBP</t>
        </is>
      </c>
      <c r="C428" s="194" t="inlineStr">
        <is>
          <t>POUND STERLING</t>
        </is>
      </c>
      <c r="D428" s="195" t="n">
        <v>34483.57</v>
      </c>
      <c r="E428" s="195" t="n">
        <v>34831.89</v>
      </c>
      <c r="F428" s="195" t="n">
        <v>35975.46</v>
      </c>
      <c r="G428" s="195" t="n">
        <v>35403.68</v>
      </c>
    </row>
    <row r="429">
      <c r="A429" s="196" t="inlineStr">
        <is>
          <t>2026-08-28 18:00:12</t>
        </is>
      </c>
      <c r="B429" s="196" t="inlineStr">
        <is>
          <t>HKD</t>
        </is>
      </c>
      <c r="C429" s="196" t="inlineStr">
        <is>
          <t>HONGKONG DOLLAR</t>
        </is>
      </c>
      <c r="D429" s="184" t="n">
        <v>3230.11</v>
      </c>
      <c r="E429" s="184" t="n">
        <v>3262.74</v>
      </c>
      <c r="F429" s="184" t="n">
        <v>3390.15</v>
      </c>
      <c r="G429" s="184" t="n">
        <v>3326.44</v>
      </c>
    </row>
    <row r="430">
      <c r="A430" s="194" t="inlineStr">
        <is>
          <t>2026-08-28 18:00:12</t>
        </is>
      </c>
      <c r="B430" s="194" t="inlineStr">
        <is>
          <t>INR</t>
        </is>
      </c>
      <c r="C430" s="194" t="inlineStr">
        <is>
          <t>INDIAN RUPEE</t>
        </is>
      </c>
      <c r="D430" s="195" t="n"/>
      <c r="E430" s="195" t="n">
        <v>271.56</v>
      </c>
      <c r="F430" s="195" t="n">
        <v>283.47</v>
      </c>
      <c r="G430" s="195" t="n">
        <v>277.52</v>
      </c>
    </row>
    <row r="431">
      <c r="A431" s="196" t="inlineStr">
        <is>
          <t>2026-08-28 18:00:12</t>
        </is>
      </c>
      <c r="B431" s="196" t="inlineStr">
        <is>
          <t>JPY</t>
        </is>
      </c>
      <c r="C431" s="196" t="inlineStr">
        <is>
          <t>YEN</t>
        </is>
      </c>
      <c r="D431" s="184" t="n">
        <v>157.55</v>
      </c>
      <c r="E431" s="184" t="n">
        <v>159.14</v>
      </c>
      <c r="F431" s="184" t="n">
        <v>168.55</v>
      </c>
      <c r="G431" s="184" t="n">
        <v>163.84</v>
      </c>
    </row>
    <row r="432">
      <c r="A432" s="194" t="inlineStr">
        <is>
          <t>2026-08-28 18:00:12</t>
        </is>
      </c>
      <c r="B432" s="194" t="inlineStr">
        <is>
          <t>KRW</t>
        </is>
      </c>
      <c r="C432" s="194" t="inlineStr">
        <is>
          <t>KOREAN WON</t>
        </is>
      </c>
      <c r="D432" s="195" t="n">
        <v>16.43</v>
      </c>
      <c r="E432" s="195" t="n">
        <v>18.25</v>
      </c>
      <c r="F432" s="195" t="n">
        <v>19.82</v>
      </c>
      <c r="G432" s="195" t="n">
        <v>19.04</v>
      </c>
    </row>
    <row r="433">
      <c r="A433" s="196" t="inlineStr">
        <is>
          <t>2026-08-28 18:00:12</t>
        </is>
      </c>
      <c r="B433" s="196" t="inlineStr">
        <is>
          <t>KWD</t>
        </is>
      </c>
      <c r="C433" s="196" t="inlineStr">
        <is>
          <t>KUWAITI DINAR</t>
        </is>
      </c>
      <c r="D433" s="184" t="n"/>
      <c r="E433" s="184" t="n">
        <v>84453.87</v>
      </c>
      <c r="F433" s="184" t="n">
        <v>88616.36</v>
      </c>
      <c r="G433" s="184" t="n">
        <v>86535.12</v>
      </c>
    </row>
    <row r="434">
      <c r="A434" s="194" t="inlineStr">
        <is>
          <t>2026-08-28 18:00:12</t>
        </is>
      </c>
      <c r="B434" s="194" t="inlineStr">
        <is>
          <t>MYR</t>
        </is>
      </c>
      <c r="C434" s="194" t="inlineStr">
        <is>
          <t>MALAYSIAN RINGGIT</t>
        </is>
      </c>
      <c r="D434" s="195" t="n"/>
      <c r="E434" s="195" t="n">
        <v>6410.29</v>
      </c>
      <c r="F434" s="195" t="n">
        <v>6554.86</v>
      </c>
      <c r="G434" s="195" t="n">
        <v>6482.58</v>
      </c>
    </row>
    <row r="435">
      <c r="A435" s="196" t="inlineStr">
        <is>
          <t>2026-08-28 18:00:12</t>
        </is>
      </c>
      <c r="B435" s="196" t="inlineStr">
        <is>
          <t>NOK</t>
        </is>
      </c>
      <c r="C435" s="196" t="inlineStr">
        <is>
          <t>NORWEGIAN KRONER</t>
        </is>
      </c>
      <c r="D435" s="184" t="n"/>
      <c r="E435" s="184" t="n">
        <v>2739.32</v>
      </c>
      <c r="F435" s="184" t="n">
        <v>2857.7</v>
      </c>
      <c r="G435" s="184" t="n">
        <v>2798.51</v>
      </c>
    </row>
    <row r="436">
      <c r="A436" s="194" t="inlineStr">
        <is>
          <t>2026-08-28 18:00:12</t>
        </is>
      </c>
      <c r="B436" s="194" t="inlineStr">
        <is>
          <t>RUB</t>
        </is>
      </c>
      <c r="C436" s="194" t="inlineStr">
        <is>
          <t>RUSSIAN RUBLE</t>
        </is>
      </c>
      <c r="D436" s="195" t="n"/>
      <c r="E436" s="195" t="n">
        <v>289.72</v>
      </c>
      <c r="F436" s="195" t="n">
        <v>320.95</v>
      </c>
      <c r="G436" s="195" t="n">
        <v>305.34</v>
      </c>
    </row>
    <row r="437">
      <c r="A437" s="196" t="inlineStr">
        <is>
          <t>2026-08-28 18:00:12</t>
        </is>
      </c>
      <c r="B437" s="196" t="inlineStr">
        <is>
          <t>SAR</t>
        </is>
      </c>
      <c r="C437" s="196" t="inlineStr">
        <is>
          <t>SAUDI RIAL</t>
        </is>
      </c>
      <c r="D437" s="184" t="n"/>
      <c r="E437" s="184" t="n">
        <v>6901.72</v>
      </c>
      <c r="F437" s="184" t="n">
        <v>7204.37</v>
      </c>
      <c r="G437" s="184" t="n">
        <v>7053.04</v>
      </c>
    </row>
    <row r="438">
      <c r="A438" s="194" t="inlineStr">
        <is>
          <t>2026-08-28 18:00:12</t>
        </is>
      </c>
      <c r="B438" s="194" t="inlineStr">
        <is>
          <t>SEK</t>
        </is>
      </c>
      <c r="C438" s="194" t="inlineStr">
        <is>
          <t>SWEDISH KRONA</t>
        </is>
      </c>
      <c r="D438" s="195" t="n"/>
      <c r="E438" s="195" t="n">
        <v>2680.03</v>
      </c>
      <c r="F438" s="195" t="n">
        <v>2795.84</v>
      </c>
      <c r="G438" s="195" t="n">
        <v>2737.94</v>
      </c>
    </row>
    <row r="439">
      <c r="A439" s="196" t="inlineStr">
        <is>
          <t>2026-08-28 18:00:12</t>
        </is>
      </c>
      <c r="B439" s="196" t="inlineStr">
        <is>
          <t>SGD</t>
        </is>
      </c>
      <c r="C439" s="196" t="inlineStr">
        <is>
          <t>SINGAPORE DOLLAR</t>
        </is>
      </c>
      <c r="D439" s="184" t="n">
        <v>19969.8</v>
      </c>
      <c r="E439" s="184" t="n">
        <v>20171.51</v>
      </c>
      <c r="F439" s="184" t="n">
        <v>20875.48</v>
      </c>
      <c r="G439" s="184" t="n">
        <v>20523.5</v>
      </c>
    </row>
    <row r="440">
      <c r="A440" s="194" t="inlineStr">
        <is>
          <t>2026-08-28 18:00:12</t>
        </is>
      </c>
      <c r="B440" s="194" t="inlineStr">
        <is>
          <t>THB</t>
        </is>
      </c>
      <c r="C440" s="194" t="inlineStr">
        <is>
          <t>THAILAND BAHT</t>
        </is>
      </c>
      <c r="D440" s="195" t="n">
        <v>697.95</v>
      </c>
      <c r="E440" s="195" t="n">
        <v>775.5</v>
      </c>
      <c r="F440" s="195" t="n">
        <v>809.01</v>
      </c>
      <c r="G440" s="195" t="n">
        <v>792.26</v>
      </c>
    </row>
    <row r="441">
      <c r="A441" s="196" t="inlineStr">
        <is>
          <t>2026-08-28 18:00:12</t>
        </is>
      </c>
      <c r="B441" s="196" t="inlineStr">
        <is>
          <t>USD</t>
        </is>
      </c>
      <c r="C441" s="196" t="inlineStr">
        <is>
          <t>US DOLLAR</t>
        </is>
      </c>
      <c r="D441" s="184" t="n">
        <v>25850</v>
      </c>
      <c r="E441" s="184" t="n">
        <v>25880</v>
      </c>
      <c r="F441" s="184" t="n">
        <v>26260</v>
      </c>
      <c r="G441" s="184" t="n">
        <v>26070</v>
      </c>
    </row>
    <row r="442">
      <c r="A442" s="194" t="inlineStr">
        <is>
          <t>2026-08-27 18:00:08</t>
        </is>
      </c>
      <c r="B442" s="194" t="inlineStr">
        <is>
          <t>AUD</t>
        </is>
      </c>
      <c r="C442" s="194" t="inlineStr">
        <is>
          <t>AUSTRALIAN DOLLAR</t>
        </is>
      </c>
      <c r="D442" s="195" t="n">
        <v>18246.11</v>
      </c>
      <c r="E442" s="195" t="n">
        <v>18430.41</v>
      </c>
      <c r="F442" s="195" t="n">
        <v>19020.9</v>
      </c>
      <c r="G442" s="195" t="n">
        <v>18725.66</v>
      </c>
    </row>
    <row r="443">
      <c r="A443" s="196" t="inlineStr">
        <is>
          <t>2026-08-27 18:00:08</t>
        </is>
      </c>
      <c r="B443" s="196" t="inlineStr">
        <is>
          <t>CAD</t>
        </is>
      </c>
      <c r="C443" s="196" t="inlineStr">
        <is>
          <t>CANADIAN DOLLAR</t>
        </is>
      </c>
      <c r="D443" s="184" t="n">
        <v>18312.77</v>
      </c>
      <c r="E443" s="184" t="n">
        <v>18497.75</v>
      </c>
      <c r="F443" s="184" t="n">
        <v>19090.39</v>
      </c>
      <c r="G443" s="184" t="n">
        <v>18794.07</v>
      </c>
    </row>
    <row r="444">
      <c r="A444" s="194" t="inlineStr">
        <is>
          <t>2026-08-27 18:00:08</t>
        </is>
      </c>
      <c r="B444" s="194" t="inlineStr">
        <is>
          <t>CHF</t>
        </is>
      </c>
      <c r="C444" s="194" t="inlineStr">
        <is>
          <t>SWISS FRANC</t>
        </is>
      </c>
      <c r="D444" s="195" t="n">
        <v>31551.8</v>
      </c>
      <c r="E444" s="195" t="n">
        <v>31870.5</v>
      </c>
      <c r="F444" s="195" t="n">
        <v>32891.59</v>
      </c>
      <c r="G444" s="195" t="n">
        <v>32381.04</v>
      </c>
    </row>
    <row r="445">
      <c r="A445" s="196" t="inlineStr">
        <is>
          <t>2026-08-27 18:00:08</t>
        </is>
      </c>
      <c r="B445" s="196" t="inlineStr">
        <is>
          <t>CNY</t>
        </is>
      </c>
      <c r="C445" s="196" t="inlineStr">
        <is>
          <t>YUAN RENMINBI</t>
        </is>
      </c>
      <c r="D445" s="184" t="n">
        <v>3782.23</v>
      </c>
      <c r="E445" s="184" t="n">
        <v>3820.44</v>
      </c>
      <c r="F445" s="184" t="n">
        <v>3942.84</v>
      </c>
      <c r="G445" s="184" t="n">
        <v>3881.64</v>
      </c>
    </row>
    <row r="446">
      <c r="A446" s="194" t="inlineStr">
        <is>
          <t>2026-08-27 18:00:08</t>
        </is>
      </c>
      <c r="B446" s="194" t="inlineStr">
        <is>
          <t>DKK</t>
        </is>
      </c>
      <c r="C446" s="194" t="inlineStr">
        <is>
          <t>DANISH KRONE</t>
        </is>
      </c>
      <c r="D446" s="195" t="n"/>
      <c r="E446" s="195" t="n">
        <v>3988.47</v>
      </c>
      <c r="F446" s="195" t="n">
        <v>4141.04</v>
      </c>
      <c r="G446" s="195" t="n">
        <v>4064.76</v>
      </c>
    </row>
    <row r="447">
      <c r="A447" s="196" t="inlineStr">
        <is>
          <t>2026-08-27 18:00:08</t>
        </is>
      </c>
      <c r="B447" s="196" t="inlineStr">
        <is>
          <t>EUR</t>
        </is>
      </c>
      <c r="C447" s="196" t="inlineStr">
        <is>
          <t>EURO</t>
        </is>
      </c>
      <c r="D447" s="184" t="n">
        <v>29592.75</v>
      </c>
      <c r="E447" s="184" t="n">
        <v>29891.67</v>
      </c>
      <c r="F447" s="184" t="n">
        <v>31153.29</v>
      </c>
      <c r="G447" s="184" t="n">
        <v>30522.48</v>
      </c>
    </row>
    <row r="448">
      <c r="A448" s="194" t="inlineStr">
        <is>
          <t>2026-08-27 18:00:08</t>
        </is>
      </c>
      <c r="B448" s="194" t="inlineStr">
        <is>
          <t>GBP</t>
        </is>
      </c>
      <c r="C448" s="194" t="inlineStr">
        <is>
          <t>POUND STERLING</t>
        </is>
      </c>
      <c r="D448" s="195" t="n">
        <v>34504.97</v>
      </c>
      <c r="E448" s="195" t="n">
        <v>34853.5</v>
      </c>
      <c r="F448" s="195" t="n">
        <v>35970.16</v>
      </c>
      <c r="G448" s="195" t="n">
        <v>35411.83</v>
      </c>
    </row>
    <row r="449">
      <c r="A449" s="196" t="inlineStr">
        <is>
          <t>2026-08-27 18:00:08</t>
        </is>
      </c>
      <c r="B449" s="196" t="inlineStr">
        <is>
          <t>HKD</t>
        </is>
      </c>
      <c r="C449" s="196" t="inlineStr">
        <is>
          <t>HONGKONG DOLLAR</t>
        </is>
      </c>
      <c r="D449" s="184" t="n">
        <v>3233.13</v>
      </c>
      <c r="E449" s="184" t="n">
        <v>3265.79</v>
      </c>
      <c r="F449" s="184" t="n">
        <v>3390.71</v>
      </c>
      <c r="G449" s="184" t="n">
        <v>3328.25</v>
      </c>
    </row>
    <row r="450">
      <c r="A450" s="194" t="inlineStr">
        <is>
          <t>2026-08-27 18:00:08</t>
        </is>
      </c>
      <c r="B450" s="194" t="inlineStr">
        <is>
          <t>INR</t>
        </is>
      </c>
      <c r="C450" s="194" t="inlineStr">
        <is>
          <t>INDIAN RUPEE</t>
        </is>
      </c>
      <c r="D450" s="195" t="n"/>
      <c r="E450" s="195" t="n">
        <v>271.38</v>
      </c>
      <c r="F450" s="195" t="n">
        <v>283.06</v>
      </c>
      <c r="G450" s="195" t="n">
        <v>277.22</v>
      </c>
    </row>
    <row r="451">
      <c r="A451" s="196" t="inlineStr">
        <is>
          <t>2026-08-27 18:00:08</t>
        </is>
      </c>
      <c r="B451" s="196" t="inlineStr">
        <is>
          <t>JPY</t>
        </is>
      </c>
      <c r="C451" s="196" t="inlineStr">
        <is>
          <t>YEN</t>
        </is>
      </c>
      <c r="D451" s="184" t="n">
        <v>157.92</v>
      </c>
      <c r="E451" s="184" t="n">
        <v>159.51</v>
      </c>
      <c r="F451" s="184" t="n">
        <v>168.81</v>
      </c>
      <c r="G451" s="184" t="n">
        <v>164.16</v>
      </c>
    </row>
    <row r="452">
      <c r="A452" s="194" t="inlineStr">
        <is>
          <t>2026-08-27 18:00:08</t>
        </is>
      </c>
      <c r="B452" s="194" t="inlineStr">
        <is>
          <t>KRW</t>
        </is>
      </c>
      <c r="C452" s="194" t="inlineStr">
        <is>
          <t>KOREAN WON</t>
        </is>
      </c>
      <c r="D452" s="195" t="n">
        <v>16.32</v>
      </c>
      <c r="E452" s="195" t="n">
        <v>18.14</v>
      </c>
      <c r="F452" s="195" t="n">
        <v>19.68</v>
      </c>
      <c r="G452" s="195" t="n">
        <v>18.91</v>
      </c>
    </row>
    <row r="453">
      <c r="A453" s="196" t="inlineStr">
        <is>
          <t>2026-08-27 18:00:08</t>
        </is>
      </c>
      <c r="B453" s="196" t="inlineStr">
        <is>
          <t>KWD</t>
        </is>
      </c>
      <c r="C453" s="196" t="inlineStr">
        <is>
          <t>KUWAITI DINAR</t>
        </is>
      </c>
      <c r="D453" s="184" t="n"/>
      <c r="E453" s="184" t="n">
        <v>84518.74000000001</v>
      </c>
      <c r="F453" s="184" t="n">
        <v>88616.36</v>
      </c>
      <c r="G453" s="184" t="n">
        <v>86567.55</v>
      </c>
    </row>
    <row r="454">
      <c r="A454" s="194" t="inlineStr">
        <is>
          <t>2026-08-27 18:00:08</t>
        </is>
      </c>
      <c r="B454" s="194" t="inlineStr">
        <is>
          <t>MYR</t>
        </is>
      </c>
      <c r="C454" s="194" t="inlineStr">
        <is>
          <t>MALAYSIAN RINGGIT</t>
        </is>
      </c>
      <c r="D454" s="195" t="n"/>
      <c r="E454" s="195" t="n">
        <v>6402.48</v>
      </c>
      <c r="F454" s="195" t="n">
        <v>6541.85</v>
      </c>
      <c r="G454" s="195" t="n">
        <v>6472.16</v>
      </c>
    </row>
    <row r="455">
      <c r="A455" s="196" t="inlineStr">
        <is>
          <t>2026-08-27 18:00:08</t>
        </is>
      </c>
      <c r="B455" s="196" t="inlineStr">
        <is>
          <t>NOK</t>
        </is>
      </c>
      <c r="C455" s="196" t="inlineStr">
        <is>
          <t>NORWEGIAN KRONER</t>
        </is>
      </c>
      <c r="D455" s="184" t="n"/>
      <c r="E455" s="184" t="n">
        <v>2731.73</v>
      </c>
      <c r="F455" s="184" t="n">
        <v>2847.59</v>
      </c>
      <c r="G455" s="184" t="n">
        <v>2789.66</v>
      </c>
    </row>
    <row r="456">
      <c r="A456" s="194" t="inlineStr">
        <is>
          <t>2026-08-27 18:00:08</t>
        </is>
      </c>
      <c r="B456" s="194" t="inlineStr">
        <is>
          <t>RUB</t>
        </is>
      </c>
      <c r="C456" s="194" t="inlineStr">
        <is>
          <t>RUSSIAN RUBLE</t>
        </is>
      </c>
      <c r="D456" s="195" t="n"/>
      <c r="E456" s="195" t="n">
        <v>290.28</v>
      </c>
      <c r="F456" s="195" t="n">
        <v>321.33</v>
      </c>
      <c r="G456" s="195" t="n">
        <v>305.8</v>
      </c>
    </row>
    <row r="457">
      <c r="A457" s="196" t="inlineStr">
        <is>
          <t>2026-08-27 18:00:08</t>
        </is>
      </c>
      <c r="B457" s="196" t="inlineStr">
        <is>
          <t>SAR</t>
        </is>
      </c>
      <c r="C457" s="196" t="inlineStr">
        <is>
          <t>SAUDI RIAL</t>
        </is>
      </c>
      <c r="D457" s="184" t="n"/>
      <c r="E457" s="184" t="n">
        <v>6906.47</v>
      </c>
      <c r="F457" s="184" t="n">
        <v>7203.79</v>
      </c>
      <c r="G457" s="184" t="n">
        <v>7055.13</v>
      </c>
    </row>
    <row r="458">
      <c r="A458" s="194" t="inlineStr">
        <is>
          <t>2026-08-27 18:00:08</t>
        </is>
      </c>
      <c r="B458" s="194" t="inlineStr">
        <is>
          <t>SEK</t>
        </is>
      </c>
      <c r="C458" s="194" t="inlineStr">
        <is>
          <t>SWEDISH KRONA</t>
        </is>
      </c>
      <c r="D458" s="195" t="n"/>
      <c r="E458" s="195" t="n">
        <v>2680.51</v>
      </c>
      <c r="F458" s="195" t="n">
        <v>2794.2</v>
      </c>
      <c r="G458" s="195" t="n">
        <v>2737.36</v>
      </c>
    </row>
    <row r="459">
      <c r="A459" s="196" t="inlineStr">
        <is>
          <t>2026-08-27 18:00:08</t>
        </is>
      </c>
      <c r="B459" s="196" t="inlineStr">
        <is>
          <t>SGD</t>
        </is>
      </c>
      <c r="C459" s="196" t="inlineStr">
        <is>
          <t>SINGAPORE DOLLAR</t>
        </is>
      </c>
      <c r="D459" s="184" t="n">
        <v>19970.99</v>
      </c>
      <c r="E459" s="184" t="n">
        <v>20172.71</v>
      </c>
      <c r="F459" s="184" t="n">
        <v>20860.71</v>
      </c>
      <c r="G459" s="184" t="n">
        <v>20516.71</v>
      </c>
    </row>
    <row r="460">
      <c r="A460" s="194" t="inlineStr">
        <is>
          <t>2026-08-27 18:00:08</t>
        </is>
      </c>
      <c r="B460" s="194" t="inlineStr">
        <is>
          <t>THB</t>
        </is>
      </c>
      <c r="C460" s="194" t="inlineStr">
        <is>
          <t>THAILAND BAHT</t>
        </is>
      </c>
      <c r="D460" s="195" t="n">
        <v>699.97</v>
      </c>
      <c r="E460" s="195" t="n">
        <v>777.75</v>
      </c>
      <c r="F460" s="195" t="n">
        <v>810.74</v>
      </c>
      <c r="G460" s="195" t="n">
        <v>794.24</v>
      </c>
    </row>
    <row r="461">
      <c r="A461" s="196" t="inlineStr">
        <is>
          <t>2026-08-27 18:00:08</t>
        </is>
      </c>
      <c r="B461" s="196" t="inlineStr">
        <is>
          <t>USD</t>
        </is>
      </c>
      <c r="C461" s="196" t="inlineStr">
        <is>
          <t>US DOLLAR</t>
        </is>
      </c>
      <c r="D461" s="184" t="n">
        <v>25860</v>
      </c>
      <c r="E461" s="184" t="n">
        <v>25890</v>
      </c>
      <c r="F461" s="184" t="n">
        <v>26270</v>
      </c>
      <c r="G461" s="184" t="n">
        <v>26080</v>
      </c>
    </row>
    <row r="462">
      <c r="A462" s="194" t="inlineStr">
        <is>
          <t>2026-08-26 18:00:08</t>
        </is>
      </c>
      <c r="B462" s="194" t="inlineStr">
        <is>
          <t>AUD</t>
        </is>
      </c>
      <c r="C462" s="194" t="inlineStr">
        <is>
          <t>AUSTRALIAN DOLLAR</t>
        </is>
      </c>
      <c r="D462" s="195" t="n">
        <v>18231.5</v>
      </c>
      <c r="E462" s="195" t="n">
        <v>18415.65</v>
      </c>
      <c r="F462" s="195" t="n">
        <v>19005.63</v>
      </c>
      <c r="G462" s="195" t="n">
        <v>18710.64</v>
      </c>
    </row>
    <row r="463">
      <c r="A463" s="196" t="inlineStr">
        <is>
          <t>2026-08-26 18:00:08</t>
        </is>
      </c>
      <c r="B463" s="196" t="inlineStr">
        <is>
          <t>CAD</t>
        </is>
      </c>
      <c r="C463" s="196" t="inlineStr">
        <is>
          <t>CANADIAN DOLLAR</t>
        </is>
      </c>
      <c r="D463" s="184" t="n">
        <v>18389.5</v>
      </c>
      <c r="E463" s="184" t="n">
        <v>18575.25</v>
      </c>
      <c r="F463" s="184" t="n">
        <v>19170.34</v>
      </c>
      <c r="G463" s="184" t="n">
        <v>18872.79</v>
      </c>
    </row>
    <row r="464">
      <c r="A464" s="194" t="inlineStr">
        <is>
          <t>2026-08-26 18:00:08</t>
        </is>
      </c>
      <c r="B464" s="194" t="inlineStr">
        <is>
          <t>CHF</t>
        </is>
      </c>
      <c r="C464" s="194" t="inlineStr">
        <is>
          <t>SWISS FRANC</t>
        </is>
      </c>
      <c r="D464" s="195" t="n">
        <v>31753.67</v>
      </c>
      <c r="E464" s="195" t="n">
        <v>32074.41</v>
      </c>
      <c r="F464" s="195" t="n">
        <v>33101.97</v>
      </c>
      <c r="G464" s="195" t="n">
        <v>32588.19</v>
      </c>
    </row>
    <row r="465">
      <c r="A465" s="196" t="inlineStr">
        <is>
          <t>2026-08-26 18:00:08</t>
        </is>
      </c>
      <c r="B465" s="196" t="inlineStr">
        <is>
          <t>CNY</t>
        </is>
      </c>
      <c r="C465" s="196" t="inlineStr">
        <is>
          <t>YUAN RENMINBI</t>
        </is>
      </c>
      <c r="D465" s="184" t="n">
        <v>3786.64</v>
      </c>
      <c r="E465" s="184" t="n">
        <v>3824.89</v>
      </c>
      <c r="F465" s="184" t="n">
        <v>3947.43</v>
      </c>
      <c r="G465" s="184" t="n">
        <v>3886.16</v>
      </c>
    </row>
    <row r="466">
      <c r="A466" s="194" t="inlineStr">
        <is>
          <t>2026-08-26 18:00:08</t>
        </is>
      </c>
      <c r="B466" s="194" t="inlineStr">
        <is>
          <t>DKK</t>
        </is>
      </c>
      <c r="C466" s="194" t="inlineStr">
        <is>
          <t>DANISH KRONE</t>
        </is>
      </c>
      <c r="D466" s="195" t="n"/>
      <c r="E466" s="195" t="n">
        <v>4002.86</v>
      </c>
      <c r="F466" s="195" t="n">
        <v>4155.96</v>
      </c>
      <c r="G466" s="195" t="n">
        <v>4079.41</v>
      </c>
    </row>
    <row r="467">
      <c r="A467" s="196" t="inlineStr">
        <is>
          <t>2026-08-26 18:00:08</t>
        </is>
      </c>
      <c r="B467" s="196" t="inlineStr">
        <is>
          <t>EUR</t>
        </is>
      </c>
      <c r="C467" s="196" t="inlineStr">
        <is>
          <t>EURO</t>
        </is>
      </c>
      <c r="D467" s="184" t="n">
        <v>29700.6</v>
      </c>
      <c r="E467" s="184" t="n">
        <v>30000.6</v>
      </c>
      <c r="F467" s="184" t="n">
        <v>31266.77</v>
      </c>
      <c r="G467" s="184" t="n">
        <v>30633.68</v>
      </c>
    </row>
    <row r="468">
      <c r="A468" s="194" t="inlineStr">
        <is>
          <t>2026-08-26 18:00:08</t>
        </is>
      </c>
      <c r="B468" s="194" t="inlineStr">
        <is>
          <t>GBP</t>
        </is>
      </c>
      <c r="C468" s="194" t="inlineStr">
        <is>
          <t>POUND STERLING</t>
        </is>
      </c>
      <c r="D468" s="195" t="n">
        <v>34720.24</v>
      </c>
      <c r="E468" s="195" t="n">
        <v>35070.95</v>
      </c>
      <c r="F468" s="195" t="n">
        <v>36194.51</v>
      </c>
      <c r="G468" s="195" t="n">
        <v>35632.73</v>
      </c>
    </row>
    <row r="469">
      <c r="A469" s="196" t="inlineStr">
        <is>
          <t>2026-08-26 18:00:08</t>
        </is>
      </c>
      <c r="B469" s="196" t="inlineStr">
        <is>
          <t>HKD</t>
        </is>
      </c>
      <c r="C469" s="196" t="inlineStr">
        <is>
          <t>HONGKONG DOLLAR</t>
        </is>
      </c>
      <c r="D469" s="184" t="n">
        <v>3236.73</v>
      </c>
      <c r="E469" s="184" t="n">
        <v>3269.42</v>
      </c>
      <c r="F469" s="184" t="n">
        <v>3394.48</v>
      </c>
      <c r="G469" s="184" t="n">
        <v>3331.95</v>
      </c>
    </row>
    <row r="470">
      <c r="A470" s="194" t="inlineStr">
        <is>
          <t>2026-08-26 18:00:08</t>
        </is>
      </c>
      <c r="B470" s="194" t="inlineStr">
        <is>
          <t>INR</t>
        </is>
      </c>
      <c r="C470" s="194" t="inlineStr">
        <is>
          <t>INDIAN RUPEE</t>
        </is>
      </c>
      <c r="D470" s="195" t="n"/>
      <c r="E470" s="195" t="n">
        <v>272.08</v>
      </c>
      <c r="F470" s="195" t="n">
        <v>283.8</v>
      </c>
      <c r="G470" s="195" t="n">
        <v>277.94</v>
      </c>
    </row>
    <row r="471">
      <c r="A471" s="196" t="inlineStr">
        <is>
          <t>2026-08-26 18:00:08</t>
        </is>
      </c>
      <c r="B471" s="196" t="inlineStr">
        <is>
          <t>JPY</t>
        </is>
      </c>
      <c r="C471" s="196" t="inlineStr">
        <is>
          <t>YEN</t>
        </is>
      </c>
      <c r="D471" s="184" t="n">
        <v>158.34</v>
      </c>
      <c r="E471" s="184" t="n">
        <v>159.94</v>
      </c>
      <c r="F471" s="184" t="n">
        <v>169.26</v>
      </c>
      <c r="G471" s="184" t="n">
        <v>164.6</v>
      </c>
    </row>
    <row r="472">
      <c r="A472" s="194" t="inlineStr">
        <is>
          <t>2026-08-26 18:00:08</t>
        </is>
      </c>
      <c r="B472" s="194" t="inlineStr">
        <is>
          <t>KRW</t>
        </is>
      </c>
      <c r="C472" s="194" t="inlineStr">
        <is>
          <t>KOREAN WON</t>
        </is>
      </c>
      <c r="D472" s="195" t="n">
        <v>16.31</v>
      </c>
      <c r="E472" s="195" t="n">
        <v>18.12</v>
      </c>
      <c r="F472" s="195" t="n">
        <v>19.67</v>
      </c>
      <c r="G472" s="195" t="n">
        <v>18.9</v>
      </c>
    </row>
    <row r="473">
      <c r="A473" s="196" t="inlineStr">
        <is>
          <t>2026-08-26 18:00:08</t>
        </is>
      </c>
      <c r="B473" s="196" t="inlineStr">
        <is>
          <t>KWD</t>
        </is>
      </c>
      <c r="C473" s="196" t="inlineStr">
        <is>
          <t>KUWAITI DINAR</t>
        </is>
      </c>
      <c r="D473" s="184" t="n"/>
      <c r="E473" s="184" t="n">
        <v>84616.03</v>
      </c>
      <c r="F473" s="184" t="n">
        <v>88718.22</v>
      </c>
      <c r="G473" s="184" t="n">
        <v>86667.12</v>
      </c>
    </row>
    <row r="474">
      <c r="A474" s="194" t="inlineStr">
        <is>
          <t>2026-08-26 18:00:08</t>
        </is>
      </c>
      <c r="B474" s="194" t="inlineStr">
        <is>
          <t>MYR</t>
        </is>
      </c>
      <c r="C474" s="194" t="inlineStr">
        <is>
          <t>MALAYSIAN RINGGIT</t>
        </is>
      </c>
      <c r="D474" s="195" t="n"/>
      <c r="E474" s="195" t="n">
        <v>6400.32</v>
      </c>
      <c r="F474" s="195" t="n">
        <v>6539.63</v>
      </c>
      <c r="G474" s="195" t="n">
        <v>6469.98</v>
      </c>
    </row>
    <row r="475">
      <c r="A475" s="196" t="inlineStr">
        <is>
          <t>2026-08-26 18:00:08</t>
        </is>
      </c>
      <c r="B475" s="196" t="inlineStr">
        <is>
          <t>NOK</t>
        </is>
      </c>
      <c r="C475" s="196" t="inlineStr">
        <is>
          <t>NORWEGIAN KRONER</t>
        </is>
      </c>
      <c r="D475" s="184" t="n"/>
      <c r="E475" s="184" t="n">
        <v>2745.47</v>
      </c>
      <c r="F475" s="184" t="n">
        <v>2861.91</v>
      </c>
      <c r="G475" s="184" t="n">
        <v>2803.69</v>
      </c>
    </row>
    <row r="476">
      <c r="A476" s="194" t="inlineStr">
        <is>
          <t>2026-08-26 18:00:08</t>
        </is>
      </c>
      <c r="B476" s="194" t="inlineStr">
        <is>
          <t>RUB</t>
        </is>
      </c>
      <c r="C476" s="194" t="inlineStr">
        <is>
          <t>RUSSIAN RUBLE</t>
        </is>
      </c>
      <c r="D476" s="195" t="n"/>
      <c r="E476" s="195" t="n">
        <v>297.06</v>
      </c>
      <c r="F476" s="195" t="n">
        <v>328.83</v>
      </c>
      <c r="G476" s="195" t="n">
        <v>312.94</v>
      </c>
    </row>
    <row r="477">
      <c r="A477" s="196" t="inlineStr">
        <is>
          <t>2026-08-26 18:00:08</t>
        </is>
      </c>
      <c r="B477" s="196" t="inlineStr">
        <is>
          <t>SAR</t>
        </is>
      </c>
      <c r="C477" s="196" t="inlineStr">
        <is>
          <t>SAUDI RIAL</t>
        </is>
      </c>
      <c r="D477" s="184" t="n"/>
      <c r="E477" s="184" t="n">
        <v>6914.42</v>
      </c>
      <c r="F477" s="184" t="n">
        <v>7212.07</v>
      </c>
      <c r="G477" s="184" t="n">
        <v>7063.24</v>
      </c>
    </row>
    <row r="478">
      <c r="A478" s="194" t="inlineStr">
        <is>
          <t>2026-08-26 18:00:08</t>
        </is>
      </c>
      <c r="B478" s="194" t="inlineStr">
        <is>
          <t>SEK</t>
        </is>
      </c>
      <c r="C478" s="194" t="inlineStr">
        <is>
          <t>SWEDISH KRONA</t>
        </is>
      </c>
      <c r="D478" s="195" t="n"/>
      <c r="E478" s="195" t="n">
        <v>2706.57</v>
      </c>
      <c r="F478" s="195" t="n">
        <v>2821.36</v>
      </c>
      <c r="G478" s="195" t="n">
        <v>2763.96</v>
      </c>
    </row>
    <row r="479">
      <c r="A479" s="196" t="inlineStr">
        <is>
          <t>2026-08-26 18:00:08</t>
        </is>
      </c>
      <c r="B479" s="196" t="inlineStr">
        <is>
          <t>SGD</t>
        </is>
      </c>
      <c r="C479" s="196" t="inlineStr">
        <is>
          <t>SINGAPORE DOLLAR</t>
        </is>
      </c>
      <c r="D479" s="184" t="n">
        <v>20028.63</v>
      </c>
      <c r="E479" s="184" t="n">
        <v>20230.94</v>
      </c>
      <c r="F479" s="184" t="n">
        <v>20920.88</v>
      </c>
      <c r="G479" s="184" t="n">
        <v>20575.91</v>
      </c>
    </row>
    <row r="480">
      <c r="A480" s="194" t="inlineStr">
        <is>
          <t>2026-08-26 18:00:08</t>
        </is>
      </c>
      <c r="B480" s="194" t="inlineStr">
        <is>
          <t>THB</t>
        </is>
      </c>
      <c r="C480" s="194" t="inlineStr">
        <is>
          <t>THAILAND BAHT</t>
        </is>
      </c>
      <c r="D480" s="195" t="n">
        <v>704.42</v>
      </c>
      <c r="E480" s="195" t="n">
        <v>782.6900000000001</v>
      </c>
      <c r="F480" s="195" t="n">
        <v>815.89</v>
      </c>
      <c r="G480" s="195" t="n">
        <v>799.29</v>
      </c>
    </row>
    <row r="481">
      <c r="A481" s="196" t="inlineStr">
        <is>
          <t>2026-08-26 18:00:08</t>
        </is>
      </c>
      <c r="B481" s="196" t="inlineStr">
        <is>
          <t>USD</t>
        </is>
      </c>
      <c r="C481" s="196" t="inlineStr">
        <is>
          <t>US DOLLAR</t>
        </is>
      </c>
      <c r="D481" s="184" t="n">
        <v>25890</v>
      </c>
      <c r="E481" s="184" t="n">
        <v>25920</v>
      </c>
      <c r="F481" s="184" t="n">
        <v>26300</v>
      </c>
      <c r="G481" s="184" t="n">
        <v>26110</v>
      </c>
    </row>
    <row r="482">
      <c r="A482" s="194" t="inlineStr">
        <is>
          <t>2026-08-25 18:00:16</t>
        </is>
      </c>
      <c r="B482" s="194" t="inlineStr">
        <is>
          <t>AUD</t>
        </is>
      </c>
      <c r="C482" s="194" t="inlineStr">
        <is>
          <t>AUSTRALIAN DOLLAR</t>
        </is>
      </c>
      <c r="D482" s="195" t="n">
        <v>18182.49</v>
      </c>
      <c r="E482" s="195" t="n">
        <v>18366.15</v>
      </c>
      <c r="F482" s="195" t="n">
        <v>18954.53</v>
      </c>
      <c r="G482" s="195" t="n">
        <v>18660.34</v>
      </c>
    </row>
    <row r="483">
      <c r="A483" s="196" t="inlineStr">
        <is>
          <t>2026-08-25 18:00:16</t>
        </is>
      </c>
      <c r="B483" s="196" t="inlineStr">
        <is>
          <t>CAD</t>
        </is>
      </c>
      <c r="C483" s="196" t="inlineStr">
        <is>
          <t>CANADIAN DOLLAR</t>
        </is>
      </c>
      <c r="D483" s="184" t="n">
        <v>18367.35</v>
      </c>
      <c r="E483" s="184" t="n">
        <v>18552.88</v>
      </c>
      <c r="F483" s="184" t="n">
        <v>19147.24</v>
      </c>
      <c r="G483" s="184" t="n">
        <v>18850.06</v>
      </c>
    </row>
    <row r="484">
      <c r="A484" s="194" t="inlineStr">
        <is>
          <t>2026-08-25 18:00:16</t>
        </is>
      </c>
      <c r="B484" s="194" t="inlineStr">
        <is>
          <t>CHF</t>
        </is>
      </c>
      <c r="C484" s="194" t="inlineStr">
        <is>
          <t>SWISS FRANC</t>
        </is>
      </c>
      <c r="D484" s="195" t="n">
        <v>31667.05</v>
      </c>
      <c r="E484" s="195" t="n">
        <v>31986.92</v>
      </c>
      <c r="F484" s="195" t="n">
        <v>33011.66</v>
      </c>
      <c r="G484" s="195" t="n">
        <v>32499.29</v>
      </c>
    </row>
    <row r="485">
      <c r="A485" s="196" t="inlineStr">
        <is>
          <t>2026-08-25 18:00:16</t>
        </is>
      </c>
      <c r="B485" s="196" t="inlineStr">
        <is>
          <t>CNY</t>
        </is>
      </c>
      <c r="C485" s="196" t="inlineStr">
        <is>
          <t>YUAN RENMINBI</t>
        </is>
      </c>
      <c r="D485" s="184" t="n">
        <v>3786.46</v>
      </c>
      <c r="E485" s="184" t="n">
        <v>3824.71</v>
      </c>
      <c r="F485" s="184" t="n">
        <v>3947.24</v>
      </c>
      <c r="G485" s="184" t="n">
        <v>3885.98</v>
      </c>
    </row>
    <row r="486">
      <c r="A486" s="194" t="inlineStr">
        <is>
          <t>2026-08-25 18:00:16</t>
        </is>
      </c>
      <c r="B486" s="194" t="inlineStr">
        <is>
          <t>DKK</t>
        </is>
      </c>
      <c r="C486" s="194" t="inlineStr">
        <is>
          <t>DANISH KRONE</t>
        </is>
      </c>
      <c r="D486" s="195" t="n"/>
      <c r="E486" s="195" t="n">
        <v>3997.65</v>
      </c>
      <c r="F486" s="195" t="n">
        <v>4150.55</v>
      </c>
      <c r="G486" s="195" t="n">
        <v>4074.1</v>
      </c>
    </row>
    <row r="487">
      <c r="A487" s="196" t="inlineStr">
        <is>
          <t>2026-08-25 18:00:16</t>
        </is>
      </c>
      <c r="B487" s="196" t="inlineStr">
        <is>
          <t>EUR</t>
        </is>
      </c>
      <c r="C487" s="196" t="inlineStr">
        <is>
          <t>EURO</t>
        </is>
      </c>
      <c r="D487" s="184" t="n">
        <v>29661.08</v>
      </c>
      <c r="E487" s="184" t="n">
        <v>29960.69</v>
      </c>
      <c r="F487" s="184" t="n">
        <v>31225.14</v>
      </c>
      <c r="G487" s="184" t="n">
        <v>30592.92</v>
      </c>
    </row>
    <row r="488">
      <c r="A488" s="194" t="inlineStr">
        <is>
          <t>2026-08-25 18:00:16</t>
        </is>
      </c>
      <c r="B488" s="194" t="inlineStr">
        <is>
          <t>GBP</t>
        </is>
      </c>
      <c r="C488" s="194" t="inlineStr">
        <is>
          <t>POUND STERLING</t>
        </is>
      </c>
      <c r="D488" s="195" t="n">
        <v>34692.82</v>
      </c>
      <c r="E488" s="195" t="n">
        <v>35043.26</v>
      </c>
      <c r="F488" s="195" t="n">
        <v>36165.91</v>
      </c>
      <c r="G488" s="195" t="n">
        <v>35604.59</v>
      </c>
    </row>
    <row r="489">
      <c r="A489" s="196" t="inlineStr">
        <is>
          <t>2026-08-25 18:00:16</t>
        </is>
      </c>
      <c r="B489" s="196" t="inlineStr">
        <is>
          <t>HKD</t>
        </is>
      </c>
      <c r="C489" s="196" t="inlineStr">
        <is>
          <t>HONGKONG DOLLAR</t>
        </is>
      </c>
      <c r="D489" s="184" t="n">
        <v>3238.34</v>
      </c>
      <c r="E489" s="184" t="n">
        <v>3271.05</v>
      </c>
      <c r="F489" s="184" t="n">
        <v>3396.17</v>
      </c>
      <c r="G489" s="184" t="n">
        <v>3333.61</v>
      </c>
    </row>
    <row r="490">
      <c r="A490" s="194" t="inlineStr">
        <is>
          <t>2026-08-25 18:00:16</t>
        </is>
      </c>
      <c r="B490" s="194" t="inlineStr">
        <is>
          <t>INR</t>
        </is>
      </c>
      <c r="C490" s="194" t="inlineStr">
        <is>
          <t>INDIAN RUPEE</t>
        </is>
      </c>
      <c r="D490" s="195" t="n"/>
      <c r="E490" s="195" t="n">
        <v>271.35</v>
      </c>
      <c r="F490" s="195" t="n">
        <v>283.03</v>
      </c>
      <c r="G490" s="195" t="n">
        <v>277.19</v>
      </c>
    </row>
    <row r="491">
      <c r="A491" s="196" t="inlineStr">
        <is>
          <t>2026-08-25 18:00:16</t>
        </is>
      </c>
      <c r="B491" s="196" t="inlineStr">
        <is>
          <t>JPY</t>
        </is>
      </c>
      <c r="C491" s="196" t="inlineStr">
        <is>
          <t>YEN</t>
        </is>
      </c>
      <c r="D491" s="184" t="n">
        <v>158.18</v>
      </c>
      <c r="E491" s="184" t="n">
        <v>159.78</v>
      </c>
      <c r="F491" s="184" t="n">
        <v>169.09</v>
      </c>
      <c r="G491" s="184" t="n">
        <v>164.44</v>
      </c>
    </row>
    <row r="492">
      <c r="A492" s="194" t="inlineStr">
        <is>
          <t>2026-08-25 18:00:16</t>
        </is>
      </c>
      <c r="B492" s="194" t="inlineStr">
        <is>
          <t>KRW</t>
        </is>
      </c>
      <c r="C492" s="194" t="inlineStr">
        <is>
          <t>KOREAN WON</t>
        </is>
      </c>
      <c r="D492" s="195" t="n">
        <v>16.3</v>
      </c>
      <c r="E492" s="195" t="n">
        <v>18.11</v>
      </c>
      <c r="F492" s="195" t="n">
        <v>19.65</v>
      </c>
      <c r="G492" s="195" t="n">
        <v>18.88</v>
      </c>
    </row>
    <row r="493">
      <c r="A493" s="196" t="inlineStr">
        <is>
          <t>2026-08-25 18:00:16</t>
        </is>
      </c>
      <c r="B493" s="196" t="inlineStr">
        <is>
          <t>KWD</t>
        </is>
      </c>
      <c r="C493" s="196" t="inlineStr">
        <is>
          <t>KUWAITI DINAR</t>
        </is>
      </c>
      <c r="D493" s="184" t="n"/>
      <c r="E493" s="184" t="n">
        <v>84648.47</v>
      </c>
      <c r="F493" s="184" t="n">
        <v>88752.17</v>
      </c>
      <c r="G493" s="184" t="n">
        <v>86700.32000000001</v>
      </c>
    </row>
    <row r="494">
      <c r="A494" s="194" t="inlineStr">
        <is>
          <t>2026-08-25 18:00:16</t>
        </is>
      </c>
      <c r="B494" s="194" t="inlineStr">
        <is>
          <t>MYR</t>
        </is>
      </c>
      <c r="C494" s="194" t="inlineStr">
        <is>
          <t>MALAYSIAN RINGGIT</t>
        </is>
      </c>
      <c r="D494" s="195" t="n"/>
      <c r="E494" s="195" t="n">
        <v>6390.1</v>
      </c>
      <c r="F494" s="195" t="n">
        <v>6529.19</v>
      </c>
      <c r="G494" s="195" t="n">
        <v>6459.64</v>
      </c>
    </row>
    <row r="495">
      <c r="A495" s="196" t="inlineStr">
        <is>
          <t>2026-08-25 18:00:16</t>
        </is>
      </c>
      <c r="B495" s="196" t="inlineStr">
        <is>
          <t>NOK</t>
        </is>
      </c>
      <c r="C495" s="196" t="inlineStr">
        <is>
          <t>NORWEGIAN KRONER</t>
        </is>
      </c>
      <c r="D495" s="184" t="n"/>
      <c r="E495" s="184" t="n">
        <v>2741.37</v>
      </c>
      <c r="F495" s="184" t="n">
        <v>2857.64</v>
      </c>
      <c r="G495" s="184" t="n">
        <v>2799.5</v>
      </c>
    </row>
    <row r="496">
      <c r="A496" s="194" t="inlineStr">
        <is>
          <t>2026-08-25 18:00:16</t>
        </is>
      </c>
      <c r="B496" s="194" t="inlineStr">
        <is>
          <t>RUB</t>
        </is>
      </c>
      <c r="C496" s="194" t="inlineStr">
        <is>
          <t>RUSSIAN RUBLE</t>
        </is>
      </c>
      <c r="D496" s="195" t="n"/>
      <c r="E496" s="195" t="n">
        <v>294.87</v>
      </c>
      <c r="F496" s="195" t="n">
        <v>326.4</v>
      </c>
      <c r="G496" s="195" t="n">
        <v>310.64</v>
      </c>
    </row>
    <row r="497">
      <c r="A497" s="196" t="inlineStr">
        <is>
          <t>2026-08-25 18:00:16</t>
        </is>
      </c>
      <c r="B497" s="196" t="inlineStr">
        <is>
          <t>SAR</t>
        </is>
      </c>
      <c r="C497" s="196" t="inlineStr">
        <is>
          <t>SAUDI RIAL</t>
        </is>
      </c>
      <c r="D497" s="184" t="n"/>
      <c r="E497" s="184" t="n">
        <v>6917.07</v>
      </c>
      <c r="F497" s="184" t="n">
        <v>7214.83</v>
      </c>
      <c r="G497" s="184" t="n">
        <v>7065.95</v>
      </c>
    </row>
    <row r="498">
      <c r="A498" s="194" t="inlineStr">
        <is>
          <t>2026-08-25 18:00:16</t>
        </is>
      </c>
      <c r="B498" s="194" t="inlineStr">
        <is>
          <t>SEK</t>
        </is>
      </c>
      <c r="C498" s="194" t="inlineStr">
        <is>
          <t>SWEDISH KRONA</t>
        </is>
      </c>
      <c r="D498" s="195" t="n"/>
      <c r="E498" s="195" t="n">
        <v>2688.43</v>
      </c>
      <c r="F498" s="195" t="n">
        <v>2802.45</v>
      </c>
      <c r="G498" s="195" t="n">
        <v>2745.44</v>
      </c>
    </row>
    <row r="499">
      <c r="A499" s="196" t="inlineStr">
        <is>
          <t>2026-08-25 18:00:16</t>
        </is>
      </c>
      <c r="B499" s="196" t="inlineStr">
        <is>
          <t>SGD</t>
        </is>
      </c>
      <c r="C499" s="196" t="inlineStr">
        <is>
          <t>SINGAPORE DOLLAR</t>
        </is>
      </c>
      <c r="D499" s="184" t="n">
        <v>20006.36</v>
      </c>
      <c r="E499" s="184" t="n">
        <v>20208.45</v>
      </c>
      <c r="F499" s="184" t="n">
        <v>20897.61</v>
      </c>
      <c r="G499" s="184" t="n">
        <v>20553.03</v>
      </c>
    </row>
    <row r="500">
      <c r="A500" s="194" t="inlineStr">
        <is>
          <t>2026-08-25 18:00:16</t>
        </is>
      </c>
      <c r="B500" s="194" t="inlineStr">
        <is>
          <t>THB</t>
        </is>
      </c>
      <c r="C500" s="194" t="inlineStr">
        <is>
          <t>THAILAND BAHT</t>
        </is>
      </c>
      <c r="D500" s="195" t="n">
        <v>703.1900000000001</v>
      </c>
      <c r="E500" s="195" t="n">
        <v>781.3200000000001</v>
      </c>
      <c r="F500" s="195" t="n">
        <v>814.46</v>
      </c>
      <c r="G500" s="195" t="n">
        <v>797.89</v>
      </c>
    </row>
    <row r="501">
      <c r="A501" s="196" t="inlineStr">
        <is>
          <t>2026-08-25 18:00:16</t>
        </is>
      </c>
      <c r="B501" s="196" t="inlineStr">
        <is>
          <t>USD</t>
        </is>
      </c>
      <c r="C501" s="196" t="inlineStr">
        <is>
          <t>US DOLLAR</t>
        </is>
      </c>
      <c r="D501" s="184" t="n">
        <v>25900</v>
      </c>
      <c r="E501" s="184" t="n">
        <v>25930</v>
      </c>
      <c r="F501" s="184" t="n">
        <v>26310</v>
      </c>
      <c r="G501" s="184" t="n">
        <v>26120</v>
      </c>
    </row>
    <row r="502">
      <c r="A502" s="194" t="inlineStr">
        <is>
          <t>2026-08-24 18:00:10</t>
        </is>
      </c>
      <c r="B502" s="194" t="inlineStr">
        <is>
          <t>AUD</t>
        </is>
      </c>
      <c r="C502" s="194" t="inlineStr">
        <is>
          <t>AUSTRALIAN DOLLAR</t>
        </is>
      </c>
      <c r="D502" s="195" t="n">
        <v>18263.22</v>
      </c>
      <c r="E502" s="195" t="n">
        <v>18447.7</v>
      </c>
      <c r="F502" s="195" t="n">
        <v>19038.64</v>
      </c>
      <c r="G502" s="195" t="n">
        <v>18743.17</v>
      </c>
    </row>
    <row r="503">
      <c r="A503" s="196" t="inlineStr">
        <is>
          <t>2026-08-24 18:00:10</t>
        </is>
      </c>
      <c r="B503" s="196" t="inlineStr">
        <is>
          <t>CAD</t>
        </is>
      </c>
      <c r="C503" s="196" t="inlineStr">
        <is>
          <t>CANADIAN DOLLAR</t>
        </is>
      </c>
      <c r="D503" s="184" t="n">
        <v>18441.12</v>
      </c>
      <c r="E503" s="184" t="n">
        <v>18627.39</v>
      </c>
      <c r="F503" s="184" t="n">
        <v>19224.09</v>
      </c>
      <c r="G503" s="184" t="n">
        <v>18925.74</v>
      </c>
    </row>
    <row r="504">
      <c r="A504" s="194" t="inlineStr">
        <is>
          <t>2026-08-24 18:00:10</t>
        </is>
      </c>
      <c r="B504" s="194" t="inlineStr">
        <is>
          <t>CHF</t>
        </is>
      </c>
      <c r="C504" s="194" t="inlineStr">
        <is>
          <t>SWISS FRANC</t>
        </is>
      </c>
      <c r="D504" s="195" t="n">
        <v>31790.99</v>
      </c>
      <c r="E504" s="195" t="n">
        <v>32112.11</v>
      </c>
      <c r="F504" s="195" t="n">
        <v>33140.76</v>
      </c>
      <c r="G504" s="195" t="n">
        <v>32626.44</v>
      </c>
    </row>
    <row r="505">
      <c r="A505" s="196" t="inlineStr">
        <is>
          <t>2026-08-24 18:00:10</t>
        </is>
      </c>
      <c r="B505" s="196" t="inlineStr">
        <is>
          <t>CNY</t>
        </is>
      </c>
      <c r="C505" s="196" t="inlineStr">
        <is>
          <t>YUAN RENMINBI</t>
        </is>
      </c>
      <c r="D505" s="184" t="n">
        <v>3794.11</v>
      </c>
      <c r="E505" s="184" t="n">
        <v>3832.44</v>
      </c>
      <c r="F505" s="184" t="n">
        <v>3955.2</v>
      </c>
      <c r="G505" s="184" t="n">
        <v>3893.82</v>
      </c>
    </row>
    <row r="506">
      <c r="A506" s="194" t="inlineStr">
        <is>
          <t>2026-08-24 18:00:10</t>
        </is>
      </c>
      <c r="B506" s="194" t="inlineStr">
        <is>
          <t>DKK</t>
        </is>
      </c>
      <c r="C506" s="194" t="inlineStr">
        <is>
          <t>DANISH KRONE</t>
        </is>
      </c>
      <c r="D506" s="195" t="n"/>
      <c r="E506" s="195" t="n">
        <v>4008.68</v>
      </c>
      <c r="F506" s="195" t="n">
        <v>4161.99</v>
      </c>
      <c r="G506" s="195" t="n">
        <v>4085.34</v>
      </c>
    </row>
    <row r="507">
      <c r="A507" s="196" t="inlineStr">
        <is>
          <t>2026-08-24 18:00:10</t>
        </is>
      </c>
      <c r="B507" s="196" t="inlineStr">
        <is>
          <t>EUR</t>
        </is>
      </c>
      <c r="C507" s="196" t="inlineStr">
        <is>
          <t>EURO</t>
        </is>
      </c>
      <c r="D507" s="184" t="n">
        <v>29743.4</v>
      </c>
      <c r="E507" s="184" t="n">
        <v>30043.84</v>
      </c>
      <c r="F507" s="184" t="n">
        <v>31311.72</v>
      </c>
      <c r="G507" s="184" t="n">
        <v>30677.78</v>
      </c>
    </row>
    <row r="508">
      <c r="A508" s="194" t="inlineStr">
        <is>
          <t>2026-08-24 18:00:10</t>
        </is>
      </c>
      <c r="B508" s="194" t="inlineStr">
        <is>
          <t>GBP</t>
        </is>
      </c>
      <c r="C508" s="194" t="inlineStr">
        <is>
          <t>POUND STERLING</t>
        </is>
      </c>
      <c r="D508" s="195" t="n">
        <v>34751.64</v>
      </c>
      <c r="E508" s="195" t="n">
        <v>35102.66</v>
      </c>
      <c r="F508" s="195" t="n">
        <v>36227.11</v>
      </c>
      <c r="G508" s="195" t="n">
        <v>35664.88</v>
      </c>
    </row>
    <row r="509">
      <c r="A509" s="196" t="inlineStr">
        <is>
          <t>2026-08-24 18:00:10</t>
        </is>
      </c>
      <c r="B509" s="196" t="inlineStr">
        <is>
          <t>HKD</t>
        </is>
      </c>
      <c r="C509" s="196" t="inlineStr">
        <is>
          <t>HONGKONG DOLLAR</t>
        </is>
      </c>
      <c r="D509" s="184" t="n">
        <v>3245.33</v>
      </c>
      <c r="E509" s="184" t="n">
        <v>3278.11</v>
      </c>
      <c r="F509" s="184" t="n">
        <v>3403.49</v>
      </c>
      <c r="G509" s="184" t="n">
        <v>3340.8</v>
      </c>
    </row>
    <row r="510">
      <c r="A510" s="194" t="inlineStr">
        <is>
          <t>2026-08-24 18:00:10</t>
        </is>
      </c>
      <c r="B510" s="194" t="inlineStr">
        <is>
          <t>INR</t>
        </is>
      </c>
      <c r="C510" s="194" t="inlineStr">
        <is>
          <t>INDIAN RUPEE</t>
        </is>
      </c>
      <c r="D510" s="195" t="n"/>
      <c r="E510" s="195" t="n">
        <v>271.76</v>
      </c>
      <c r="F510" s="195" t="n">
        <v>283.46</v>
      </c>
      <c r="G510" s="195" t="n">
        <v>277.61</v>
      </c>
    </row>
    <row r="511">
      <c r="A511" s="196" t="inlineStr">
        <is>
          <t>2026-08-24 18:00:10</t>
        </is>
      </c>
      <c r="B511" s="196" t="inlineStr">
        <is>
          <t>JPY</t>
        </is>
      </c>
      <c r="C511" s="196" t="inlineStr">
        <is>
          <t>YEN</t>
        </is>
      </c>
      <c r="D511" s="184" t="n">
        <v>158.68</v>
      </c>
      <c r="E511" s="184" t="n">
        <v>160.28</v>
      </c>
      <c r="F511" s="184" t="n">
        <v>169.63</v>
      </c>
      <c r="G511" s="184" t="n">
        <v>164.96</v>
      </c>
    </row>
    <row r="512">
      <c r="A512" s="194" t="inlineStr">
        <is>
          <t>2026-08-24 18:00:10</t>
        </is>
      </c>
      <c r="B512" s="194" t="inlineStr">
        <is>
          <t>KRW</t>
        </is>
      </c>
      <c r="C512" s="194" t="inlineStr">
        <is>
          <t>KOREAN WON</t>
        </is>
      </c>
      <c r="D512" s="195" t="n">
        <v>16.36</v>
      </c>
      <c r="E512" s="195" t="n">
        <v>18.18</v>
      </c>
      <c r="F512" s="195" t="n">
        <v>19.72</v>
      </c>
      <c r="G512" s="195" t="n">
        <v>18.95</v>
      </c>
    </row>
    <row r="513">
      <c r="A513" s="196" t="inlineStr">
        <is>
          <t>2026-08-24 18:00:10</t>
        </is>
      </c>
      <c r="B513" s="196" t="inlineStr">
        <is>
          <t>KWD</t>
        </is>
      </c>
      <c r="C513" s="196" t="inlineStr">
        <is>
          <t>KUWAITI DINAR</t>
        </is>
      </c>
      <c r="D513" s="184" t="n"/>
      <c r="E513" s="184" t="n">
        <v>84838.28</v>
      </c>
      <c r="F513" s="184" t="n">
        <v>88950.92999999999</v>
      </c>
      <c r="G513" s="184" t="n">
        <v>86894.60000000001</v>
      </c>
    </row>
    <row r="514">
      <c r="A514" s="194" t="inlineStr">
        <is>
          <t>2026-08-24 18:00:10</t>
        </is>
      </c>
      <c r="B514" s="194" t="inlineStr">
        <is>
          <t>MYR</t>
        </is>
      </c>
      <c r="C514" s="194" t="inlineStr">
        <is>
          <t>MALAYSIAN RINGGIT</t>
        </is>
      </c>
      <c r="D514" s="195" t="n"/>
      <c r="E514" s="195" t="n">
        <v>6408.69</v>
      </c>
      <c r="F514" s="195" t="n">
        <v>6548.15</v>
      </c>
      <c r="G514" s="195" t="n">
        <v>6478.42</v>
      </c>
    </row>
    <row r="515">
      <c r="A515" s="196" t="inlineStr">
        <is>
          <t>2026-08-24 18:00:10</t>
        </is>
      </c>
      <c r="B515" s="196" t="inlineStr">
        <is>
          <t>NOK</t>
        </is>
      </c>
      <c r="C515" s="196" t="inlineStr">
        <is>
          <t>NORWEGIAN KRONER</t>
        </is>
      </c>
      <c r="D515" s="184" t="n"/>
      <c r="E515" s="184" t="n">
        <v>2750.37</v>
      </c>
      <c r="F515" s="184" t="n">
        <v>2867</v>
      </c>
      <c r="G515" s="184" t="n">
        <v>2808.68</v>
      </c>
    </row>
    <row r="516">
      <c r="A516" s="194" t="inlineStr">
        <is>
          <t>2026-08-24 18:00:10</t>
        </is>
      </c>
      <c r="B516" s="194" t="inlineStr">
        <is>
          <t>RUB</t>
        </is>
      </c>
      <c r="C516" s="194" t="inlineStr">
        <is>
          <t>RUSSIAN RUBLE</t>
        </is>
      </c>
      <c r="D516" s="195" t="n"/>
      <c r="E516" s="195" t="n">
        <v>297.37</v>
      </c>
      <c r="F516" s="195" t="n">
        <v>329.18</v>
      </c>
      <c r="G516" s="195" t="n">
        <v>313.27</v>
      </c>
    </row>
    <row r="517">
      <c r="A517" s="196" t="inlineStr">
        <is>
          <t>2026-08-24 18:00:10</t>
        </is>
      </c>
      <c r="B517" s="196" t="inlineStr">
        <is>
          <t>SAR</t>
        </is>
      </c>
      <c r="C517" s="196" t="inlineStr">
        <is>
          <t>SAUDI RIAL</t>
        </is>
      </c>
      <c r="D517" s="184" t="n"/>
      <c r="E517" s="184" t="n">
        <v>6930.14</v>
      </c>
      <c r="F517" s="184" t="n">
        <v>7228.44</v>
      </c>
      <c r="G517" s="184" t="n">
        <v>7079.29</v>
      </c>
    </row>
    <row r="518">
      <c r="A518" s="194" t="inlineStr">
        <is>
          <t>2026-08-24 18:00:10</t>
        </is>
      </c>
      <c r="B518" s="194" t="inlineStr">
        <is>
          <t>SEK</t>
        </is>
      </c>
      <c r="C518" s="194" t="inlineStr">
        <is>
          <t>SWEDISH KRONA</t>
        </is>
      </c>
      <c r="D518" s="195" t="n"/>
      <c r="E518" s="195" t="n">
        <v>2701.25</v>
      </c>
      <c r="F518" s="195" t="n">
        <v>2815.8</v>
      </c>
      <c r="G518" s="195" t="n">
        <v>2758.52</v>
      </c>
    </row>
    <row r="519">
      <c r="A519" s="196" t="inlineStr">
        <is>
          <t>2026-08-24 18:00:10</t>
        </is>
      </c>
      <c r="B519" s="196" t="inlineStr">
        <is>
          <t>SGD</t>
        </is>
      </c>
      <c r="C519" s="196" t="inlineStr">
        <is>
          <t>SINGAPORE DOLLAR</t>
        </is>
      </c>
      <c r="D519" s="184" t="n">
        <v>20057.31</v>
      </c>
      <c r="E519" s="184" t="n">
        <v>20259.91</v>
      </c>
      <c r="F519" s="184" t="n">
        <v>20950.77</v>
      </c>
      <c r="G519" s="184" t="n">
        <v>20605.34</v>
      </c>
    </row>
    <row r="520">
      <c r="A520" s="194" t="inlineStr">
        <is>
          <t>2026-08-24 18:00:10</t>
        </is>
      </c>
      <c r="B520" s="194" t="inlineStr">
        <is>
          <t>THB</t>
        </is>
      </c>
      <c r="C520" s="194" t="inlineStr">
        <is>
          <t>THAILAND BAHT</t>
        </is>
      </c>
      <c r="D520" s="195" t="n">
        <v>706.04</v>
      </c>
      <c r="E520" s="195" t="n">
        <v>784.49</v>
      </c>
      <c r="F520" s="195" t="n">
        <v>817.76</v>
      </c>
      <c r="G520" s="195" t="n">
        <v>801.12</v>
      </c>
    </row>
    <row r="521">
      <c r="A521" s="196" t="inlineStr">
        <is>
          <t>2026-08-24 18:00:10</t>
        </is>
      </c>
      <c r="B521" s="196" t="inlineStr">
        <is>
          <t>USD</t>
        </is>
      </c>
      <c r="C521" s="196" t="inlineStr">
        <is>
          <t>US DOLLAR</t>
        </is>
      </c>
      <c r="D521" s="184" t="n">
        <v>25950</v>
      </c>
      <c r="E521" s="184" t="n">
        <v>25980</v>
      </c>
      <c r="F521" s="184" t="n">
        <v>26360</v>
      </c>
      <c r="G521" s="184" t="n">
        <v>26170</v>
      </c>
    </row>
    <row r="522">
      <c r="A522" s="194" t="inlineStr">
        <is>
          <t>2026-08-23 18:00:08</t>
        </is>
      </c>
      <c r="B522" s="194" t="inlineStr">
        <is>
          <t>AUD</t>
        </is>
      </c>
      <c r="C522" s="194" t="inlineStr">
        <is>
          <t>AUSTRALIAN DOLLAR</t>
        </is>
      </c>
      <c r="D522" s="195" t="n">
        <v>18258.85</v>
      </c>
      <c r="E522" s="195" t="n">
        <v>18443.28</v>
      </c>
      <c r="F522" s="195" t="n">
        <v>19034.13</v>
      </c>
      <c r="G522" s="195" t="n">
        <v>18738.71</v>
      </c>
    </row>
    <row r="523">
      <c r="A523" s="196" t="inlineStr">
        <is>
          <t>2026-08-23 18:00:08</t>
        </is>
      </c>
      <c r="B523" s="196" t="inlineStr">
        <is>
          <t>CAD</t>
        </is>
      </c>
      <c r="C523" s="196" t="inlineStr">
        <is>
          <t>CANADIAN DOLLAR</t>
        </is>
      </c>
      <c r="D523" s="184" t="n">
        <v>18495.45</v>
      </c>
      <c r="E523" s="184" t="n">
        <v>18682.28</v>
      </c>
      <c r="F523" s="184" t="n">
        <v>19280.78</v>
      </c>
      <c r="G523" s="184" t="n">
        <v>18981.53</v>
      </c>
    </row>
    <row r="524">
      <c r="A524" s="194" t="inlineStr">
        <is>
          <t>2026-08-23 18:00:08</t>
        </is>
      </c>
      <c r="B524" s="194" t="inlineStr">
        <is>
          <t>CHF</t>
        </is>
      </c>
      <c r="C524" s="194" t="inlineStr">
        <is>
          <t>SWISS FRANC</t>
        </is>
      </c>
      <c r="D524" s="195" t="n">
        <v>31785.67</v>
      </c>
      <c r="E524" s="195" t="n">
        <v>32106.74</v>
      </c>
      <c r="F524" s="195" t="n">
        <v>33135.31</v>
      </c>
      <c r="G524" s="195" t="n">
        <v>32621.02</v>
      </c>
    </row>
    <row r="525">
      <c r="A525" s="196" t="inlineStr">
        <is>
          <t>2026-08-23 18:00:08</t>
        </is>
      </c>
      <c r="B525" s="196" t="inlineStr">
        <is>
          <t>CNY</t>
        </is>
      </c>
      <c r="C525" s="196" t="inlineStr">
        <is>
          <t>YUAN RENMINBI</t>
        </is>
      </c>
      <c r="D525" s="184" t="n">
        <v>3787.7</v>
      </c>
      <c r="E525" s="184" t="n">
        <v>3825.96</v>
      </c>
      <c r="F525" s="184" t="n">
        <v>3948.53</v>
      </c>
      <c r="G525" s="184" t="n">
        <v>3887.24</v>
      </c>
    </row>
    <row r="526">
      <c r="A526" s="194" t="inlineStr">
        <is>
          <t>2026-08-23 18:00:08</t>
        </is>
      </c>
      <c r="B526" s="194" t="inlineStr">
        <is>
          <t>DKK</t>
        </is>
      </c>
      <c r="C526" s="194" t="inlineStr">
        <is>
          <t>DANISH KRONE</t>
        </is>
      </c>
      <c r="D526" s="195" t="n"/>
      <c r="E526" s="195" t="n">
        <v>4006.64</v>
      </c>
      <c r="F526" s="195" t="n">
        <v>4159.89</v>
      </c>
      <c r="G526" s="195" t="n">
        <v>4083.27</v>
      </c>
    </row>
    <row r="527">
      <c r="A527" s="196" t="inlineStr">
        <is>
          <t>2026-08-23 18:00:08</t>
        </is>
      </c>
      <c r="B527" s="196" t="inlineStr">
        <is>
          <t>EUR</t>
        </is>
      </c>
      <c r="C527" s="196" t="inlineStr">
        <is>
          <t>EURO</t>
        </is>
      </c>
      <c r="D527" s="184" t="n">
        <v>29727.25</v>
      </c>
      <c r="E527" s="184" t="n">
        <v>30027.53</v>
      </c>
      <c r="F527" s="184" t="n">
        <v>31294.81</v>
      </c>
      <c r="G527" s="184" t="n">
        <v>30661.17</v>
      </c>
    </row>
    <row r="528">
      <c r="A528" s="194" t="inlineStr">
        <is>
          <t>2026-08-23 18:00:08</t>
        </is>
      </c>
      <c r="B528" s="194" t="inlineStr">
        <is>
          <t>GBP</t>
        </is>
      </c>
      <c r="C528" s="194" t="inlineStr">
        <is>
          <t>POUND STERLING</t>
        </is>
      </c>
      <c r="D528" s="195" t="n">
        <v>34705.55</v>
      </c>
      <c r="E528" s="195" t="n">
        <v>35056.11</v>
      </c>
      <c r="F528" s="195" t="n">
        <v>36179.17</v>
      </c>
      <c r="G528" s="195" t="n">
        <v>35617.64</v>
      </c>
    </row>
    <row r="529">
      <c r="A529" s="196" t="inlineStr">
        <is>
          <t>2026-08-23 18:00:08</t>
        </is>
      </c>
      <c r="B529" s="196" t="inlineStr">
        <is>
          <t>HKD</t>
        </is>
      </c>
      <c r="C529" s="196" t="inlineStr">
        <is>
          <t>HONGKONG DOLLAR</t>
        </is>
      </c>
      <c r="D529" s="184" t="n">
        <v>3237.68</v>
      </c>
      <c r="E529" s="184" t="n">
        <v>3270.38</v>
      </c>
      <c r="F529" s="184" t="n">
        <v>3395.47</v>
      </c>
      <c r="G529" s="184" t="n">
        <v>3332.92</v>
      </c>
    </row>
    <row r="530">
      <c r="A530" s="194" t="inlineStr">
        <is>
          <t>2026-08-23 18:00:08</t>
        </is>
      </c>
      <c r="B530" s="194" t="inlineStr">
        <is>
          <t>INR</t>
        </is>
      </c>
      <c r="C530" s="194" t="inlineStr">
        <is>
          <t>INDIAN RUPEE</t>
        </is>
      </c>
      <c r="D530" s="195" t="n"/>
      <c r="E530" s="195" t="n">
        <v>271.4</v>
      </c>
      <c r="F530" s="195" t="n">
        <v>283.08</v>
      </c>
      <c r="G530" s="195" t="n">
        <v>277.24</v>
      </c>
    </row>
    <row r="531">
      <c r="A531" s="196" t="inlineStr">
        <is>
          <t>2026-08-23 18:00:08</t>
        </is>
      </c>
      <c r="B531" s="196" t="inlineStr">
        <is>
          <t>JPY</t>
        </is>
      </c>
      <c r="C531" s="196" t="inlineStr">
        <is>
          <t>YEN</t>
        </is>
      </c>
      <c r="D531" s="184" t="n">
        <v>158.61</v>
      </c>
      <c r="E531" s="184" t="n">
        <v>160.21</v>
      </c>
      <c r="F531" s="184" t="n">
        <v>169.55</v>
      </c>
      <c r="G531" s="184" t="n">
        <v>164.88</v>
      </c>
    </row>
    <row r="532">
      <c r="A532" s="194" t="inlineStr">
        <is>
          <t>2026-08-23 18:00:08</t>
        </is>
      </c>
      <c r="B532" s="194" t="inlineStr">
        <is>
          <t>KRW</t>
        </is>
      </c>
      <c r="C532" s="194" t="inlineStr">
        <is>
          <t>KOREAN WON</t>
        </is>
      </c>
      <c r="D532" s="195" t="n">
        <v>16.3</v>
      </c>
      <c r="E532" s="195" t="n">
        <v>18.11</v>
      </c>
      <c r="F532" s="195" t="n">
        <v>19.65</v>
      </c>
      <c r="G532" s="195" t="n">
        <v>18.88</v>
      </c>
    </row>
    <row r="533">
      <c r="A533" s="196" t="inlineStr">
        <is>
          <t>2026-08-23 18:00:08</t>
        </is>
      </c>
      <c r="B533" s="196" t="inlineStr">
        <is>
          <t>KWD</t>
        </is>
      </c>
      <c r="C533" s="196" t="inlineStr">
        <is>
          <t>KUWAITI DINAR</t>
        </is>
      </c>
      <c r="D533" s="184" t="n"/>
      <c r="E533" s="184" t="n">
        <v>84676.07000000001</v>
      </c>
      <c r="F533" s="184" t="n">
        <v>88781.11</v>
      </c>
      <c r="G533" s="184" t="n">
        <v>86728.59</v>
      </c>
    </row>
    <row r="534">
      <c r="A534" s="194" t="inlineStr">
        <is>
          <t>2026-08-23 18:00:08</t>
        </is>
      </c>
      <c r="B534" s="194" t="inlineStr">
        <is>
          <t>MYR</t>
        </is>
      </c>
      <c r="C534" s="194" t="inlineStr">
        <is>
          <t>MALAYSIAN RINGGIT</t>
        </is>
      </c>
      <c r="D534" s="195" t="n"/>
      <c r="E534" s="195" t="n">
        <v>6404.36</v>
      </c>
      <c r="F534" s="195" t="n">
        <v>6543.75</v>
      </c>
      <c r="G534" s="195" t="n">
        <v>6474.06</v>
      </c>
    </row>
    <row r="535">
      <c r="A535" s="196" t="inlineStr">
        <is>
          <t>2026-08-23 18:00:08</t>
        </is>
      </c>
      <c r="B535" s="196" t="inlineStr">
        <is>
          <t>NOK</t>
        </is>
      </c>
      <c r="C535" s="196" t="inlineStr">
        <is>
          <t>NORWEGIAN KRONER</t>
        </is>
      </c>
      <c r="D535" s="184" t="n"/>
      <c r="E535" s="184" t="n">
        <v>2755.13</v>
      </c>
      <c r="F535" s="184" t="n">
        <v>2871.98</v>
      </c>
      <c r="G535" s="184" t="n">
        <v>2813.56</v>
      </c>
    </row>
    <row r="536">
      <c r="A536" s="194" t="inlineStr">
        <is>
          <t>2026-08-23 18:00:08</t>
        </is>
      </c>
      <c r="B536" s="194" t="inlineStr">
        <is>
          <t>RUB</t>
        </is>
      </c>
      <c r="C536" s="194" t="inlineStr">
        <is>
          <t>RUSSIAN RUBLE</t>
        </is>
      </c>
      <c r="D536" s="195" t="n"/>
      <c r="E536" s="195" t="n">
        <v>300.59</v>
      </c>
      <c r="F536" s="195" t="n">
        <v>332.74</v>
      </c>
      <c r="G536" s="195" t="n">
        <v>316.66</v>
      </c>
    </row>
    <row r="537">
      <c r="A537" s="196" t="inlineStr">
        <is>
          <t>2026-08-23 18:00:08</t>
        </is>
      </c>
      <c r="B537" s="196" t="inlineStr">
        <is>
          <t>SAR</t>
        </is>
      </c>
      <c r="C537" s="196" t="inlineStr">
        <is>
          <t>SAUDI RIAL</t>
        </is>
      </c>
      <c r="D537" s="184" t="n"/>
      <c r="E537" s="184" t="n">
        <v>6917.07</v>
      </c>
      <c r="F537" s="184" t="n">
        <v>7214.83</v>
      </c>
      <c r="G537" s="184" t="n">
        <v>7065.95</v>
      </c>
    </row>
    <row r="538">
      <c r="A538" s="194" t="inlineStr">
        <is>
          <t>2026-08-23 18:00:08</t>
        </is>
      </c>
      <c r="B538" s="194" t="inlineStr">
        <is>
          <t>SEK</t>
        </is>
      </c>
      <c r="C538" s="194" t="inlineStr">
        <is>
          <t>SWEDISH KRONA</t>
        </is>
      </c>
      <c r="D538" s="195" t="n"/>
      <c r="E538" s="195" t="n">
        <v>2703.26</v>
      </c>
      <c r="F538" s="195" t="n">
        <v>2817.91</v>
      </c>
      <c r="G538" s="195" t="n">
        <v>2760.58</v>
      </c>
    </row>
    <row r="539">
      <c r="A539" s="196" t="inlineStr">
        <is>
          <t>2026-08-23 18:00:08</t>
        </is>
      </c>
      <c r="B539" s="196" t="inlineStr">
        <is>
          <t>SGD</t>
        </is>
      </c>
      <c r="C539" s="196" t="inlineStr">
        <is>
          <t>SINGAPORE DOLLAR</t>
        </is>
      </c>
      <c r="D539" s="184" t="n">
        <v>20036.31</v>
      </c>
      <c r="E539" s="184" t="n">
        <v>20238.7</v>
      </c>
      <c r="F539" s="184" t="n">
        <v>20928.89</v>
      </c>
      <c r="G539" s="184" t="n">
        <v>20583.79</v>
      </c>
    </row>
    <row r="540">
      <c r="A540" s="194" t="inlineStr">
        <is>
          <t>2026-08-23 18:00:08</t>
        </is>
      </c>
      <c r="B540" s="194" t="inlineStr">
        <is>
          <t>THB</t>
        </is>
      </c>
      <c r="C540" s="194" t="inlineStr">
        <is>
          <t>THAILAND BAHT</t>
        </is>
      </c>
      <c r="D540" s="195" t="n">
        <v>704.91</v>
      </c>
      <c r="E540" s="195" t="n">
        <v>783.23</v>
      </c>
      <c r="F540" s="195" t="n">
        <v>816.45</v>
      </c>
      <c r="G540" s="195" t="n">
        <v>799.84</v>
      </c>
    </row>
    <row r="541">
      <c r="A541" s="196" t="inlineStr">
        <is>
          <t>2026-08-23 18:00:08</t>
        </is>
      </c>
      <c r="B541" s="196" t="inlineStr">
        <is>
          <t>USD</t>
        </is>
      </c>
      <c r="C541" s="196" t="inlineStr">
        <is>
          <t>US DOLLAR</t>
        </is>
      </c>
      <c r="D541" s="184" t="n">
        <v>25900</v>
      </c>
      <c r="E541" s="184" t="n">
        <v>25930</v>
      </c>
      <c r="F541" s="184" t="n">
        <v>26310</v>
      </c>
      <c r="G541" s="184" t="n">
        <v>26120</v>
      </c>
    </row>
    <row r="542">
      <c r="A542" s="194" t="inlineStr">
        <is>
          <t>2026-08-22 18:00:09</t>
        </is>
      </c>
      <c r="B542" s="194" t="inlineStr">
        <is>
          <t>AUD</t>
        </is>
      </c>
      <c r="C542" s="194" t="inlineStr">
        <is>
          <t>AUSTRALIAN DOLLAR</t>
        </is>
      </c>
      <c r="D542" s="195" t="n">
        <v>18258.85</v>
      </c>
      <c r="E542" s="195" t="n">
        <v>18443.28</v>
      </c>
      <c r="F542" s="195" t="n">
        <v>19034.13</v>
      </c>
      <c r="G542" s="195" t="n">
        <v>18738.71</v>
      </c>
    </row>
    <row r="543">
      <c r="A543" s="196" t="inlineStr">
        <is>
          <t>2026-08-22 18:00:09</t>
        </is>
      </c>
      <c r="B543" s="196" t="inlineStr">
        <is>
          <t>CAD</t>
        </is>
      </c>
      <c r="C543" s="196" t="inlineStr">
        <is>
          <t>CANADIAN DOLLAR</t>
        </is>
      </c>
      <c r="D543" s="184" t="n">
        <v>18495.45</v>
      </c>
      <c r="E543" s="184" t="n">
        <v>18682.28</v>
      </c>
      <c r="F543" s="184" t="n">
        <v>19280.78</v>
      </c>
      <c r="G543" s="184" t="n">
        <v>18981.53</v>
      </c>
    </row>
    <row r="544">
      <c r="A544" s="194" t="inlineStr">
        <is>
          <t>2026-08-22 18:00:09</t>
        </is>
      </c>
      <c r="B544" s="194" t="inlineStr">
        <is>
          <t>CHF</t>
        </is>
      </c>
      <c r="C544" s="194" t="inlineStr">
        <is>
          <t>SWISS FRANC</t>
        </is>
      </c>
      <c r="D544" s="195" t="n">
        <v>31785.67</v>
      </c>
      <c r="E544" s="195" t="n">
        <v>32106.74</v>
      </c>
      <c r="F544" s="195" t="n">
        <v>33135.31</v>
      </c>
      <c r="G544" s="195" t="n">
        <v>32621.02</v>
      </c>
    </row>
    <row r="545">
      <c r="A545" s="196" t="inlineStr">
        <is>
          <t>2026-08-22 18:00:09</t>
        </is>
      </c>
      <c r="B545" s="196" t="inlineStr">
        <is>
          <t>CNY</t>
        </is>
      </c>
      <c r="C545" s="196" t="inlineStr">
        <is>
          <t>YUAN RENMINBI</t>
        </is>
      </c>
      <c r="D545" s="184" t="n">
        <v>3787.7</v>
      </c>
      <c r="E545" s="184" t="n">
        <v>3825.96</v>
      </c>
      <c r="F545" s="184" t="n">
        <v>3948.53</v>
      </c>
      <c r="G545" s="184" t="n">
        <v>3887.24</v>
      </c>
    </row>
    <row r="546">
      <c r="A546" s="194" t="inlineStr">
        <is>
          <t>2026-08-22 18:00:09</t>
        </is>
      </c>
      <c r="B546" s="194" t="inlineStr">
        <is>
          <t>DKK</t>
        </is>
      </c>
      <c r="C546" s="194" t="inlineStr">
        <is>
          <t>DANISH KRONE</t>
        </is>
      </c>
      <c r="D546" s="195" t="n"/>
      <c r="E546" s="195" t="n">
        <v>4006.64</v>
      </c>
      <c r="F546" s="195" t="n">
        <v>4159.89</v>
      </c>
      <c r="G546" s="195" t="n">
        <v>4083.27</v>
      </c>
    </row>
    <row r="547">
      <c r="A547" s="196" t="inlineStr">
        <is>
          <t>2026-08-22 18:00:09</t>
        </is>
      </c>
      <c r="B547" s="196" t="inlineStr">
        <is>
          <t>EUR</t>
        </is>
      </c>
      <c r="C547" s="196" t="inlineStr">
        <is>
          <t>EURO</t>
        </is>
      </c>
      <c r="D547" s="184" t="n">
        <v>29727.25</v>
      </c>
      <c r="E547" s="184" t="n">
        <v>30027.53</v>
      </c>
      <c r="F547" s="184" t="n">
        <v>31294.81</v>
      </c>
      <c r="G547" s="184" t="n">
        <v>30661.17</v>
      </c>
    </row>
    <row r="548">
      <c r="A548" s="194" t="inlineStr">
        <is>
          <t>2026-08-22 18:00:09</t>
        </is>
      </c>
      <c r="B548" s="194" t="inlineStr">
        <is>
          <t>GBP</t>
        </is>
      </c>
      <c r="C548" s="194" t="inlineStr">
        <is>
          <t>POUND STERLING</t>
        </is>
      </c>
      <c r="D548" s="195" t="n">
        <v>34705.55</v>
      </c>
      <c r="E548" s="195" t="n">
        <v>35056.11</v>
      </c>
      <c r="F548" s="195" t="n">
        <v>36179.17</v>
      </c>
      <c r="G548" s="195" t="n">
        <v>35617.64</v>
      </c>
    </row>
    <row r="549">
      <c r="A549" s="196" t="inlineStr">
        <is>
          <t>2026-08-22 18:00:09</t>
        </is>
      </c>
      <c r="B549" s="196" t="inlineStr">
        <is>
          <t>HKD</t>
        </is>
      </c>
      <c r="C549" s="196" t="inlineStr">
        <is>
          <t>HONGKONG DOLLAR</t>
        </is>
      </c>
      <c r="D549" s="184" t="n">
        <v>3237.68</v>
      </c>
      <c r="E549" s="184" t="n">
        <v>3270.38</v>
      </c>
      <c r="F549" s="184" t="n">
        <v>3395.47</v>
      </c>
      <c r="G549" s="184" t="n">
        <v>3332.92</v>
      </c>
    </row>
    <row r="550">
      <c r="A550" s="194" t="inlineStr">
        <is>
          <t>2026-08-22 18:00:09</t>
        </is>
      </c>
      <c r="B550" s="194" t="inlineStr">
        <is>
          <t>INR</t>
        </is>
      </c>
      <c r="C550" s="194" t="inlineStr">
        <is>
          <t>INDIAN RUPEE</t>
        </is>
      </c>
      <c r="D550" s="195" t="n"/>
      <c r="E550" s="195" t="n">
        <v>271.4</v>
      </c>
      <c r="F550" s="195" t="n">
        <v>283.08</v>
      </c>
      <c r="G550" s="195" t="n">
        <v>277.24</v>
      </c>
    </row>
    <row r="551">
      <c r="A551" s="196" t="inlineStr">
        <is>
          <t>2026-08-22 18:00:09</t>
        </is>
      </c>
      <c r="B551" s="196" t="inlineStr">
        <is>
          <t>JPY</t>
        </is>
      </c>
      <c r="C551" s="196" t="inlineStr">
        <is>
          <t>YEN</t>
        </is>
      </c>
      <c r="D551" s="184" t="n">
        <v>158.61</v>
      </c>
      <c r="E551" s="184" t="n">
        <v>160.21</v>
      </c>
      <c r="F551" s="184" t="n">
        <v>169.55</v>
      </c>
      <c r="G551" s="184" t="n">
        <v>164.88</v>
      </c>
    </row>
    <row r="552">
      <c r="A552" s="194" t="inlineStr">
        <is>
          <t>2026-08-22 18:00:09</t>
        </is>
      </c>
      <c r="B552" s="194" t="inlineStr">
        <is>
          <t>KRW</t>
        </is>
      </c>
      <c r="C552" s="194" t="inlineStr">
        <is>
          <t>KOREAN WON</t>
        </is>
      </c>
      <c r="D552" s="195" t="n">
        <v>16.3</v>
      </c>
      <c r="E552" s="195" t="n">
        <v>18.11</v>
      </c>
      <c r="F552" s="195" t="n">
        <v>19.65</v>
      </c>
      <c r="G552" s="195" t="n">
        <v>18.88</v>
      </c>
    </row>
    <row r="553">
      <c r="A553" s="196" t="inlineStr">
        <is>
          <t>2026-08-22 18:00:09</t>
        </is>
      </c>
      <c r="B553" s="196" t="inlineStr">
        <is>
          <t>KWD</t>
        </is>
      </c>
      <c r="C553" s="196" t="inlineStr">
        <is>
          <t>KUWAITI DINAR</t>
        </is>
      </c>
      <c r="D553" s="184" t="n"/>
      <c r="E553" s="184" t="n">
        <v>84676.07000000001</v>
      </c>
      <c r="F553" s="184" t="n">
        <v>88781.11</v>
      </c>
      <c r="G553" s="184" t="n">
        <v>86728.59</v>
      </c>
    </row>
    <row r="554">
      <c r="A554" s="194" t="inlineStr">
        <is>
          <t>2026-08-22 18:00:09</t>
        </is>
      </c>
      <c r="B554" s="194" t="inlineStr">
        <is>
          <t>MYR</t>
        </is>
      </c>
      <c r="C554" s="194" t="inlineStr">
        <is>
          <t>MALAYSIAN RINGGIT</t>
        </is>
      </c>
      <c r="D554" s="195" t="n"/>
      <c r="E554" s="195" t="n">
        <v>6404.36</v>
      </c>
      <c r="F554" s="195" t="n">
        <v>6543.75</v>
      </c>
      <c r="G554" s="195" t="n">
        <v>6474.06</v>
      </c>
    </row>
    <row r="555">
      <c r="A555" s="196" t="inlineStr">
        <is>
          <t>2026-08-22 18:00:09</t>
        </is>
      </c>
      <c r="B555" s="196" t="inlineStr">
        <is>
          <t>NOK</t>
        </is>
      </c>
      <c r="C555" s="196" t="inlineStr">
        <is>
          <t>NORWEGIAN KRONER</t>
        </is>
      </c>
      <c r="D555" s="184" t="n"/>
      <c r="E555" s="184" t="n">
        <v>2755.13</v>
      </c>
      <c r="F555" s="184" t="n">
        <v>2871.98</v>
      </c>
      <c r="G555" s="184" t="n">
        <v>2813.56</v>
      </c>
    </row>
    <row r="556">
      <c r="A556" s="194" t="inlineStr">
        <is>
          <t>2026-08-22 18:00:09</t>
        </is>
      </c>
      <c r="B556" s="194" t="inlineStr">
        <is>
          <t>RUB</t>
        </is>
      </c>
      <c r="C556" s="194" t="inlineStr">
        <is>
          <t>RUSSIAN RUBLE</t>
        </is>
      </c>
      <c r="D556" s="195" t="n"/>
      <c r="E556" s="195" t="n">
        <v>300.59</v>
      </c>
      <c r="F556" s="195" t="n">
        <v>332.74</v>
      </c>
      <c r="G556" s="195" t="n">
        <v>316.66</v>
      </c>
    </row>
    <row r="557">
      <c r="A557" s="196" t="inlineStr">
        <is>
          <t>2026-08-22 18:00:09</t>
        </is>
      </c>
      <c r="B557" s="196" t="inlineStr">
        <is>
          <t>SAR</t>
        </is>
      </c>
      <c r="C557" s="196" t="inlineStr">
        <is>
          <t>SAUDI RIAL</t>
        </is>
      </c>
      <c r="D557" s="184" t="n"/>
      <c r="E557" s="184" t="n">
        <v>6917.07</v>
      </c>
      <c r="F557" s="184" t="n">
        <v>7214.83</v>
      </c>
      <c r="G557" s="184" t="n">
        <v>7065.95</v>
      </c>
    </row>
    <row r="558">
      <c r="A558" s="194" t="inlineStr">
        <is>
          <t>2026-08-22 18:00:09</t>
        </is>
      </c>
      <c r="B558" s="194" t="inlineStr">
        <is>
          <t>SEK</t>
        </is>
      </c>
      <c r="C558" s="194" t="inlineStr">
        <is>
          <t>SWEDISH KRONA</t>
        </is>
      </c>
      <c r="D558" s="195" t="n"/>
      <c r="E558" s="195" t="n">
        <v>2703.26</v>
      </c>
      <c r="F558" s="195" t="n">
        <v>2817.91</v>
      </c>
      <c r="G558" s="195" t="n">
        <v>2760.58</v>
      </c>
    </row>
    <row r="559">
      <c r="A559" s="196" t="inlineStr">
        <is>
          <t>2026-08-22 18:00:09</t>
        </is>
      </c>
      <c r="B559" s="196" t="inlineStr">
        <is>
          <t>SGD</t>
        </is>
      </c>
      <c r="C559" s="196" t="inlineStr">
        <is>
          <t>SINGAPORE DOLLAR</t>
        </is>
      </c>
      <c r="D559" s="184" t="n">
        <v>20036.31</v>
      </c>
      <c r="E559" s="184" t="n">
        <v>20238.7</v>
      </c>
      <c r="F559" s="184" t="n">
        <v>20928.89</v>
      </c>
      <c r="G559" s="184" t="n">
        <v>20583.79</v>
      </c>
    </row>
    <row r="560">
      <c r="A560" s="194" t="inlineStr">
        <is>
          <t>2026-08-22 18:00:09</t>
        </is>
      </c>
      <c r="B560" s="194" t="inlineStr">
        <is>
          <t>THB</t>
        </is>
      </c>
      <c r="C560" s="194" t="inlineStr">
        <is>
          <t>THAILAND BAHT</t>
        </is>
      </c>
      <c r="D560" s="195" t="n">
        <v>704.91</v>
      </c>
      <c r="E560" s="195" t="n">
        <v>783.23</v>
      </c>
      <c r="F560" s="195" t="n">
        <v>816.45</v>
      </c>
      <c r="G560" s="195" t="n">
        <v>799.84</v>
      </c>
    </row>
    <row r="561">
      <c r="A561" s="196" t="inlineStr">
        <is>
          <t>2026-08-22 18:00:09</t>
        </is>
      </c>
      <c r="B561" s="196" t="inlineStr">
        <is>
          <t>USD</t>
        </is>
      </c>
      <c r="C561" s="196" t="inlineStr">
        <is>
          <t>US DOLLAR</t>
        </is>
      </c>
      <c r="D561" s="184" t="n">
        <v>25900</v>
      </c>
      <c r="E561" s="184" t="n">
        <v>25930</v>
      </c>
      <c r="F561" s="184" t="n">
        <v>26310</v>
      </c>
      <c r="G561" s="184" t="n">
        <v>26120</v>
      </c>
    </row>
    <row r="562">
      <c r="A562" s="194" t="inlineStr">
        <is>
          <t>2026-08-21 18:00:07</t>
        </is>
      </c>
      <c r="B562" s="194" t="inlineStr">
        <is>
          <t>AUD</t>
        </is>
      </c>
      <c r="C562" s="194" t="inlineStr">
        <is>
          <t>AUSTRALIAN DOLLAR</t>
        </is>
      </c>
      <c r="D562" s="195" t="n">
        <v>18199.72</v>
      </c>
      <c r="E562" s="195" t="n">
        <v>18383.56</v>
      </c>
      <c r="F562" s="195" t="n">
        <v>18972.53</v>
      </c>
      <c r="G562" s="195" t="n">
        <v>18678.04</v>
      </c>
    </row>
    <row r="563">
      <c r="A563" s="196" t="inlineStr">
        <is>
          <t>2026-08-21 18:00:07</t>
        </is>
      </c>
      <c r="B563" s="196" t="inlineStr">
        <is>
          <t>CAD</t>
        </is>
      </c>
      <c r="C563" s="196" t="inlineStr">
        <is>
          <t>CANADIAN DOLLAR</t>
        </is>
      </c>
      <c r="D563" s="184" t="n">
        <v>18491.66</v>
      </c>
      <c r="E563" s="184" t="n">
        <v>18678.44</v>
      </c>
      <c r="F563" s="184" t="n">
        <v>19276.86</v>
      </c>
      <c r="G563" s="184" t="n">
        <v>18977.65</v>
      </c>
    </row>
    <row r="564">
      <c r="A564" s="194" t="inlineStr">
        <is>
          <t>2026-08-21 18:00:07</t>
        </is>
      </c>
      <c r="B564" s="194" t="inlineStr">
        <is>
          <t>CHF</t>
        </is>
      </c>
      <c r="C564" s="194" t="inlineStr">
        <is>
          <t>SWISS FRANC</t>
        </is>
      </c>
      <c r="D564" s="195" t="n">
        <v>31792.8</v>
      </c>
      <c r="E564" s="195" t="n">
        <v>32113.94</v>
      </c>
      <c r="F564" s="195" t="n">
        <v>33142.8</v>
      </c>
      <c r="G564" s="195" t="n">
        <v>32628.37</v>
      </c>
    </row>
    <row r="565">
      <c r="A565" s="196" t="inlineStr">
        <is>
          <t>2026-08-21 18:00:07</t>
        </is>
      </c>
      <c r="B565" s="196" t="inlineStr">
        <is>
          <t>CNY</t>
        </is>
      </c>
      <c r="C565" s="196" t="inlineStr">
        <is>
          <t>YUAN RENMINBI</t>
        </is>
      </c>
      <c r="D565" s="184" t="n">
        <v>3783.8</v>
      </c>
      <c r="E565" s="184" t="n">
        <v>3822.02</v>
      </c>
      <c r="F565" s="184" t="n">
        <v>3944.47</v>
      </c>
      <c r="G565" s="184" t="n">
        <v>3883.24</v>
      </c>
    </row>
    <row r="566">
      <c r="A566" s="194" t="inlineStr">
        <is>
          <t>2026-08-21 18:00:07</t>
        </is>
      </c>
      <c r="B566" s="194" t="inlineStr">
        <is>
          <t>DKK</t>
        </is>
      </c>
      <c r="C566" s="194" t="inlineStr">
        <is>
          <t>DANISH KRONE</t>
        </is>
      </c>
      <c r="D566" s="195" t="n"/>
      <c r="E566" s="195" t="n">
        <v>4006.73</v>
      </c>
      <c r="F566" s="195" t="n">
        <v>4159.99</v>
      </c>
      <c r="G566" s="195" t="n">
        <v>4083.36</v>
      </c>
    </row>
    <row r="567">
      <c r="A567" s="196" t="inlineStr">
        <is>
          <t>2026-08-21 18:00:07</t>
        </is>
      </c>
      <c r="B567" s="196" t="inlineStr">
        <is>
          <t>EUR</t>
        </is>
      </c>
      <c r="C567" s="196" t="inlineStr">
        <is>
          <t>EURO</t>
        </is>
      </c>
      <c r="D567" s="184" t="n">
        <v>29731.22</v>
      </c>
      <c r="E567" s="184" t="n">
        <v>30031.53</v>
      </c>
      <c r="F567" s="184" t="n">
        <v>31299.04</v>
      </c>
      <c r="G567" s="184" t="n">
        <v>30665.28</v>
      </c>
    </row>
    <row r="568">
      <c r="A568" s="194" t="inlineStr">
        <is>
          <t>2026-08-21 18:00:07</t>
        </is>
      </c>
      <c r="B568" s="194" t="inlineStr">
        <is>
          <t>GBP</t>
        </is>
      </c>
      <c r="C568" s="194" t="inlineStr">
        <is>
          <t>POUND STERLING</t>
        </is>
      </c>
      <c r="D568" s="195" t="n">
        <v>34686</v>
      </c>
      <c r="E568" s="195" t="n">
        <v>35036.36</v>
      </c>
      <c r="F568" s="195" t="n">
        <v>36158.85</v>
      </c>
      <c r="G568" s="195" t="n">
        <v>35597.6</v>
      </c>
    </row>
    <row r="569">
      <c r="A569" s="196" t="inlineStr">
        <is>
          <t>2026-08-21 18:00:07</t>
        </is>
      </c>
      <c r="B569" s="196" t="inlineStr">
        <is>
          <t>HKD</t>
        </is>
      </c>
      <c r="C569" s="196" t="inlineStr">
        <is>
          <t>HONGKONG DOLLAR</t>
        </is>
      </c>
      <c r="D569" s="184" t="n">
        <v>3233.75</v>
      </c>
      <c r="E569" s="184" t="n">
        <v>3266.42</v>
      </c>
      <c r="F569" s="184" t="n">
        <v>3391.36</v>
      </c>
      <c r="G569" s="184" t="n">
        <v>3328.89</v>
      </c>
    </row>
    <row r="570">
      <c r="A570" s="194" t="inlineStr">
        <is>
          <t>2026-08-21 18:00:07</t>
        </is>
      </c>
      <c r="B570" s="194" t="inlineStr">
        <is>
          <t>INR</t>
        </is>
      </c>
      <c r="C570" s="194" t="inlineStr">
        <is>
          <t>INDIAN RUPEE</t>
        </is>
      </c>
      <c r="D570" s="195" t="n"/>
      <c r="E570" s="195" t="n">
        <v>270.94</v>
      </c>
      <c r="F570" s="195" t="n">
        <v>282.6</v>
      </c>
      <c r="G570" s="195" t="n">
        <v>276.77</v>
      </c>
    </row>
    <row r="571">
      <c r="A571" s="196" t="inlineStr">
        <is>
          <t>2026-08-21 18:00:07</t>
        </is>
      </c>
      <c r="B571" s="196" t="inlineStr">
        <is>
          <t>JPY</t>
        </is>
      </c>
      <c r="C571" s="196" t="inlineStr">
        <is>
          <t>YEN</t>
        </is>
      </c>
      <c r="D571" s="184" t="n">
        <v>158.61</v>
      </c>
      <c r="E571" s="184" t="n">
        <v>160.22</v>
      </c>
      <c r="F571" s="184" t="n">
        <v>169.56</v>
      </c>
      <c r="G571" s="184" t="n">
        <v>164.89</v>
      </c>
    </row>
    <row r="572">
      <c r="A572" s="194" t="inlineStr">
        <is>
          <t>2026-08-21 18:00:07</t>
        </is>
      </c>
      <c r="B572" s="194" t="inlineStr">
        <is>
          <t>KRW</t>
        </is>
      </c>
      <c r="C572" s="194" t="inlineStr">
        <is>
          <t>KOREAN WON</t>
        </is>
      </c>
      <c r="D572" s="195" t="n">
        <v>16.34</v>
      </c>
      <c r="E572" s="195" t="n">
        <v>18.16</v>
      </c>
      <c r="F572" s="195" t="n">
        <v>19.7</v>
      </c>
      <c r="G572" s="195" t="n">
        <v>18.93</v>
      </c>
    </row>
    <row r="573">
      <c r="A573" s="196" t="inlineStr">
        <is>
          <t>2026-08-21 18:00:07</t>
        </is>
      </c>
      <c r="B573" s="196" t="inlineStr">
        <is>
          <t>KWD</t>
        </is>
      </c>
      <c r="C573" s="196" t="inlineStr">
        <is>
          <t>KUWAITI DINAR</t>
        </is>
      </c>
      <c r="D573" s="184" t="n"/>
      <c r="E573" s="184" t="n">
        <v>84578.74000000001</v>
      </c>
      <c r="F573" s="184" t="n">
        <v>88679.22</v>
      </c>
      <c r="G573" s="184" t="n">
        <v>86628.98</v>
      </c>
    </row>
    <row r="574">
      <c r="A574" s="194" t="inlineStr">
        <is>
          <t>2026-08-21 18:00:07</t>
        </is>
      </c>
      <c r="B574" s="194" t="inlineStr">
        <is>
          <t>MYR</t>
        </is>
      </c>
      <c r="C574" s="194" t="inlineStr">
        <is>
          <t>MALAYSIAN RINGGIT</t>
        </is>
      </c>
      <c r="D574" s="195" t="n"/>
      <c r="E574" s="195" t="n">
        <v>6390.66</v>
      </c>
      <c r="F574" s="195" t="n">
        <v>6529.77</v>
      </c>
      <c r="G574" s="195" t="n">
        <v>6460.22</v>
      </c>
    </row>
    <row r="575">
      <c r="A575" s="196" t="inlineStr">
        <is>
          <t>2026-08-21 18:00:07</t>
        </is>
      </c>
      <c r="B575" s="196" t="inlineStr">
        <is>
          <t>NOK</t>
        </is>
      </c>
      <c r="C575" s="196" t="inlineStr">
        <is>
          <t>NORWEGIAN KRONER</t>
        </is>
      </c>
      <c r="D575" s="184" t="n"/>
      <c r="E575" s="184" t="n">
        <v>2744.6</v>
      </c>
      <c r="F575" s="184" t="n">
        <v>2861.01</v>
      </c>
      <c r="G575" s="184" t="n">
        <v>2802.8</v>
      </c>
    </row>
    <row r="576">
      <c r="A576" s="194" t="inlineStr">
        <is>
          <t>2026-08-21 18:00:07</t>
        </is>
      </c>
      <c r="B576" s="194" t="inlineStr">
        <is>
          <t>RUB</t>
        </is>
      </c>
      <c r="C576" s="194" t="inlineStr">
        <is>
          <t>RUSSIAN RUBLE</t>
        </is>
      </c>
      <c r="D576" s="195" t="n"/>
      <c r="E576" s="195" t="n">
        <v>299.14</v>
      </c>
      <c r="F576" s="195" t="n">
        <v>331.14</v>
      </c>
      <c r="G576" s="195" t="n">
        <v>315.14</v>
      </c>
    </row>
    <row r="577">
      <c r="A577" s="196" t="inlineStr">
        <is>
          <t>2026-08-21 18:00:07</t>
        </is>
      </c>
      <c r="B577" s="196" t="inlineStr">
        <is>
          <t>SAR</t>
        </is>
      </c>
      <c r="C577" s="196" t="inlineStr">
        <is>
          <t>SAUDI RIAL</t>
        </is>
      </c>
      <c r="D577" s="184" t="n"/>
      <c r="E577" s="184" t="n">
        <v>6908.94</v>
      </c>
      <c r="F577" s="184" t="n">
        <v>7206.36</v>
      </c>
      <c r="G577" s="184" t="n">
        <v>7057.65</v>
      </c>
    </row>
    <row r="578">
      <c r="A578" s="194" t="inlineStr">
        <is>
          <t>2026-08-21 18:00:07</t>
        </is>
      </c>
      <c r="B578" s="194" t="inlineStr">
        <is>
          <t>SEK</t>
        </is>
      </c>
      <c r="C578" s="194" t="inlineStr">
        <is>
          <t>SWEDISH KRONA</t>
        </is>
      </c>
      <c r="D578" s="195" t="n"/>
      <c r="E578" s="195" t="n">
        <v>2699.1</v>
      </c>
      <c r="F578" s="195" t="n">
        <v>2813.57</v>
      </c>
      <c r="G578" s="195" t="n">
        <v>2756.34</v>
      </c>
    </row>
    <row r="579">
      <c r="A579" s="196" t="inlineStr">
        <is>
          <t>2026-08-21 18:00:07</t>
        </is>
      </c>
      <c r="B579" s="196" t="inlineStr">
        <is>
          <t>SGD</t>
        </is>
      </c>
      <c r="C579" s="196" t="inlineStr">
        <is>
          <t>SINGAPORE DOLLAR</t>
        </is>
      </c>
      <c r="D579" s="184" t="n">
        <v>20014.86</v>
      </c>
      <c r="E579" s="184" t="n">
        <v>20217.03</v>
      </c>
      <c r="F579" s="184" t="n">
        <v>20906.52</v>
      </c>
      <c r="G579" s="184" t="n">
        <v>20561.78</v>
      </c>
    </row>
    <row r="580">
      <c r="A580" s="194" t="inlineStr">
        <is>
          <t>2026-08-21 18:00:07</t>
        </is>
      </c>
      <c r="B580" s="194" t="inlineStr">
        <is>
          <t>THB</t>
        </is>
      </c>
      <c r="C580" s="194" t="inlineStr">
        <is>
          <t>THAILAND BAHT</t>
        </is>
      </c>
      <c r="D580" s="195" t="n">
        <v>704.3200000000001</v>
      </c>
      <c r="E580" s="195" t="n">
        <v>782.5700000000001</v>
      </c>
      <c r="F580" s="195" t="n">
        <v>815.76</v>
      </c>
      <c r="G580" s="195" t="n">
        <v>799.16</v>
      </c>
    </row>
    <row r="581">
      <c r="A581" s="196" t="inlineStr">
        <is>
          <t>2026-08-21 18:00:07</t>
        </is>
      </c>
      <c r="B581" s="196" t="inlineStr">
        <is>
          <t>USD</t>
        </is>
      </c>
      <c r="C581" s="196" t="inlineStr">
        <is>
          <t>US DOLLAR</t>
        </is>
      </c>
      <c r="D581" s="184" t="n">
        <v>25870</v>
      </c>
      <c r="E581" s="184" t="n">
        <v>25900</v>
      </c>
      <c r="F581" s="184" t="n">
        <v>26280</v>
      </c>
      <c r="G581" s="184" t="n">
        <v>26090</v>
      </c>
    </row>
    <row r="582">
      <c r="A582" s="194" t="inlineStr">
        <is>
          <t>2026-08-20 18:00:08</t>
        </is>
      </c>
      <c r="B582" s="194" t="inlineStr">
        <is>
          <t>AUD</t>
        </is>
      </c>
      <c r="C582" s="194" t="inlineStr">
        <is>
          <t>AUSTRALIAN DOLLAR</t>
        </is>
      </c>
      <c r="D582" s="195" t="n">
        <v>18131.59</v>
      </c>
      <c r="E582" s="195" t="n">
        <v>18314.74</v>
      </c>
      <c r="F582" s="195" t="n">
        <v>18901.47</v>
      </c>
      <c r="G582" s="195" t="n">
        <v>18608.11</v>
      </c>
    </row>
    <row r="583">
      <c r="A583" s="196" t="inlineStr">
        <is>
          <t>2026-08-20 18:00:08</t>
        </is>
      </c>
      <c r="B583" s="196" t="inlineStr">
        <is>
          <t>CAD</t>
        </is>
      </c>
      <c r="C583" s="196" t="inlineStr">
        <is>
          <t>CANADIAN DOLLAR</t>
        </is>
      </c>
      <c r="D583" s="184" t="n">
        <v>18484.71</v>
      </c>
      <c r="E583" s="184" t="n">
        <v>18671.42</v>
      </c>
      <c r="F583" s="184" t="n">
        <v>19269.58</v>
      </c>
      <c r="G583" s="184" t="n">
        <v>18970.5</v>
      </c>
    </row>
    <row r="584">
      <c r="A584" s="194" t="inlineStr">
        <is>
          <t>2026-08-20 18:00:08</t>
        </is>
      </c>
      <c r="B584" s="194" t="inlineStr">
        <is>
          <t>CHF</t>
        </is>
      </c>
      <c r="C584" s="194" t="inlineStr">
        <is>
          <t>SWISS FRANC</t>
        </is>
      </c>
      <c r="D584" s="195" t="n">
        <v>31905.18</v>
      </c>
      <c r="E584" s="195" t="n">
        <v>32227.45</v>
      </c>
      <c r="F584" s="195" t="n">
        <v>33259.9</v>
      </c>
      <c r="G584" s="195" t="n">
        <v>32743.68</v>
      </c>
    </row>
    <row r="585">
      <c r="A585" s="196" t="inlineStr">
        <is>
          <t>2026-08-20 18:00:08</t>
        </is>
      </c>
      <c r="B585" s="196" t="inlineStr">
        <is>
          <t>CNY</t>
        </is>
      </c>
      <c r="C585" s="196" t="inlineStr">
        <is>
          <t>YUAN RENMINBI</t>
        </is>
      </c>
      <c r="D585" s="184" t="n">
        <v>3786.57</v>
      </c>
      <c r="E585" s="184" t="n">
        <v>3824.82</v>
      </c>
      <c r="F585" s="184" t="n">
        <v>3947.36</v>
      </c>
      <c r="G585" s="184" t="n">
        <v>3886.09</v>
      </c>
    </row>
    <row r="586">
      <c r="A586" s="194" t="inlineStr">
        <is>
          <t>2026-08-20 18:00:08</t>
        </is>
      </c>
      <c r="B586" s="194" t="inlineStr">
        <is>
          <t>DKK</t>
        </is>
      </c>
      <c r="C586" s="194" t="inlineStr">
        <is>
          <t>DANISH KRONE</t>
        </is>
      </c>
      <c r="D586" s="195" t="n"/>
      <c r="E586" s="195" t="n">
        <v>4012.1</v>
      </c>
      <c r="F586" s="195" t="n">
        <v>4165.55</v>
      </c>
      <c r="G586" s="195" t="n">
        <v>4088.82</v>
      </c>
    </row>
    <row r="587">
      <c r="A587" s="196" t="inlineStr">
        <is>
          <t>2026-08-20 18:00:08</t>
        </is>
      </c>
      <c r="B587" s="196" t="inlineStr">
        <is>
          <t>EUR</t>
        </is>
      </c>
      <c r="C587" s="196" t="inlineStr">
        <is>
          <t>EURO</t>
        </is>
      </c>
      <c r="D587" s="184" t="n">
        <v>29770.52</v>
      </c>
      <c r="E587" s="184" t="n">
        <v>30071.23</v>
      </c>
      <c r="F587" s="184" t="n">
        <v>31340.36</v>
      </c>
      <c r="G587" s="184" t="n">
        <v>30705.8</v>
      </c>
    </row>
    <row r="588">
      <c r="A588" s="194" t="inlineStr">
        <is>
          <t>2026-08-20 18:00:08</t>
        </is>
      </c>
      <c r="B588" s="194" t="inlineStr">
        <is>
          <t>GBP</t>
        </is>
      </c>
      <c r="C588" s="194" t="inlineStr">
        <is>
          <t>POUND STERLING</t>
        </is>
      </c>
      <c r="D588" s="195" t="n">
        <v>34697.91</v>
      </c>
      <c r="E588" s="195" t="n">
        <v>35048.4</v>
      </c>
      <c r="F588" s="195" t="n">
        <v>36171.21</v>
      </c>
      <c r="G588" s="195" t="n">
        <v>35609.8</v>
      </c>
    </row>
    <row r="589">
      <c r="A589" s="196" t="inlineStr">
        <is>
          <t>2026-08-20 18:00:08</t>
        </is>
      </c>
      <c r="B589" s="196" t="inlineStr">
        <is>
          <t>HKD</t>
        </is>
      </c>
      <c r="C589" s="196" t="inlineStr">
        <is>
          <t>HONGKONG DOLLAR</t>
        </is>
      </c>
      <c r="D589" s="184" t="n">
        <v>3236.15</v>
      </c>
      <c r="E589" s="184" t="n">
        <v>3268.84</v>
      </c>
      <c r="F589" s="184" t="n">
        <v>3393.87</v>
      </c>
      <c r="G589" s="184" t="n">
        <v>3331.36</v>
      </c>
    </row>
    <row r="590">
      <c r="A590" s="194" t="inlineStr">
        <is>
          <t>2026-08-20 18:00:08</t>
        </is>
      </c>
      <c r="B590" s="194" t="inlineStr">
        <is>
          <t>INR</t>
        </is>
      </c>
      <c r="C590" s="194" t="inlineStr">
        <is>
          <t>INDIAN RUPEE</t>
        </is>
      </c>
      <c r="D590" s="195" t="n"/>
      <c r="E590" s="195" t="n">
        <v>271.38</v>
      </c>
      <c r="F590" s="195" t="n">
        <v>283.06</v>
      </c>
      <c r="G590" s="195" t="n">
        <v>277.22</v>
      </c>
    </row>
    <row r="591">
      <c r="A591" s="196" t="inlineStr">
        <is>
          <t>2026-08-20 18:00:08</t>
        </is>
      </c>
      <c r="B591" s="196" t="inlineStr">
        <is>
          <t>JPY</t>
        </is>
      </c>
      <c r="C591" s="196" t="inlineStr">
        <is>
          <t>YEN</t>
        </is>
      </c>
      <c r="D591" s="184" t="n">
        <v>159.04</v>
      </c>
      <c r="E591" s="184" t="n">
        <v>160.64</v>
      </c>
      <c r="F591" s="184" t="n">
        <v>170.01</v>
      </c>
      <c r="G591" s="184" t="n">
        <v>165.32</v>
      </c>
    </row>
    <row r="592">
      <c r="A592" s="194" t="inlineStr">
        <is>
          <t>2026-08-20 18:00:08</t>
        </is>
      </c>
      <c r="B592" s="194" t="inlineStr">
        <is>
          <t>KRW</t>
        </is>
      </c>
      <c r="C592" s="194" t="inlineStr">
        <is>
          <t>KOREAN WON</t>
        </is>
      </c>
      <c r="D592" s="195" t="n">
        <v>16.2</v>
      </c>
      <c r="E592" s="195" t="n">
        <v>18</v>
      </c>
      <c r="F592" s="195" t="n">
        <v>19.53</v>
      </c>
      <c r="G592" s="195" t="n">
        <v>18.76</v>
      </c>
    </row>
    <row r="593">
      <c r="A593" s="196" t="inlineStr">
        <is>
          <t>2026-08-20 18:00:08</t>
        </is>
      </c>
      <c r="B593" s="196" t="inlineStr">
        <is>
          <t>KWD</t>
        </is>
      </c>
      <c r="C593" s="196" t="inlineStr">
        <is>
          <t>KUWAITI DINAR</t>
        </is>
      </c>
      <c r="D593" s="184" t="n"/>
      <c r="E593" s="184" t="n">
        <v>84676.07000000001</v>
      </c>
      <c r="F593" s="184" t="n">
        <v>88781.11</v>
      </c>
      <c r="G593" s="184" t="n">
        <v>86728.59</v>
      </c>
    </row>
    <row r="594">
      <c r="A594" s="194" t="inlineStr">
        <is>
          <t>2026-08-20 18:00:08</t>
        </is>
      </c>
      <c r="B594" s="194" t="inlineStr">
        <is>
          <t>MYR</t>
        </is>
      </c>
      <c r="C594" s="194" t="inlineStr">
        <is>
          <t>MALAYSIAN RINGGIT</t>
        </is>
      </c>
      <c r="D594" s="195" t="n"/>
      <c r="E594" s="195" t="n">
        <v>6398.02</v>
      </c>
      <c r="F594" s="195" t="n">
        <v>6537.27</v>
      </c>
      <c r="G594" s="195" t="n">
        <v>6467.64</v>
      </c>
    </row>
    <row r="595">
      <c r="A595" s="196" t="inlineStr">
        <is>
          <t>2026-08-20 18:00:08</t>
        </is>
      </c>
      <c r="B595" s="196" t="inlineStr">
        <is>
          <t>NOK</t>
        </is>
      </c>
      <c r="C595" s="196" t="inlineStr">
        <is>
          <t>NORWEGIAN KRONER</t>
        </is>
      </c>
      <c r="D595" s="184" t="n"/>
      <c r="E595" s="184" t="n">
        <v>2750.48</v>
      </c>
      <c r="F595" s="184" t="n">
        <v>2867.13</v>
      </c>
      <c r="G595" s="184" t="n">
        <v>2808.8</v>
      </c>
    </row>
    <row r="596">
      <c r="A596" s="194" t="inlineStr">
        <is>
          <t>2026-08-20 18:00:08</t>
        </is>
      </c>
      <c r="B596" s="194" t="inlineStr">
        <is>
          <t>RUB</t>
        </is>
      </c>
      <c r="C596" s="194" t="inlineStr">
        <is>
          <t>RUSSIAN RUBLE</t>
        </is>
      </c>
      <c r="D596" s="195" t="n"/>
      <c r="E596" s="195" t="n">
        <v>296.45</v>
      </c>
      <c r="F596" s="195" t="n">
        <v>328.15</v>
      </c>
      <c r="G596" s="195" t="n">
        <v>312.3</v>
      </c>
    </row>
    <row r="597">
      <c r="A597" s="196" t="inlineStr">
        <is>
          <t>2026-08-20 18:00:08</t>
        </is>
      </c>
      <c r="B597" s="196" t="inlineStr">
        <is>
          <t>SAR</t>
        </is>
      </c>
      <c r="C597" s="196" t="inlineStr">
        <is>
          <t>SAUDI RIAL</t>
        </is>
      </c>
      <c r="D597" s="184" t="n"/>
      <c r="E597" s="184" t="n">
        <v>6916.89</v>
      </c>
      <c r="F597" s="184" t="n">
        <v>7214.64</v>
      </c>
      <c r="G597" s="184" t="n">
        <v>7065.76</v>
      </c>
    </row>
    <row r="598">
      <c r="A598" s="194" t="inlineStr">
        <is>
          <t>2026-08-20 18:00:08</t>
        </is>
      </c>
      <c r="B598" s="194" t="inlineStr">
        <is>
          <t>SEK</t>
        </is>
      </c>
      <c r="C598" s="194" t="inlineStr">
        <is>
          <t>SWEDISH KRONA</t>
        </is>
      </c>
      <c r="D598" s="195" t="n"/>
      <c r="E598" s="195" t="n">
        <v>2708.47</v>
      </c>
      <c r="F598" s="195" t="n">
        <v>2823.34</v>
      </c>
      <c r="G598" s="195" t="n">
        <v>2765.9</v>
      </c>
    </row>
    <row r="599">
      <c r="A599" s="196" t="inlineStr">
        <is>
          <t>2026-08-20 18:00:08</t>
        </is>
      </c>
      <c r="B599" s="196" t="inlineStr">
        <is>
          <t>SGD</t>
        </is>
      </c>
      <c r="C599" s="196" t="inlineStr">
        <is>
          <t>SINGAPORE DOLLAR</t>
        </is>
      </c>
      <c r="D599" s="184" t="n">
        <v>20007.94</v>
      </c>
      <c r="E599" s="184" t="n">
        <v>20210.04</v>
      </c>
      <c r="F599" s="184" t="n">
        <v>20899.25</v>
      </c>
      <c r="G599" s="184" t="n">
        <v>20554.64</v>
      </c>
    </row>
    <row r="600">
      <c r="A600" s="194" t="inlineStr">
        <is>
          <t>2026-08-20 18:00:08</t>
        </is>
      </c>
      <c r="B600" s="194" t="inlineStr">
        <is>
          <t>THB</t>
        </is>
      </c>
      <c r="C600" s="194" t="inlineStr">
        <is>
          <t>THAILAND BAHT</t>
        </is>
      </c>
      <c r="D600" s="195" t="n">
        <v>701.05</v>
      </c>
      <c r="E600" s="195" t="n">
        <v>778.9400000000001</v>
      </c>
      <c r="F600" s="195" t="n">
        <v>811.98</v>
      </c>
      <c r="G600" s="195" t="n">
        <v>795.46</v>
      </c>
    </row>
    <row r="601">
      <c r="A601" s="196" t="inlineStr">
        <is>
          <t>2026-08-20 18:00:08</t>
        </is>
      </c>
      <c r="B601" s="196" t="inlineStr">
        <is>
          <t>USD</t>
        </is>
      </c>
      <c r="C601" s="196" t="inlineStr">
        <is>
          <t>US DOLLAR</t>
        </is>
      </c>
      <c r="D601" s="184" t="n">
        <v>25900</v>
      </c>
      <c r="E601" s="184" t="n">
        <v>25930</v>
      </c>
      <c r="F601" s="184" t="n">
        <v>26310</v>
      </c>
      <c r="G601" s="184" t="n">
        <v>26120</v>
      </c>
    </row>
    <row r="602">
      <c r="A602" s="194" t="inlineStr">
        <is>
          <t>2026-08-19 18:00:08</t>
        </is>
      </c>
      <c r="B602" s="194" t="inlineStr">
        <is>
          <t>AUD</t>
        </is>
      </c>
      <c r="C602" s="194" t="inlineStr">
        <is>
          <t>AUSTRALIAN DOLLAR</t>
        </is>
      </c>
      <c r="D602" s="195" t="n">
        <v>18066.13</v>
      </c>
      <c r="E602" s="195" t="n">
        <v>18248.61</v>
      </c>
      <c r="F602" s="195" t="n">
        <v>18833.16</v>
      </c>
      <c r="G602" s="195" t="n">
        <v>18540.89</v>
      </c>
    </row>
    <row r="603">
      <c r="A603" s="196" t="inlineStr">
        <is>
          <t>2026-08-19 18:00:08</t>
        </is>
      </c>
      <c r="B603" s="196" t="inlineStr">
        <is>
          <t>CAD</t>
        </is>
      </c>
      <c r="C603" s="196" t="inlineStr">
        <is>
          <t>CANADIAN DOLLAR</t>
        </is>
      </c>
      <c r="D603" s="184" t="n">
        <v>18360.56</v>
      </c>
      <c r="E603" s="184" t="n">
        <v>18546.02</v>
      </c>
      <c r="F603" s="184" t="n">
        <v>19140.09</v>
      </c>
      <c r="G603" s="184" t="n">
        <v>18843.06</v>
      </c>
    </row>
    <row r="604">
      <c r="A604" s="194" t="inlineStr">
        <is>
          <t>2026-08-19 18:00:08</t>
        </is>
      </c>
      <c r="B604" s="194" t="inlineStr">
        <is>
          <t>CHF</t>
        </is>
      </c>
      <c r="C604" s="194" t="inlineStr">
        <is>
          <t>SWISS FRANC</t>
        </is>
      </c>
      <c r="D604" s="195" t="n">
        <v>31427.1</v>
      </c>
      <c r="E604" s="195" t="n">
        <v>31744.55</v>
      </c>
      <c r="F604" s="195" t="n">
        <v>32761.41</v>
      </c>
      <c r="G604" s="195" t="n">
        <v>32252.98</v>
      </c>
    </row>
    <row r="605">
      <c r="A605" s="196" t="inlineStr">
        <is>
          <t>2026-08-19 18:00:08</t>
        </is>
      </c>
      <c r="B605" s="196" t="inlineStr">
        <is>
          <t>CNY</t>
        </is>
      </c>
      <c r="C605" s="196" t="inlineStr">
        <is>
          <t>YUAN RENMINBI</t>
        </is>
      </c>
      <c r="D605" s="184" t="n">
        <v>3784.25</v>
      </c>
      <c r="E605" s="184" t="n">
        <v>3822.47</v>
      </c>
      <c r="F605" s="184" t="n">
        <v>3944.92</v>
      </c>
      <c r="G605" s="184" t="n">
        <v>3883.7</v>
      </c>
    </row>
    <row r="606">
      <c r="A606" s="194" t="inlineStr">
        <is>
          <t>2026-08-19 18:00:08</t>
        </is>
      </c>
      <c r="B606" s="194" t="inlineStr">
        <is>
          <t>DKK</t>
        </is>
      </c>
      <c r="C606" s="194" t="inlineStr">
        <is>
          <t>DANISH KRONE</t>
        </is>
      </c>
      <c r="D606" s="195" t="n"/>
      <c r="E606" s="195" t="n">
        <v>3979.66</v>
      </c>
      <c r="F606" s="195" t="n">
        <v>4131.86</v>
      </c>
      <c r="G606" s="195" t="n">
        <v>4055.76</v>
      </c>
    </row>
    <row r="607">
      <c r="A607" s="196" t="inlineStr">
        <is>
          <t>2026-08-19 18:00:08</t>
        </is>
      </c>
      <c r="B607" s="196" t="inlineStr">
        <is>
          <t>EUR</t>
        </is>
      </c>
      <c r="C607" s="196" t="inlineStr">
        <is>
          <t>EURO</t>
        </is>
      </c>
      <c r="D607" s="184" t="n">
        <v>29530.29</v>
      </c>
      <c r="E607" s="184" t="n">
        <v>29828.57</v>
      </c>
      <c r="F607" s="184" t="n">
        <v>31087.35</v>
      </c>
      <c r="G607" s="184" t="n">
        <v>30457.96</v>
      </c>
    </row>
    <row r="608">
      <c r="A608" s="194" t="inlineStr">
        <is>
          <t>2026-08-19 18:00:08</t>
        </is>
      </c>
      <c r="B608" s="194" t="inlineStr">
        <is>
          <t>GBP</t>
        </is>
      </c>
      <c r="C608" s="194" t="inlineStr">
        <is>
          <t>POUND STERLING</t>
        </is>
      </c>
      <c r="D608" s="195" t="n">
        <v>34525.13</v>
      </c>
      <c r="E608" s="195" t="n">
        <v>34873.87</v>
      </c>
      <c r="F608" s="195" t="n">
        <v>35990.97</v>
      </c>
      <c r="G608" s="195" t="n">
        <v>35432.42</v>
      </c>
    </row>
    <row r="609">
      <c r="A609" s="196" t="inlineStr">
        <is>
          <t>2026-08-19 18:00:08</t>
        </is>
      </c>
      <c r="B609" s="196" t="inlineStr">
        <is>
          <t>HKD</t>
        </is>
      </c>
      <c r="C609" s="196" t="inlineStr">
        <is>
          <t>HONGKONG DOLLAR</t>
        </is>
      </c>
      <c r="D609" s="184" t="n">
        <v>3243.34</v>
      </c>
      <c r="E609" s="184" t="n">
        <v>3276.11</v>
      </c>
      <c r="F609" s="184" t="n">
        <v>3401.4</v>
      </c>
      <c r="G609" s="184" t="n">
        <v>3338.76</v>
      </c>
    </row>
    <row r="610">
      <c r="A610" s="194" t="inlineStr">
        <is>
          <t>2026-08-19 18:00:08</t>
        </is>
      </c>
      <c r="B610" s="194" t="inlineStr">
        <is>
          <t>INR</t>
        </is>
      </c>
      <c r="C610" s="194" t="inlineStr">
        <is>
          <t>INDIAN RUPEE</t>
        </is>
      </c>
      <c r="D610" s="195" t="n"/>
      <c r="E610" s="195" t="n">
        <v>272.05</v>
      </c>
      <c r="F610" s="195" t="n">
        <v>283.76</v>
      </c>
      <c r="G610" s="195" t="n">
        <v>277.9</v>
      </c>
    </row>
    <row r="611">
      <c r="A611" s="196" t="inlineStr">
        <is>
          <t>2026-08-19 18:00:08</t>
        </is>
      </c>
      <c r="B611" s="196" t="inlineStr">
        <is>
          <t>JPY</t>
        </is>
      </c>
      <c r="C611" s="196" t="inlineStr">
        <is>
          <t>YEN</t>
        </is>
      </c>
      <c r="D611" s="184" t="n">
        <v>158.45</v>
      </c>
      <c r="E611" s="184" t="n">
        <v>160.05</v>
      </c>
      <c r="F611" s="184" t="n">
        <v>169.39</v>
      </c>
      <c r="G611" s="184" t="n">
        <v>164.72</v>
      </c>
    </row>
    <row r="612">
      <c r="A612" s="194" t="inlineStr">
        <is>
          <t>2026-08-19 18:00:08</t>
        </is>
      </c>
      <c r="B612" s="194" t="inlineStr">
        <is>
          <t>KRW</t>
        </is>
      </c>
      <c r="C612" s="194" t="inlineStr">
        <is>
          <t>KOREAN WON</t>
        </is>
      </c>
      <c r="D612" s="195" t="n">
        <v>16.07</v>
      </c>
      <c r="E612" s="195" t="n">
        <v>17.86</v>
      </c>
      <c r="F612" s="195" t="n">
        <v>19.38</v>
      </c>
      <c r="G612" s="195" t="n">
        <v>18.62</v>
      </c>
    </row>
    <row r="613">
      <c r="A613" s="196" t="inlineStr">
        <is>
          <t>2026-08-19 18:00:08</t>
        </is>
      </c>
      <c r="B613" s="196" t="inlineStr">
        <is>
          <t>KWD</t>
        </is>
      </c>
      <c r="C613" s="196" t="inlineStr">
        <is>
          <t>KUWAITI DINAR</t>
        </is>
      </c>
      <c r="D613" s="184" t="n"/>
      <c r="E613" s="184" t="n">
        <v>84760.17999999999</v>
      </c>
      <c r="F613" s="184" t="n">
        <v>88868.99000000001</v>
      </c>
      <c r="G613" s="184" t="n">
        <v>86814.58</v>
      </c>
    </row>
    <row r="614">
      <c r="A614" s="194" t="inlineStr">
        <is>
          <t>2026-08-19 18:00:08</t>
        </is>
      </c>
      <c r="B614" s="194" t="inlineStr">
        <is>
          <t>MYR</t>
        </is>
      </c>
      <c r="C614" s="194" t="inlineStr">
        <is>
          <t>MALAYSIAN RINGGIT</t>
        </is>
      </c>
      <c r="D614" s="195" t="n"/>
      <c r="E614" s="195" t="n">
        <v>6382.7</v>
      </c>
      <c r="F614" s="195" t="n">
        <v>6521.6</v>
      </c>
      <c r="G614" s="195" t="n">
        <v>6452.15</v>
      </c>
    </row>
    <row r="615">
      <c r="A615" s="196" t="inlineStr">
        <is>
          <t>2026-08-19 18:00:08</t>
        </is>
      </c>
      <c r="B615" s="196" t="inlineStr">
        <is>
          <t>NOK</t>
        </is>
      </c>
      <c r="C615" s="196" t="inlineStr">
        <is>
          <t>NORWEGIAN KRONER</t>
        </is>
      </c>
      <c r="D615" s="184" t="n"/>
      <c r="E615" s="184" t="n">
        <v>2726.21</v>
      </c>
      <c r="F615" s="184" t="n">
        <v>2841.82</v>
      </c>
      <c r="G615" s="184" t="n">
        <v>2784.02</v>
      </c>
    </row>
    <row r="616">
      <c r="A616" s="194" t="inlineStr">
        <is>
          <t>2026-08-19 18:00:08</t>
        </is>
      </c>
      <c r="B616" s="194" t="inlineStr">
        <is>
          <t>RUB</t>
        </is>
      </c>
      <c r="C616" s="194" t="inlineStr">
        <is>
          <t>RUSSIAN RUBLE</t>
        </is>
      </c>
      <c r="D616" s="195" t="n"/>
      <c r="E616" s="195" t="n">
        <v>293.11</v>
      </c>
      <c r="F616" s="195" t="n">
        <v>324.46</v>
      </c>
      <c r="G616" s="195" t="n">
        <v>308.78</v>
      </c>
    </row>
    <row r="617">
      <c r="A617" s="196" t="inlineStr">
        <is>
          <t>2026-08-19 18:00:08</t>
        </is>
      </c>
      <c r="B617" s="196" t="inlineStr">
        <is>
          <t>SAR</t>
        </is>
      </c>
      <c r="C617" s="196" t="inlineStr">
        <is>
          <t>SAUDI RIAL</t>
        </is>
      </c>
      <c r="D617" s="184" t="n"/>
      <c r="E617" s="184" t="n">
        <v>6935.19</v>
      </c>
      <c r="F617" s="184" t="n">
        <v>7233.7</v>
      </c>
      <c r="G617" s="184" t="n">
        <v>7084.44</v>
      </c>
    </row>
    <row r="618">
      <c r="A618" s="194" t="inlineStr">
        <is>
          <t>2026-08-19 18:00:08</t>
        </is>
      </c>
      <c r="B618" s="194" t="inlineStr">
        <is>
          <t>SEK</t>
        </is>
      </c>
      <c r="C618" s="194" t="inlineStr">
        <is>
          <t>SWEDISH KRONA</t>
        </is>
      </c>
      <c r="D618" s="195" t="n"/>
      <c r="E618" s="195" t="n">
        <v>2690.29</v>
      </c>
      <c r="F618" s="195" t="n">
        <v>2804.38</v>
      </c>
      <c r="G618" s="195" t="n">
        <v>2747.34</v>
      </c>
    </row>
    <row r="619">
      <c r="A619" s="196" t="inlineStr">
        <is>
          <t>2026-08-19 18:00:08</t>
        </is>
      </c>
      <c r="B619" s="196" t="inlineStr">
        <is>
          <t>SGD</t>
        </is>
      </c>
      <c r="C619" s="196" t="inlineStr">
        <is>
          <t>SINGAPORE DOLLAR</t>
        </is>
      </c>
      <c r="D619" s="184" t="n">
        <v>19942.54</v>
      </c>
      <c r="E619" s="184" t="n">
        <v>20143.98</v>
      </c>
      <c r="F619" s="184" t="n">
        <v>20830.87</v>
      </c>
      <c r="G619" s="184" t="n">
        <v>20487.42</v>
      </c>
    </row>
    <row r="620">
      <c r="A620" s="194" t="inlineStr">
        <is>
          <t>2026-08-19 18:00:08</t>
        </is>
      </c>
      <c r="B620" s="194" t="inlineStr">
        <is>
          <t>THB</t>
        </is>
      </c>
      <c r="C620" s="194" t="inlineStr">
        <is>
          <t>THAILAND BAHT</t>
        </is>
      </c>
      <c r="D620" s="195" t="n">
        <v>697.14</v>
      </c>
      <c r="E620" s="195" t="n">
        <v>774.6</v>
      </c>
      <c r="F620" s="195" t="n">
        <v>807.45</v>
      </c>
      <c r="G620" s="195" t="n">
        <v>791.03</v>
      </c>
    </row>
    <row r="621">
      <c r="A621" s="196" t="inlineStr">
        <is>
          <t>2026-08-19 18:00:08</t>
        </is>
      </c>
      <c r="B621" s="196" t="inlineStr">
        <is>
          <t>USD</t>
        </is>
      </c>
      <c r="C621" s="196" t="inlineStr">
        <is>
          <t>US DOLLAR</t>
        </is>
      </c>
      <c r="D621" s="184" t="n">
        <v>25960</v>
      </c>
      <c r="E621" s="184" t="n">
        <v>25990</v>
      </c>
      <c r="F621" s="184" t="n">
        <v>26370</v>
      </c>
      <c r="G621" s="184" t="n">
        <v>26180</v>
      </c>
    </row>
    <row r="622">
      <c r="A622" s="194" t="inlineStr">
        <is>
          <t>2026-08-18 18:00:09</t>
        </is>
      </c>
      <c r="B622" s="194" t="inlineStr">
        <is>
          <t>AUD</t>
        </is>
      </c>
      <c r="C622" s="194" t="inlineStr">
        <is>
          <t>AUSTRALIAN DOLLAR</t>
        </is>
      </c>
      <c r="D622" s="195" t="n">
        <v>18141.94</v>
      </c>
      <c r="E622" s="195" t="n">
        <v>18325.19</v>
      </c>
      <c r="F622" s="195" t="n">
        <v>18912.18</v>
      </c>
      <c r="G622" s="195" t="n">
        <v>18618.68</v>
      </c>
    </row>
    <row r="623">
      <c r="A623" s="196" t="inlineStr">
        <is>
          <t>2026-08-18 18:00:09</t>
        </is>
      </c>
      <c r="B623" s="196" t="inlineStr">
        <is>
          <t>CAD</t>
        </is>
      </c>
      <c r="C623" s="196" t="inlineStr">
        <is>
          <t>CANADIAN DOLLAR</t>
        </is>
      </c>
      <c r="D623" s="184" t="n">
        <v>18408.64</v>
      </c>
      <c r="E623" s="184" t="n">
        <v>18594.58</v>
      </c>
      <c r="F623" s="184" t="n">
        <v>19190.2</v>
      </c>
      <c r="G623" s="184" t="n">
        <v>18892.39</v>
      </c>
    </row>
    <row r="624">
      <c r="A624" s="194" t="inlineStr">
        <is>
          <t>2026-08-18 18:00:09</t>
        </is>
      </c>
      <c r="B624" s="194" t="inlineStr">
        <is>
          <t>CHF</t>
        </is>
      </c>
      <c r="C624" s="194" t="inlineStr">
        <is>
          <t>SWISS FRANC</t>
        </is>
      </c>
      <c r="D624" s="195" t="n">
        <v>31477.89</v>
      </c>
      <c r="E624" s="195" t="n">
        <v>31795.85</v>
      </c>
      <c r="F624" s="195" t="n">
        <v>32814.33</v>
      </c>
      <c r="G624" s="195" t="n">
        <v>32305.09</v>
      </c>
    </row>
    <row r="625">
      <c r="A625" s="196" t="inlineStr">
        <is>
          <t>2026-08-18 18:00:09</t>
        </is>
      </c>
      <c r="B625" s="196" t="inlineStr">
        <is>
          <t>CNY</t>
        </is>
      </c>
      <c r="C625" s="196" t="inlineStr">
        <is>
          <t>YUAN RENMINBI</t>
        </is>
      </c>
      <c r="D625" s="184" t="n">
        <v>3785.36</v>
      </c>
      <c r="E625" s="184" t="n">
        <v>3823.59</v>
      </c>
      <c r="F625" s="184" t="n">
        <v>3946.07</v>
      </c>
      <c r="G625" s="184" t="n">
        <v>3884.83</v>
      </c>
    </row>
    <row r="626">
      <c r="A626" s="194" t="inlineStr">
        <is>
          <t>2026-08-18 18:00:09</t>
        </is>
      </c>
      <c r="B626" s="194" t="inlineStr">
        <is>
          <t>DKK</t>
        </is>
      </c>
      <c r="C626" s="194" t="inlineStr">
        <is>
          <t>DANISH KRONE</t>
        </is>
      </c>
      <c r="D626" s="195" t="n"/>
      <c r="E626" s="195" t="n">
        <v>3981.67</v>
      </c>
      <c r="F626" s="195" t="n">
        <v>4133.95</v>
      </c>
      <c r="G626" s="195" t="n">
        <v>4057.81</v>
      </c>
    </row>
    <row r="627">
      <c r="A627" s="196" t="inlineStr">
        <is>
          <t>2026-08-18 18:00:09</t>
        </is>
      </c>
      <c r="B627" s="196" t="inlineStr">
        <is>
          <t>EUR</t>
        </is>
      </c>
      <c r="C627" s="196" t="inlineStr">
        <is>
          <t>EURO</t>
        </is>
      </c>
      <c r="D627" s="184" t="n">
        <v>29544.13</v>
      </c>
      <c r="E627" s="184" t="n">
        <v>29842.55</v>
      </c>
      <c r="F627" s="184" t="n">
        <v>31101.9</v>
      </c>
      <c r="G627" s="184" t="n">
        <v>30472.22</v>
      </c>
    </row>
    <row r="628">
      <c r="A628" s="194" t="inlineStr">
        <is>
          <t>2026-08-18 18:00:09</t>
        </is>
      </c>
      <c r="B628" s="194" t="inlineStr">
        <is>
          <t>GBP</t>
        </is>
      </c>
      <c r="C628" s="194" t="inlineStr">
        <is>
          <t>POUND STERLING</t>
        </is>
      </c>
      <c r="D628" s="195" t="n">
        <v>34556.19</v>
      </c>
      <c r="E628" s="195" t="n">
        <v>34905.25</v>
      </c>
      <c r="F628" s="195" t="n">
        <v>36023.33</v>
      </c>
      <c r="G628" s="195" t="n">
        <v>35464.29</v>
      </c>
    </row>
    <row r="629">
      <c r="A629" s="196" t="inlineStr">
        <is>
          <t>2026-08-18 18:00:09</t>
        </is>
      </c>
      <c r="B629" s="196" t="inlineStr">
        <is>
          <t>HKD</t>
        </is>
      </c>
      <c r="C629" s="196" t="inlineStr">
        <is>
          <t>HONGKONG DOLLAR</t>
        </is>
      </c>
      <c r="D629" s="184" t="n">
        <v>3244.42</v>
      </c>
      <c r="E629" s="184" t="n">
        <v>3277.19</v>
      </c>
      <c r="F629" s="184" t="n">
        <v>3402.53</v>
      </c>
      <c r="G629" s="184" t="n">
        <v>3339.86</v>
      </c>
    </row>
    <row r="630">
      <c r="A630" s="194" t="inlineStr">
        <is>
          <t>2026-08-18 18:00:09</t>
        </is>
      </c>
      <c r="B630" s="194" t="inlineStr">
        <is>
          <t>INR</t>
        </is>
      </c>
      <c r="C630" s="194" t="inlineStr">
        <is>
          <t>INDIAN RUPEE</t>
        </is>
      </c>
      <c r="D630" s="195" t="n"/>
      <c r="E630" s="195" t="n">
        <v>272.38</v>
      </c>
      <c r="F630" s="195" t="n">
        <v>284.11</v>
      </c>
      <c r="G630" s="195" t="n">
        <v>278.24</v>
      </c>
    </row>
    <row r="631">
      <c r="A631" s="196" t="inlineStr">
        <is>
          <t>2026-08-18 18:00:09</t>
        </is>
      </c>
      <c r="B631" s="196" t="inlineStr">
        <is>
          <t>JPY</t>
        </is>
      </c>
      <c r="C631" s="196" t="inlineStr">
        <is>
          <t>YEN</t>
        </is>
      </c>
      <c r="D631" s="184" t="n">
        <v>158.5</v>
      </c>
      <c r="E631" s="184" t="n">
        <v>160.1</v>
      </c>
      <c r="F631" s="184" t="n">
        <v>169.44</v>
      </c>
      <c r="G631" s="184" t="n">
        <v>164.77</v>
      </c>
    </row>
    <row r="632">
      <c r="A632" s="194" t="inlineStr">
        <is>
          <t>2026-08-18 18:00:09</t>
        </is>
      </c>
      <c r="B632" s="194" t="inlineStr">
        <is>
          <t>KRW</t>
        </is>
      </c>
      <c r="C632" s="194" t="inlineStr">
        <is>
          <t>KOREAN WON</t>
        </is>
      </c>
      <c r="D632" s="195" t="n">
        <v>16.08</v>
      </c>
      <c r="E632" s="195" t="n">
        <v>17.87</v>
      </c>
      <c r="F632" s="195" t="n">
        <v>19.39</v>
      </c>
      <c r="G632" s="195" t="n">
        <v>18.63</v>
      </c>
    </row>
    <row r="633">
      <c r="A633" s="196" t="inlineStr">
        <is>
          <t>2026-08-18 18:00:09</t>
        </is>
      </c>
      <c r="B633" s="196" t="inlineStr">
        <is>
          <t>KWD</t>
        </is>
      </c>
      <c r="C633" s="196" t="inlineStr">
        <is>
          <t>KUWAITI DINAR</t>
        </is>
      </c>
      <c r="D633" s="184" t="n"/>
      <c r="E633" s="184" t="n">
        <v>84820.2</v>
      </c>
      <c r="F633" s="184" t="n">
        <v>88931.87</v>
      </c>
      <c r="G633" s="184" t="n">
        <v>86876.03999999999</v>
      </c>
    </row>
    <row r="634">
      <c r="A634" s="194" t="inlineStr">
        <is>
          <t>2026-08-18 18:00:09</t>
        </is>
      </c>
      <c r="B634" s="194" t="inlineStr">
        <is>
          <t>MYR</t>
        </is>
      </c>
      <c r="C634" s="194" t="inlineStr">
        <is>
          <t>MALAYSIAN RINGGIT</t>
        </is>
      </c>
      <c r="D634" s="195" t="n"/>
      <c r="E634" s="195" t="n">
        <v>6397.75</v>
      </c>
      <c r="F634" s="195" t="n">
        <v>6536.97</v>
      </c>
      <c r="G634" s="195" t="n">
        <v>6467.36</v>
      </c>
    </row>
    <row r="635">
      <c r="A635" s="196" t="inlineStr">
        <is>
          <t>2026-08-18 18:00:09</t>
        </is>
      </c>
      <c r="B635" s="196" t="inlineStr">
        <is>
          <t>NOK</t>
        </is>
      </c>
      <c r="C635" s="196" t="inlineStr">
        <is>
          <t>NORWEGIAN KRONER</t>
        </is>
      </c>
      <c r="D635" s="184" t="n"/>
      <c r="E635" s="184" t="n">
        <v>2725.31</v>
      </c>
      <c r="F635" s="184" t="n">
        <v>2840.88</v>
      </c>
      <c r="G635" s="184" t="n">
        <v>2783.1</v>
      </c>
    </row>
    <row r="636">
      <c r="A636" s="194" t="inlineStr">
        <is>
          <t>2026-08-18 18:00:09</t>
        </is>
      </c>
      <c r="B636" s="194" t="inlineStr">
        <is>
          <t>RUB</t>
        </is>
      </c>
      <c r="C636" s="194" t="inlineStr">
        <is>
          <t>RUSSIAN RUBLE</t>
        </is>
      </c>
      <c r="D636" s="195" t="n"/>
      <c r="E636" s="195" t="n">
        <v>293.24</v>
      </c>
      <c r="F636" s="195" t="n">
        <v>324.6</v>
      </c>
      <c r="G636" s="195" t="n">
        <v>308.92</v>
      </c>
    </row>
    <row r="637">
      <c r="A637" s="196" t="inlineStr">
        <is>
          <t>2026-08-18 18:00:09</t>
        </is>
      </c>
      <c r="B637" s="196" t="inlineStr">
        <is>
          <t>SAR</t>
        </is>
      </c>
      <c r="C637" s="196" t="inlineStr">
        <is>
          <t>SAUDI RIAL</t>
        </is>
      </c>
      <c r="D637" s="184" t="n"/>
      <c r="E637" s="184" t="n">
        <v>6935.81</v>
      </c>
      <c r="F637" s="184" t="n">
        <v>7234.34</v>
      </c>
      <c r="G637" s="184" t="n">
        <v>7085.08</v>
      </c>
    </row>
    <row r="638">
      <c r="A638" s="194" t="inlineStr">
        <is>
          <t>2026-08-18 18:00:09</t>
        </is>
      </c>
      <c r="B638" s="194" t="inlineStr">
        <is>
          <t>SEK</t>
        </is>
      </c>
      <c r="C638" s="194" t="inlineStr">
        <is>
          <t>SWEDISH KRONA</t>
        </is>
      </c>
      <c r="D638" s="195" t="n"/>
      <c r="E638" s="195" t="n">
        <v>2696.66</v>
      </c>
      <c r="F638" s="195" t="n">
        <v>2811.02</v>
      </c>
      <c r="G638" s="195" t="n">
        <v>2753.84</v>
      </c>
    </row>
    <row r="639">
      <c r="A639" s="196" t="inlineStr">
        <is>
          <t>2026-08-18 18:00:09</t>
        </is>
      </c>
      <c r="B639" s="196" t="inlineStr">
        <is>
          <t>SGD</t>
        </is>
      </c>
      <c r="C639" s="196" t="inlineStr">
        <is>
          <t>SINGAPORE DOLLAR</t>
        </is>
      </c>
      <c r="D639" s="184" t="n">
        <v>19964.22</v>
      </c>
      <c r="E639" s="184" t="n">
        <v>20165.88</v>
      </c>
      <c r="F639" s="184" t="n">
        <v>20853.5</v>
      </c>
      <c r="G639" s="184" t="n">
        <v>20509.69</v>
      </c>
    </row>
    <row r="640">
      <c r="A640" s="194" t="inlineStr">
        <is>
          <t>2026-08-18 18:00:09</t>
        </is>
      </c>
      <c r="B640" s="194" t="inlineStr">
        <is>
          <t>THB</t>
        </is>
      </c>
      <c r="C640" s="194" t="inlineStr">
        <is>
          <t>THAILAND BAHT</t>
        </is>
      </c>
      <c r="D640" s="195" t="n">
        <v>699.73</v>
      </c>
      <c r="E640" s="195" t="n">
        <v>777.48</v>
      </c>
      <c r="F640" s="195" t="n">
        <v>810.45</v>
      </c>
      <c r="G640" s="195" t="n">
        <v>793.96</v>
      </c>
    </row>
    <row r="641">
      <c r="A641" s="196" t="inlineStr">
        <is>
          <t>2026-08-18 18:00:09</t>
        </is>
      </c>
      <c r="B641" s="196" t="inlineStr">
        <is>
          <t>USD</t>
        </is>
      </c>
      <c r="C641" s="196" t="inlineStr">
        <is>
          <t>US DOLLAR</t>
        </is>
      </c>
      <c r="D641" s="184" t="n">
        <v>25970</v>
      </c>
      <c r="E641" s="184" t="n">
        <v>26000</v>
      </c>
      <c r="F641" s="184" t="n">
        <v>26380</v>
      </c>
      <c r="G641" s="184" t="n">
        <v>26190</v>
      </c>
    </row>
    <row r="642">
      <c r="A642" s="194" t="inlineStr">
        <is>
          <t>2026-08-17 18:00:10</t>
        </is>
      </c>
      <c r="B642" s="194" t="inlineStr">
        <is>
          <t>AUD</t>
        </is>
      </c>
      <c r="C642" s="194" t="inlineStr">
        <is>
          <t>AUSTRALIAN DOLLAR</t>
        </is>
      </c>
      <c r="D642" s="195" t="n">
        <v>18112.39</v>
      </c>
      <c r="E642" s="195" t="n">
        <v>18295.34</v>
      </c>
      <c r="F642" s="195" t="n">
        <v>18881.35</v>
      </c>
      <c r="G642" s="195" t="n">
        <v>18588.34</v>
      </c>
    </row>
    <row r="643">
      <c r="A643" s="196" t="inlineStr">
        <is>
          <t>2026-08-17 18:00:10</t>
        </is>
      </c>
      <c r="B643" s="196" t="inlineStr">
        <is>
          <t>CAD</t>
        </is>
      </c>
      <c r="C643" s="196" t="inlineStr">
        <is>
          <t>CANADIAN DOLLAR</t>
        </is>
      </c>
      <c r="D643" s="184" t="n">
        <v>18424.04</v>
      </c>
      <c r="E643" s="184" t="n">
        <v>18610.14</v>
      </c>
      <c r="F643" s="184" t="n">
        <v>19206.23</v>
      </c>
      <c r="G643" s="184" t="n">
        <v>18908.18</v>
      </c>
    </row>
    <row r="644">
      <c r="A644" s="194" t="inlineStr">
        <is>
          <t>2026-08-17 18:00:10</t>
        </is>
      </c>
      <c r="B644" s="194" t="inlineStr">
        <is>
          <t>CHF</t>
        </is>
      </c>
      <c r="C644" s="194" t="inlineStr">
        <is>
          <t>SWISS FRANC</t>
        </is>
      </c>
      <c r="D644" s="195" t="n">
        <v>31478.65</v>
      </c>
      <c r="E644" s="195" t="n">
        <v>31796.62</v>
      </c>
      <c r="F644" s="195" t="n">
        <v>32815.09</v>
      </c>
      <c r="G644" s="195" t="n">
        <v>32305.85</v>
      </c>
    </row>
    <row r="645">
      <c r="A645" s="196" t="inlineStr">
        <is>
          <t>2026-08-17 18:00:10</t>
        </is>
      </c>
      <c r="B645" s="196" t="inlineStr">
        <is>
          <t>CNY</t>
        </is>
      </c>
      <c r="C645" s="196" t="inlineStr">
        <is>
          <t>YUAN RENMINBI</t>
        </is>
      </c>
      <c r="D645" s="184" t="n">
        <v>3789.21</v>
      </c>
      <c r="E645" s="184" t="n">
        <v>3827.48</v>
      </c>
      <c r="F645" s="184" t="n">
        <v>3950.08</v>
      </c>
      <c r="G645" s="184" t="n">
        <v>3888.78</v>
      </c>
    </row>
    <row r="646">
      <c r="A646" s="194" t="inlineStr">
        <is>
          <t>2026-08-17 18:00:10</t>
        </is>
      </c>
      <c r="B646" s="194" t="inlineStr">
        <is>
          <t>DKK</t>
        </is>
      </c>
      <c r="C646" s="194" t="inlineStr">
        <is>
          <t>DANISH KRONE</t>
        </is>
      </c>
      <c r="D646" s="195" t="n"/>
      <c r="E646" s="195" t="n">
        <v>3985.7</v>
      </c>
      <c r="F646" s="195" t="n">
        <v>4138.13</v>
      </c>
      <c r="G646" s="195" t="n">
        <v>4061.92</v>
      </c>
    </row>
    <row r="647">
      <c r="A647" s="196" t="inlineStr">
        <is>
          <t>2026-08-17 18:00:10</t>
        </is>
      </c>
      <c r="B647" s="196" t="inlineStr">
        <is>
          <t>EUR</t>
        </is>
      </c>
      <c r="C647" s="196" t="inlineStr">
        <is>
          <t>EURO</t>
        </is>
      </c>
      <c r="D647" s="184" t="n">
        <v>29571.81</v>
      </c>
      <c r="E647" s="184" t="n">
        <v>29870.52</v>
      </c>
      <c r="F647" s="184" t="n">
        <v>31131.01</v>
      </c>
      <c r="G647" s="184" t="n">
        <v>30500.76</v>
      </c>
    </row>
    <row r="648">
      <c r="A648" s="194" t="inlineStr">
        <is>
          <t>2026-08-17 18:00:10</t>
        </is>
      </c>
      <c r="B648" s="194" t="inlineStr">
        <is>
          <t>GBP</t>
        </is>
      </c>
      <c r="C648" s="194" t="inlineStr">
        <is>
          <t>POUND STERLING</t>
        </is>
      </c>
      <c r="D648" s="195" t="n">
        <v>34595.37</v>
      </c>
      <c r="E648" s="195" t="n">
        <v>34944.82</v>
      </c>
      <c r="F648" s="195" t="n">
        <v>36064.13</v>
      </c>
      <c r="G648" s="195" t="n">
        <v>35504.48</v>
      </c>
    </row>
    <row r="649">
      <c r="A649" s="196" t="inlineStr">
        <is>
          <t>2026-08-17 18:00:10</t>
        </is>
      </c>
      <c r="B649" s="196" t="inlineStr">
        <is>
          <t>HKD</t>
        </is>
      </c>
      <c r="C649" s="196" t="inlineStr">
        <is>
          <t>HONGKONG DOLLAR</t>
        </is>
      </c>
      <c r="D649" s="184" t="n">
        <v>3245.99</v>
      </c>
      <c r="E649" s="184" t="n">
        <v>3278.78</v>
      </c>
      <c r="F649" s="184" t="n">
        <v>3404.17</v>
      </c>
      <c r="G649" s="184" t="n">
        <v>3341.48</v>
      </c>
    </row>
    <row r="650">
      <c r="A650" s="194" t="inlineStr">
        <is>
          <t>2026-08-17 18:00:10</t>
        </is>
      </c>
      <c r="B650" s="194" t="inlineStr">
        <is>
          <t>INR</t>
        </is>
      </c>
      <c r="C650" s="194" t="inlineStr">
        <is>
          <t>INDIAN RUPEE</t>
        </is>
      </c>
      <c r="D650" s="195" t="n"/>
      <c r="E650" s="195" t="n">
        <v>273.05</v>
      </c>
      <c r="F650" s="195" t="n">
        <v>284.8</v>
      </c>
      <c r="G650" s="195" t="n">
        <v>278.92</v>
      </c>
    </row>
    <row r="651">
      <c r="A651" s="196" t="inlineStr">
        <is>
          <t>2026-08-17 18:00:10</t>
        </is>
      </c>
      <c r="B651" s="196" t="inlineStr">
        <is>
          <t>JPY</t>
        </is>
      </c>
      <c r="C651" s="196" t="inlineStr">
        <is>
          <t>YEN</t>
        </is>
      </c>
      <c r="D651" s="184" t="n">
        <v>159.03</v>
      </c>
      <c r="E651" s="184" t="n">
        <v>160.64</v>
      </c>
      <c r="F651" s="184" t="n">
        <v>170.01</v>
      </c>
      <c r="G651" s="184" t="n">
        <v>165.32</v>
      </c>
    </row>
    <row r="652">
      <c r="A652" s="194" t="inlineStr">
        <is>
          <t>2026-08-17 18:00:10</t>
        </is>
      </c>
      <c r="B652" s="194" t="inlineStr">
        <is>
          <t>KRW</t>
        </is>
      </c>
      <c r="C652" s="194" t="inlineStr">
        <is>
          <t>KOREAN WON</t>
        </is>
      </c>
      <c r="D652" s="195" t="n">
        <v>16.02</v>
      </c>
      <c r="E652" s="195" t="n">
        <v>17.8</v>
      </c>
      <c r="F652" s="195" t="n">
        <v>19.31</v>
      </c>
      <c r="G652" s="195" t="n">
        <v>18.56</v>
      </c>
    </row>
    <row r="653">
      <c r="A653" s="196" t="inlineStr">
        <is>
          <t>2026-08-17 18:00:10</t>
        </is>
      </c>
      <c r="B653" s="196" t="inlineStr">
        <is>
          <t>KWD</t>
        </is>
      </c>
      <c r="C653" s="196" t="inlineStr">
        <is>
          <t>KUWAITI DINAR</t>
        </is>
      </c>
      <c r="D653" s="184" t="n"/>
      <c r="E653" s="184" t="n">
        <v>84857.38</v>
      </c>
      <c r="F653" s="184" t="n">
        <v>88970.75</v>
      </c>
      <c r="G653" s="184" t="n">
        <v>86914.06</v>
      </c>
    </row>
    <row r="654">
      <c r="A654" s="194" t="inlineStr">
        <is>
          <t>2026-08-17 18:00:10</t>
        </is>
      </c>
      <c r="B654" s="194" t="inlineStr">
        <is>
          <t>MYR</t>
        </is>
      </c>
      <c r="C654" s="194" t="inlineStr">
        <is>
          <t>MALAYSIAN RINGGIT</t>
        </is>
      </c>
      <c r="D654" s="195" t="n"/>
      <c r="E654" s="195" t="n">
        <v>6360.24</v>
      </c>
      <c r="F654" s="195" t="n">
        <v>6498.64</v>
      </c>
      <c r="G654" s="195" t="n">
        <v>6429.44</v>
      </c>
    </row>
    <row r="655">
      <c r="A655" s="196" t="inlineStr">
        <is>
          <t>2026-08-17 18:00:10</t>
        </is>
      </c>
      <c r="B655" s="196" t="inlineStr">
        <is>
          <t>NOK</t>
        </is>
      </c>
      <c r="C655" s="196" t="inlineStr">
        <is>
          <t>NORWEGIAN KRONER</t>
        </is>
      </c>
      <c r="D655" s="184" t="n"/>
      <c r="E655" s="184" t="n">
        <v>2723.92</v>
      </c>
      <c r="F655" s="184" t="n">
        <v>2839.43</v>
      </c>
      <c r="G655" s="184" t="n">
        <v>2781.68</v>
      </c>
    </row>
    <row r="656">
      <c r="A656" s="194" t="inlineStr">
        <is>
          <t>2026-08-17 18:00:10</t>
        </is>
      </c>
      <c r="B656" s="194" t="inlineStr">
        <is>
          <t>RUB</t>
        </is>
      </c>
      <c r="C656" s="194" t="inlineStr">
        <is>
          <t>RUSSIAN RUBLE</t>
        </is>
      </c>
      <c r="D656" s="195" t="n"/>
      <c r="E656" s="195" t="n">
        <v>296.07</v>
      </c>
      <c r="F656" s="195" t="n">
        <v>327.74</v>
      </c>
      <c r="G656" s="195" t="n">
        <v>311.9</v>
      </c>
    </row>
    <row r="657">
      <c r="A657" s="196" t="inlineStr">
        <is>
          <t>2026-08-17 18:00:10</t>
        </is>
      </c>
      <c r="B657" s="196" t="inlineStr">
        <is>
          <t>SAR</t>
        </is>
      </c>
      <c r="C657" s="196" t="inlineStr">
        <is>
          <t>SAUDI RIAL</t>
        </is>
      </c>
      <c r="D657" s="184" t="n"/>
      <c r="E657" s="184" t="n">
        <v>6941.85</v>
      </c>
      <c r="F657" s="184" t="n">
        <v>7240.64</v>
      </c>
      <c r="G657" s="184" t="n">
        <v>7091.25</v>
      </c>
    </row>
    <row r="658">
      <c r="A658" s="194" t="inlineStr">
        <is>
          <t>2026-08-17 18:00:10</t>
        </is>
      </c>
      <c r="B658" s="194" t="inlineStr">
        <is>
          <t>SEK</t>
        </is>
      </c>
      <c r="C658" s="194" t="inlineStr">
        <is>
          <t>SWEDISH KRONA</t>
        </is>
      </c>
      <c r="D658" s="195" t="n"/>
      <c r="E658" s="195" t="n">
        <v>2700.46</v>
      </c>
      <c r="F658" s="195" t="n">
        <v>2814.97</v>
      </c>
      <c r="G658" s="195" t="n">
        <v>2757.72</v>
      </c>
    </row>
    <row r="659">
      <c r="A659" s="196" t="inlineStr">
        <is>
          <t>2026-08-17 18:00:10</t>
        </is>
      </c>
      <c r="B659" s="196" t="inlineStr">
        <is>
          <t>SGD</t>
        </is>
      </c>
      <c r="C659" s="196" t="inlineStr">
        <is>
          <t>SINGAPORE DOLLAR</t>
        </is>
      </c>
      <c r="D659" s="184" t="n">
        <v>19973.22</v>
      </c>
      <c r="E659" s="184" t="n">
        <v>20174.97</v>
      </c>
      <c r="F659" s="184" t="n">
        <v>20862.88</v>
      </c>
      <c r="G659" s="184" t="n">
        <v>20518.93</v>
      </c>
    </row>
    <row r="660">
      <c r="A660" s="194" t="inlineStr">
        <is>
          <t>2026-08-17 18:00:10</t>
        </is>
      </c>
      <c r="B660" s="194" t="inlineStr">
        <is>
          <t>THB</t>
        </is>
      </c>
      <c r="C660" s="194" t="inlineStr">
        <is>
          <t>THAILAND BAHT</t>
        </is>
      </c>
      <c r="D660" s="195" t="n">
        <v>698.5700000000001</v>
      </c>
      <c r="E660" s="195" t="n">
        <v>776.1900000000001</v>
      </c>
      <c r="F660" s="195" t="n">
        <v>809.11</v>
      </c>
      <c r="G660" s="195" t="n">
        <v>792.65</v>
      </c>
    </row>
    <row r="661">
      <c r="A661" s="196" t="inlineStr">
        <is>
          <t>2026-08-17 18:00:10</t>
        </is>
      </c>
      <c r="B661" s="196" t="inlineStr">
        <is>
          <t>USD</t>
        </is>
      </c>
      <c r="C661" s="196" t="inlineStr">
        <is>
          <t>US DOLLAR</t>
        </is>
      </c>
      <c r="D661" s="184" t="n">
        <v>25990</v>
      </c>
      <c r="E661" s="184" t="n">
        <v>26020</v>
      </c>
      <c r="F661" s="184" t="n">
        <v>26400</v>
      </c>
      <c r="G661" s="184" t="n">
        <v>26210</v>
      </c>
    </row>
    <row r="662">
      <c r="A662" s="194" t="inlineStr">
        <is>
          <t>2026-08-16 18:00:12</t>
        </is>
      </c>
      <c r="B662" s="194" t="inlineStr">
        <is>
          <t>AUD</t>
        </is>
      </c>
      <c r="C662" s="194" t="inlineStr">
        <is>
          <t>AUSTRALIAN DOLLAR</t>
        </is>
      </c>
      <c r="D662" s="195" t="n">
        <v>18015.58</v>
      </c>
      <c r="E662" s="195" t="n">
        <v>18197.56</v>
      </c>
      <c r="F662" s="195" t="n">
        <v>18780.51</v>
      </c>
      <c r="G662" s="195" t="n">
        <v>18489.04</v>
      </c>
    </row>
    <row r="663">
      <c r="A663" s="196" t="inlineStr">
        <is>
          <t>2026-08-16 18:00:12</t>
        </is>
      </c>
      <c r="B663" s="196" t="inlineStr">
        <is>
          <t>CAD</t>
        </is>
      </c>
      <c r="C663" s="196" t="inlineStr">
        <is>
          <t>CANADIAN DOLLAR</t>
        </is>
      </c>
      <c r="D663" s="184" t="n">
        <v>18341.72</v>
      </c>
      <c r="E663" s="184" t="n">
        <v>18526.99</v>
      </c>
      <c r="F663" s="184" t="n">
        <v>19120.5</v>
      </c>
      <c r="G663" s="184" t="n">
        <v>18823.75</v>
      </c>
    </row>
    <row r="664">
      <c r="A664" s="194" t="inlineStr">
        <is>
          <t>2026-08-16 18:00:12</t>
        </is>
      </c>
      <c r="B664" s="194" t="inlineStr">
        <is>
          <t>CHF</t>
        </is>
      </c>
      <c r="C664" s="194" t="inlineStr">
        <is>
          <t>SWISS FRANC</t>
        </is>
      </c>
      <c r="D664" s="195" t="n">
        <v>31332.74</v>
      </c>
      <c r="E664" s="195" t="n">
        <v>31649.23</v>
      </c>
      <c r="F664" s="195" t="n">
        <v>32663.11</v>
      </c>
      <c r="G664" s="195" t="n">
        <v>32156.17</v>
      </c>
    </row>
    <row r="665">
      <c r="A665" s="196" t="inlineStr">
        <is>
          <t>2026-08-16 18:00:12</t>
        </is>
      </c>
      <c r="B665" s="196" t="inlineStr">
        <is>
          <t>CNY</t>
        </is>
      </c>
      <c r="C665" s="196" t="inlineStr">
        <is>
          <t>YUAN RENMINBI</t>
        </is>
      </c>
      <c r="D665" s="184" t="n">
        <v>3779.08</v>
      </c>
      <c r="E665" s="184" t="n">
        <v>3817.25</v>
      </c>
      <c r="F665" s="184" t="n">
        <v>3939.54</v>
      </c>
      <c r="G665" s="184" t="n">
        <v>3878.4</v>
      </c>
    </row>
    <row r="666">
      <c r="A666" s="194" t="inlineStr">
        <is>
          <t>2026-08-16 18:00:12</t>
        </is>
      </c>
      <c r="B666" s="194" t="inlineStr">
        <is>
          <t>DKK</t>
        </is>
      </c>
      <c r="C666" s="194" t="inlineStr">
        <is>
          <t>DANISH KRONE</t>
        </is>
      </c>
      <c r="D666" s="195" t="n"/>
      <c r="E666" s="195" t="n">
        <v>3965.41</v>
      </c>
      <c r="F666" s="195" t="n">
        <v>4117.07</v>
      </c>
      <c r="G666" s="195" t="n">
        <v>4041.24</v>
      </c>
    </row>
    <row r="667">
      <c r="A667" s="196" t="inlineStr">
        <is>
          <t>2026-08-16 18:00:12</t>
        </is>
      </c>
      <c r="B667" s="196" t="inlineStr">
        <is>
          <t>EUR</t>
        </is>
      </c>
      <c r="C667" s="196" t="inlineStr">
        <is>
          <t>EURO</t>
        </is>
      </c>
      <c r="D667" s="184" t="n">
        <v>29424</v>
      </c>
      <c r="E667" s="184" t="n">
        <v>29721.22</v>
      </c>
      <c r="F667" s="184" t="n">
        <v>30975.53</v>
      </c>
      <c r="G667" s="184" t="n">
        <v>30348.38</v>
      </c>
    </row>
    <row r="668">
      <c r="A668" s="194" t="inlineStr">
        <is>
          <t>2026-08-16 18:00:12</t>
        </is>
      </c>
      <c r="B668" s="194" t="inlineStr">
        <is>
          <t>GBP</t>
        </is>
      </c>
      <c r="C668" s="194" t="inlineStr">
        <is>
          <t>POUND STERLING</t>
        </is>
      </c>
      <c r="D668" s="195" t="n">
        <v>34439.23</v>
      </c>
      <c r="E668" s="195" t="n">
        <v>34787.1</v>
      </c>
      <c r="F668" s="195" t="n">
        <v>35901.5</v>
      </c>
      <c r="G668" s="195" t="n">
        <v>35344.3</v>
      </c>
    </row>
    <row r="669">
      <c r="A669" s="196" t="inlineStr">
        <is>
          <t>2026-08-16 18:00:12</t>
        </is>
      </c>
      <c r="B669" s="196" t="inlineStr">
        <is>
          <t>HKD</t>
        </is>
      </c>
      <c r="C669" s="196" t="inlineStr">
        <is>
          <t>HONGKONG DOLLAR</t>
        </is>
      </c>
      <c r="D669" s="184" t="n">
        <v>3237.19</v>
      </c>
      <c r="E669" s="184" t="n">
        <v>3269.89</v>
      </c>
      <c r="F669" s="184" t="n">
        <v>3394.95</v>
      </c>
      <c r="G669" s="184" t="n">
        <v>3332.42</v>
      </c>
    </row>
    <row r="670">
      <c r="A670" s="194" t="inlineStr">
        <is>
          <t>2026-08-16 18:00:12</t>
        </is>
      </c>
      <c r="B670" s="194" t="inlineStr">
        <is>
          <t>INR</t>
        </is>
      </c>
      <c r="C670" s="194" t="inlineStr">
        <is>
          <t>INDIAN RUPEE</t>
        </is>
      </c>
      <c r="D670" s="195" t="n"/>
      <c r="E670" s="195" t="n">
        <v>272.33</v>
      </c>
      <c r="F670" s="195" t="n">
        <v>284.05</v>
      </c>
      <c r="G670" s="195" t="n">
        <v>278.19</v>
      </c>
    </row>
    <row r="671">
      <c r="A671" s="196" t="inlineStr">
        <is>
          <t>2026-08-16 18:00:12</t>
        </is>
      </c>
      <c r="B671" s="196" t="inlineStr">
        <is>
          <t>JPY</t>
        </is>
      </c>
      <c r="C671" s="196" t="inlineStr">
        <is>
          <t>YEN</t>
        </is>
      </c>
      <c r="D671" s="184" t="n">
        <v>158.54</v>
      </c>
      <c r="E671" s="184" t="n">
        <v>160.14</v>
      </c>
      <c r="F671" s="184" t="n">
        <v>169.48</v>
      </c>
      <c r="G671" s="184" t="n">
        <v>164.81</v>
      </c>
    </row>
    <row r="672">
      <c r="A672" s="194" t="inlineStr">
        <is>
          <t>2026-08-16 18:00:12</t>
        </is>
      </c>
      <c r="B672" s="194" t="inlineStr">
        <is>
          <t>KRW</t>
        </is>
      </c>
      <c r="C672" s="194" t="inlineStr">
        <is>
          <t>KOREAN WON</t>
        </is>
      </c>
      <c r="D672" s="195" t="n">
        <v>16.01</v>
      </c>
      <c r="E672" s="195" t="n">
        <v>17.79</v>
      </c>
      <c r="F672" s="195" t="n">
        <v>19.3</v>
      </c>
      <c r="G672" s="195" t="n">
        <v>18.55</v>
      </c>
    </row>
    <row r="673">
      <c r="A673" s="196" t="inlineStr">
        <is>
          <t>2026-08-16 18:00:12</t>
        </is>
      </c>
      <c r="B673" s="196" t="inlineStr">
        <is>
          <t>KWD</t>
        </is>
      </c>
      <c r="C673" s="196" t="inlineStr">
        <is>
          <t>KUWAITI DINAR</t>
        </is>
      </c>
      <c r="D673" s="184" t="n"/>
      <c r="E673" s="184" t="n">
        <v>84603.03</v>
      </c>
      <c r="F673" s="184" t="n">
        <v>88704.42999999999</v>
      </c>
      <c r="G673" s="184" t="n">
        <v>86653.73</v>
      </c>
    </row>
    <row r="674">
      <c r="A674" s="194" t="inlineStr">
        <is>
          <t>2026-08-16 18:00:12</t>
        </is>
      </c>
      <c r="B674" s="194" t="inlineStr">
        <is>
          <t>MYR</t>
        </is>
      </c>
      <c r="C674" s="194" t="inlineStr">
        <is>
          <t>MALAYSIAN RINGGIT</t>
        </is>
      </c>
      <c r="D674" s="195" t="n"/>
      <c r="E674" s="195" t="n">
        <v>6332.37</v>
      </c>
      <c r="F674" s="195" t="n">
        <v>6470.19</v>
      </c>
      <c r="G674" s="195" t="n">
        <v>6401.28</v>
      </c>
    </row>
    <row r="675">
      <c r="A675" s="196" t="inlineStr">
        <is>
          <t>2026-08-16 18:00:12</t>
        </is>
      </c>
      <c r="B675" s="196" t="inlineStr">
        <is>
          <t>NOK</t>
        </is>
      </c>
      <c r="C675" s="196" t="inlineStr">
        <is>
          <t>NORWEGIAN KRONER</t>
        </is>
      </c>
      <c r="D675" s="184" t="n"/>
      <c r="E675" s="184" t="n">
        <v>2706.76</v>
      </c>
      <c r="F675" s="184" t="n">
        <v>2821.55</v>
      </c>
      <c r="G675" s="184" t="n">
        <v>2764.16</v>
      </c>
    </row>
    <row r="676">
      <c r="A676" s="194" t="inlineStr">
        <is>
          <t>2026-08-16 18:00:12</t>
        </is>
      </c>
      <c r="B676" s="194" t="inlineStr">
        <is>
          <t>RUB</t>
        </is>
      </c>
      <c r="C676" s="194" t="inlineStr">
        <is>
          <t>RUSSIAN RUBLE</t>
        </is>
      </c>
      <c r="D676" s="195" t="n"/>
      <c r="E676" s="195" t="n">
        <v>296.15</v>
      </c>
      <c r="F676" s="195" t="n">
        <v>327.82</v>
      </c>
      <c r="G676" s="195" t="n">
        <v>311.98</v>
      </c>
    </row>
    <row r="677">
      <c r="A677" s="196" t="inlineStr">
        <is>
          <t>2026-08-16 18:00:12</t>
        </is>
      </c>
      <c r="B677" s="196" t="inlineStr">
        <is>
          <t>SAR</t>
        </is>
      </c>
      <c r="C677" s="196" t="inlineStr">
        <is>
          <t>SAUDI RIAL</t>
        </is>
      </c>
      <c r="D677" s="184" t="n"/>
      <c r="E677" s="184" t="n">
        <v>6923.3</v>
      </c>
      <c r="F677" s="184" t="n">
        <v>7221.31</v>
      </c>
      <c r="G677" s="184" t="n">
        <v>7072.3</v>
      </c>
    </row>
    <row r="678">
      <c r="A678" s="194" t="inlineStr">
        <is>
          <t>2026-08-16 18:00:12</t>
        </is>
      </c>
      <c r="B678" s="194" t="inlineStr">
        <is>
          <t>SEK</t>
        </is>
      </c>
      <c r="C678" s="194" t="inlineStr">
        <is>
          <t>SWEDISH KRONA</t>
        </is>
      </c>
      <c r="D678" s="195" t="n"/>
      <c r="E678" s="195" t="n">
        <v>2686.65</v>
      </c>
      <c r="F678" s="195" t="n">
        <v>2800.6</v>
      </c>
      <c r="G678" s="195" t="n">
        <v>2743.62</v>
      </c>
    </row>
    <row r="679">
      <c r="A679" s="196" t="inlineStr">
        <is>
          <t>2026-08-16 18:00:12</t>
        </is>
      </c>
      <c r="B679" s="196" t="inlineStr">
        <is>
          <t>SGD</t>
        </is>
      </c>
      <c r="C679" s="196" t="inlineStr">
        <is>
          <t>SINGAPORE DOLLAR</t>
        </is>
      </c>
      <c r="D679" s="184" t="n">
        <v>19898.03</v>
      </c>
      <c r="E679" s="184" t="n">
        <v>20099.02</v>
      </c>
      <c r="F679" s="184" t="n">
        <v>20784.43</v>
      </c>
      <c r="G679" s="184" t="n">
        <v>20441.72</v>
      </c>
    </row>
    <row r="680">
      <c r="A680" s="194" t="inlineStr">
        <is>
          <t>2026-08-16 18:00:12</t>
        </is>
      </c>
      <c r="B680" s="194" t="inlineStr">
        <is>
          <t>THB</t>
        </is>
      </c>
      <c r="C680" s="194" t="inlineStr">
        <is>
          <t>THAILAND BAHT</t>
        </is>
      </c>
      <c r="D680" s="195" t="n">
        <v>695.45</v>
      </c>
      <c r="E680" s="195" t="n">
        <v>772.72</v>
      </c>
      <c r="F680" s="195" t="n">
        <v>805.49</v>
      </c>
      <c r="G680" s="195" t="n">
        <v>789.1</v>
      </c>
    </row>
    <row r="681">
      <c r="A681" s="196" t="inlineStr">
        <is>
          <t>2026-08-16 18:00:12</t>
        </is>
      </c>
      <c r="B681" s="196" t="inlineStr">
        <is>
          <t>USD</t>
        </is>
      </c>
      <c r="C681" s="196" t="inlineStr">
        <is>
          <t>US DOLLAR</t>
        </is>
      </c>
      <c r="D681" s="184" t="n">
        <v>25920</v>
      </c>
      <c r="E681" s="184" t="n">
        <v>25950</v>
      </c>
      <c r="F681" s="184" t="n">
        <v>26330</v>
      </c>
      <c r="G681" s="184" t="n">
        <v>26140</v>
      </c>
    </row>
    <row r="682">
      <c r="A682" s="194" t="inlineStr">
        <is>
          <t>2026-08-15 18:00:10</t>
        </is>
      </c>
      <c r="B682" s="194" t="inlineStr">
        <is>
          <t>AUD</t>
        </is>
      </c>
      <c r="C682" s="194" t="inlineStr">
        <is>
          <t>AUSTRALIAN DOLLAR</t>
        </is>
      </c>
      <c r="D682" s="195" t="n">
        <v>18015.58</v>
      </c>
      <c r="E682" s="195" t="n">
        <v>18197.56</v>
      </c>
      <c r="F682" s="195" t="n">
        <v>18780.51</v>
      </c>
      <c r="G682" s="195" t="n">
        <v>18489.04</v>
      </c>
    </row>
    <row r="683">
      <c r="A683" s="196" t="inlineStr">
        <is>
          <t>2026-08-15 18:00:10</t>
        </is>
      </c>
      <c r="B683" s="196" t="inlineStr">
        <is>
          <t>CAD</t>
        </is>
      </c>
      <c r="C683" s="196" t="inlineStr">
        <is>
          <t>CANADIAN DOLLAR</t>
        </is>
      </c>
      <c r="D683" s="184" t="n">
        <v>18341.72</v>
      </c>
      <c r="E683" s="184" t="n">
        <v>18526.99</v>
      </c>
      <c r="F683" s="184" t="n">
        <v>19120.5</v>
      </c>
      <c r="G683" s="184" t="n">
        <v>18823.75</v>
      </c>
    </row>
    <row r="684">
      <c r="A684" s="194" t="inlineStr">
        <is>
          <t>2026-08-15 18:00:10</t>
        </is>
      </c>
      <c r="B684" s="194" t="inlineStr">
        <is>
          <t>CHF</t>
        </is>
      </c>
      <c r="C684" s="194" t="inlineStr">
        <is>
          <t>SWISS FRANC</t>
        </is>
      </c>
      <c r="D684" s="195" t="n">
        <v>31332.74</v>
      </c>
      <c r="E684" s="195" t="n">
        <v>31649.23</v>
      </c>
      <c r="F684" s="195" t="n">
        <v>32663.11</v>
      </c>
      <c r="G684" s="195" t="n">
        <v>32156.17</v>
      </c>
    </row>
    <row r="685">
      <c r="A685" s="196" t="inlineStr">
        <is>
          <t>2026-08-15 18:00:10</t>
        </is>
      </c>
      <c r="B685" s="196" t="inlineStr">
        <is>
          <t>CNY</t>
        </is>
      </c>
      <c r="C685" s="196" t="inlineStr">
        <is>
          <t>YUAN RENMINBI</t>
        </is>
      </c>
      <c r="D685" s="184" t="n">
        <v>3779.08</v>
      </c>
      <c r="E685" s="184" t="n">
        <v>3817.25</v>
      </c>
      <c r="F685" s="184" t="n">
        <v>3939.54</v>
      </c>
      <c r="G685" s="184" t="n">
        <v>3878.4</v>
      </c>
    </row>
    <row r="686">
      <c r="A686" s="194" t="inlineStr">
        <is>
          <t>2026-08-15 18:00:10</t>
        </is>
      </c>
      <c r="B686" s="194" t="inlineStr">
        <is>
          <t>DKK</t>
        </is>
      </c>
      <c r="C686" s="194" t="inlineStr">
        <is>
          <t>DANISH KRONE</t>
        </is>
      </c>
      <c r="D686" s="195" t="n"/>
      <c r="E686" s="195" t="n">
        <v>3965.41</v>
      </c>
      <c r="F686" s="195" t="n">
        <v>4117.07</v>
      </c>
      <c r="G686" s="195" t="n">
        <v>4041.24</v>
      </c>
    </row>
    <row r="687">
      <c r="A687" s="196" t="inlineStr">
        <is>
          <t>2026-08-15 18:00:10</t>
        </is>
      </c>
      <c r="B687" s="196" t="inlineStr">
        <is>
          <t>EUR</t>
        </is>
      </c>
      <c r="C687" s="196" t="inlineStr">
        <is>
          <t>EURO</t>
        </is>
      </c>
      <c r="D687" s="184" t="n">
        <v>29424</v>
      </c>
      <c r="E687" s="184" t="n">
        <v>29721.22</v>
      </c>
      <c r="F687" s="184" t="n">
        <v>30975.53</v>
      </c>
      <c r="G687" s="184" t="n">
        <v>30348.38</v>
      </c>
    </row>
    <row r="688">
      <c r="A688" s="194" t="inlineStr">
        <is>
          <t>2026-08-15 18:00:10</t>
        </is>
      </c>
      <c r="B688" s="194" t="inlineStr">
        <is>
          <t>GBP</t>
        </is>
      </c>
      <c r="C688" s="194" t="inlineStr">
        <is>
          <t>POUND STERLING</t>
        </is>
      </c>
      <c r="D688" s="195" t="n">
        <v>34439.23</v>
      </c>
      <c r="E688" s="195" t="n">
        <v>34787.1</v>
      </c>
      <c r="F688" s="195" t="n">
        <v>35901.5</v>
      </c>
      <c r="G688" s="195" t="n">
        <v>35344.3</v>
      </c>
    </row>
    <row r="689">
      <c r="A689" s="196" t="inlineStr">
        <is>
          <t>2026-08-15 18:00:10</t>
        </is>
      </c>
      <c r="B689" s="196" t="inlineStr">
        <is>
          <t>HKD</t>
        </is>
      </c>
      <c r="C689" s="196" t="inlineStr">
        <is>
          <t>HONGKONG DOLLAR</t>
        </is>
      </c>
      <c r="D689" s="184" t="n">
        <v>3237.19</v>
      </c>
      <c r="E689" s="184" t="n">
        <v>3269.89</v>
      </c>
      <c r="F689" s="184" t="n">
        <v>3394.95</v>
      </c>
      <c r="G689" s="184" t="n">
        <v>3332.42</v>
      </c>
    </row>
    <row r="690">
      <c r="A690" s="194" t="inlineStr">
        <is>
          <t>2026-08-15 18:00:10</t>
        </is>
      </c>
      <c r="B690" s="194" t="inlineStr">
        <is>
          <t>INR</t>
        </is>
      </c>
      <c r="C690" s="194" t="inlineStr">
        <is>
          <t>INDIAN RUPEE</t>
        </is>
      </c>
      <c r="D690" s="195" t="n"/>
      <c r="E690" s="195" t="n">
        <v>272.33</v>
      </c>
      <c r="F690" s="195" t="n">
        <v>284.05</v>
      </c>
      <c r="G690" s="195" t="n">
        <v>278.19</v>
      </c>
    </row>
    <row r="691">
      <c r="A691" s="196" t="inlineStr">
        <is>
          <t>2026-08-15 18:00:10</t>
        </is>
      </c>
      <c r="B691" s="196" t="inlineStr">
        <is>
          <t>JPY</t>
        </is>
      </c>
      <c r="C691" s="196" t="inlineStr">
        <is>
          <t>YEN</t>
        </is>
      </c>
      <c r="D691" s="184" t="n">
        <v>158.54</v>
      </c>
      <c r="E691" s="184" t="n">
        <v>160.14</v>
      </c>
      <c r="F691" s="184" t="n">
        <v>169.48</v>
      </c>
      <c r="G691" s="184" t="n">
        <v>164.81</v>
      </c>
    </row>
    <row r="692">
      <c r="A692" s="194" t="inlineStr">
        <is>
          <t>2026-08-15 18:00:10</t>
        </is>
      </c>
      <c r="B692" s="194" t="inlineStr">
        <is>
          <t>KRW</t>
        </is>
      </c>
      <c r="C692" s="194" t="inlineStr">
        <is>
          <t>KOREAN WON</t>
        </is>
      </c>
      <c r="D692" s="195" t="n">
        <v>16.01</v>
      </c>
      <c r="E692" s="195" t="n">
        <v>17.79</v>
      </c>
      <c r="F692" s="195" t="n">
        <v>19.3</v>
      </c>
      <c r="G692" s="195" t="n">
        <v>18.55</v>
      </c>
    </row>
    <row r="693">
      <c r="A693" s="196" t="inlineStr">
        <is>
          <t>2026-08-15 18:00:10</t>
        </is>
      </c>
      <c r="B693" s="196" t="inlineStr">
        <is>
          <t>KWD</t>
        </is>
      </c>
      <c r="C693" s="196" t="inlineStr">
        <is>
          <t>KUWAITI DINAR</t>
        </is>
      </c>
      <c r="D693" s="184" t="n"/>
      <c r="E693" s="184" t="n">
        <v>84603.03</v>
      </c>
      <c r="F693" s="184" t="n">
        <v>88704.42999999999</v>
      </c>
      <c r="G693" s="184" t="n">
        <v>86653.73</v>
      </c>
    </row>
    <row r="694">
      <c r="A694" s="194" t="inlineStr">
        <is>
          <t>2026-08-15 18:00:10</t>
        </is>
      </c>
      <c r="B694" s="194" t="inlineStr">
        <is>
          <t>MYR</t>
        </is>
      </c>
      <c r="C694" s="194" t="inlineStr">
        <is>
          <t>MALAYSIAN RINGGIT</t>
        </is>
      </c>
      <c r="D694" s="195" t="n"/>
      <c r="E694" s="195" t="n">
        <v>6332.37</v>
      </c>
      <c r="F694" s="195" t="n">
        <v>6470.19</v>
      </c>
      <c r="G694" s="195" t="n">
        <v>6401.28</v>
      </c>
    </row>
    <row r="695">
      <c r="A695" s="196" t="inlineStr">
        <is>
          <t>2026-08-15 18:00:10</t>
        </is>
      </c>
      <c r="B695" s="196" t="inlineStr">
        <is>
          <t>NOK</t>
        </is>
      </c>
      <c r="C695" s="196" t="inlineStr">
        <is>
          <t>NORWEGIAN KRONER</t>
        </is>
      </c>
      <c r="D695" s="184" t="n"/>
      <c r="E695" s="184" t="n">
        <v>2706.76</v>
      </c>
      <c r="F695" s="184" t="n">
        <v>2821.55</v>
      </c>
      <c r="G695" s="184" t="n">
        <v>2764.16</v>
      </c>
    </row>
    <row r="696">
      <c r="A696" s="194" t="inlineStr">
        <is>
          <t>2026-08-15 18:00:10</t>
        </is>
      </c>
      <c r="B696" s="194" t="inlineStr">
        <is>
          <t>RUB</t>
        </is>
      </c>
      <c r="C696" s="194" t="inlineStr">
        <is>
          <t>RUSSIAN RUBLE</t>
        </is>
      </c>
      <c r="D696" s="195" t="n"/>
      <c r="E696" s="195" t="n">
        <v>296.15</v>
      </c>
      <c r="F696" s="195" t="n">
        <v>327.82</v>
      </c>
      <c r="G696" s="195" t="n">
        <v>311.98</v>
      </c>
    </row>
    <row r="697">
      <c r="A697" s="196" t="inlineStr">
        <is>
          <t>2026-08-15 18:00:10</t>
        </is>
      </c>
      <c r="B697" s="196" t="inlineStr">
        <is>
          <t>SAR</t>
        </is>
      </c>
      <c r="C697" s="196" t="inlineStr">
        <is>
          <t>SAUDI RIAL</t>
        </is>
      </c>
      <c r="D697" s="184" t="n"/>
      <c r="E697" s="184" t="n">
        <v>6923.3</v>
      </c>
      <c r="F697" s="184" t="n">
        <v>7221.31</v>
      </c>
      <c r="G697" s="184" t="n">
        <v>7072.3</v>
      </c>
    </row>
    <row r="698">
      <c r="A698" s="194" t="inlineStr">
        <is>
          <t>2026-08-15 18:00:10</t>
        </is>
      </c>
      <c r="B698" s="194" t="inlineStr">
        <is>
          <t>SEK</t>
        </is>
      </c>
      <c r="C698" s="194" t="inlineStr">
        <is>
          <t>SWEDISH KRONA</t>
        </is>
      </c>
      <c r="D698" s="195" t="n"/>
      <c r="E698" s="195" t="n">
        <v>2686.65</v>
      </c>
      <c r="F698" s="195" t="n">
        <v>2800.6</v>
      </c>
      <c r="G698" s="195" t="n">
        <v>2743.62</v>
      </c>
    </row>
    <row r="699">
      <c r="A699" s="196" t="inlineStr">
        <is>
          <t>2026-08-15 18:00:10</t>
        </is>
      </c>
      <c r="B699" s="196" t="inlineStr">
        <is>
          <t>SGD</t>
        </is>
      </c>
      <c r="C699" s="196" t="inlineStr">
        <is>
          <t>SINGAPORE DOLLAR</t>
        </is>
      </c>
      <c r="D699" s="184" t="n">
        <v>19898.03</v>
      </c>
      <c r="E699" s="184" t="n">
        <v>20099.02</v>
      </c>
      <c r="F699" s="184" t="n">
        <v>20784.43</v>
      </c>
      <c r="G699" s="184" t="n">
        <v>20441.72</v>
      </c>
    </row>
    <row r="700">
      <c r="A700" s="194" t="inlineStr">
        <is>
          <t>2026-08-15 18:00:10</t>
        </is>
      </c>
      <c r="B700" s="194" t="inlineStr">
        <is>
          <t>THB</t>
        </is>
      </c>
      <c r="C700" s="194" t="inlineStr">
        <is>
          <t>THAILAND BAHT</t>
        </is>
      </c>
      <c r="D700" s="195" t="n">
        <v>695.45</v>
      </c>
      <c r="E700" s="195" t="n">
        <v>772.72</v>
      </c>
      <c r="F700" s="195" t="n">
        <v>805.49</v>
      </c>
      <c r="G700" s="195" t="n">
        <v>789.1</v>
      </c>
    </row>
    <row r="701">
      <c r="A701" s="196" t="inlineStr">
        <is>
          <t>2026-08-15 18:00:10</t>
        </is>
      </c>
      <c r="B701" s="196" t="inlineStr">
        <is>
          <t>USD</t>
        </is>
      </c>
      <c r="C701" s="196" t="inlineStr">
        <is>
          <t>US DOLLAR</t>
        </is>
      </c>
      <c r="D701" s="184" t="n">
        <v>25920</v>
      </c>
      <c r="E701" s="184" t="n">
        <v>25950</v>
      </c>
      <c r="F701" s="184" t="n">
        <v>26330</v>
      </c>
      <c r="G701" s="184" t="n">
        <v>26140</v>
      </c>
    </row>
    <row r="702">
      <c r="A702" s="194" t="inlineStr">
        <is>
          <t>2026-08-14 18:00:12</t>
        </is>
      </c>
      <c r="B702" s="194" t="inlineStr">
        <is>
          <t>AUD</t>
        </is>
      </c>
      <c r="C702" s="194" t="inlineStr">
        <is>
          <t>AUSTRALIAN DOLLAR</t>
        </is>
      </c>
      <c r="D702" s="195" t="n">
        <v>18015.58</v>
      </c>
      <c r="E702" s="195" t="n">
        <v>18197.56</v>
      </c>
      <c r="F702" s="195" t="n">
        <v>18780.51</v>
      </c>
      <c r="G702" s="195" t="n">
        <v>18489.04</v>
      </c>
    </row>
    <row r="703">
      <c r="A703" s="196" t="inlineStr">
        <is>
          <t>2026-08-14 18:00:12</t>
        </is>
      </c>
      <c r="B703" s="196" t="inlineStr">
        <is>
          <t>CAD</t>
        </is>
      </c>
      <c r="C703" s="196" t="inlineStr">
        <is>
          <t>CANADIAN DOLLAR</t>
        </is>
      </c>
      <c r="D703" s="184" t="n">
        <v>18341.72</v>
      </c>
      <c r="E703" s="184" t="n">
        <v>18526.99</v>
      </c>
      <c r="F703" s="184" t="n">
        <v>19120.5</v>
      </c>
      <c r="G703" s="184" t="n">
        <v>18823.75</v>
      </c>
    </row>
    <row r="704">
      <c r="A704" s="194" t="inlineStr">
        <is>
          <t>2026-08-14 18:00:12</t>
        </is>
      </c>
      <c r="B704" s="194" t="inlineStr">
        <is>
          <t>CHF</t>
        </is>
      </c>
      <c r="C704" s="194" t="inlineStr">
        <is>
          <t>SWISS FRANC</t>
        </is>
      </c>
      <c r="D704" s="195" t="n">
        <v>31332.74</v>
      </c>
      <c r="E704" s="195" t="n">
        <v>31649.23</v>
      </c>
      <c r="F704" s="195" t="n">
        <v>32663.11</v>
      </c>
      <c r="G704" s="195" t="n">
        <v>32156.17</v>
      </c>
    </row>
    <row r="705">
      <c r="A705" s="196" t="inlineStr">
        <is>
          <t>2026-08-14 18:00:12</t>
        </is>
      </c>
      <c r="B705" s="196" t="inlineStr">
        <is>
          <t>CNY</t>
        </is>
      </c>
      <c r="C705" s="196" t="inlineStr">
        <is>
          <t>YUAN RENMINBI</t>
        </is>
      </c>
      <c r="D705" s="184" t="n">
        <v>3779.08</v>
      </c>
      <c r="E705" s="184" t="n">
        <v>3817.25</v>
      </c>
      <c r="F705" s="184" t="n">
        <v>3939.54</v>
      </c>
      <c r="G705" s="184" t="n">
        <v>3878.4</v>
      </c>
    </row>
    <row r="706">
      <c r="A706" s="194" t="inlineStr">
        <is>
          <t>2026-08-14 18:00:12</t>
        </is>
      </c>
      <c r="B706" s="194" t="inlineStr">
        <is>
          <t>DKK</t>
        </is>
      </c>
      <c r="C706" s="194" t="inlineStr">
        <is>
          <t>DANISH KRONE</t>
        </is>
      </c>
      <c r="D706" s="195" t="n"/>
      <c r="E706" s="195" t="n">
        <v>3965.41</v>
      </c>
      <c r="F706" s="195" t="n">
        <v>4117.07</v>
      </c>
      <c r="G706" s="195" t="n">
        <v>4041.24</v>
      </c>
    </row>
    <row r="707">
      <c r="A707" s="196" t="inlineStr">
        <is>
          <t>2026-08-14 18:00:12</t>
        </is>
      </c>
      <c r="B707" s="196" t="inlineStr">
        <is>
          <t>EUR</t>
        </is>
      </c>
      <c r="C707" s="196" t="inlineStr">
        <is>
          <t>EURO</t>
        </is>
      </c>
      <c r="D707" s="184" t="n">
        <v>29424</v>
      </c>
      <c r="E707" s="184" t="n">
        <v>29721.22</v>
      </c>
      <c r="F707" s="184" t="n">
        <v>30975.53</v>
      </c>
      <c r="G707" s="184" t="n">
        <v>30348.38</v>
      </c>
    </row>
    <row r="708">
      <c r="A708" s="194" t="inlineStr">
        <is>
          <t>2026-08-14 18:00:12</t>
        </is>
      </c>
      <c r="B708" s="194" t="inlineStr">
        <is>
          <t>GBP</t>
        </is>
      </c>
      <c r="C708" s="194" t="inlineStr">
        <is>
          <t>POUND STERLING</t>
        </is>
      </c>
      <c r="D708" s="195" t="n">
        <v>34439.23</v>
      </c>
      <c r="E708" s="195" t="n">
        <v>34787.1</v>
      </c>
      <c r="F708" s="195" t="n">
        <v>35901.5</v>
      </c>
      <c r="G708" s="195" t="n">
        <v>35344.3</v>
      </c>
    </row>
    <row r="709">
      <c r="A709" s="196" t="inlineStr">
        <is>
          <t>2026-08-14 18:00:12</t>
        </is>
      </c>
      <c r="B709" s="196" t="inlineStr">
        <is>
          <t>HKD</t>
        </is>
      </c>
      <c r="C709" s="196" t="inlineStr">
        <is>
          <t>HONGKONG DOLLAR</t>
        </is>
      </c>
      <c r="D709" s="184" t="n">
        <v>3237.19</v>
      </c>
      <c r="E709" s="184" t="n">
        <v>3269.89</v>
      </c>
      <c r="F709" s="184" t="n">
        <v>3394.95</v>
      </c>
      <c r="G709" s="184" t="n">
        <v>3332.42</v>
      </c>
    </row>
    <row r="710">
      <c r="A710" s="194" t="inlineStr">
        <is>
          <t>2026-08-14 18:00:12</t>
        </is>
      </c>
      <c r="B710" s="194" t="inlineStr">
        <is>
          <t>INR</t>
        </is>
      </c>
      <c r="C710" s="194" t="inlineStr">
        <is>
          <t>INDIAN RUPEE</t>
        </is>
      </c>
      <c r="D710" s="195" t="n"/>
      <c r="E710" s="195" t="n">
        <v>272.33</v>
      </c>
      <c r="F710" s="195" t="n">
        <v>284.05</v>
      </c>
      <c r="G710" s="195" t="n">
        <v>278.19</v>
      </c>
    </row>
    <row r="711">
      <c r="A711" s="196" t="inlineStr">
        <is>
          <t>2026-08-14 18:00:12</t>
        </is>
      </c>
      <c r="B711" s="196" t="inlineStr">
        <is>
          <t>JPY</t>
        </is>
      </c>
      <c r="C711" s="196" t="inlineStr">
        <is>
          <t>YEN</t>
        </is>
      </c>
      <c r="D711" s="184" t="n">
        <v>158.54</v>
      </c>
      <c r="E711" s="184" t="n">
        <v>160.14</v>
      </c>
      <c r="F711" s="184" t="n">
        <v>169.48</v>
      </c>
      <c r="G711" s="184" t="n">
        <v>164.81</v>
      </c>
    </row>
    <row r="712">
      <c r="A712" s="194" t="inlineStr">
        <is>
          <t>2026-08-14 18:00:12</t>
        </is>
      </c>
      <c r="B712" s="194" t="inlineStr">
        <is>
          <t>KRW</t>
        </is>
      </c>
      <c r="C712" s="194" t="inlineStr">
        <is>
          <t>KOREAN WON</t>
        </is>
      </c>
      <c r="D712" s="195" t="n">
        <v>16.01</v>
      </c>
      <c r="E712" s="195" t="n">
        <v>17.79</v>
      </c>
      <c r="F712" s="195" t="n">
        <v>19.3</v>
      </c>
      <c r="G712" s="195" t="n">
        <v>18.55</v>
      </c>
    </row>
    <row r="713">
      <c r="A713" s="196" t="inlineStr">
        <is>
          <t>2026-08-14 18:00:12</t>
        </is>
      </c>
      <c r="B713" s="196" t="inlineStr">
        <is>
          <t>KWD</t>
        </is>
      </c>
      <c r="C713" s="196" t="inlineStr">
        <is>
          <t>KUWAITI DINAR</t>
        </is>
      </c>
      <c r="D713" s="184" t="n"/>
      <c r="E713" s="184" t="n">
        <v>84603.03</v>
      </c>
      <c r="F713" s="184" t="n">
        <v>88704.42999999999</v>
      </c>
      <c r="G713" s="184" t="n">
        <v>86653.73</v>
      </c>
    </row>
    <row r="714">
      <c r="A714" s="194" t="inlineStr">
        <is>
          <t>2026-08-14 18:00:12</t>
        </is>
      </c>
      <c r="B714" s="194" t="inlineStr">
        <is>
          <t>MYR</t>
        </is>
      </c>
      <c r="C714" s="194" t="inlineStr">
        <is>
          <t>MALAYSIAN RINGGIT</t>
        </is>
      </c>
      <c r="D714" s="195" t="n"/>
      <c r="E714" s="195" t="n">
        <v>6332.37</v>
      </c>
      <c r="F714" s="195" t="n">
        <v>6470.19</v>
      </c>
      <c r="G714" s="195" t="n">
        <v>6401.28</v>
      </c>
    </row>
    <row r="715">
      <c r="A715" s="196" t="inlineStr">
        <is>
          <t>2026-08-14 18:00:12</t>
        </is>
      </c>
      <c r="B715" s="196" t="inlineStr">
        <is>
          <t>NOK</t>
        </is>
      </c>
      <c r="C715" s="196" t="inlineStr">
        <is>
          <t>NORWEGIAN KRONER</t>
        </is>
      </c>
      <c r="D715" s="184" t="n"/>
      <c r="E715" s="184" t="n">
        <v>2706.76</v>
      </c>
      <c r="F715" s="184" t="n">
        <v>2821.55</v>
      </c>
      <c r="G715" s="184" t="n">
        <v>2764.16</v>
      </c>
    </row>
    <row r="716">
      <c r="A716" s="194" t="inlineStr">
        <is>
          <t>2026-08-14 18:00:12</t>
        </is>
      </c>
      <c r="B716" s="194" t="inlineStr">
        <is>
          <t>RUB</t>
        </is>
      </c>
      <c r="C716" s="194" t="inlineStr">
        <is>
          <t>RUSSIAN RUBLE</t>
        </is>
      </c>
      <c r="D716" s="195" t="n"/>
      <c r="E716" s="195" t="n">
        <v>296.15</v>
      </c>
      <c r="F716" s="195" t="n">
        <v>327.82</v>
      </c>
      <c r="G716" s="195" t="n">
        <v>311.98</v>
      </c>
    </row>
    <row r="717">
      <c r="A717" s="196" t="inlineStr">
        <is>
          <t>2026-08-14 18:00:12</t>
        </is>
      </c>
      <c r="B717" s="196" t="inlineStr">
        <is>
          <t>SAR</t>
        </is>
      </c>
      <c r="C717" s="196" t="inlineStr">
        <is>
          <t>SAUDI RIAL</t>
        </is>
      </c>
      <c r="D717" s="184" t="n"/>
      <c r="E717" s="184" t="n">
        <v>6923.3</v>
      </c>
      <c r="F717" s="184" t="n">
        <v>7221.31</v>
      </c>
      <c r="G717" s="184" t="n">
        <v>7072.3</v>
      </c>
    </row>
    <row r="718">
      <c r="A718" s="194" t="inlineStr">
        <is>
          <t>2026-08-14 18:00:12</t>
        </is>
      </c>
      <c r="B718" s="194" t="inlineStr">
        <is>
          <t>SEK</t>
        </is>
      </c>
      <c r="C718" s="194" t="inlineStr">
        <is>
          <t>SWEDISH KRONA</t>
        </is>
      </c>
      <c r="D718" s="195" t="n"/>
      <c r="E718" s="195" t="n">
        <v>2686.65</v>
      </c>
      <c r="F718" s="195" t="n">
        <v>2800.6</v>
      </c>
      <c r="G718" s="195" t="n">
        <v>2743.62</v>
      </c>
    </row>
    <row r="719">
      <c r="A719" s="196" t="inlineStr">
        <is>
          <t>2026-08-14 18:00:12</t>
        </is>
      </c>
      <c r="B719" s="196" t="inlineStr">
        <is>
          <t>SGD</t>
        </is>
      </c>
      <c r="C719" s="196" t="inlineStr">
        <is>
          <t>SINGAPORE DOLLAR</t>
        </is>
      </c>
      <c r="D719" s="184" t="n">
        <v>19898.03</v>
      </c>
      <c r="E719" s="184" t="n">
        <v>20099.02</v>
      </c>
      <c r="F719" s="184" t="n">
        <v>20784.43</v>
      </c>
      <c r="G719" s="184" t="n">
        <v>20441.72</v>
      </c>
    </row>
    <row r="720">
      <c r="A720" s="194" t="inlineStr">
        <is>
          <t>2026-08-14 18:00:12</t>
        </is>
      </c>
      <c r="B720" s="194" t="inlineStr">
        <is>
          <t>THB</t>
        </is>
      </c>
      <c r="C720" s="194" t="inlineStr">
        <is>
          <t>THAILAND BAHT</t>
        </is>
      </c>
      <c r="D720" s="195" t="n">
        <v>695.45</v>
      </c>
      <c r="E720" s="195" t="n">
        <v>772.72</v>
      </c>
      <c r="F720" s="195" t="n">
        <v>805.49</v>
      </c>
      <c r="G720" s="195" t="n">
        <v>789.1</v>
      </c>
    </row>
    <row r="721">
      <c r="A721" s="196" t="inlineStr">
        <is>
          <t>2026-08-14 18:00:12</t>
        </is>
      </c>
      <c r="B721" s="196" t="inlineStr">
        <is>
          <t>USD</t>
        </is>
      </c>
      <c r="C721" s="196" t="inlineStr">
        <is>
          <t>US DOLLAR</t>
        </is>
      </c>
      <c r="D721" s="184" t="n">
        <v>25920</v>
      </c>
      <c r="E721" s="184" t="n">
        <v>25950</v>
      </c>
      <c r="F721" s="184" t="n">
        <v>26330</v>
      </c>
      <c r="G721" s="184" t="n">
        <v>26140</v>
      </c>
    </row>
    <row r="722">
      <c r="A722" s="194" t="inlineStr">
        <is>
          <t>2026-08-13 18:00:10</t>
        </is>
      </c>
      <c r="B722" s="194" t="inlineStr">
        <is>
          <t>AUD</t>
        </is>
      </c>
      <c r="C722" s="194" t="inlineStr">
        <is>
          <t>AUSTRALIAN DOLLAR</t>
        </is>
      </c>
      <c r="D722" s="195" t="n">
        <v>17929.93</v>
      </c>
      <c r="E722" s="195" t="n">
        <v>18111.04</v>
      </c>
      <c r="F722" s="195" t="n">
        <v>18691.31</v>
      </c>
      <c r="G722" s="195" t="n">
        <v>18401.18</v>
      </c>
    </row>
    <row r="723">
      <c r="A723" s="196" t="inlineStr">
        <is>
          <t>2026-08-13 18:00:10</t>
        </is>
      </c>
      <c r="B723" s="196" t="inlineStr">
        <is>
          <t>CAD</t>
        </is>
      </c>
      <c r="C723" s="196" t="inlineStr">
        <is>
          <t>CANADIAN DOLLAR</t>
        </is>
      </c>
      <c r="D723" s="184" t="n">
        <v>18222.57</v>
      </c>
      <c r="E723" s="184" t="n">
        <v>18406.64</v>
      </c>
      <c r="F723" s="184" t="n">
        <v>18996.38</v>
      </c>
      <c r="G723" s="184" t="n">
        <v>18701.51</v>
      </c>
    </row>
    <row r="724">
      <c r="A724" s="194" t="inlineStr">
        <is>
          <t>2026-08-13 18:00:10</t>
        </is>
      </c>
      <c r="B724" s="194" t="inlineStr">
        <is>
          <t>CHF</t>
        </is>
      </c>
      <c r="C724" s="194" t="inlineStr">
        <is>
          <t>SWISS FRANC</t>
        </is>
      </c>
      <c r="D724" s="195" t="n">
        <v>31255.99</v>
      </c>
      <c r="E724" s="195" t="n">
        <v>31571.71</v>
      </c>
      <c r="F724" s="195" t="n">
        <v>32583.26</v>
      </c>
      <c r="G724" s="195" t="n">
        <v>32077.48</v>
      </c>
    </row>
    <row r="725">
      <c r="A725" s="196" t="inlineStr">
        <is>
          <t>2026-08-13 18:00:10</t>
        </is>
      </c>
      <c r="B725" s="196" t="inlineStr">
        <is>
          <t>CNY</t>
        </is>
      </c>
      <c r="C725" s="196" t="inlineStr">
        <is>
          <t>YUAN RENMINBI</t>
        </is>
      </c>
      <c r="D725" s="184" t="n">
        <v>3766.5</v>
      </c>
      <c r="E725" s="184" t="n">
        <v>3804.54</v>
      </c>
      <c r="F725" s="184" t="n">
        <v>3926.44</v>
      </c>
      <c r="G725" s="184" t="n">
        <v>3865.49</v>
      </c>
    </row>
    <row r="726">
      <c r="A726" s="194" t="inlineStr">
        <is>
          <t>2026-08-13 18:00:10</t>
        </is>
      </c>
      <c r="B726" s="194" t="inlineStr">
        <is>
          <t>DKK</t>
        </is>
      </c>
      <c r="C726" s="194" t="inlineStr">
        <is>
          <t>DANISH KRONE</t>
        </is>
      </c>
      <c r="D726" s="195" t="n"/>
      <c r="E726" s="195" t="n">
        <v>3944.66</v>
      </c>
      <c r="F726" s="195" t="n">
        <v>4095.56</v>
      </c>
      <c r="G726" s="195" t="n">
        <v>4020.11</v>
      </c>
    </row>
    <row r="727">
      <c r="A727" s="196" t="inlineStr">
        <is>
          <t>2026-08-13 18:00:10</t>
        </is>
      </c>
      <c r="B727" s="196" t="inlineStr">
        <is>
          <t>EUR</t>
        </is>
      </c>
      <c r="C727" s="196" t="inlineStr">
        <is>
          <t>EURO</t>
        </is>
      </c>
      <c r="D727" s="184" t="n">
        <v>29272.94</v>
      </c>
      <c r="E727" s="184" t="n">
        <v>29568.63</v>
      </c>
      <c r="F727" s="184" t="n">
        <v>30816.65</v>
      </c>
      <c r="G727" s="184" t="n">
        <v>30192.64</v>
      </c>
    </row>
    <row r="728">
      <c r="A728" s="194" t="inlineStr">
        <is>
          <t>2026-08-13 18:00:10</t>
        </is>
      </c>
      <c r="B728" s="194" t="inlineStr">
        <is>
          <t>GBP</t>
        </is>
      </c>
      <c r="C728" s="194" t="inlineStr">
        <is>
          <t>POUND STERLING</t>
        </is>
      </c>
      <c r="D728" s="195" t="n">
        <v>34265.19</v>
      </c>
      <c r="E728" s="195" t="n">
        <v>34611.3</v>
      </c>
      <c r="F728" s="195" t="n">
        <v>35720.24</v>
      </c>
      <c r="G728" s="195" t="n">
        <v>35165.77</v>
      </c>
    </row>
    <row r="729">
      <c r="A729" s="196" t="inlineStr">
        <is>
          <t>2026-08-13 18:00:10</t>
        </is>
      </c>
      <c r="B729" s="196" t="inlineStr">
        <is>
          <t>HKD</t>
        </is>
      </c>
      <c r="C729" s="196" t="inlineStr">
        <is>
          <t>HONGKONG DOLLAR</t>
        </is>
      </c>
      <c r="D729" s="184" t="n">
        <v>3227.44</v>
      </c>
      <c r="E729" s="184" t="n">
        <v>3260.04</v>
      </c>
      <c r="F729" s="184" t="n">
        <v>3384.74</v>
      </c>
      <c r="G729" s="184" t="n">
        <v>3322.39</v>
      </c>
    </row>
    <row r="730">
      <c r="A730" s="194" t="inlineStr">
        <is>
          <t>2026-08-13 18:00:10</t>
        </is>
      </c>
      <c r="B730" s="194" t="inlineStr">
        <is>
          <t>INR</t>
        </is>
      </c>
      <c r="C730" s="194" t="inlineStr">
        <is>
          <t>INDIAN RUPEE</t>
        </is>
      </c>
      <c r="D730" s="195" t="n"/>
      <c r="E730" s="195" t="n">
        <v>271.8</v>
      </c>
      <c r="F730" s="195" t="n">
        <v>283.5</v>
      </c>
      <c r="G730" s="195" t="n">
        <v>277.65</v>
      </c>
    </row>
    <row r="731">
      <c r="A731" s="196" t="inlineStr">
        <is>
          <t>2026-08-13 18:00:10</t>
        </is>
      </c>
      <c r="B731" s="196" t="inlineStr">
        <is>
          <t>JPY</t>
        </is>
      </c>
      <c r="C731" s="196" t="inlineStr">
        <is>
          <t>YEN</t>
        </is>
      </c>
      <c r="D731" s="184" t="n">
        <v>157.89</v>
      </c>
      <c r="E731" s="184" t="n">
        <v>159.49</v>
      </c>
      <c r="F731" s="184" t="n">
        <v>168.79</v>
      </c>
      <c r="G731" s="184" t="n">
        <v>164.14</v>
      </c>
    </row>
    <row r="732">
      <c r="A732" s="194" t="inlineStr">
        <is>
          <t>2026-08-13 18:00:10</t>
        </is>
      </c>
      <c r="B732" s="194" t="inlineStr">
        <is>
          <t>KRW</t>
        </is>
      </c>
      <c r="C732" s="194" t="inlineStr">
        <is>
          <t>KOREAN WON</t>
        </is>
      </c>
      <c r="D732" s="195" t="n">
        <v>15.95</v>
      </c>
      <c r="E732" s="195" t="n">
        <v>17.73</v>
      </c>
      <c r="F732" s="195" t="n">
        <v>19.23</v>
      </c>
      <c r="G732" s="195" t="n">
        <v>18.48</v>
      </c>
    </row>
    <row r="733">
      <c r="A733" s="196" t="inlineStr">
        <is>
          <t>2026-08-13 18:00:10</t>
        </is>
      </c>
      <c r="B733" s="196" t="inlineStr">
        <is>
          <t>KWD</t>
        </is>
      </c>
      <c r="C733" s="196" t="inlineStr">
        <is>
          <t>KUWAITI DINAR</t>
        </is>
      </c>
      <c r="D733" s="184" t="n"/>
      <c r="E733" s="184" t="n">
        <v>84343.91</v>
      </c>
      <c r="F733" s="184" t="n">
        <v>88433.16</v>
      </c>
      <c r="G733" s="184" t="n">
        <v>86388.53999999999</v>
      </c>
    </row>
    <row r="734">
      <c r="A734" s="194" t="inlineStr">
        <is>
          <t>2026-08-13 18:00:10</t>
        </is>
      </c>
      <c r="B734" s="194" t="inlineStr">
        <is>
          <t>MYR</t>
        </is>
      </c>
      <c r="C734" s="194" t="inlineStr">
        <is>
          <t>MALAYSIAN RINGGIT</t>
        </is>
      </c>
      <c r="D734" s="195" t="n"/>
      <c r="E734" s="195" t="n">
        <v>6315.29</v>
      </c>
      <c r="F734" s="195" t="n">
        <v>6452.77</v>
      </c>
      <c r="G734" s="195" t="n">
        <v>6384.03</v>
      </c>
    </row>
    <row r="735">
      <c r="A735" s="196" t="inlineStr">
        <is>
          <t>2026-08-13 18:00:10</t>
        </is>
      </c>
      <c r="B735" s="196" t="inlineStr">
        <is>
          <t>NOK</t>
        </is>
      </c>
      <c r="C735" s="196" t="inlineStr">
        <is>
          <t>NORWEGIAN KRONER</t>
        </is>
      </c>
      <c r="D735" s="184" t="n"/>
      <c r="E735" s="184" t="n">
        <v>2689.43</v>
      </c>
      <c r="F735" s="184" t="n">
        <v>2803.5</v>
      </c>
      <c r="G735" s="184" t="n">
        <v>2746.46</v>
      </c>
    </row>
    <row r="736">
      <c r="A736" s="194" t="inlineStr">
        <is>
          <t>2026-08-13 18:00:10</t>
        </is>
      </c>
      <c r="B736" s="194" t="inlineStr">
        <is>
          <t>RUB</t>
        </is>
      </c>
      <c r="C736" s="194" t="inlineStr">
        <is>
          <t>RUSSIAN RUBLE</t>
        </is>
      </c>
      <c r="D736" s="195" t="n"/>
      <c r="E736" s="195" t="n">
        <v>299.88</v>
      </c>
      <c r="F736" s="195" t="n">
        <v>331.95</v>
      </c>
      <c r="G736" s="195" t="n">
        <v>315.91</v>
      </c>
    </row>
    <row r="737">
      <c r="A737" s="196" t="inlineStr">
        <is>
          <t>2026-08-13 18:00:10</t>
        </is>
      </c>
      <c r="B737" s="196" t="inlineStr">
        <is>
          <t>SAR</t>
        </is>
      </c>
      <c r="C737" s="196" t="inlineStr">
        <is>
          <t>SAUDI RIAL</t>
        </is>
      </c>
      <c r="D737" s="184" t="n"/>
      <c r="E737" s="184" t="n">
        <v>6901.36</v>
      </c>
      <c r="F737" s="184" t="n">
        <v>7198.46</v>
      </c>
      <c r="G737" s="184" t="n">
        <v>7049.91</v>
      </c>
    </row>
    <row r="738">
      <c r="A738" s="194" t="inlineStr">
        <is>
          <t>2026-08-13 18:00:10</t>
        </is>
      </c>
      <c r="B738" s="194" t="inlineStr">
        <is>
          <t>SEK</t>
        </is>
      </c>
      <c r="C738" s="194" t="inlineStr">
        <is>
          <t>SWEDISH KRONA</t>
        </is>
      </c>
      <c r="D738" s="195" t="n"/>
      <c r="E738" s="195" t="n">
        <v>2665.76</v>
      </c>
      <c r="F738" s="195" t="n">
        <v>2778.82</v>
      </c>
      <c r="G738" s="195" t="n">
        <v>2722.29</v>
      </c>
    </row>
    <row r="739">
      <c r="A739" s="196" t="inlineStr">
        <is>
          <t>2026-08-13 18:00:10</t>
        </is>
      </c>
      <c r="B739" s="196" t="inlineStr">
        <is>
          <t>SGD</t>
        </is>
      </c>
      <c r="C739" s="196" t="inlineStr">
        <is>
          <t>SINGAPORE DOLLAR</t>
        </is>
      </c>
      <c r="D739" s="184" t="n">
        <v>19829.34</v>
      </c>
      <c r="E739" s="184" t="n">
        <v>20029.64</v>
      </c>
      <c r="F739" s="184" t="n">
        <v>20712.77</v>
      </c>
      <c r="G739" s="184" t="n">
        <v>20371.21</v>
      </c>
    </row>
    <row r="740">
      <c r="A740" s="194" t="inlineStr">
        <is>
          <t>2026-08-13 18:00:10</t>
        </is>
      </c>
      <c r="B740" s="194" t="inlineStr">
        <is>
          <t>THB</t>
        </is>
      </c>
      <c r="C740" s="194" t="inlineStr">
        <is>
          <t>THAILAND BAHT</t>
        </is>
      </c>
      <c r="D740" s="195" t="n">
        <v>694.99</v>
      </c>
      <c r="E740" s="195" t="n">
        <v>772.21</v>
      </c>
      <c r="F740" s="195" t="n">
        <v>804.97</v>
      </c>
      <c r="G740" s="195" t="n">
        <v>788.59</v>
      </c>
    </row>
    <row r="741">
      <c r="A741" s="196" t="inlineStr">
        <is>
          <t>2026-08-13 18:00:10</t>
        </is>
      </c>
      <c r="B741" s="196" t="inlineStr">
        <is>
          <t>USD</t>
        </is>
      </c>
      <c r="C741" s="196" t="inlineStr">
        <is>
          <t>US DOLLAR</t>
        </is>
      </c>
      <c r="D741" s="184" t="n">
        <v>25840</v>
      </c>
      <c r="E741" s="184" t="n">
        <v>25870</v>
      </c>
      <c r="F741" s="184" t="n">
        <v>26250</v>
      </c>
      <c r="G741" s="184" t="n">
        <v>26060</v>
      </c>
    </row>
    <row r="742">
      <c r="A742" s="194" t="inlineStr">
        <is>
          <t>2026-08-12 18:00:00</t>
        </is>
      </c>
      <c r="B742" s="194" t="inlineStr">
        <is>
          <t>AUD</t>
        </is>
      </c>
      <c r="C742" s="194" t="inlineStr">
        <is>
          <t>AUSTRALIAN DOLLAR</t>
        </is>
      </c>
      <c r="D742" s="195" t="n">
        <v>17948.78</v>
      </c>
      <c r="E742" s="195" t="n">
        <v>18130.09</v>
      </c>
      <c r="F742" s="195" t="n">
        <v>18710.95</v>
      </c>
      <c r="G742" s="195" t="n">
        <v>18420.52</v>
      </c>
    </row>
    <row r="743">
      <c r="A743" s="196" t="inlineStr">
        <is>
          <t>2026-08-12 18:00:00</t>
        </is>
      </c>
      <c r="B743" s="196" t="inlineStr">
        <is>
          <t>CAD</t>
        </is>
      </c>
      <c r="C743" s="196" t="inlineStr">
        <is>
          <t>CANADIAN DOLLAR</t>
        </is>
      </c>
      <c r="D743" s="184" t="n">
        <v>18247.04</v>
      </c>
      <c r="E743" s="184" t="n">
        <v>18431.35</v>
      </c>
      <c r="F743" s="184" t="n">
        <v>19021.87</v>
      </c>
      <c r="G743" s="184" t="n">
        <v>18726.61</v>
      </c>
    </row>
    <row r="744">
      <c r="A744" s="194" t="inlineStr">
        <is>
          <t>2026-08-12 18:00:00</t>
        </is>
      </c>
      <c r="B744" s="194" t="inlineStr">
        <is>
          <t>CHF</t>
        </is>
      </c>
      <c r="C744" s="194" t="inlineStr">
        <is>
          <t>SWISS FRANC</t>
        </is>
      </c>
      <c r="D744" s="195" t="n">
        <v>31299.26</v>
      </c>
      <c r="E744" s="195" t="n">
        <v>31615.41</v>
      </c>
      <c r="F744" s="195" t="n">
        <v>32628.32</v>
      </c>
      <c r="G744" s="195" t="n">
        <v>32121.86</v>
      </c>
    </row>
    <row r="745">
      <c r="A745" s="196" t="inlineStr">
        <is>
          <t>2026-08-12 18:00:00</t>
        </is>
      </c>
      <c r="B745" s="196" t="inlineStr">
        <is>
          <t>CNY</t>
        </is>
      </c>
      <c r="C745" s="196" t="inlineStr">
        <is>
          <t>YUAN RENMINBI</t>
        </is>
      </c>
      <c r="D745" s="184" t="n">
        <v>3769.11</v>
      </c>
      <c r="E745" s="184" t="n">
        <v>3807.18</v>
      </c>
      <c r="F745" s="184" t="n">
        <v>3929.16</v>
      </c>
      <c r="G745" s="184" t="n">
        <v>3868.17</v>
      </c>
    </row>
    <row r="746">
      <c r="A746" s="194" t="inlineStr">
        <is>
          <t>2026-08-12 18:00:00</t>
        </is>
      </c>
      <c r="B746" s="194" t="inlineStr">
        <is>
          <t>DKK</t>
        </is>
      </c>
      <c r="C746" s="194" t="inlineStr">
        <is>
          <t>DANISH KRONE</t>
        </is>
      </c>
      <c r="D746" s="195" t="n"/>
      <c r="E746" s="195" t="n">
        <v>3952.51</v>
      </c>
      <c r="F746" s="195" t="n">
        <v>4103.7</v>
      </c>
      <c r="G746" s="195" t="n">
        <v>4028.1</v>
      </c>
    </row>
    <row r="747">
      <c r="A747" s="196" t="inlineStr">
        <is>
          <t>2026-08-12 18:00:00</t>
        </is>
      </c>
      <c r="B747" s="196" t="inlineStr">
        <is>
          <t>EUR</t>
        </is>
      </c>
      <c r="C747" s="196" t="inlineStr">
        <is>
          <t>EURO</t>
        </is>
      </c>
      <c r="D747" s="184" t="n">
        <v>29328.46</v>
      </c>
      <c r="E747" s="184" t="n">
        <v>29624.71</v>
      </c>
      <c r="F747" s="184" t="n">
        <v>30875.06</v>
      </c>
      <c r="G747" s="184" t="n">
        <v>30249.88</v>
      </c>
    </row>
    <row r="748">
      <c r="A748" s="194" t="inlineStr">
        <is>
          <t>2026-08-12 18:00:00</t>
        </is>
      </c>
      <c r="B748" s="194" t="inlineStr">
        <is>
          <t>GBP</t>
        </is>
      </c>
      <c r="C748" s="194" t="inlineStr">
        <is>
          <t>POUND STERLING</t>
        </is>
      </c>
      <c r="D748" s="195" t="n">
        <v>34349.95</v>
      </c>
      <c r="E748" s="195" t="n">
        <v>34696.92</v>
      </c>
      <c r="F748" s="195" t="n">
        <v>35808.56</v>
      </c>
      <c r="G748" s="195" t="n">
        <v>35252.74</v>
      </c>
    </row>
    <row r="749">
      <c r="A749" s="196" t="inlineStr">
        <is>
          <t>2026-08-12 18:00:00</t>
        </is>
      </c>
      <c r="B749" s="196" t="inlineStr">
        <is>
          <t>HKD</t>
        </is>
      </c>
      <c r="C749" s="196" t="inlineStr">
        <is>
          <t>HONGKONG DOLLAR</t>
        </is>
      </c>
      <c r="D749" s="184" t="n">
        <v>3229.59</v>
      </c>
      <c r="E749" s="184" t="n">
        <v>3262.21</v>
      </c>
      <c r="F749" s="184" t="n">
        <v>3386.99</v>
      </c>
      <c r="G749" s="184" t="n">
        <v>3324.6</v>
      </c>
    </row>
    <row r="750">
      <c r="A750" s="194" t="inlineStr">
        <is>
          <t>2026-08-12 18:00:00</t>
        </is>
      </c>
      <c r="B750" s="194" t="inlineStr">
        <is>
          <t>INR</t>
        </is>
      </c>
      <c r="C750" s="194" t="inlineStr">
        <is>
          <t>INDIAN RUPEE</t>
        </is>
      </c>
      <c r="D750" s="195" t="n"/>
      <c r="E750" s="195" t="n">
        <v>271.88</v>
      </c>
      <c r="F750" s="195" t="n">
        <v>283.58</v>
      </c>
      <c r="G750" s="195" t="n">
        <v>277.73</v>
      </c>
    </row>
    <row r="751">
      <c r="A751" s="196" t="inlineStr">
        <is>
          <t>2026-08-12 18:00:00</t>
        </is>
      </c>
      <c r="B751" s="196" t="inlineStr">
        <is>
          <t>JPY</t>
        </is>
      </c>
      <c r="C751" s="196" t="inlineStr">
        <is>
          <t>YEN</t>
        </is>
      </c>
      <c r="D751" s="184" t="n">
        <v>158.07</v>
      </c>
      <c r="E751" s="184" t="n">
        <v>159.67</v>
      </c>
      <c r="F751" s="184" t="n">
        <v>168.98</v>
      </c>
      <c r="G751" s="184" t="n">
        <v>164.32</v>
      </c>
    </row>
    <row r="752">
      <c r="A752" s="194" t="inlineStr">
        <is>
          <t>2026-08-12 18:00:00</t>
        </is>
      </c>
      <c r="B752" s="194" t="inlineStr">
        <is>
          <t>KRW</t>
        </is>
      </c>
      <c r="C752" s="194" t="inlineStr">
        <is>
          <t>KOREAN WON</t>
        </is>
      </c>
      <c r="D752" s="195" t="n">
        <v>15.93</v>
      </c>
      <c r="E752" s="195" t="n">
        <v>17.7</v>
      </c>
      <c r="F752" s="195" t="n">
        <v>19.2</v>
      </c>
      <c r="G752" s="195" t="n">
        <v>18.45</v>
      </c>
    </row>
    <row r="753">
      <c r="A753" s="196" t="inlineStr">
        <is>
          <t>2026-08-12 18:00:00</t>
        </is>
      </c>
      <c r="B753" s="196" t="inlineStr">
        <is>
          <t>KWD</t>
        </is>
      </c>
      <c r="C753" s="196" t="inlineStr">
        <is>
          <t>KUWAITI DINAR</t>
        </is>
      </c>
      <c r="D753" s="184" t="n"/>
      <c r="E753" s="184" t="n">
        <v>84408.69</v>
      </c>
      <c r="F753" s="184" t="n">
        <v>88500.98</v>
      </c>
      <c r="G753" s="184" t="n">
        <v>86454.84</v>
      </c>
    </row>
    <row r="754">
      <c r="A754" s="194" t="inlineStr">
        <is>
          <t>2026-08-12 18:00:00</t>
        </is>
      </c>
      <c r="B754" s="194" t="inlineStr">
        <is>
          <t>MYR</t>
        </is>
      </c>
      <c r="C754" s="194" t="inlineStr">
        <is>
          <t>MALAYSIAN RINGGIT</t>
        </is>
      </c>
      <c r="D754" s="195" t="n"/>
      <c r="E754" s="195" t="n">
        <v>6316.27</v>
      </c>
      <c r="F754" s="195" t="n">
        <v>6453.77</v>
      </c>
      <c r="G754" s="195" t="n">
        <v>6385.02</v>
      </c>
    </row>
    <row r="755">
      <c r="A755" s="196" t="inlineStr">
        <is>
          <t>2026-08-12 18:00:00</t>
        </is>
      </c>
      <c r="B755" s="196" t="inlineStr">
        <is>
          <t>NOK</t>
        </is>
      </c>
      <c r="C755" s="196" t="inlineStr">
        <is>
          <t>NORWEGIAN KRONER</t>
        </is>
      </c>
      <c r="D755" s="184" t="n"/>
      <c r="E755" s="184" t="n">
        <v>2691.52</v>
      </c>
      <c r="F755" s="184" t="n">
        <v>2805.68</v>
      </c>
      <c r="G755" s="184" t="n">
        <v>2748.6</v>
      </c>
    </row>
    <row r="756">
      <c r="A756" s="194" t="inlineStr">
        <is>
          <t>2026-08-12 18:00:00</t>
        </is>
      </c>
      <c r="B756" s="194" t="inlineStr">
        <is>
          <t>RUB</t>
        </is>
      </c>
      <c r="C756" s="194" t="inlineStr">
        <is>
          <t>RUSSIAN RUBLE</t>
        </is>
      </c>
      <c r="D756" s="195" t="n"/>
      <c r="E756" s="195" t="n">
        <v>299.02</v>
      </c>
      <c r="F756" s="195" t="n">
        <v>331.01</v>
      </c>
      <c r="G756" s="195" t="n">
        <v>315.02</v>
      </c>
    </row>
    <row r="757">
      <c r="A757" s="196" t="inlineStr">
        <is>
          <t>2026-08-12 18:00:00</t>
        </is>
      </c>
      <c r="B757" s="196" t="inlineStr">
        <is>
          <t>SAR</t>
        </is>
      </c>
      <c r="C757" s="196" t="inlineStr">
        <is>
          <t>SAUDI RIAL</t>
        </is>
      </c>
      <c r="D757" s="184" t="n"/>
      <c r="E757" s="184" t="n">
        <v>6906.66</v>
      </c>
      <c r="F757" s="184" t="n">
        <v>7203.98</v>
      </c>
      <c r="G757" s="184" t="n">
        <v>7055.32</v>
      </c>
    </row>
    <row r="758">
      <c r="A758" s="194" t="inlineStr">
        <is>
          <t>2026-08-12 18:00:00</t>
        </is>
      </c>
      <c r="B758" s="194" t="inlineStr">
        <is>
          <t>SEK</t>
        </is>
      </c>
      <c r="C758" s="194" t="inlineStr">
        <is>
          <t>SWEDISH KRONA</t>
        </is>
      </c>
      <c r="D758" s="195" t="n"/>
      <c r="E758" s="195" t="n">
        <v>2679.92</v>
      </c>
      <c r="F758" s="195" t="n">
        <v>2793.59</v>
      </c>
      <c r="G758" s="195" t="n">
        <v>2736.76</v>
      </c>
    </row>
    <row r="759">
      <c r="A759" s="196" t="inlineStr">
        <is>
          <t>2026-08-12 18:00:00</t>
        </is>
      </c>
      <c r="B759" s="196" t="inlineStr">
        <is>
          <t>SGD</t>
        </is>
      </c>
      <c r="C759" s="196" t="inlineStr">
        <is>
          <t>SINGAPORE DOLLAR</t>
        </is>
      </c>
      <c r="D759" s="184" t="n">
        <v>19841.47</v>
      </c>
      <c r="E759" s="184" t="n">
        <v>20041.89</v>
      </c>
      <c r="F759" s="184" t="n">
        <v>20725.42</v>
      </c>
      <c r="G759" s="184" t="n">
        <v>20383.66</v>
      </c>
    </row>
    <row r="760">
      <c r="A760" s="194" t="inlineStr">
        <is>
          <t>2026-08-12 18:00:00</t>
        </is>
      </c>
      <c r="B760" s="194" t="inlineStr">
        <is>
          <t>THB</t>
        </is>
      </c>
      <c r="C760" s="194" t="inlineStr">
        <is>
          <t>THAILAND BAHT</t>
        </is>
      </c>
      <c r="D760" s="195" t="n">
        <v>695.74</v>
      </c>
      <c r="E760" s="195" t="n">
        <v>773.04</v>
      </c>
      <c r="F760" s="195" t="n">
        <v>805.83</v>
      </c>
      <c r="G760" s="195" t="n">
        <v>789.4400000000001</v>
      </c>
    </row>
    <row r="761">
      <c r="A761" s="196" t="inlineStr">
        <is>
          <t>2026-08-12 18:00:00</t>
        </is>
      </c>
      <c r="B761" s="196" t="inlineStr">
        <is>
          <t>USD</t>
        </is>
      </c>
      <c r="C761" s="196" t="inlineStr">
        <is>
          <t>US DOLLAR</t>
        </is>
      </c>
      <c r="D761" s="184" t="n">
        <v>25860</v>
      </c>
      <c r="E761" s="184" t="n">
        <v>25890</v>
      </c>
      <c r="F761" s="184" t="n">
        <v>26270</v>
      </c>
      <c r="G761" s="184" t="n">
        <v>26080</v>
      </c>
    </row>
    <row r="762">
      <c r="A762" s="194" t="inlineStr">
        <is>
          <t>2026-08-11 18:00:00</t>
        </is>
      </c>
      <c r="B762" s="194" t="inlineStr">
        <is>
          <t>AUD</t>
        </is>
      </c>
      <c r="C762" s="194" t="inlineStr">
        <is>
          <t>AUSTRALIAN DOLLAR</t>
        </is>
      </c>
      <c r="D762" s="195" t="n">
        <v>17965.4</v>
      </c>
      <c r="E762" s="195" t="n">
        <v>18146.87</v>
      </c>
      <c r="F762" s="195" t="n">
        <v>18728.21</v>
      </c>
      <c r="G762" s="195" t="n">
        <v>18437.54</v>
      </c>
    </row>
    <row r="763">
      <c r="A763" s="196" t="inlineStr">
        <is>
          <t>2026-08-11 18:00:00</t>
        </is>
      </c>
      <c r="B763" s="196" t="inlineStr">
        <is>
          <t>CAD</t>
        </is>
      </c>
      <c r="C763" s="196" t="inlineStr">
        <is>
          <t>CANADIAN DOLLAR</t>
        </is>
      </c>
      <c r="D763" s="184" t="n">
        <v>18282.05</v>
      </c>
      <c r="E763" s="184" t="n">
        <v>18466.72</v>
      </c>
      <c r="F763" s="184" t="n">
        <v>19058.31</v>
      </c>
      <c r="G763" s="184" t="n">
        <v>18762.52</v>
      </c>
    </row>
    <row r="764">
      <c r="A764" s="194" t="inlineStr">
        <is>
          <t>2026-08-11 18:00:00</t>
        </is>
      </c>
      <c r="B764" s="194" t="inlineStr">
        <is>
          <t>CHF</t>
        </is>
      </c>
      <c r="C764" s="194" t="inlineStr">
        <is>
          <t>SWISS FRANC</t>
        </is>
      </c>
      <c r="D764" s="195" t="n">
        <v>31456.15</v>
      </c>
      <c r="E764" s="195" t="n">
        <v>31773.89</v>
      </c>
      <c r="F764" s="195" t="n">
        <v>32791.78</v>
      </c>
      <c r="G764" s="195" t="n">
        <v>32282.84</v>
      </c>
    </row>
    <row r="765">
      <c r="A765" s="196" t="inlineStr">
        <is>
          <t>2026-08-11 18:00:00</t>
        </is>
      </c>
      <c r="B765" s="196" t="inlineStr">
        <is>
          <t>CNY</t>
        </is>
      </c>
      <c r="C765" s="196" t="inlineStr">
        <is>
          <t>YUAN RENMINBI</t>
        </is>
      </c>
      <c r="D765" s="184" t="n">
        <v>3775.84</v>
      </c>
      <c r="E765" s="184" t="n">
        <v>3813.98</v>
      </c>
      <c r="F765" s="184" t="n">
        <v>3936.16</v>
      </c>
      <c r="G765" s="184" t="n">
        <v>3875.07</v>
      </c>
    </row>
    <row r="766">
      <c r="A766" s="194" t="inlineStr">
        <is>
          <t>2026-08-11 18:00:00</t>
        </is>
      </c>
      <c r="B766" s="194" t="inlineStr">
        <is>
          <t>DKK</t>
        </is>
      </c>
      <c r="C766" s="194" t="inlineStr">
        <is>
          <t>DANISH KRONE</t>
        </is>
      </c>
      <c r="D766" s="195" t="n"/>
      <c r="E766" s="195" t="n">
        <v>3962.05</v>
      </c>
      <c r="F766" s="195" t="n">
        <v>4113.59</v>
      </c>
      <c r="G766" s="195" t="n">
        <v>4037.82</v>
      </c>
    </row>
    <row r="767">
      <c r="A767" s="196" t="inlineStr">
        <is>
          <t>2026-08-11 18:00:00</t>
        </is>
      </c>
      <c r="B767" s="196" t="inlineStr">
        <is>
          <t>EUR</t>
        </is>
      </c>
      <c r="C767" s="196" t="inlineStr">
        <is>
          <t>EURO</t>
        </is>
      </c>
      <c r="D767" s="184" t="n">
        <v>29400.01</v>
      </c>
      <c r="E767" s="184" t="n">
        <v>29696.98</v>
      </c>
      <c r="F767" s="184" t="n">
        <v>30950.29</v>
      </c>
      <c r="G767" s="184" t="n">
        <v>30323.64</v>
      </c>
    </row>
    <row r="768">
      <c r="A768" s="194" t="inlineStr">
        <is>
          <t>2026-08-11 18:00:00</t>
        </is>
      </c>
      <c r="B768" s="194" t="inlineStr">
        <is>
          <t>GBP</t>
        </is>
      </c>
      <c r="C768" s="194" t="inlineStr">
        <is>
          <t>POUND STERLING</t>
        </is>
      </c>
      <c r="D768" s="195" t="n">
        <v>34400.58</v>
      </c>
      <c r="E768" s="195" t="n">
        <v>34748.06</v>
      </c>
      <c r="F768" s="195" t="n">
        <v>35861.23</v>
      </c>
      <c r="G768" s="195" t="n">
        <v>35304.65</v>
      </c>
    </row>
    <row r="769">
      <c r="A769" s="196" t="inlineStr">
        <is>
          <t>2026-08-11 18:00:00</t>
        </is>
      </c>
      <c r="B769" s="196" t="inlineStr">
        <is>
          <t>HKD</t>
        </is>
      </c>
      <c r="C769" s="196" t="inlineStr">
        <is>
          <t>HONGKONG DOLLAR</t>
        </is>
      </c>
      <c r="D769" s="184" t="n">
        <v>3236.65</v>
      </c>
      <c r="E769" s="184" t="n">
        <v>3269.34</v>
      </c>
      <c r="F769" s="184" t="n">
        <v>3394.39</v>
      </c>
      <c r="G769" s="184" t="n">
        <v>3331.86</v>
      </c>
    </row>
    <row r="770">
      <c r="A770" s="194" t="inlineStr">
        <is>
          <t>2026-08-11 18:00:00</t>
        </is>
      </c>
      <c r="B770" s="194" t="inlineStr">
        <is>
          <t>INR</t>
        </is>
      </c>
      <c r="C770" s="194" t="inlineStr">
        <is>
          <t>INDIAN RUPEE</t>
        </is>
      </c>
      <c r="D770" s="195" t="n"/>
      <c r="E770" s="195" t="n">
        <v>272.61</v>
      </c>
      <c r="F770" s="195" t="n">
        <v>284.35</v>
      </c>
      <c r="G770" s="195" t="n">
        <v>278.48</v>
      </c>
    </row>
    <row r="771">
      <c r="A771" s="196" t="inlineStr">
        <is>
          <t>2026-08-11 18:00:00</t>
        </is>
      </c>
      <c r="B771" s="196" t="inlineStr">
        <is>
          <t>JPY</t>
        </is>
      </c>
      <c r="C771" s="196" t="inlineStr">
        <is>
          <t>YEN</t>
        </is>
      </c>
      <c r="D771" s="184" t="n">
        <v>158.53</v>
      </c>
      <c r="E771" s="184" t="n">
        <v>160.13</v>
      </c>
      <c r="F771" s="184" t="n">
        <v>169.47</v>
      </c>
      <c r="G771" s="184" t="n">
        <v>164.8</v>
      </c>
    </row>
    <row r="772">
      <c r="A772" s="194" t="inlineStr">
        <is>
          <t>2026-08-11 18:00:00</t>
        </is>
      </c>
      <c r="B772" s="194" t="inlineStr">
        <is>
          <t>KRW</t>
        </is>
      </c>
      <c r="C772" s="194" t="inlineStr">
        <is>
          <t>KOREAN WON</t>
        </is>
      </c>
      <c r="D772" s="195" t="n">
        <v>15.98</v>
      </c>
      <c r="E772" s="195" t="n">
        <v>17.75</v>
      </c>
      <c r="F772" s="195" t="n">
        <v>19.26</v>
      </c>
      <c r="G772" s="195" t="n">
        <v>18.51</v>
      </c>
    </row>
    <row r="773">
      <c r="A773" s="196" t="inlineStr">
        <is>
          <t>2026-08-11 18:00:00</t>
        </is>
      </c>
      <c r="B773" s="196" t="inlineStr">
        <is>
          <t>KWD</t>
        </is>
      </c>
      <c r="C773" s="196" t="inlineStr">
        <is>
          <t>KUWAITI DINAR</t>
        </is>
      </c>
      <c r="D773" s="184" t="n"/>
      <c r="E773" s="184" t="n">
        <v>84625.73</v>
      </c>
      <c r="F773" s="184" t="n">
        <v>88728.28</v>
      </c>
      <c r="G773" s="184" t="n">
        <v>86677</v>
      </c>
    </row>
    <row r="774">
      <c r="A774" s="194" t="inlineStr">
        <is>
          <t>2026-08-11 18:00:00</t>
        </is>
      </c>
      <c r="B774" s="194" t="inlineStr">
        <is>
          <t>MYR</t>
        </is>
      </c>
      <c r="C774" s="194" t="inlineStr">
        <is>
          <t>MALAYSIAN RINGGIT</t>
        </is>
      </c>
      <c r="D774" s="195" t="n"/>
      <c r="E774" s="195" t="n">
        <v>6319.11</v>
      </c>
      <c r="F774" s="195" t="n">
        <v>6456.65</v>
      </c>
      <c r="G774" s="195" t="n">
        <v>6387.88</v>
      </c>
    </row>
    <row r="775">
      <c r="A775" s="196" t="inlineStr">
        <is>
          <t>2026-08-11 18:00:00</t>
        </is>
      </c>
      <c r="B775" s="196" t="inlineStr">
        <is>
          <t>NOK</t>
        </is>
      </c>
      <c r="C775" s="196" t="inlineStr">
        <is>
          <t>NORWEGIAN KRONER</t>
        </is>
      </c>
      <c r="D775" s="184" t="n"/>
      <c r="E775" s="184" t="n">
        <v>2697.34</v>
      </c>
      <c r="F775" s="184" t="n">
        <v>2811.74</v>
      </c>
      <c r="G775" s="184" t="n">
        <v>2754.54</v>
      </c>
    </row>
    <row r="776">
      <c r="A776" s="194" t="inlineStr">
        <is>
          <t>2026-08-11 18:00:00</t>
        </is>
      </c>
      <c r="B776" s="194" t="inlineStr">
        <is>
          <t>RUB</t>
        </is>
      </c>
      <c r="C776" s="194" t="inlineStr">
        <is>
          <t>RUSSIAN RUBLE</t>
        </is>
      </c>
      <c r="D776" s="195" t="n"/>
      <c r="E776" s="195" t="n">
        <v>301.41</v>
      </c>
      <c r="F776" s="195" t="n">
        <v>333.65</v>
      </c>
      <c r="G776" s="195" t="n">
        <v>317.53</v>
      </c>
    </row>
    <row r="777">
      <c r="A777" s="196" t="inlineStr">
        <is>
          <t>2026-08-11 18:00:00</t>
        </is>
      </c>
      <c r="B777" s="196" t="inlineStr">
        <is>
          <t>SAR</t>
        </is>
      </c>
      <c r="C777" s="196" t="inlineStr">
        <is>
          <t>SAUDI RIAL</t>
        </is>
      </c>
      <c r="D777" s="184" t="n"/>
      <c r="E777" s="184" t="n">
        <v>6919.17</v>
      </c>
      <c r="F777" s="184" t="n">
        <v>7217.01</v>
      </c>
      <c r="G777" s="184" t="n">
        <v>7068.09</v>
      </c>
    </row>
    <row r="778">
      <c r="A778" s="194" t="inlineStr">
        <is>
          <t>2026-08-11 18:00:00</t>
        </is>
      </c>
      <c r="B778" s="194" t="inlineStr">
        <is>
          <t>SEK</t>
        </is>
      </c>
      <c r="C778" s="194" t="inlineStr">
        <is>
          <t>SWEDISH KRONA</t>
        </is>
      </c>
      <c r="D778" s="195" t="n"/>
      <c r="E778" s="195" t="n">
        <v>2699.33</v>
      </c>
      <c r="F778" s="195" t="n">
        <v>2813.81</v>
      </c>
      <c r="G778" s="195" t="n">
        <v>2756.57</v>
      </c>
    </row>
    <row r="779">
      <c r="A779" s="196" t="inlineStr">
        <is>
          <t>2026-08-11 18:00:00</t>
        </is>
      </c>
      <c r="B779" s="196" t="inlineStr">
        <is>
          <t>SGD</t>
        </is>
      </c>
      <c r="C779" s="196" t="inlineStr">
        <is>
          <t>SINGAPORE DOLLAR</t>
        </is>
      </c>
      <c r="D779" s="184" t="n">
        <v>19876.43</v>
      </c>
      <c r="E779" s="184" t="n">
        <v>20077.2</v>
      </c>
      <c r="F779" s="184" t="n">
        <v>20761.88</v>
      </c>
      <c r="G779" s="184" t="n">
        <v>20419.54</v>
      </c>
    </row>
    <row r="780">
      <c r="A780" s="194" t="inlineStr">
        <is>
          <t>2026-08-11 18:00:00</t>
        </is>
      </c>
      <c r="B780" s="194" t="inlineStr">
        <is>
          <t>THB</t>
        </is>
      </c>
      <c r="C780" s="194" t="inlineStr">
        <is>
          <t>THAILAND BAHT</t>
        </is>
      </c>
      <c r="D780" s="195" t="n">
        <v>698.55</v>
      </c>
      <c r="E780" s="195" t="n">
        <v>776.17</v>
      </c>
      <c r="F780" s="195" t="n">
        <v>809.09</v>
      </c>
      <c r="G780" s="195" t="n">
        <v>792.63</v>
      </c>
    </row>
    <row r="781">
      <c r="A781" s="196" t="inlineStr">
        <is>
          <t>2026-08-11 18:00:00</t>
        </is>
      </c>
      <c r="B781" s="196" t="inlineStr">
        <is>
          <t>USD</t>
        </is>
      </c>
      <c r="C781" s="196" t="inlineStr">
        <is>
          <t>US DOLLAR</t>
        </is>
      </c>
      <c r="D781" s="184" t="n">
        <v>25910</v>
      </c>
      <c r="E781" s="184" t="n">
        <v>25940</v>
      </c>
      <c r="F781" s="184" t="n">
        <v>26320</v>
      </c>
      <c r="G781" s="184" t="n">
        <v>26130</v>
      </c>
    </row>
    <row r="782">
      <c r="A782" s="194" t="inlineStr">
        <is>
          <t>2026-08-10 18:00:00</t>
        </is>
      </c>
      <c r="B782" s="194" t="inlineStr">
        <is>
          <t>AUD</t>
        </is>
      </c>
      <c r="C782" s="194" t="inlineStr">
        <is>
          <t>AUSTRALIAN DOLLAR</t>
        </is>
      </c>
      <c r="D782" s="195" t="n">
        <v>18014.08</v>
      </c>
      <c r="E782" s="195" t="n">
        <v>18196.04</v>
      </c>
      <c r="F782" s="195" t="n">
        <v>18778.93</v>
      </c>
      <c r="G782" s="195" t="n">
        <v>18487.48</v>
      </c>
    </row>
    <row r="783">
      <c r="A783" s="196" t="inlineStr">
        <is>
          <t>2026-08-10 18:00:00</t>
        </is>
      </c>
      <c r="B783" s="196" t="inlineStr">
        <is>
          <t>CAD</t>
        </is>
      </c>
      <c r="C783" s="196" t="inlineStr">
        <is>
          <t>CANADIAN DOLLAR</t>
        </is>
      </c>
      <c r="D783" s="184" t="n">
        <v>18284.68</v>
      </c>
      <c r="E783" s="184" t="n">
        <v>18469.37</v>
      </c>
      <c r="F783" s="184" t="n">
        <v>19061.02</v>
      </c>
      <c r="G783" s="184" t="n">
        <v>18765.2</v>
      </c>
    </row>
    <row r="784">
      <c r="A784" s="194" t="inlineStr">
        <is>
          <t>2026-08-10 18:00:00</t>
        </is>
      </c>
      <c r="B784" s="194" t="inlineStr">
        <is>
          <t>CHF</t>
        </is>
      </c>
      <c r="C784" s="194" t="inlineStr">
        <is>
          <t>SWISS FRANC</t>
        </is>
      </c>
      <c r="D784" s="195" t="n">
        <v>31593.75</v>
      </c>
      <c r="E784" s="195" t="n">
        <v>31912.88</v>
      </c>
      <c r="F784" s="195" t="n">
        <v>32935.17</v>
      </c>
      <c r="G784" s="195" t="n">
        <v>32424.02</v>
      </c>
    </row>
    <row r="785">
      <c r="A785" s="196" t="inlineStr">
        <is>
          <t>2026-08-10 18:00:00</t>
        </is>
      </c>
      <c r="B785" s="196" t="inlineStr">
        <is>
          <t>CNY</t>
        </is>
      </c>
      <c r="C785" s="196" t="inlineStr">
        <is>
          <t>YUAN RENMINBI</t>
        </is>
      </c>
      <c r="D785" s="184" t="n">
        <v>3780.18</v>
      </c>
      <c r="E785" s="184" t="n">
        <v>3818.36</v>
      </c>
      <c r="F785" s="184" t="n">
        <v>3940.68</v>
      </c>
      <c r="G785" s="184" t="n">
        <v>3879.52</v>
      </c>
    </row>
    <row r="786">
      <c r="A786" s="194" t="inlineStr">
        <is>
          <t>2026-08-10 18:00:00</t>
        </is>
      </c>
      <c r="B786" s="194" t="inlineStr">
        <is>
          <t>DKK</t>
        </is>
      </c>
      <c r="C786" s="194" t="inlineStr">
        <is>
          <t>DANISH KRONE</t>
        </is>
      </c>
      <c r="D786" s="195" t="n"/>
      <c r="E786" s="195" t="n">
        <v>3971.76</v>
      </c>
      <c r="F786" s="195" t="n">
        <v>4123.66</v>
      </c>
      <c r="G786" s="195" t="n">
        <v>4047.71</v>
      </c>
    </row>
    <row r="787">
      <c r="A787" s="196" t="inlineStr">
        <is>
          <t>2026-08-10 18:00:00</t>
        </is>
      </c>
      <c r="B787" s="196" t="inlineStr">
        <is>
          <t>EUR</t>
        </is>
      </c>
      <c r="C787" s="196" t="inlineStr">
        <is>
          <t>EURO</t>
        </is>
      </c>
      <c r="D787" s="184" t="n">
        <v>29466.93</v>
      </c>
      <c r="E787" s="184" t="n">
        <v>29764.57</v>
      </c>
      <c r="F787" s="184" t="n">
        <v>31020.68</v>
      </c>
      <c r="G787" s="184" t="n">
        <v>30392.62</v>
      </c>
    </row>
    <row r="788">
      <c r="A788" s="194" t="inlineStr">
        <is>
          <t>2026-08-10 18:00:00</t>
        </is>
      </c>
      <c r="B788" s="194" t="inlineStr">
        <is>
          <t>GBP</t>
        </is>
      </c>
      <c r="C788" s="194" t="inlineStr">
        <is>
          <t>POUND STERLING</t>
        </is>
      </c>
      <c r="D788" s="195" t="n">
        <v>34396.77</v>
      </c>
      <c r="E788" s="195" t="n">
        <v>34744.22</v>
      </c>
      <c r="F788" s="195" t="n">
        <v>35857.2</v>
      </c>
      <c r="G788" s="195" t="n">
        <v>35300.71</v>
      </c>
    </row>
    <row r="789">
      <c r="A789" s="196" t="inlineStr">
        <is>
          <t>2026-08-10 18:00:00</t>
        </is>
      </c>
      <c r="B789" s="196" t="inlineStr">
        <is>
          <t>HKD</t>
        </is>
      </c>
      <c r="C789" s="196" t="inlineStr">
        <is>
          <t>HONGKONG DOLLAR</t>
        </is>
      </c>
      <c r="D789" s="184" t="n">
        <v>3240.41</v>
      </c>
      <c r="E789" s="184" t="n">
        <v>3273.14</v>
      </c>
      <c r="F789" s="184" t="n">
        <v>3398.33</v>
      </c>
      <c r="G789" s="184" t="n">
        <v>3335.73</v>
      </c>
    </row>
    <row r="790">
      <c r="A790" s="194" t="inlineStr">
        <is>
          <t>2026-08-10 18:00:00</t>
        </is>
      </c>
      <c r="B790" s="194" t="inlineStr">
        <is>
          <t>INR</t>
        </is>
      </c>
      <c r="C790" s="194" t="inlineStr">
        <is>
          <t>INDIAN RUPEE</t>
        </is>
      </c>
      <c r="D790" s="195" t="n"/>
      <c r="E790" s="195" t="n">
        <v>273.05</v>
      </c>
      <c r="F790" s="195" t="n">
        <v>284.8</v>
      </c>
      <c r="G790" s="195" t="n">
        <v>278.92</v>
      </c>
    </row>
    <row r="791">
      <c r="A791" s="196" t="inlineStr">
        <is>
          <t>2026-08-10 18:00:00</t>
        </is>
      </c>
      <c r="B791" s="196" t="inlineStr">
        <is>
          <t>JPY</t>
        </is>
      </c>
      <c r="C791" s="196" t="inlineStr">
        <is>
          <t>YEN</t>
        </is>
      </c>
      <c r="D791" s="184" t="n">
        <v>159.31</v>
      </c>
      <c r="E791" s="184" t="n">
        <v>160.92</v>
      </c>
      <c r="F791" s="184" t="n">
        <v>170.3</v>
      </c>
      <c r="G791" s="184" t="n">
        <v>165.61</v>
      </c>
    </row>
    <row r="792">
      <c r="A792" s="194" t="inlineStr">
        <is>
          <t>2026-08-10 18:00:00</t>
        </is>
      </c>
      <c r="B792" s="194" t="inlineStr">
        <is>
          <t>KRW</t>
        </is>
      </c>
      <c r="C792" s="194" t="inlineStr">
        <is>
          <t>KOREAN WON</t>
        </is>
      </c>
      <c r="D792" s="195" t="n">
        <v>15.95</v>
      </c>
      <c r="E792" s="195" t="n">
        <v>17.72</v>
      </c>
      <c r="F792" s="195" t="n">
        <v>19.23</v>
      </c>
      <c r="G792" s="195" t="n">
        <v>18.48</v>
      </c>
    </row>
    <row r="793">
      <c r="A793" s="196" t="inlineStr">
        <is>
          <t>2026-08-10 18:00:00</t>
        </is>
      </c>
      <c r="B793" s="196" t="inlineStr">
        <is>
          <t>KWD</t>
        </is>
      </c>
      <c r="C793" s="196" t="inlineStr">
        <is>
          <t>KUWAITI DINAR</t>
        </is>
      </c>
      <c r="D793" s="184" t="n"/>
      <c r="E793" s="184" t="n">
        <v>84722.96000000001</v>
      </c>
      <c r="F793" s="184" t="n">
        <v>88830.08</v>
      </c>
      <c r="G793" s="184" t="n">
        <v>86776.52</v>
      </c>
    </row>
    <row r="794">
      <c r="A794" s="194" t="inlineStr">
        <is>
          <t>2026-08-10 18:00:00</t>
        </is>
      </c>
      <c r="B794" s="194" t="inlineStr">
        <is>
          <t>MYR</t>
        </is>
      </c>
      <c r="C794" s="194" t="inlineStr">
        <is>
          <t>MALAYSIAN RINGGIT</t>
        </is>
      </c>
      <c r="D794" s="195" t="n"/>
      <c r="E794" s="195" t="n">
        <v>6334.11</v>
      </c>
      <c r="F794" s="195" t="n">
        <v>6471.96</v>
      </c>
      <c r="G794" s="195" t="n">
        <v>6403.04</v>
      </c>
    </row>
    <row r="795">
      <c r="A795" s="196" t="inlineStr">
        <is>
          <t>2026-08-10 18:00:00</t>
        </is>
      </c>
      <c r="B795" s="196" t="inlineStr">
        <is>
          <t>NOK</t>
        </is>
      </c>
      <c r="C795" s="196" t="inlineStr">
        <is>
          <t>NORWEGIAN KRONER</t>
        </is>
      </c>
      <c r="D795" s="184" t="n"/>
      <c r="E795" s="184" t="n">
        <v>2697.34</v>
      </c>
      <c r="F795" s="184" t="n">
        <v>2811.73</v>
      </c>
      <c r="G795" s="184" t="n">
        <v>2754.54</v>
      </c>
    </row>
    <row r="796">
      <c r="A796" s="194" t="inlineStr">
        <is>
          <t>2026-08-10 18:00:00</t>
        </is>
      </c>
      <c r="B796" s="194" t="inlineStr">
        <is>
          <t>RUB</t>
        </is>
      </c>
      <c r="C796" s="194" t="inlineStr">
        <is>
          <t>RUSSIAN RUBLE</t>
        </is>
      </c>
      <c r="D796" s="195" t="n"/>
      <c r="E796" s="195" t="n">
        <v>301.4</v>
      </c>
      <c r="F796" s="195" t="n">
        <v>333.63</v>
      </c>
      <c r="G796" s="195" t="n">
        <v>317.52</v>
      </c>
    </row>
    <row r="797">
      <c r="A797" s="196" t="inlineStr">
        <is>
          <t>2026-08-10 18:00:00</t>
        </is>
      </c>
      <c r="B797" s="196" t="inlineStr">
        <is>
          <t>SAR</t>
        </is>
      </c>
      <c r="C797" s="196" t="inlineStr">
        <is>
          <t>SAUDI RIAL</t>
        </is>
      </c>
      <c r="D797" s="184" t="n"/>
      <c r="E797" s="184" t="n">
        <v>6927.67</v>
      </c>
      <c r="F797" s="184" t="n">
        <v>7225.87</v>
      </c>
      <c r="G797" s="184" t="n">
        <v>7076.77</v>
      </c>
    </row>
    <row r="798">
      <c r="A798" s="194" t="inlineStr">
        <is>
          <t>2026-08-10 18:00:00</t>
        </is>
      </c>
      <c r="B798" s="194" t="inlineStr">
        <is>
          <t>SEK</t>
        </is>
      </c>
      <c r="C798" s="194" t="inlineStr">
        <is>
          <t>SWEDISH KRONA</t>
        </is>
      </c>
      <c r="D798" s="195" t="n"/>
      <c r="E798" s="195" t="n">
        <v>2706.32</v>
      </c>
      <c r="F798" s="195" t="n">
        <v>2821.09</v>
      </c>
      <c r="G798" s="195" t="n">
        <v>2763.7</v>
      </c>
    </row>
    <row r="799">
      <c r="A799" s="196" t="inlineStr">
        <is>
          <t>2026-08-10 18:00:00</t>
        </is>
      </c>
      <c r="B799" s="196" t="inlineStr">
        <is>
          <t>SGD</t>
        </is>
      </c>
      <c r="C799" s="196" t="inlineStr">
        <is>
          <t>SINGAPORE DOLLAR</t>
        </is>
      </c>
      <c r="D799" s="184" t="n">
        <v>19921.06</v>
      </c>
      <c r="E799" s="184" t="n">
        <v>20122.28</v>
      </c>
      <c r="F799" s="184" t="n">
        <v>20808.46</v>
      </c>
      <c r="G799" s="184" t="n">
        <v>20465.37</v>
      </c>
    </row>
    <row r="800">
      <c r="A800" s="194" t="inlineStr">
        <is>
          <t>2026-08-10 18:00:00</t>
        </is>
      </c>
      <c r="B800" s="194" t="inlineStr">
        <is>
          <t>THB</t>
        </is>
      </c>
      <c r="C800" s="194" t="inlineStr">
        <is>
          <t>THAILAND BAHT</t>
        </is>
      </c>
      <c r="D800" s="195" t="n">
        <v>699.5700000000001</v>
      </c>
      <c r="E800" s="195" t="n">
        <v>777.3</v>
      </c>
      <c r="F800" s="195" t="n">
        <v>810.26</v>
      </c>
      <c r="G800" s="195" t="n">
        <v>793.78</v>
      </c>
    </row>
    <row r="801">
      <c r="A801" s="196" t="inlineStr">
        <is>
          <t>2026-08-10 18:00:00</t>
        </is>
      </c>
      <c r="B801" s="196" t="inlineStr">
        <is>
          <t>USD</t>
        </is>
      </c>
      <c r="C801" s="196" t="inlineStr">
        <is>
          <t>US DOLLAR</t>
        </is>
      </c>
      <c r="D801" s="184" t="n">
        <v>25940</v>
      </c>
      <c r="E801" s="184" t="n">
        <v>25970</v>
      </c>
      <c r="F801" s="184" t="n">
        <v>26350</v>
      </c>
      <c r="G801" s="184" t="n">
        <v>26160</v>
      </c>
    </row>
    <row r="802">
      <c r="A802" s="194" t="inlineStr">
        <is>
          <t>2026-08-09 18:00:00</t>
        </is>
      </c>
      <c r="B802" s="194" t="inlineStr">
        <is>
          <t>AUD</t>
        </is>
      </c>
      <c r="C802" s="194" t="inlineStr">
        <is>
          <t>AUSTRALIAN DOLLAR</t>
        </is>
      </c>
      <c r="D802" s="195" t="n">
        <v>17968.56</v>
      </c>
      <c r="E802" s="195" t="n">
        <v>18150.06</v>
      </c>
      <c r="F802" s="195" t="n">
        <v>18731.41</v>
      </c>
      <c r="G802" s="195" t="n">
        <v>18440.74</v>
      </c>
    </row>
    <row r="803">
      <c r="A803" s="196" t="inlineStr">
        <is>
          <t>2026-08-09 18:00:00</t>
        </is>
      </c>
      <c r="B803" s="196" t="inlineStr">
        <is>
          <t>CAD</t>
        </is>
      </c>
      <c r="C803" s="196" t="inlineStr">
        <is>
          <t>CANADIAN DOLLAR</t>
        </is>
      </c>
      <c r="D803" s="184" t="n">
        <v>18222.1</v>
      </c>
      <c r="E803" s="184" t="n">
        <v>18406.17</v>
      </c>
      <c r="F803" s="184" t="n">
        <v>18995.72</v>
      </c>
      <c r="G803" s="184" t="n">
        <v>18700.94</v>
      </c>
    </row>
    <row r="804">
      <c r="A804" s="194" t="inlineStr">
        <is>
          <t>2026-08-09 18:00:00</t>
        </is>
      </c>
      <c r="B804" s="194" t="inlineStr">
        <is>
          <t>CHF</t>
        </is>
      </c>
      <c r="C804" s="194" t="inlineStr">
        <is>
          <t>SWISS FRANC</t>
        </is>
      </c>
      <c r="D804" s="195" t="n">
        <v>31486.79</v>
      </c>
      <c r="E804" s="195" t="n">
        <v>31804.84</v>
      </c>
      <c r="F804" s="195" t="n">
        <v>32823.55</v>
      </c>
      <c r="G804" s="195" t="n">
        <v>32314.2</v>
      </c>
    </row>
    <row r="805">
      <c r="A805" s="196" t="inlineStr">
        <is>
          <t>2026-08-09 18:00:00</t>
        </is>
      </c>
      <c r="B805" s="196" t="inlineStr">
        <is>
          <t>CNY</t>
        </is>
      </c>
      <c r="C805" s="196" t="inlineStr">
        <is>
          <t>YUAN RENMINBI</t>
        </is>
      </c>
      <c r="D805" s="184" t="n">
        <v>3787.79</v>
      </c>
      <c r="E805" s="184" t="n">
        <v>3826.05</v>
      </c>
      <c r="F805" s="184" t="n">
        <v>3948.6</v>
      </c>
      <c r="G805" s="184" t="n">
        <v>3887.32</v>
      </c>
    </row>
    <row r="806">
      <c r="A806" s="194" t="inlineStr">
        <is>
          <t>2026-08-09 18:00:00</t>
        </is>
      </c>
      <c r="B806" s="194" t="inlineStr">
        <is>
          <t>DKK</t>
        </is>
      </c>
      <c r="C806" s="194" t="inlineStr">
        <is>
          <t>DANISH KRONE</t>
        </is>
      </c>
      <c r="D806" s="195" t="n"/>
      <c r="E806" s="195" t="n">
        <v>3966.64</v>
      </c>
      <c r="F806" s="195" t="n">
        <v>4118.33</v>
      </c>
      <c r="G806" s="195" t="n">
        <v>4042.48</v>
      </c>
    </row>
    <row r="807">
      <c r="A807" s="196" t="inlineStr">
        <is>
          <t>2026-08-09 18:00:00</t>
        </is>
      </c>
      <c r="B807" s="196" t="inlineStr">
        <is>
          <t>EUR</t>
        </is>
      </c>
      <c r="C807" s="196" t="inlineStr">
        <is>
          <t>EURO</t>
        </is>
      </c>
      <c r="D807" s="184" t="n">
        <v>29432.37</v>
      </c>
      <c r="E807" s="184" t="n">
        <v>29729.66</v>
      </c>
      <c r="F807" s="184" t="n">
        <v>30984.19</v>
      </c>
      <c r="G807" s="184" t="n">
        <v>30356.92</v>
      </c>
    </row>
    <row r="808">
      <c r="A808" s="194" t="inlineStr">
        <is>
          <t>2026-08-09 18:00:00</t>
        </is>
      </c>
      <c r="B808" s="194" t="inlineStr">
        <is>
          <t>GBP</t>
        </is>
      </c>
      <c r="C808" s="194" t="inlineStr">
        <is>
          <t>POUND STERLING</t>
        </is>
      </c>
      <c r="D808" s="195" t="n">
        <v>34353.09</v>
      </c>
      <c r="E808" s="195" t="n">
        <v>34700.09</v>
      </c>
      <c r="F808" s="195" t="n">
        <v>35811.54</v>
      </c>
      <c r="G808" s="195" t="n">
        <v>35255.82</v>
      </c>
    </row>
    <row r="809">
      <c r="A809" s="196" t="inlineStr">
        <is>
          <t>2026-08-09 18:00:00</t>
        </is>
      </c>
      <c r="B809" s="196" t="inlineStr">
        <is>
          <t>HKD</t>
        </is>
      </c>
      <c r="C809" s="196" t="inlineStr">
        <is>
          <t>HONGKONG DOLLAR</t>
        </is>
      </c>
      <c r="D809" s="184" t="n">
        <v>3247.93</v>
      </c>
      <c r="E809" s="184" t="n">
        <v>3280.74</v>
      </c>
      <c r="F809" s="184" t="n">
        <v>3406.2</v>
      </c>
      <c r="G809" s="184" t="n">
        <v>3343.47</v>
      </c>
    </row>
    <row r="810">
      <c r="A810" s="194" t="inlineStr">
        <is>
          <t>2026-08-09 18:00:00</t>
        </is>
      </c>
      <c r="B810" s="194" t="inlineStr">
        <is>
          <t>INR</t>
        </is>
      </c>
      <c r="C810" s="194" t="inlineStr">
        <is>
          <t>INDIAN RUPEE</t>
        </is>
      </c>
      <c r="D810" s="195" t="n"/>
      <c r="E810" s="195" t="n">
        <v>273.68</v>
      </c>
      <c r="F810" s="195" t="n">
        <v>285.45</v>
      </c>
      <c r="G810" s="195" t="n">
        <v>279.56</v>
      </c>
    </row>
    <row r="811">
      <c r="A811" s="196" t="inlineStr">
        <is>
          <t>2026-08-09 18:00:00</t>
        </is>
      </c>
      <c r="B811" s="196" t="inlineStr">
        <is>
          <t>JPY</t>
        </is>
      </c>
      <c r="C811" s="196" t="inlineStr">
        <is>
          <t>YEN</t>
        </is>
      </c>
      <c r="D811" s="184" t="n">
        <v>159.79</v>
      </c>
      <c r="E811" s="184" t="n">
        <v>161.4</v>
      </c>
      <c r="F811" s="184" t="n">
        <v>170.81</v>
      </c>
      <c r="G811" s="184" t="n">
        <v>166.1</v>
      </c>
    </row>
    <row r="812">
      <c r="A812" s="194" t="inlineStr">
        <is>
          <t>2026-08-09 18:00:00</t>
        </is>
      </c>
      <c r="B812" s="194" t="inlineStr">
        <is>
          <t>KRW</t>
        </is>
      </c>
      <c r="C812" s="194" t="inlineStr">
        <is>
          <t>KOREAN WON</t>
        </is>
      </c>
      <c r="D812" s="195" t="n">
        <v>15.99</v>
      </c>
      <c r="E812" s="195" t="n">
        <v>17.76</v>
      </c>
      <c r="F812" s="195" t="n">
        <v>19.27</v>
      </c>
      <c r="G812" s="195" t="n">
        <v>18.52</v>
      </c>
    </row>
    <row r="813">
      <c r="A813" s="196" t="inlineStr">
        <is>
          <t>2026-08-09 18:00:00</t>
        </is>
      </c>
      <c r="B813" s="196" t="inlineStr">
        <is>
          <t>KWD</t>
        </is>
      </c>
      <c r="C813" s="196" t="inlineStr">
        <is>
          <t>KUWAITI DINAR</t>
        </is>
      </c>
      <c r="D813" s="184" t="n"/>
      <c r="E813" s="184" t="n">
        <v>84917.42999999999</v>
      </c>
      <c r="F813" s="184" t="n">
        <v>89033.66</v>
      </c>
      <c r="G813" s="184" t="n">
        <v>86975.53999999999</v>
      </c>
    </row>
    <row r="814">
      <c r="A814" s="194" t="inlineStr">
        <is>
          <t>2026-08-09 18:00:00</t>
        </is>
      </c>
      <c r="B814" s="194" t="inlineStr">
        <is>
          <t>MYR</t>
        </is>
      </c>
      <c r="C814" s="194" t="inlineStr">
        <is>
          <t>MALAYSIAN RINGGIT</t>
        </is>
      </c>
      <c r="D814" s="195" t="n"/>
      <c r="E814" s="195" t="n">
        <v>6347.1</v>
      </c>
      <c r="F814" s="195" t="n">
        <v>6485.21</v>
      </c>
      <c r="G814" s="195" t="n">
        <v>6416.16</v>
      </c>
    </row>
    <row r="815">
      <c r="A815" s="196" t="inlineStr">
        <is>
          <t>2026-08-09 18:00:00</t>
        </is>
      </c>
      <c r="B815" s="196" t="inlineStr">
        <is>
          <t>NOK</t>
        </is>
      </c>
      <c r="C815" s="196" t="inlineStr">
        <is>
          <t>NORWEGIAN KRONER</t>
        </is>
      </c>
      <c r="D815" s="184" t="n"/>
      <c r="E815" s="184" t="n">
        <v>2697.17</v>
      </c>
      <c r="F815" s="184" t="n">
        <v>2811.55</v>
      </c>
      <c r="G815" s="184" t="n">
        <v>2754.36</v>
      </c>
    </row>
    <row r="816">
      <c r="A816" s="194" t="inlineStr">
        <is>
          <t>2026-08-09 18:00:00</t>
        </is>
      </c>
      <c r="B816" s="194" t="inlineStr">
        <is>
          <t>RUB</t>
        </is>
      </c>
      <c r="C816" s="194" t="inlineStr">
        <is>
          <t>RUSSIAN RUBLE</t>
        </is>
      </c>
      <c r="D816" s="195" t="n"/>
      <c r="E816" s="195" t="n">
        <v>304.3</v>
      </c>
      <c r="F816" s="195" t="n">
        <v>336.84</v>
      </c>
      <c r="G816" s="195" t="n">
        <v>320.57</v>
      </c>
    </row>
    <row r="817">
      <c r="A817" s="196" t="inlineStr">
        <is>
          <t>2026-08-09 18:00:00</t>
        </is>
      </c>
      <c r="B817" s="196" t="inlineStr">
        <is>
          <t>SAR</t>
        </is>
      </c>
      <c r="C817" s="196" t="inlineStr">
        <is>
          <t>SAUDI RIAL</t>
        </is>
      </c>
      <c r="D817" s="184" t="n"/>
      <c r="E817" s="184" t="n">
        <v>6945.42</v>
      </c>
      <c r="F817" s="184" t="n">
        <v>7244.36</v>
      </c>
      <c r="G817" s="184" t="n">
        <v>7094.89</v>
      </c>
    </row>
    <row r="818">
      <c r="A818" s="194" t="inlineStr">
        <is>
          <t>2026-08-09 18:00:00</t>
        </is>
      </c>
      <c r="B818" s="194" t="inlineStr">
        <is>
          <t>SEK</t>
        </is>
      </c>
      <c r="C818" s="194" t="inlineStr">
        <is>
          <t>SWEDISH KRONA</t>
        </is>
      </c>
      <c r="D818" s="195" t="n"/>
      <c r="E818" s="195" t="n">
        <v>2702.79</v>
      </c>
      <c r="F818" s="195" t="n">
        <v>2817.41</v>
      </c>
      <c r="G818" s="195" t="n">
        <v>2760.1</v>
      </c>
    </row>
    <row r="819">
      <c r="A819" s="196" t="inlineStr">
        <is>
          <t>2026-08-09 18:00:00</t>
        </is>
      </c>
      <c r="B819" s="196" t="inlineStr">
        <is>
          <t>SGD</t>
        </is>
      </c>
      <c r="C819" s="196" t="inlineStr">
        <is>
          <t>SINGAPORE DOLLAR</t>
        </is>
      </c>
      <c r="D819" s="184" t="n">
        <v>19916.94</v>
      </c>
      <c r="E819" s="184" t="n">
        <v>20118.12</v>
      </c>
      <c r="F819" s="184" t="n">
        <v>20804.08</v>
      </c>
      <c r="G819" s="184" t="n">
        <v>20461.1</v>
      </c>
    </row>
    <row r="820">
      <c r="A820" s="194" t="inlineStr">
        <is>
          <t>2026-08-09 18:00:00</t>
        </is>
      </c>
      <c r="B820" s="194" t="inlineStr">
        <is>
          <t>THB</t>
        </is>
      </c>
      <c r="C820" s="194" t="inlineStr">
        <is>
          <t>THAILAND BAHT</t>
        </is>
      </c>
      <c r="D820" s="195" t="n">
        <v>698.84</v>
      </c>
      <c r="E820" s="195" t="n">
        <v>776.49</v>
      </c>
      <c r="F820" s="195" t="n">
        <v>809.42</v>
      </c>
      <c r="G820" s="195" t="n">
        <v>792.96</v>
      </c>
    </row>
    <row r="821">
      <c r="A821" s="196" t="inlineStr">
        <is>
          <t>2026-08-09 18:00:00</t>
        </is>
      </c>
      <c r="B821" s="196" t="inlineStr">
        <is>
          <t>USD</t>
        </is>
      </c>
      <c r="C821" s="196" t="inlineStr">
        <is>
          <t>US DOLLAR</t>
        </is>
      </c>
      <c r="D821" s="184" t="n">
        <v>26000</v>
      </c>
      <c r="E821" s="184" t="n">
        <v>26030</v>
      </c>
      <c r="F821" s="184" t="n">
        <v>26410</v>
      </c>
      <c r="G821" s="184" t="n">
        <v>26220</v>
      </c>
    </row>
    <row r="822">
      <c r="A822" s="194" t="inlineStr">
        <is>
          <t>2026-08-08 18:00:11</t>
        </is>
      </c>
      <c r="B822" s="194" t="inlineStr">
        <is>
          <t>AUD</t>
        </is>
      </c>
      <c r="C822" s="194" t="inlineStr">
        <is>
          <t>AUSTRALIAN DOLLAR</t>
        </is>
      </c>
      <c r="D822" s="195" t="n">
        <v>17968.56</v>
      </c>
      <c r="E822" s="195" t="n">
        <v>18150.06</v>
      </c>
      <c r="F822" s="195" t="n">
        <v>18731.41</v>
      </c>
      <c r="G822" s="195" t="n">
        <v>18440.74</v>
      </c>
    </row>
    <row r="823">
      <c r="A823" s="196" t="inlineStr">
        <is>
          <t>2026-08-08 18:00:11</t>
        </is>
      </c>
      <c r="B823" s="196" t="inlineStr">
        <is>
          <t>CAD</t>
        </is>
      </c>
      <c r="C823" s="196" t="inlineStr">
        <is>
          <t>CANADIAN DOLLAR</t>
        </is>
      </c>
      <c r="D823" s="184" t="n">
        <v>18222.1</v>
      </c>
      <c r="E823" s="184" t="n">
        <v>18406.17</v>
      </c>
      <c r="F823" s="184" t="n">
        <v>18995.72</v>
      </c>
      <c r="G823" s="184" t="n">
        <v>18700.94</v>
      </c>
    </row>
    <row r="824">
      <c r="A824" s="194" t="inlineStr">
        <is>
          <t>2026-08-08 18:00:11</t>
        </is>
      </c>
      <c r="B824" s="194" t="inlineStr">
        <is>
          <t>CHF</t>
        </is>
      </c>
      <c r="C824" s="194" t="inlineStr">
        <is>
          <t>SWISS FRANC</t>
        </is>
      </c>
      <c r="D824" s="195" t="n">
        <v>31486.79</v>
      </c>
      <c r="E824" s="195" t="n">
        <v>31804.84</v>
      </c>
      <c r="F824" s="195" t="n">
        <v>32823.55</v>
      </c>
      <c r="G824" s="195" t="n">
        <v>32314.2</v>
      </c>
    </row>
    <row r="825">
      <c r="A825" s="196" t="inlineStr">
        <is>
          <t>2026-08-08 18:00:11</t>
        </is>
      </c>
      <c r="B825" s="196" t="inlineStr">
        <is>
          <t>CNY</t>
        </is>
      </c>
      <c r="C825" s="196" t="inlineStr">
        <is>
          <t>YUAN RENMINBI</t>
        </is>
      </c>
      <c r="D825" s="184" t="n">
        <v>3787.79</v>
      </c>
      <c r="E825" s="184" t="n">
        <v>3826.05</v>
      </c>
      <c r="F825" s="184" t="n">
        <v>3948.6</v>
      </c>
      <c r="G825" s="184" t="n">
        <v>3887.32</v>
      </c>
    </row>
    <row r="826">
      <c r="A826" s="194" t="inlineStr">
        <is>
          <t>2026-08-08 18:00:11</t>
        </is>
      </c>
      <c r="B826" s="194" t="inlineStr">
        <is>
          <t>DKK</t>
        </is>
      </c>
      <c r="C826" s="194" t="inlineStr">
        <is>
          <t>DANISH KRONE</t>
        </is>
      </c>
      <c r="D826" s="195" t="n"/>
      <c r="E826" s="195" t="n">
        <v>3966.64</v>
      </c>
      <c r="F826" s="195" t="n">
        <v>4118.33</v>
      </c>
      <c r="G826" s="195" t="n">
        <v>4042.48</v>
      </c>
    </row>
    <row r="827">
      <c r="A827" s="196" t="inlineStr">
        <is>
          <t>2026-08-08 18:00:11</t>
        </is>
      </c>
      <c r="B827" s="196" t="inlineStr">
        <is>
          <t>EUR</t>
        </is>
      </c>
      <c r="C827" s="196" t="inlineStr">
        <is>
          <t>EURO</t>
        </is>
      </c>
      <c r="D827" s="184" t="n">
        <v>29432.37</v>
      </c>
      <c r="E827" s="184" t="n">
        <v>29729.66</v>
      </c>
      <c r="F827" s="184" t="n">
        <v>30984.19</v>
      </c>
      <c r="G827" s="184" t="n">
        <v>30356.92</v>
      </c>
    </row>
    <row r="828">
      <c r="A828" s="194" t="inlineStr">
        <is>
          <t>2026-08-08 18:00:11</t>
        </is>
      </c>
      <c r="B828" s="194" t="inlineStr">
        <is>
          <t>GBP</t>
        </is>
      </c>
      <c r="C828" s="194" t="inlineStr">
        <is>
          <t>POUND STERLING</t>
        </is>
      </c>
      <c r="D828" s="195" t="n">
        <v>34353.09</v>
      </c>
      <c r="E828" s="195" t="n">
        <v>34700.09</v>
      </c>
      <c r="F828" s="195" t="n">
        <v>35811.54</v>
      </c>
      <c r="G828" s="195" t="n">
        <v>35255.82</v>
      </c>
    </row>
    <row r="829">
      <c r="A829" s="196" t="inlineStr">
        <is>
          <t>2026-08-08 18:00:11</t>
        </is>
      </c>
      <c r="B829" s="196" t="inlineStr">
        <is>
          <t>HKD</t>
        </is>
      </c>
      <c r="C829" s="196" t="inlineStr">
        <is>
          <t>HONGKONG DOLLAR</t>
        </is>
      </c>
      <c r="D829" s="184" t="n">
        <v>3247.93</v>
      </c>
      <c r="E829" s="184" t="n">
        <v>3280.74</v>
      </c>
      <c r="F829" s="184" t="n">
        <v>3406.2</v>
      </c>
      <c r="G829" s="184" t="n">
        <v>3343.47</v>
      </c>
    </row>
    <row r="830">
      <c r="A830" s="194" t="inlineStr">
        <is>
          <t>2026-08-08 18:00:11</t>
        </is>
      </c>
      <c r="B830" s="194" t="inlineStr">
        <is>
          <t>INR</t>
        </is>
      </c>
      <c r="C830" s="194" t="inlineStr">
        <is>
          <t>INDIAN RUPEE</t>
        </is>
      </c>
      <c r="D830" s="195" t="n"/>
      <c r="E830" s="195" t="n">
        <v>273.68</v>
      </c>
      <c r="F830" s="195" t="n">
        <v>285.45</v>
      </c>
      <c r="G830" s="195" t="n">
        <v>279.56</v>
      </c>
    </row>
    <row r="831">
      <c r="A831" s="196" t="inlineStr">
        <is>
          <t>2026-08-08 18:00:11</t>
        </is>
      </c>
      <c r="B831" s="196" t="inlineStr">
        <is>
          <t>JPY</t>
        </is>
      </c>
      <c r="C831" s="196" t="inlineStr">
        <is>
          <t>YEN</t>
        </is>
      </c>
      <c r="D831" s="184" t="n">
        <v>159.79</v>
      </c>
      <c r="E831" s="184" t="n">
        <v>161.4</v>
      </c>
      <c r="F831" s="184" t="n">
        <v>170.81</v>
      </c>
      <c r="G831" s="184" t="n">
        <v>166.1</v>
      </c>
    </row>
    <row r="832">
      <c r="A832" s="194" t="inlineStr">
        <is>
          <t>2026-08-08 18:00:11</t>
        </is>
      </c>
      <c r="B832" s="194" t="inlineStr">
        <is>
          <t>KRW</t>
        </is>
      </c>
      <c r="C832" s="194" t="inlineStr">
        <is>
          <t>KOREAN WON</t>
        </is>
      </c>
      <c r="D832" s="195" t="n">
        <v>15.99</v>
      </c>
      <c r="E832" s="195" t="n">
        <v>17.76</v>
      </c>
      <c r="F832" s="195" t="n">
        <v>19.27</v>
      </c>
      <c r="G832" s="195" t="n">
        <v>18.52</v>
      </c>
    </row>
    <row r="833">
      <c r="A833" s="196" t="inlineStr">
        <is>
          <t>2026-08-08 18:00:11</t>
        </is>
      </c>
      <c r="B833" s="196" t="inlineStr">
        <is>
          <t>KWD</t>
        </is>
      </c>
      <c r="C833" s="196" t="inlineStr">
        <is>
          <t>KUWAITI DINAR</t>
        </is>
      </c>
      <c r="D833" s="184" t="n"/>
      <c r="E833" s="184" t="n">
        <v>84917.42999999999</v>
      </c>
      <c r="F833" s="184" t="n">
        <v>89033.66</v>
      </c>
      <c r="G833" s="184" t="n">
        <v>86975.53999999999</v>
      </c>
    </row>
    <row r="834">
      <c r="A834" s="194" t="inlineStr">
        <is>
          <t>2026-08-08 18:00:11</t>
        </is>
      </c>
      <c r="B834" s="194" t="inlineStr">
        <is>
          <t>MYR</t>
        </is>
      </c>
      <c r="C834" s="194" t="inlineStr">
        <is>
          <t>MALAYSIAN RINGGIT</t>
        </is>
      </c>
      <c r="D834" s="195" t="n"/>
      <c r="E834" s="195" t="n">
        <v>6347.1</v>
      </c>
      <c r="F834" s="195" t="n">
        <v>6485.21</v>
      </c>
      <c r="G834" s="195" t="n">
        <v>6416.16</v>
      </c>
    </row>
    <row r="835">
      <c r="A835" s="196" t="inlineStr">
        <is>
          <t>2026-08-08 18:00:11</t>
        </is>
      </c>
      <c r="B835" s="196" t="inlineStr">
        <is>
          <t>NOK</t>
        </is>
      </c>
      <c r="C835" s="196" t="inlineStr">
        <is>
          <t>NORWEGIAN KRONER</t>
        </is>
      </c>
      <c r="D835" s="184" t="n"/>
      <c r="E835" s="184" t="n">
        <v>2697.17</v>
      </c>
      <c r="F835" s="184" t="n">
        <v>2811.55</v>
      </c>
      <c r="G835" s="184" t="n">
        <v>2754.36</v>
      </c>
    </row>
    <row r="836">
      <c r="A836" s="194" t="inlineStr">
        <is>
          <t>2026-08-08 18:00:11</t>
        </is>
      </c>
      <c r="B836" s="194" t="inlineStr">
        <is>
          <t>RUB</t>
        </is>
      </c>
      <c r="C836" s="194" t="inlineStr">
        <is>
          <t>RUSSIAN RUBLE</t>
        </is>
      </c>
      <c r="D836" s="195" t="n"/>
      <c r="E836" s="195" t="n">
        <v>304.3</v>
      </c>
      <c r="F836" s="195" t="n">
        <v>336.84</v>
      </c>
      <c r="G836" s="195" t="n">
        <v>320.57</v>
      </c>
    </row>
    <row r="837">
      <c r="A837" s="196" t="inlineStr">
        <is>
          <t>2026-08-08 18:00:11</t>
        </is>
      </c>
      <c r="B837" s="196" t="inlineStr">
        <is>
          <t>SAR</t>
        </is>
      </c>
      <c r="C837" s="196" t="inlineStr">
        <is>
          <t>SAUDI RIAL</t>
        </is>
      </c>
      <c r="D837" s="184" t="n"/>
      <c r="E837" s="184" t="n">
        <v>6945.42</v>
      </c>
      <c r="F837" s="184" t="n">
        <v>7244.36</v>
      </c>
      <c r="G837" s="184" t="n">
        <v>7094.89</v>
      </c>
    </row>
    <row r="838">
      <c r="A838" s="194" t="inlineStr">
        <is>
          <t>2026-08-08 18:00:11</t>
        </is>
      </c>
      <c r="B838" s="194" t="inlineStr">
        <is>
          <t>SEK</t>
        </is>
      </c>
      <c r="C838" s="194" t="inlineStr">
        <is>
          <t>SWEDISH KRONA</t>
        </is>
      </c>
      <c r="D838" s="195" t="n"/>
      <c r="E838" s="195" t="n">
        <v>2702.79</v>
      </c>
      <c r="F838" s="195" t="n">
        <v>2817.41</v>
      </c>
      <c r="G838" s="195" t="n">
        <v>2760.1</v>
      </c>
    </row>
    <row r="839">
      <c r="A839" s="196" t="inlineStr">
        <is>
          <t>2026-08-08 18:00:11</t>
        </is>
      </c>
      <c r="B839" s="196" t="inlineStr">
        <is>
          <t>SGD</t>
        </is>
      </c>
      <c r="C839" s="196" t="inlineStr">
        <is>
          <t>SINGAPORE DOLLAR</t>
        </is>
      </c>
      <c r="D839" s="184" t="n">
        <v>19916.94</v>
      </c>
      <c r="E839" s="184" t="n">
        <v>20118.12</v>
      </c>
      <c r="F839" s="184" t="n">
        <v>20804.08</v>
      </c>
      <c r="G839" s="184" t="n">
        <v>20461.1</v>
      </c>
    </row>
    <row r="840">
      <c r="A840" s="194" t="inlineStr">
        <is>
          <t>2026-08-08 18:00:11</t>
        </is>
      </c>
      <c r="B840" s="194" t="inlineStr">
        <is>
          <t>THB</t>
        </is>
      </c>
      <c r="C840" s="194" t="inlineStr">
        <is>
          <t>THAILAND BAHT</t>
        </is>
      </c>
      <c r="D840" s="195" t="n">
        <v>698.84</v>
      </c>
      <c r="E840" s="195" t="n">
        <v>776.49</v>
      </c>
      <c r="F840" s="195" t="n">
        <v>809.42</v>
      </c>
      <c r="G840" s="195" t="n">
        <v>792.96</v>
      </c>
    </row>
    <row r="841">
      <c r="A841" s="196" t="inlineStr">
        <is>
          <t>2026-08-08 18:00:11</t>
        </is>
      </c>
      <c r="B841" s="196" t="inlineStr">
        <is>
          <t>USD</t>
        </is>
      </c>
      <c r="C841" s="196" t="inlineStr">
        <is>
          <t>US DOLLAR</t>
        </is>
      </c>
      <c r="D841" s="184" t="n">
        <v>26000</v>
      </c>
      <c r="E841" s="184" t="n">
        <v>26030</v>
      </c>
      <c r="F841" s="184" t="n">
        <v>26410</v>
      </c>
      <c r="G841" s="184" t="n">
        <v>26220</v>
      </c>
    </row>
    <row r="842">
      <c r="A842" s="194" t="inlineStr">
        <is>
          <t>2026-08-07 18:00:09</t>
        </is>
      </c>
      <c r="B842" s="194" t="inlineStr">
        <is>
          <t>AUD</t>
        </is>
      </c>
      <c r="C842" s="194" t="inlineStr">
        <is>
          <t>AUSTRALIAN DOLLAR</t>
        </is>
      </c>
      <c r="D842" s="195" t="n">
        <v>17968.56</v>
      </c>
      <c r="E842" s="195" t="n">
        <v>18150.06</v>
      </c>
      <c r="F842" s="195" t="n">
        <v>18731.41</v>
      </c>
      <c r="G842" s="195" t="n">
        <v>18440.74</v>
      </c>
    </row>
    <row r="843">
      <c r="A843" s="196" t="inlineStr">
        <is>
          <t>2026-08-07 18:00:09</t>
        </is>
      </c>
      <c r="B843" s="196" t="inlineStr">
        <is>
          <t>CAD</t>
        </is>
      </c>
      <c r="C843" s="196" t="inlineStr">
        <is>
          <t>CANADIAN DOLLAR</t>
        </is>
      </c>
      <c r="D843" s="184" t="n">
        <v>18222.1</v>
      </c>
      <c r="E843" s="184" t="n">
        <v>18406.17</v>
      </c>
      <c r="F843" s="184" t="n">
        <v>18995.72</v>
      </c>
      <c r="G843" s="184" t="n">
        <v>18700.94</v>
      </c>
    </row>
    <row r="844">
      <c r="A844" s="194" t="inlineStr">
        <is>
          <t>2026-08-07 18:00:09</t>
        </is>
      </c>
      <c r="B844" s="194" t="inlineStr">
        <is>
          <t>CHF</t>
        </is>
      </c>
      <c r="C844" s="194" t="inlineStr">
        <is>
          <t>SWISS FRANC</t>
        </is>
      </c>
      <c r="D844" s="195" t="n">
        <v>31486.79</v>
      </c>
      <c r="E844" s="195" t="n">
        <v>31804.84</v>
      </c>
      <c r="F844" s="195" t="n">
        <v>32823.55</v>
      </c>
      <c r="G844" s="195" t="n">
        <v>32314.2</v>
      </c>
    </row>
    <row r="845">
      <c r="A845" s="196" t="inlineStr">
        <is>
          <t>2026-08-07 18:00:09</t>
        </is>
      </c>
      <c r="B845" s="196" t="inlineStr">
        <is>
          <t>CNY</t>
        </is>
      </c>
      <c r="C845" s="196" t="inlineStr">
        <is>
          <t>YUAN RENMINBI</t>
        </is>
      </c>
      <c r="D845" s="184" t="n">
        <v>3787.79</v>
      </c>
      <c r="E845" s="184" t="n">
        <v>3826.05</v>
      </c>
      <c r="F845" s="184" t="n">
        <v>3948.6</v>
      </c>
      <c r="G845" s="184" t="n">
        <v>3887.32</v>
      </c>
    </row>
    <row r="846">
      <c r="A846" s="194" t="inlineStr">
        <is>
          <t>2026-08-07 18:00:09</t>
        </is>
      </c>
      <c r="B846" s="194" t="inlineStr">
        <is>
          <t>DKK</t>
        </is>
      </c>
      <c r="C846" s="194" t="inlineStr">
        <is>
          <t>DANISH KRONE</t>
        </is>
      </c>
      <c r="D846" s="195" t="n"/>
      <c r="E846" s="195" t="n">
        <v>3966.64</v>
      </c>
      <c r="F846" s="195" t="n">
        <v>4118.33</v>
      </c>
      <c r="G846" s="195" t="n">
        <v>4042.48</v>
      </c>
    </row>
    <row r="847">
      <c r="A847" s="196" t="inlineStr">
        <is>
          <t>2026-08-07 18:00:09</t>
        </is>
      </c>
      <c r="B847" s="196" t="inlineStr">
        <is>
          <t>EUR</t>
        </is>
      </c>
      <c r="C847" s="196" t="inlineStr">
        <is>
          <t>EURO</t>
        </is>
      </c>
      <c r="D847" s="184" t="n">
        <v>29432.37</v>
      </c>
      <c r="E847" s="184" t="n">
        <v>29729.66</v>
      </c>
      <c r="F847" s="184" t="n">
        <v>30984.19</v>
      </c>
      <c r="G847" s="184" t="n">
        <v>30356.92</v>
      </c>
    </row>
    <row r="848">
      <c r="A848" s="194" t="inlineStr">
        <is>
          <t>2026-08-07 18:00:09</t>
        </is>
      </c>
      <c r="B848" s="194" t="inlineStr">
        <is>
          <t>GBP</t>
        </is>
      </c>
      <c r="C848" s="194" t="inlineStr">
        <is>
          <t>POUND STERLING</t>
        </is>
      </c>
      <c r="D848" s="195" t="n">
        <v>34353.09</v>
      </c>
      <c r="E848" s="195" t="n">
        <v>34700.09</v>
      </c>
      <c r="F848" s="195" t="n">
        <v>35811.54</v>
      </c>
      <c r="G848" s="195" t="n">
        <v>35255.82</v>
      </c>
    </row>
    <row r="849">
      <c r="A849" s="196" t="inlineStr">
        <is>
          <t>2026-08-07 18:00:09</t>
        </is>
      </c>
      <c r="B849" s="196" t="inlineStr">
        <is>
          <t>HKD</t>
        </is>
      </c>
      <c r="C849" s="196" t="inlineStr">
        <is>
          <t>HONGKONG DOLLAR</t>
        </is>
      </c>
      <c r="D849" s="184" t="n">
        <v>3247.93</v>
      </c>
      <c r="E849" s="184" t="n">
        <v>3280.74</v>
      </c>
      <c r="F849" s="184" t="n">
        <v>3406.2</v>
      </c>
      <c r="G849" s="184" t="n">
        <v>3343.47</v>
      </c>
    </row>
    <row r="850">
      <c r="A850" s="194" t="inlineStr">
        <is>
          <t>2026-08-07 18:00:09</t>
        </is>
      </c>
      <c r="B850" s="194" t="inlineStr">
        <is>
          <t>INR</t>
        </is>
      </c>
      <c r="C850" s="194" t="inlineStr">
        <is>
          <t>INDIAN RUPEE</t>
        </is>
      </c>
      <c r="D850" s="195" t="n"/>
      <c r="E850" s="195" t="n">
        <v>273.68</v>
      </c>
      <c r="F850" s="195" t="n">
        <v>285.45</v>
      </c>
      <c r="G850" s="195" t="n">
        <v>279.56</v>
      </c>
    </row>
    <row r="851">
      <c r="A851" s="196" t="inlineStr">
        <is>
          <t>2026-08-07 18:00:09</t>
        </is>
      </c>
      <c r="B851" s="196" t="inlineStr">
        <is>
          <t>JPY</t>
        </is>
      </c>
      <c r="C851" s="196" t="inlineStr">
        <is>
          <t>YEN</t>
        </is>
      </c>
      <c r="D851" s="184" t="n">
        <v>159.79</v>
      </c>
      <c r="E851" s="184" t="n">
        <v>161.4</v>
      </c>
      <c r="F851" s="184" t="n">
        <v>170.81</v>
      </c>
      <c r="G851" s="184" t="n">
        <v>166.1</v>
      </c>
    </row>
    <row r="852">
      <c r="A852" s="194" t="inlineStr">
        <is>
          <t>2026-08-07 18:00:09</t>
        </is>
      </c>
      <c r="B852" s="194" t="inlineStr">
        <is>
          <t>KRW</t>
        </is>
      </c>
      <c r="C852" s="194" t="inlineStr">
        <is>
          <t>KOREAN WON</t>
        </is>
      </c>
      <c r="D852" s="195" t="n">
        <v>15.99</v>
      </c>
      <c r="E852" s="195" t="n">
        <v>17.76</v>
      </c>
      <c r="F852" s="195" t="n">
        <v>19.27</v>
      </c>
      <c r="G852" s="195" t="n">
        <v>18.52</v>
      </c>
    </row>
    <row r="853">
      <c r="A853" s="196" t="inlineStr">
        <is>
          <t>2026-08-07 18:00:09</t>
        </is>
      </c>
      <c r="B853" s="196" t="inlineStr">
        <is>
          <t>KWD</t>
        </is>
      </c>
      <c r="C853" s="196" t="inlineStr">
        <is>
          <t>KUWAITI DINAR</t>
        </is>
      </c>
      <c r="D853" s="184" t="n"/>
      <c r="E853" s="184" t="n">
        <v>84917.42999999999</v>
      </c>
      <c r="F853" s="184" t="n">
        <v>89033.66</v>
      </c>
      <c r="G853" s="184" t="n">
        <v>86975.53999999999</v>
      </c>
    </row>
    <row r="854">
      <c r="A854" s="194" t="inlineStr">
        <is>
          <t>2026-08-07 18:00:09</t>
        </is>
      </c>
      <c r="B854" s="194" t="inlineStr">
        <is>
          <t>MYR</t>
        </is>
      </c>
      <c r="C854" s="194" t="inlineStr">
        <is>
          <t>MALAYSIAN RINGGIT</t>
        </is>
      </c>
      <c r="D854" s="195" t="n"/>
      <c r="E854" s="195" t="n">
        <v>6347.1</v>
      </c>
      <c r="F854" s="195" t="n">
        <v>6485.21</v>
      </c>
      <c r="G854" s="195" t="n">
        <v>6416.16</v>
      </c>
    </row>
    <row r="855">
      <c r="A855" s="196" t="inlineStr">
        <is>
          <t>2026-08-07 18:00:09</t>
        </is>
      </c>
      <c r="B855" s="196" t="inlineStr">
        <is>
          <t>NOK</t>
        </is>
      </c>
      <c r="C855" s="196" t="inlineStr">
        <is>
          <t>NORWEGIAN KRONER</t>
        </is>
      </c>
      <c r="D855" s="184" t="n"/>
      <c r="E855" s="184" t="n">
        <v>2697.17</v>
      </c>
      <c r="F855" s="184" t="n">
        <v>2811.55</v>
      </c>
      <c r="G855" s="184" t="n">
        <v>2754.36</v>
      </c>
    </row>
    <row r="856">
      <c r="A856" s="194" t="inlineStr">
        <is>
          <t>2026-08-07 18:00:09</t>
        </is>
      </c>
      <c r="B856" s="194" t="inlineStr">
        <is>
          <t>RUB</t>
        </is>
      </c>
      <c r="C856" s="194" t="inlineStr">
        <is>
          <t>RUSSIAN RUBLE</t>
        </is>
      </c>
      <c r="D856" s="195" t="n"/>
      <c r="E856" s="195" t="n">
        <v>304.3</v>
      </c>
      <c r="F856" s="195" t="n">
        <v>336.84</v>
      </c>
      <c r="G856" s="195" t="n">
        <v>320.57</v>
      </c>
    </row>
    <row r="857">
      <c r="A857" s="196" t="inlineStr">
        <is>
          <t>2026-08-07 18:00:09</t>
        </is>
      </c>
      <c r="B857" s="196" t="inlineStr">
        <is>
          <t>SAR</t>
        </is>
      </c>
      <c r="C857" s="196" t="inlineStr">
        <is>
          <t>SAUDI RIAL</t>
        </is>
      </c>
      <c r="D857" s="184" t="n"/>
      <c r="E857" s="184" t="n">
        <v>6945.42</v>
      </c>
      <c r="F857" s="184" t="n">
        <v>7244.36</v>
      </c>
      <c r="G857" s="184" t="n">
        <v>7094.89</v>
      </c>
    </row>
    <row r="858">
      <c r="A858" s="194" t="inlineStr">
        <is>
          <t>2026-08-07 18:00:09</t>
        </is>
      </c>
      <c r="B858" s="194" t="inlineStr">
        <is>
          <t>SEK</t>
        </is>
      </c>
      <c r="C858" s="194" t="inlineStr">
        <is>
          <t>SWEDISH KRONA</t>
        </is>
      </c>
      <c r="D858" s="195" t="n"/>
      <c r="E858" s="195" t="n">
        <v>2702.79</v>
      </c>
      <c r="F858" s="195" t="n">
        <v>2817.41</v>
      </c>
      <c r="G858" s="195" t="n">
        <v>2760.1</v>
      </c>
    </row>
    <row r="859">
      <c r="A859" s="196" t="inlineStr">
        <is>
          <t>2026-08-07 18:00:09</t>
        </is>
      </c>
      <c r="B859" s="196" t="inlineStr">
        <is>
          <t>SGD</t>
        </is>
      </c>
      <c r="C859" s="196" t="inlineStr">
        <is>
          <t>SINGAPORE DOLLAR</t>
        </is>
      </c>
      <c r="D859" s="184" t="n">
        <v>19916.94</v>
      </c>
      <c r="E859" s="184" t="n">
        <v>20118.12</v>
      </c>
      <c r="F859" s="184" t="n">
        <v>20804.08</v>
      </c>
      <c r="G859" s="184" t="n">
        <v>20461.1</v>
      </c>
    </row>
    <row r="860">
      <c r="A860" s="194" t="inlineStr">
        <is>
          <t>2026-08-07 18:00:09</t>
        </is>
      </c>
      <c r="B860" s="194" t="inlineStr">
        <is>
          <t>THB</t>
        </is>
      </c>
      <c r="C860" s="194" t="inlineStr">
        <is>
          <t>THAILAND BAHT</t>
        </is>
      </c>
      <c r="D860" s="195" t="n">
        <v>698.84</v>
      </c>
      <c r="E860" s="195" t="n">
        <v>776.49</v>
      </c>
      <c r="F860" s="195" t="n">
        <v>809.42</v>
      </c>
      <c r="G860" s="195" t="n">
        <v>792.96</v>
      </c>
    </row>
    <row r="861">
      <c r="A861" s="196" t="inlineStr">
        <is>
          <t>2026-08-07 18:00:09</t>
        </is>
      </c>
      <c r="B861" s="196" t="inlineStr">
        <is>
          <t>USD</t>
        </is>
      </c>
      <c r="C861" s="196" t="inlineStr">
        <is>
          <t>US DOLLAR</t>
        </is>
      </c>
      <c r="D861" s="184" t="n">
        <v>26000</v>
      </c>
      <c r="E861" s="184" t="n">
        <v>26030</v>
      </c>
      <c r="F861" s="184" t="n">
        <v>26410</v>
      </c>
      <c r="G861" s="184" t="n">
        <v>26220</v>
      </c>
    </row>
    <row r="862">
      <c r="A862" s="194" t="inlineStr">
        <is>
          <t>2026-08-06 18:00:14</t>
        </is>
      </c>
      <c r="B862" s="194" t="inlineStr">
        <is>
          <t>AUD</t>
        </is>
      </c>
      <c r="C862" s="194" t="inlineStr">
        <is>
          <t>AUSTRALIAN DOLLAR</t>
        </is>
      </c>
      <c r="D862" s="195" t="n">
        <v>17998.42</v>
      </c>
      <c r="E862" s="195" t="n">
        <v>18180.23</v>
      </c>
      <c r="F862" s="195" t="n">
        <v>18762.53</v>
      </c>
      <c r="G862" s="195" t="n">
        <v>18471.38</v>
      </c>
    </row>
    <row r="863">
      <c r="A863" s="196" t="inlineStr">
        <is>
          <t>2026-08-06 18:00:14</t>
        </is>
      </c>
      <c r="B863" s="196" t="inlineStr">
        <is>
          <t>CAD</t>
        </is>
      </c>
      <c r="C863" s="196" t="inlineStr">
        <is>
          <t>CANADIAN DOLLAR</t>
        </is>
      </c>
      <c r="D863" s="184" t="n">
        <v>18244.67</v>
      </c>
      <c r="E863" s="184" t="n">
        <v>18428.96</v>
      </c>
      <c r="F863" s="184" t="n">
        <v>19019.23</v>
      </c>
      <c r="G863" s="184" t="n">
        <v>18724.1</v>
      </c>
    </row>
    <row r="864">
      <c r="A864" s="194" t="inlineStr">
        <is>
          <t>2026-08-06 18:00:14</t>
        </is>
      </c>
      <c r="B864" s="194" t="inlineStr">
        <is>
          <t>CHF</t>
        </is>
      </c>
      <c r="C864" s="194" t="inlineStr">
        <is>
          <t>SWISS FRANC</t>
        </is>
      </c>
      <c r="D864" s="195" t="n">
        <v>31643.07</v>
      </c>
      <c r="E864" s="195" t="n">
        <v>31962.69</v>
      </c>
      <c r="F864" s="195" t="n">
        <v>32986.44</v>
      </c>
      <c r="G864" s="195" t="n">
        <v>32474.56</v>
      </c>
    </row>
    <row r="865">
      <c r="A865" s="196" t="inlineStr">
        <is>
          <t>2026-08-06 18:00:14</t>
        </is>
      </c>
      <c r="B865" s="196" t="inlineStr">
        <is>
          <t>CNY</t>
        </is>
      </c>
      <c r="C865" s="196" t="inlineStr">
        <is>
          <t>YUAN RENMINBI</t>
        </is>
      </c>
      <c r="D865" s="184" t="n">
        <v>3788.45</v>
      </c>
      <c r="E865" s="184" t="n">
        <v>3826.71</v>
      </c>
      <c r="F865" s="184" t="n">
        <v>3949.28</v>
      </c>
      <c r="G865" s="184" t="n">
        <v>3888</v>
      </c>
    </row>
    <row r="866">
      <c r="A866" s="194" t="inlineStr">
        <is>
          <t>2026-08-06 18:00:14</t>
        </is>
      </c>
      <c r="B866" s="194" t="inlineStr">
        <is>
          <t>DKK</t>
        </is>
      </c>
      <c r="C866" s="194" t="inlineStr">
        <is>
          <t>DANISH KRONE</t>
        </is>
      </c>
      <c r="D866" s="195" t="n"/>
      <c r="E866" s="195" t="n">
        <v>3977.16</v>
      </c>
      <c r="F866" s="195" t="n">
        <v>4129.26</v>
      </c>
      <c r="G866" s="195" t="n">
        <v>4053.21</v>
      </c>
    </row>
    <row r="867">
      <c r="A867" s="196" t="inlineStr">
        <is>
          <t>2026-08-06 18:00:14</t>
        </is>
      </c>
      <c r="B867" s="196" t="inlineStr">
        <is>
          <t>EUR</t>
        </is>
      </c>
      <c r="C867" s="196" t="inlineStr">
        <is>
          <t>EURO</t>
        </is>
      </c>
      <c r="D867" s="184" t="n">
        <v>29510.05</v>
      </c>
      <c r="E867" s="184" t="n">
        <v>29808.14</v>
      </c>
      <c r="F867" s="184" t="n">
        <v>31065.96</v>
      </c>
      <c r="G867" s="184" t="n">
        <v>30437.05</v>
      </c>
    </row>
    <row r="868">
      <c r="A868" s="194" t="inlineStr">
        <is>
          <t>2026-08-06 18:00:14</t>
        </is>
      </c>
      <c r="B868" s="194" t="inlineStr">
        <is>
          <t>GBP</t>
        </is>
      </c>
      <c r="C868" s="194" t="inlineStr">
        <is>
          <t>POUND STERLING</t>
        </is>
      </c>
      <c r="D868" s="195" t="n">
        <v>34396.87</v>
      </c>
      <c r="E868" s="195" t="n">
        <v>34744.32</v>
      </c>
      <c r="F868" s="195" t="n">
        <v>35857.16</v>
      </c>
      <c r="G868" s="195" t="n">
        <v>35300.74</v>
      </c>
    </row>
    <row r="869">
      <c r="A869" s="196" t="inlineStr">
        <is>
          <t>2026-08-06 18:00:14</t>
        </is>
      </c>
      <c r="B869" s="196" t="inlineStr">
        <is>
          <t>HKD</t>
        </is>
      </c>
      <c r="C869" s="196" t="inlineStr">
        <is>
          <t>HONGKONG DOLLAR</t>
        </is>
      </c>
      <c r="D869" s="184" t="n">
        <v>3249.71</v>
      </c>
      <c r="E869" s="184" t="n">
        <v>3282.53</v>
      </c>
      <c r="F869" s="184" t="n">
        <v>3408.07</v>
      </c>
      <c r="G869" s="184" t="n">
        <v>3345.3</v>
      </c>
    </row>
    <row r="870">
      <c r="A870" s="194" t="inlineStr">
        <is>
          <t>2026-08-06 18:00:14</t>
        </is>
      </c>
      <c r="B870" s="194" t="inlineStr">
        <is>
          <t>INR</t>
        </is>
      </c>
      <c r="C870" s="194" t="inlineStr">
        <is>
          <t>INDIAN RUPEE</t>
        </is>
      </c>
      <c r="D870" s="195" t="n"/>
      <c r="E870" s="195" t="n">
        <v>273.9</v>
      </c>
      <c r="F870" s="195" t="n">
        <v>285.68</v>
      </c>
      <c r="G870" s="195" t="n">
        <v>279.79</v>
      </c>
    </row>
    <row r="871">
      <c r="A871" s="196" t="inlineStr">
        <is>
          <t>2026-08-06 18:00:14</t>
        </is>
      </c>
      <c r="B871" s="196" t="inlineStr">
        <is>
          <t>JPY</t>
        </is>
      </c>
      <c r="C871" s="196" t="inlineStr">
        <is>
          <t>YEN</t>
        </is>
      </c>
      <c r="D871" s="184" t="n">
        <v>160.42</v>
      </c>
      <c r="E871" s="184" t="n">
        <v>162.05</v>
      </c>
      <c r="F871" s="184" t="n">
        <v>171.49</v>
      </c>
      <c r="G871" s="184" t="n">
        <v>166.77</v>
      </c>
    </row>
    <row r="872">
      <c r="A872" s="194" t="inlineStr">
        <is>
          <t>2026-08-06 18:00:14</t>
        </is>
      </c>
      <c r="B872" s="194" t="inlineStr">
        <is>
          <t>KRW</t>
        </is>
      </c>
      <c r="C872" s="194" t="inlineStr">
        <is>
          <t>KOREAN WON</t>
        </is>
      </c>
      <c r="D872" s="195" t="n">
        <v>15.93</v>
      </c>
      <c r="E872" s="195" t="n">
        <v>17.7</v>
      </c>
      <c r="F872" s="195" t="n">
        <v>19.2</v>
      </c>
      <c r="G872" s="195" t="n">
        <v>18.45</v>
      </c>
    </row>
    <row r="873">
      <c r="A873" s="196" t="inlineStr">
        <is>
          <t>2026-08-06 18:00:14</t>
        </is>
      </c>
      <c r="B873" s="196" t="inlineStr">
        <is>
          <t>KWD</t>
        </is>
      </c>
      <c r="C873" s="196" t="inlineStr">
        <is>
          <t>KUWAITI DINAR</t>
        </is>
      </c>
      <c r="D873" s="184" t="n"/>
      <c r="E873" s="184" t="n">
        <v>84949.84</v>
      </c>
      <c r="F873" s="184" t="n">
        <v>89067.59</v>
      </c>
      <c r="G873" s="184" t="n">
        <v>87008.72</v>
      </c>
    </row>
    <row r="874">
      <c r="A874" s="194" t="inlineStr">
        <is>
          <t>2026-08-06 18:00:14</t>
        </is>
      </c>
      <c r="B874" s="194" t="inlineStr">
        <is>
          <t>MYR</t>
        </is>
      </c>
      <c r="C874" s="194" t="inlineStr">
        <is>
          <t>MALAYSIAN RINGGIT</t>
        </is>
      </c>
      <c r="D874" s="195" t="n"/>
      <c r="E874" s="195" t="n">
        <v>6349.52</v>
      </c>
      <c r="F874" s="195" t="n">
        <v>6487.68</v>
      </c>
      <c r="G874" s="195" t="n">
        <v>6418.6</v>
      </c>
    </row>
    <row r="875">
      <c r="A875" s="196" t="inlineStr">
        <is>
          <t>2026-08-06 18:00:14</t>
        </is>
      </c>
      <c r="B875" s="196" t="inlineStr">
        <is>
          <t>NOK</t>
        </is>
      </c>
      <c r="C875" s="196" t="inlineStr">
        <is>
          <t>NORWEGIAN KRONER</t>
        </is>
      </c>
      <c r="D875" s="184" t="n"/>
      <c r="E875" s="184" t="n">
        <v>2696.08</v>
      </c>
      <c r="F875" s="184" t="n">
        <v>2810.41</v>
      </c>
      <c r="G875" s="184" t="n">
        <v>2753.24</v>
      </c>
    </row>
    <row r="876">
      <c r="A876" s="194" t="inlineStr">
        <is>
          <t>2026-08-06 18:00:14</t>
        </is>
      </c>
      <c r="B876" s="194" t="inlineStr">
        <is>
          <t>RUB</t>
        </is>
      </c>
      <c r="C876" s="194" t="inlineStr">
        <is>
          <t>RUSSIAN RUBLE</t>
        </is>
      </c>
      <c r="D876" s="195" t="n"/>
      <c r="E876" s="195" t="n">
        <v>307.79</v>
      </c>
      <c r="F876" s="195" t="n">
        <v>340.71</v>
      </c>
      <c r="G876" s="195" t="n">
        <v>324.25</v>
      </c>
    </row>
    <row r="877">
      <c r="A877" s="196" t="inlineStr">
        <is>
          <t>2026-08-06 18:00:14</t>
        </is>
      </c>
      <c r="B877" s="196" t="inlineStr">
        <is>
          <t>SAR</t>
        </is>
      </c>
      <c r="C877" s="196" t="inlineStr">
        <is>
          <t>SAUDI RIAL</t>
        </is>
      </c>
      <c r="D877" s="184" t="n"/>
      <c r="E877" s="184" t="n">
        <v>6944.19</v>
      </c>
      <c r="F877" s="184" t="n">
        <v>7243.07</v>
      </c>
      <c r="G877" s="184" t="n">
        <v>7093.63</v>
      </c>
    </row>
    <row r="878">
      <c r="A878" s="194" t="inlineStr">
        <is>
          <t>2026-08-06 18:00:14</t>
        </is>
      </c>
      <c r="B878" s="194" t="inlineStr">
        <is>
          <t>SEK</t>
        </is>
      </c>
      <c r="C878" s="194" t="inlineStr">
        <is>
          <t>SWEDISH KRONA</t>
        </is>
      </c>
      <c r="D878" s="195" t="n"/>
      <c r="E878" s="195" t="n">
        <v>2709.1</v>
      </c>
      <c r="F878" s="195" t="n">
        <v>2823.98</v>
      </c>
      <c r="G878" s="195" t="n">
        <v>2766.54</v>
      </c>
    </row>
    <row r="879">
      <c r="A879" s="196" t="inlineStr">
        <is>
          <t>2026-08-06 18:00:14</t>
        </is>
      </c>
      <c r="B879" s="196" t="inlineStr">
        <is>
          <t>SGD</t>
        </is>
      </c>
      <c r="C879" s="196" t="inlineStr">
        <is>
          <t>SINGAPORE DOLLAR</t>
        </is>
      </c>
      <c r="D879" s="184" t="n">
        <v>19929.2</v>
      </c>
      <c r="E879" s="184" t="n">
        <v>20130.51</v>
      </c>
      <c r="F879" s="184" t="n">
        <v>20816.88</v>
      </c>
      <c r="G879" s="184" t="n">
        <v>20473.7</v>
      </c>
    </row>
    <row r="880">
      <c r="A880" s="194" t="inlineStr">
        <is>
          <t>2026-08-06 18:00:14</t>
        </is>
      </c>
      <c r="B880" s="194" t="inlineStr">
        <is>
          <t>THB</t>
        </is>
      </c>
      <c r="C880" s="194" t="inlineStr">
        <is>
          <t>THAILAND BAHT</t>
        </is>
      </c>
      <c r="D880" s="195" t="n">
        <v>699.53</v>
      </c>
      <c r="E880" s="195" t="n">
        <v>777.26</v>
      </c>
      <c r="F880" s="195" t="n">
        <v>810.22</v>
      </c>
      <c r="G880" s="195" t="n">
        <v>793.74</v>
      </c>
    </row>
    <row r="881">
      <c r="A881" s="196" t="inlineStr">
        <is>
          <t>2026-08-06 18:00:14</t>
        </is>
      </c>
      <c r="B881" s="196" t="inlineStr">
        <is>
          <t>USD</t>
        </is>
      </c>
      <c r="C881" s="196" t="inlineStr">
        <is>
          <t>US DOLLAR</t>
        </is>
      </c>
      <c r="D881" s="184" t="n">
        <v>26010</v>
      </c>
      <c r="E881" s="184" t="n">
        <v>26040</v>
      </c>
      <c r="F881" s="184" t="n">
        <v>26420</v>
      </c>
      <c r="G881" s="184" t="n">
        <v>26230</v>
      </c>
    </row>
    <row r="882">
      <c r="A882" s="194" t="inlineStr">
        <is>
          <t>2026-08-05 18:00:12</t>
        </is>
      </c>
      <c r="B882" s="194" t="inlineStr">
        <is>
          <t>AUD</t>
        </is>
      </c>
      <c r="C882" s="194" t="inlineStr">
        <is>
          <t>AUSTRALIAN DOLLAR</t>
        </is>
      </c>
      <c r="D882" s="195" t="n">
        <v>18031.01</v>
      </c>
      <c r="E882" s="195" t="n">
        <v>18213.14</v>
      </c>
      <c r="F882" s="195" t="n">
        <v>18796.46</v>
      </c>
      <c r="G882" s="195" t="n">
        <v>18504.8</v>
      </c>
    </row>
    <row r="883">
      <c r="A883" s="196" t="inlineStr">
        <is>
          <t>2026-08-05 18:00:12</t>
        </is>
      </c>
      <c r="B883" s="196" t="inlineStr">
        <is>
          <t>CAD</t>
        </is>
      </c>
      <c r="C883" s="196" t="inlineStr">
        <is>
          <t>CANADIAN DOLLAR</t>
        </is>
      </c>
      <c r="D883" s="184" t="n">
        <v>18203.66</v>
      </c>
      <c r="E883" s="184" t="n">
        <v>18387.54</v>
      </c>
      <c r="F883" s="184" t="n">
        <v>18976.43</v>
      </c>
      <c r="G883" s="184" t="n">
        <v>18681.98</v>
      </c>
    </row>
    <row r="884">
      <c r="A884" s="194" t="inlineStr">
        <is>
          <t>2026-08-05 18:00:12</t>
        </is>
      </c>
      <c r="B884" s="194" t="inlineStr">
        <is>
          <t>CHF</t>
        </is>
      </c>
      <c r="C884" s="194" t="inlineStr">
        <is>
          <t>SWISS FRANC</t>
        </is>
      </c>
      <c r="D884" s="195" t="n">
        <v>31660.01</v>
      </c>
      <c r="E884" s="195" t="n">
        <v>31979.81</v>
      </c>
      <c r="F884" s="195" t="n">
        <v>33004.03</v>
      </c>
      <c r="G884" s="195" t="n">
        <v>32491.92</v>
      </c>
    </row>
    <row r="885">
      <c r="A885" s="196" t="inlineStr">
        <is>
          <t>2026-08-05 18:00:12</t>
        </is>
      </c>
      <c r="B885" s="196" t="inlineStr">
        <is>
          <t>CNY</t>
        </is>
      </c>
      <c r="C885" s="196" t="inlineStr">
        <is>
          <t>YUAN RENMINBI</t>
        </is>
      </c>
      <c r="D885" s="184" t="n">
        <v>3791.31</v>
      </c>
      <c r="E885" s="184" t="n">
        <v>3829.6</v>
      </c>
      <c r="F885" s="184" t="n">
        <v>3952.25</v>
      </c>
      <c r="G885" s="184" t="n">
        <v>3890.92</v>
      </c>
    </row>
    <row r="886">
      <c r="A886" s="194" t="inlineStr">
        <is>
          <t>2026-08-05 18:00:12</t>
        </is>
      </c>
      <c r="B886" s="194" t="inlineStr">
        <is>
          <t>DKK</t>
        </is>
      </c>
      <c r="C886" s="194" t="inlineStr">
        <is>
          <t>DANISH KRONE</t>
        </is>
      </c>
      <c r="D886" s="195" t="n"/>
      <c r="E886" s="195" t="n">
        <v>3978.07</v>
      </c>
      <c r="F886" s="195" t="n">
        <v>4130.19</v>
      </c>
      <c r="G886" s="195" t="n">
        <v>4054.13</v>
      </c>
    </row>
    <row r="887">
      <c r="A887" s="196" t="inlineStr">
        <is>
          <t>2026-08-05 18:00:12</t>
        </is>
      </c>
      <c r="B887" s="196" t="inlineStr">
        <is>
          <t>EUR</t>
        </is>
      </c>
      <c r="C887" s="196" t="inlineStr">
        <is>
          <t>EURO</t>
        </is>
      </c>
      <c r="D887" s="184" t="n">
        <v>29516.69</v>
      </c>
      <c r="E887" s="184" t="n">
        <v>29814.84</v>
      </c>
      <c r="F887" s="184" t="n">
        <v>31072.87</v>
      </c>
      <c r="G887" s="184" t="n">
        <v>30443.86</v>
      </c>
    </row>
    <row r="888">
      <c r="A888" s="194" t="inlineStr">
        <is>
          <t>2026-08-05 18:00:12</t>
        </is>
      </c>
      <c r="B888" s="194" t="inlineStr">
        <is>
          <t>GBP</t>
        </is>
      </c>
      <c r="C888" s="194" t="inlineStr">
        <is>
          <t>POUND STERLING</t>
        </is>
      </c>
      <c r="D888" s="195" t="n">
        <v>34428.89</v>
      </c>
      <c r="E888" s="195" t="n">
        <v>34776.66</v>
      </c>
      <c r="F888" s="195" t="n">
        <v>35890.45</v>
      </c>
      <c r="G888" s="195" t="n">
        <v>35333.56</v>
      </c>
    </row>
    <row r="889">
      <c r="A889" s="196" t="inlineStr">
        <is>
          <t>2026-08-05 18:00:12</t>
        </is>
      </c>
      <c r="B889" s="196" t="inlineStr">
        <is>
          <t>HKD</t>
        </is>
      </c>
      <c r="C889" s="196" t="inlineStr">
        <is>
          <t>HONGKONG DOLLAR</t>
        </is>
      </c>
      <c r="D889" s="184" t="n">
        <v>3255</v>
      </c>
      <c r="E889" s="184" t="n">
        <v>3287.88</v>
      </c>
      <c r="F889" s="184" t="n">
        <v>3413.61</v>
      </c>
      <c r="G889" s="184" t="n">
        <v>3350.74</v>
      </c>
    </row>
    <row r="890">
      <c r="A890" s="194" t="inlineStr">
        <is>
          <t>2026-08-05 18:00:12</t>
        </is>
      </c>
      <c r="B890" s="194" t="inlineStr">
        <is>
          <t>INR</t>
        </is>
      </c>
      <c r="C890" s="194" t="inlineStr">
        <is>
          <t>INDIAN RUPEE</t>
        </is>
      </c>
      <c r="D890" s="195" t="n"/>
      <c r="E890" s="195" t="n">
        <v>273.85</v>
      </c>
      <c r="F890" s="195" t="n">
        <v>285.64</v>
      </c>
      <c r="G890" s="195" t="n">
        <v>279.74</v>
      </c>
    </row>
    <row r="891">
      <c r="A891" s="196" t="inlineStr">
        <is>
          <t>2026-08-05 18:00:12</t>
        </is>
      </c>
      <c r="B891" s="196" t="inlineStr">
        <is>
          <t>JPY</t>
        </is>
      </c>
      <c r="C891" s="196" t="inlineStr">
        <is>
          <t>YEN</t>
        </is>
      </c>
      <c r="D891" s="184" t="n">
        <v>160.86</v>
      </c>
      <c r="E891" s="184" t="n">
        <v>162.49</v>
      </c>
      <c r="F891" s="184" t="n">
        <v>171.96</v>
      </c>
      <c r="G891" s="184" t="n">
        <v>167.23</v>
      </c>
    </row>
    <row r="892">
      <c r="A892" s="194" t="inlineStr">
        <is>
          <t>2026-08-05 18:00:12</t>
        </is>
      </c>
      <c r="B892" s="194" t="inlineStr">
        <is>
          <t>KRW</t>
        </is>
      </c>
      <c r="C892" s="194" t="inlineStr">
        <is>
          <t>KOREAN WON</t>
        </is>
      </c>
      <c r="D892" s="195" t="n">
        <v>15.95</v>
      </c>
      <c r="E892" s="195" t="n">
        <v>17.72</v>
      </c>
      <c r="F892" s="195" t="n">
        <v>19.23</v>
      </c>
      <c r="G892" s="195" t="n">
        <v>18.48</v>
      </c>
    </row>
    <row r="893">
      <c r="A893" s="196" t="inlineStr">
        <is>
          <t>2026-08-05 18:00:12</t>
        </is>
      </c>
      <c r="B893" s="196" t="inlineStr">
        <is>
          <t>KWD</t>
        </is>
      </c>
      <c r="C893" s="196" t="inlineStr">
        <is>
          <t>KUWAITI DINAR</t>
        </is>
      </c>
      <c r="D893" s="184" t="n"/>
      <c r="E893" s="184" t="n">
        <v>85024.10000000001</v>
      </c>
      <c r="F893" s="184" t="n">
        <v>89145.24000000001</v>
      </c>
      <c r="G893" s="184" t="n">
        <v>87084.67</v>
      </c>
    </row>
    <row r="894">
      <c r="A894" s="194" t="inlineStr">
        <is>
          <t>2026-08-05 18:00:12</t>
        </is>
      </c>
      <c r="B894" s="194" t="inlineStr">
        <is>
          <t>MYR</t>
        </is>
      </c>
      <c r="C894" s="194" t="inlineStr">
        <is>
          <t>MALAYSIAN RINGGIT</t>
        </is>
      </c>
      <c r="D894" s="195" t="n"/>
      <c r="E894" s="195" t="n">
        <v>6359.21</v>
      </c>
      <c r="F894" s="195" t="n">
        <v>6497.57</v>
      </c>
      <c r="G894" s="195" t="n">
        <v>6428.39</v>
      </c>
    </row>
    <row r="895">
      <c r="A895" s="196" t="inlineStr">
        <is>
          <t>2026-08-05 18:00:12</t>
        </is>
      </c>
      <c r="B895" s="196" t="inlineStr">
        <is>
          <t>NOK</t>
        </is>
      </c>
      <c r="C895" s="196" t="inlineStr">
        <is>
          <t>NORWEGIAN KRONER</t>
        </is>
      </c>
      <c r="D895" s="184" t="n"/>
      <c r="E895" s="184" t="n">
        <v>2698.58</v>
      </c>
      <c r="F895" s="184" t="n">
        <v>2813.01</v>
      </c>
      <c r="G895" s="184" t="n">
        <v>2755.8</v>
      </c>
    </row>
    <row r="896">
      <c r="A896" s="194" t="inlineStr">
        <is>
          <t>2026-08-05 18:00:12</t>
        </is>
      </c>
      <c r="B896" s="194" t="inlineStr">
        <is>
          <t>RUB</t>
        </is>
      </c>
      <c r="C896" s="194" t="inlineStr">
        <is>
          <t>RUSSIAN RUBLE</t>
        </is>
      </c>
      <c r="D896" s="195" t="n"/>
      <c r="E896" s="195" t="n">
        <v>307.5</v>
      </c>
      <c r="F896" s="195" t="n">
        <v>340.39</v>
      </c>
      <c r="G896" s="195" t="n">
        <v>323.94</v>
      </c>
    </row>
    <row r="897">
      <c r="A897" s="196" t="inlineStr">
        <is>
          <t>2026-08-05 18:00:12</t>
        </is>
      </c>
      <c r="B897" s="196" t="inlineStr">
        <is>
          <t>SAR</t>
        </is>
      </c>
      <c r="C897" s="196" t="inlineStr">
        <is>
          <t>SAUDI RIAL</t>
        </is>
      </c>
      <c r="D897" s="184" t="n"/>
      <c r="E897" s="184" t="n">
        <v>6954.79</v>
      </c>
      <c r="F897" s="184" t="n">
        <v>7254.11</v>
      </c>
      <c r="G897" s="184" t="n">
        <v>7104.45</v>
      </c>
    </row>
    <row r="898">
      <c r="A898" s="194" t="inlineStr">
        <is>
          <t>2026-08-05 18:00:12</t>
        </is>
      </c>
      <c r="B898" s="194" t="inlineStr">
        <is>
          <t>SEK</t>
        </is>
      </c>
      <c r="C898" s="194" t="inlineStr">
        <is>
          <t>SWEDISH KRONA</t>
        </is>
      </c>
      <c r="D898" s="195" t="n"/>
      <c r="E898" s="195" t="n">
        <v>2703.17</v>
      </c>
      <c r="F898" s="195" t="n">
        <v>2817.79</v>
      </c>
      <c r="G898" s="195" t="n">
        <v>2760.48</v>
      </c>
    </row>
    <row r="899">
      <c r="A899" s="196" t="inlineStr">
        <is>
          <t>2026-08-05 18:00:12</t>
        </is>
      </c>
      <c r="B899" s="196" t="inlineStr">
        <is>
          <t>SGD</t>
        </is>
      </c>
      <c r="C899" s="196" t="inlineStr">
        <is>
          <t>SINGAPORE DOLLAR</t>
        </is>
      </c>
      <c r="D899" s="184" t="n">
        <v>19956.5</v>
      </c>
      <c r="E899" s="184" t="n">
        <v>20158.08</v>
      </c>
      <c r="F899" s="184" t="n">
        <v>20845.35</v>
      </c>
      <c r="G899" s="184" t="n">
        <v>20501.72</v>
      </c>
    </row>
    <row r="900">
      <c r="A900" s="194" t="inlineStr">
        <is>
          <t>2026-08-05 18:00:12</t>
        </is>
      </c>
      <c r="B900" s="194" t="inlineStr">
        <is>
          <t>THB</t>
        </is>
      </c>
      <c r="C900" s="194" t="inlineStr">
        <is>
          <t>THAILAND BAHT</t>
        </is>
      </c>
      <c r="D900" s="195" t="n">
        <v>697.4299999999999</v>
      </c>
      <c r="E900" s="195" t="n">
        <v>774.9299999999999</v>
      </c>
      <c r="F900" s="195" t="n">
        <v>807.78</v>
      </c>
      <c r="G900" s="195" t="n">
        <v>791.36</v>
      </c>
    </row>
    <row r="901">
      <c r="A901" s="196" t="inlineStr">
        <is>
          <t>2026-08-05 18:00:12</t>
        </is>
      </c>
      <c r="B901" s="196" t="inlineStr">
        <is>
          <t>USD</t>
        </is>
      </c>
      <c r="C901" s="196" t="inlineStr">
        <is>
          <t>US DOLLAR</t>
        </is>
      </c>
      <c r="D901" s="184" t="n">
        <v>26050</v>
      </c>
      <c r="E901" s="184" t="n">
        <v>26080</v>
      </c>
      <c r="F901" s="184" t="n">
        <v>26460</v>
      </c>
      <c r="G901" s="184" t="n">
        <v>26270</v>
      </c>
    </row>
    <row r="902">
      <c r="A902" s="194" t="inlineStr">
        <is>
          <t>2026-08-04 18:00:10</t>
        </is>
      </c>
      <c r="B902" s="194" t="inlineStr">
        <is>
          <t>AUD</t>
        </is>
      </c>
      <c r="C902" s="194" t="inlineStr">
        <is>
          <t>AUSTRALIAN DOLLAR</t>
        </is>
      </c>
      <c r="D902" s="195" t="n">
        <v>17918.38</v>
      </c>
      <c r="E902" s="195" t="n">
        <v>18099.38</v>
      </c>
      <c r="F902" s="195" t="n">
        <v>18679.05</v>
      </c>
      <c r="G902" s="195" t="n">
        <v>18389.22</v>
      </c>
    </row>
    <row r="903">
      <c r="A903" s="196" t="inlineStr">
        <is>
          <t>2026-08-04 18:00:10</t>
        </is>
      </c>
      <c r="B903" s="196" t="inlineStr">
        <is>
          <t>CAD</t>
        </is>
      </c>
      <c r="C903" s="196" t="inlineStr">
        <is>
          <t>CANADIAN DOLLAR</t>
        </is>
      </c>
      <c r="D903" s="184" t="n">
        <v>18234.78</v>
      </c>
      <c r="E903" s="184" t="n">
        <v>18418.97</v>
      </c>
      <c r="F903" s="184" t="n">
        <v>19008.87</v>
      </c>
      <c r="G903" s="184" t="n">
        <v>18713.92</v>
      </c>
    </row>
    <row r="904">
      <c r="A904" s="194" t="inlineStr">
        <is>
          <t>2026-08-04 18:00:10</t>
        </is>
      </c>
      <c r="B904" s="194" t="inlineStr">
        <is>
          <t>CHF</t>
        </is>
      </c>
      <c r="C904" s="194" t="inlineStr">
        <is>
          <t>SWISS FRANC</t>
        </is>
      </c>
      <c r="D904" s="195" t="n">
        <v>31613.1</v>
      </c>
      <c r="E904" s="195" t="n">
        <v>31932.42</v>
      </c>
      <c r="F904" s="195" t="n">
        <v>32955.12</v>
      </c>
      <c r="G904" s="195" t="n">
        <v>32443.77</v>
      </c>
    </row>
    <row r="905">
      <c r="A905" s="196" t="inlineStr">
        <is>
          <t>2026-08-04 18:00:10</t>
        </is>
      </c>
      <c r="B905" s="196" t="inlineStr">
        <is>
          <t>CNY</t>
        </is>
      </c>
      <c r="C905" s="196" t="inlineStr">
        <is>
          <t>YUAN RENMINBI</t>
        </is>
      </c>
      <c r="D905" s="184" t="n">
        <v>3791.81</v>
      </c>
      <c r="E905" s="184" t="n">
        <v>3830.11</v>
      </c>
      <c r="F905" s="184" t="n">
        <v>3952.78</v>
      </c>
      <c r="G905" s="184" t="n">
        <v>3891.44</v>
      </c>
    </row>
    <row r="906">
      <c r="A906" s="194" t="inlineStr">
        <is>
          <t>2026-08-04 18:00:10</t>
        </is>
      </c>
      <c r="B906" s="194" t="inlineStr">
        <is>
          <t>DKK</t>
        </is>
      </c>
      <c r="C906" s="194" t="inlineStr">
        <is>
          <t>DANISH KRONE</t>
        </is>
      </c>
      <c r="D906" s="195" t="n"/>
      <c r="E906" s="195" t="n">
        <v>3969.68</v>
      </c>
      <c r="F906" s="195" t="n">
        <v>4121.48</v>
      </c>
      <c r="G906" s="195" t="n">
        <v>4045.58</v>
      </c>
    </row>
    <row r="907">
      <c r="A907" s="196" t="inlineStr">
        <is>
          <t>2026-08-04 18:00:10</t>
        </is>
      </c>
      <c r="B907" s="196" t="inlineStr">
        <is>
          <t>EUR</t>
        </is>
      </c>
      <c r="C907" s="196" t="inlineStr">
        <is>
          <t>EURO</t>
        </is>
      </c>
      <c r="D907" s="184" t="n">
        <v>29452.7</v>
      </c>
      <c r="E907" s="184" t="n">
        <v>29750.2</v>
      </c>
      <c r="F907" s="184" t="n">
        <v>31005.51</v>
      </c>
      <c r="G907" s="184" t="n">
        <v>30377.86</v>
      </c>
    </row>
    <row r="908">
      <c r="A908" s="194" t="inlineStr">
        <is>
          <t>2026-08-04 18:00:10</t>
        </is>
      </c>
      <c r="B908" s="194" t="inlineStr">
        <is>
          <t>GBP</t>
        </is>
      </c>
      <c r="C908" s="194" t="inlineStr">
        <is>
          <t>POUND STERLING</t>
        </is>
      </c>
      <c r="D908" s="195" t="n">
        <v>34362.34</v>
      </c>
      <c r="E908" s="195" t="n">
        <v>34709.43</v>
      </c>
      <c r="F908" s="195" t="n">
        <v>35821.07</v>
      </c>
      <c r="G908" s="195" t="n">
        <v>35265.25</v>
      </c>
    </row>
    <row r="909">
      <c r="A909" s="196" t="inlineStr">
        <is>
          <t>2026-08-04 18:00:10</t>
        </is>
      </c>
      <c r="B909" s="196" t="inlineStr">
        <is>
          <t>HKD</t>
        </is>
      </c>
      <c r="C909" s="196" t="inlineStr">
        <is>
          <t>HONGKONG DOLLAR</t>
        </is>
      </c>
      <c r="D909" s="184" t="n">
        <v>3255.33</v>
      </c>
      <c r="E909" s="184" t="n">
        <v>3288.22</v>
      </c>
      <c r="F909" s="184" t="n">
        <v>3413.96</v>
      </c>
      <c r="G909" s="184" t="n">
        <v>3351.09</v>
      </c>
    </row>
    <row r="910">
      <c r="A910" s="194" t="inlineStr">
        <is>
          <t>2026-08-04 18:00:10</t>
        </is>
      </c>
      <c r="B910" s="194" t="inlineStr">
        <is>
          <t>INR</t>
        </is>
      </c>
      <c r="C910" s="194" t="inlineStr">
        <is>
          <t>INDIAN RUPEE</t>
        </is>
      </c>
      <c r="D910" s="195" t="n"/>
      <c r="E910" s="195" t="n">
        <v>273.99</v>
      </c>
      <c r="F910" s="195" t="n">
        <v>285.78</v>
      </c>
      <c r="G910" s="195" t="n">
        <v>279.88</v>
      </c>
    </row>
    <row r="911">
      <c r="A911" s="196" t="inlineStr">
        <is>
          <t>2026-08-04 18:00:10</t>
        </is>
      </c>
      <c r="B911" s="196" t="inlineStr">
        <is>
          <t>JPY</t>
        </is>
      </c>
      <c r="C911" s="196" t="inlineStr">
        <is>
          <t>YEN</t>
        </is>
      </c>
      <c r="D911" s="184" t="n">
        <v>161.02</v>
      </c>
      <c r="E911" s="184" t="n">
        <v>162.64</v>
      </c>
      <c r="F911" s="184" t="n">
        <v>172.13</v>
      </c>
      <c r="G911" s="184" t="n">
        <v>167.38</v>
      </c>
    </row>
    <row r="912">
      <c r="A912" s="194" t="inlineStr">
        <is>
          <t>2026-08-04 18:00:10</t>
        </is>
      </c>
      <c r="B912" s="194" t="inlineStr">
        <is>
          <t>KRW</t>
        </is>
      </c>
      <c r="C912" s="194" t="inlineStr">
        <is>
          <t>KOREAN WON</t>
        </is>
      </c>
      <c r="D912" s="195" t="n">
        <v>15.96</v>
      </c>
      <c r="E912" s="195" t="n">
        <v>17.73</v>
      </c>
      <c r="F912" s="195" t="n">
        <v>19.24</v>
      </c>
      <c r="G912" s="195" t="n">
        <v>18.48</v>
      </c>
    </row>
    <row r="913">
      <c r="A913" s="196" t="inlineStr">
        <is>
          <t>2026-08-04 18:00:10</t>
        </is>
      </c>
      <c r="B913" s="196" t="inlineStr">
        <is>
          <t>KWD</t>
        </is>
      </c>
      <c r="C913" s="196" t="inlineStr">
        <is>
          <t>KUWAITI DINAR</t>
        </is>
      </c>
      <c r="D913" s="184" t="n"/>
      <c r="E913" s="184" t="n">
        <v>84913.53</v>
      </c>
      <c r="F913" s="184" t="n">
        <v>89029.31</v>
      </c>
      <c r="G913" s="184" t="n">
        <v>86971.42</v>
      </c>
    </row>
    <row r="914">
      <c r="A914" s="194" t="inlineStr">
        <is>
          <t>2026-08-04 18:00:10</t>
        </is>
      </c>
      <c r="B914" s="194" t="inlineStr">
        <is>
          <t>MYR</t>
        </is>
      </c>
      <c r="C914" s="194" t="inlineStr">
        <is>
          <t>MALAYSIAN RINGGIT</t>
        </is>
      </c>
      <c r="D914" s="195" t="n"/>
      <c r="E914" s="195" t="n">
        <v>6351.44</v>
      </c>
      <c r="F914" s="195" t="n">
        <v>6489.63</v>
      </c>
      <c r="G914" s="195" t="n">
        <v>6420.54</v>
      </c>
    </row>
    <row r="915">
      <c r="A915" s="196" t="inlineStr">
        <is>
          <t>2026-08-04 18:00:10</t>
        </is>
      </c>
      <c r="B915" s="196" t="inlineStr">
        <is>
          <t>NOK</t>
        </is>
      </c>
      <c r="C915" s="196" t="inlineStr">
        <is>
          <t>NORWEGIAN KRONER</t>
        </is>
      </c>
      <c r="D915" s="184" t="n"/>
      <c r="E915" s="184" t="n">
        <v>2698.1</v>
      </c>
      <c r="F915" s="184" t="n">
        <v>2812.51</v>
      </c>
      <c r="G915" s="184" t="n">
        <v>2755.3</v>
      </c>
    </row>
    <row r="916">
      <c r="A916" s="194" t="inlineStr">
        <is>
          <t>2026-08-04 18:00:10</t>
        </is>
      </c>
      <c r="B916" s="194" t="inlineStr">
        <is>
          <t>RUB</t>
        </is>
      </c>
      <c r="C916" s="194" t="inlineStr">
        <is>
          <t>RUSSIAN RUBLE</t>
        </is>
      </c>
      <c r="D916" s="195" t="n"/>
      <c r="E916" s="195" t="n">
        <v>310.96</v>
      </c>
      <c r="F916" s="195" t="n">
        <v>344.22</v>
      </c>
      <c r="G916" s="195" t="n">
        <v>327.59</v>
      </c>
    </row>
    <row r="917">
      <c r="A917" s="196" t="inlineStr">
        <is>
          <t>2026-08-04 18:00:10</t>
        </is>
      </c>
      <c r="B917" s="196" t="inlineStr">
        <is>
          <t>SAR</t>
        </is>
      </c>
      <c r="C917" s="196" t="inlineStr">
        <is>
          <t>SAUDI RIAL</t>
        </is>
      </c>
      <c r="D917" s="184" t="n"/>
      <c r="E917" s="184" t="n">
        <v>6955.34</v>
      </c>
      <c r="F917" s="184" t="n">
        <v>7254.69</v>
      </c>
      <c r="G917" s="184" t="n">
        <v>7105.02</v>
      </c>
    </row>
    <row r="918">
      <c r="A918" s="194" t="inlineStr">
        <is>
          <t>2026-08-04 18:00:10</t>
        </is>
      </c>
      <c r="B918" s="194" t="inlineStr">
        <is>
          <t>SEK</t>
        </is>
      </c>
      <c r="C918" s="194" t="inlineStr">
        <is>
          <t>SWEDISH KRONA</t>
        </is>
      </c>
      <c r="D918" s="195" t="n"/>
      <c r="E918" s="195" t="n">
        <v>2690.79</v>
      </c>
      <c r="F918" s="195" t="n">
        <v>2804.89</v>
      </c>
      <c r="G918" s="195" t="n">
        <v>2747.84</v>
      </c>
    </row>
    <row r="919">
      <c r="A919" s="196" t="inlineStr">
        <is>
          <t>2026-08-04 18:00:10</t>
        </is>
      </c>
      <c r="B919" s="196" t="inlineStr">
        <is>
          <t>SGD</t>
        </is>
      </c>
      <c r="C919" s="196" t="inlineStr">
        <is>
          <t>SINGAPORE DOLLAR</t>
        </is>
      </c>
      <c r="D919" s="184" t="n">
        <v>19947.16</v>
      </c>
      <c r="E919" s="184" t="n">
        <v>20148.65</v>
      </c>
      <c r="F919" s="184" t="n">
        <v>20835.59</v>
      </c>
      <c r="G919" s="184" t="n">
        <v>20492.12</v>
      </c>
    </row>
    <row r="920">
      <c r="A920" s="194" t="inlineStr">
        <is>
          <t>2026-08-04 18:00:10</t>
        </is>
      </c>
      <c r="B920" s="194" t="inlineStr">
        <is>
          <t>THB</t>
        </is>
      </c>
      <c r="C920" s="194" t="inlineStr">
        <is>
          <t>THAILAND BAHT</t>
        </is>
      </c>
      <c r="D920" s="195" t="n">
        <v>693.67</v>
      </c>
      <c r="E920" s="195" t="n">
        <v>770.75</v>
      </c>
      <c r="F920" s="195" t="n">
        <v>803.4299999999999</v>
      </c>
      <c r="G920" s="195" t="n">
        <v>787.09</v>
      </c>
    </row>
    <row r="921">
      <c r="A921" s="196" t="inlineStr">
        <is>
          <t>2026-08-04 18:00:10</t>
        </is>
      </c>
      <c r="B921" s="196" t="inlineStr">
        <is>
          <t>USD</t>
        </is>
      </c>
      <c r="C921" s="196" t="inlineStr">
        <is>
          <t>US DOLLAR</t>
        </is>
      </c>
      <c r="D921" s="184" t="n">
        <v>26050</v>
      </c>
      <c r="E921" s="184" t="n">
        <v>26080</v>
      </c>
      <c r="F921" s="184" t="n">
        <v>26460</v>
      </c>
      <c r="G921" s="184" t="n">
        <v>26270</v>
      </c>
    </row>
    <row r="922">
      <c r="A922" s="194" t="inlineStr">
        <is>
          <t>2026-08-03 18:00:08</t>
        </is>
      </c>
      <c r="B922" s="194" t="inlineStr">
        <is>
          <t>AUD</t>
        </is>
      </c>
      <c r="C922" s="194" t="inlineStr">
        <is>
          <t>AUSTRALIAN DOLLAR</t>
        </is>
      </c>
      <c r="D922" s="195" t="n">
        <v>18047.31</v>
      </c>
      <c r="E922" s="195" t="n">
        <v>18229.61</v>
      </c>
      <c r="F922" s="195" t="n">
        <v>18813.43</v>
      </c>
      <c r="G922" s="195" t="n">
        <v>18521.52</v>
      </c>
    </row>
    <row r="923">
      <c r="A923" s="196" t="inlineStr">
        <is>
          <t>2026-08-03 18:00:08</t>
        </is>
      </c>
      <c r="B923" s="196" t="inlineStr">
        <is>
          <t>CAD</t>
        </is>
      </c>
      <c r="C923" s="196" t="inlineStr">
        <is>
          <t>CANADIAN DOLLAR</t>
        </is>
      </c>
      <c r="D923" s="184" t="n">
        <v>18292.96</v>
      </c>
      <c r="E923" s="184" t="n">
        <v>18477.74</v>
      </c>
      <c r="F923" s="184" t="n">
        <v>19069.51</v>
      </c>
      <c r="G923" s="184" t="n">
        <v>18773.62</v>
      </c>
    </row>
    <row r="924">
      <c r="A924" s="194" t="inlineStr">
        <is>
          <t>2026-08-03 18:00:08</t>
        </is>
      </c>
      <c r="B924" s="194" t="inlineStr">
        <is>
          <t>CHF</t>
        </is>
      </c>
      <c r="C924" s="194" t="inlineStr">
        <is>
          <t>SWISS FRANC</t>
        </is>
      </c>
      <c r="D924" s="195" t="n">
        <v>31798.16</v>
      </c>
      <c r="E924" s="195" t="n">
        <v>32119.35</v>
      </c>
      <c r="F924" s="195" t="n">
        <v>33148</v>
      </c>
      <c r="G924" s="195" t="n">
        <v>32633.68</v>
      </c>
    </row>
    <row r="925">
      <c r="A925" s="196" t="inlineStr">
        <is>
          <t>2026-08-03 18:00:08</t>
        </is>
      </c>
      <c r="B925" s="196" t="inlineStr">
        <is>
          <t>CNY</t>
        </is>
      </c>
      <c r="C925" s="196" t="inlineStr">
        <is>
          <t>YUAN RENMINBI</t>
        </is>
      </c>
      <c r="D925" s="184" t="n">
        <v>3795.49</v>
      </c>
      <c r="E925" s="184" t="n">
        <v>3833.83</v>
      </c>
      <c r="F925" s="184" t="n">
        <v>3956.61</v>
      </c>
      <c r="G925" s="184" t="n">
        <v>3895.22</v>
      </c>
    </row>
    <row r="926">
      <c r="A926" s="194" t="inlineStr">
        <is>
          <t>2026-08-03 18:00:08</t>
        </is>
      </c>
      <c r="B926" s="194" t="inlineStr">
        <is>
          <t>DKK</t>
        </is>
      </c>
      <c r="C926" s="194" t="inlineStr">
        <is>
          <t>DANISH KRONE</t>
        </is>
      </c>
      <c r="D926" s="195" t="n"/>
      <c r="E926" s="195" t="n">
        <v>3987.19</v>
      </c>
      <c r="F926" s="195" t="n">
        <v>4139.65</v>
      </c>
      <c r="G926" s="195" t="n">
        <v>4063.42</v>
      </c>
    </row>
    <row r="927">
      <c r="A927" s="196" t="inlineStr">
        <is>
          <t>2026-08-03 18:00:08</t>
        </is>
      </c>
      <c r="B927" s="196" t="inlineStr">
        <is>
          <t>EUR</t>
        </is>
      </c>
      <c r="C927" s="196" t="inlineStr">
        <is>
          <t>EURO</t>
        </is>
      </c>
      <c r="D927" s="184" t="n">
        <v>29580.17</v>
      </c>
      <c r="E927" s="184" t="n">
        <v>29878.96</v>
      </c>
      <c r="F927" s="184" t="n">
        <v>31139.66</v>
      </c>
      <c r="G927" s="184" t="n">
        <v>30509.31</v>
      </c>
    </row>
    <row r="928">
      <c r="A928" s="194" t="inlineStr">
        <is>
          <t>2026-08-03 18:00:08</t>
        </is>
      </c>
      <c r="B928" s="194" t="inlineStr">
        <is>
          <t>GBP</t>
        </is>
      </c>
      <c r="C928" s="194" t="inlineStr">
        <is>
          <t>POUND STERLING</t>
        </is>
      </c>
      <c r="D928" s="195" t="n">
        <v>34565.28</v>
      </c>
      <c r="E928" s="195" t="n">
        <v>34914.42</v>
      </c>
      <c r="F928" s="195" t="n">
        <v>36032.58</v>
      </c>
      <c r="G928" s="195" t="n">
        <v>35473.5</v>
      </c>
    </row>
    <row r="929">
      <c r="A929" s="196" t="inlineStr">
        <is>
          <t>2026-08-03 18:00:08</t>
        </is>
      </c>
      <c r="B929" s="196" t="inlineStr">
        <is>
          <t>HKD</t>
        </is>
      </c>
      <c r="C929" s="196" t="inlineStr">
        <is>
          <t>HONGKONG DOLLAR</t>
        </is>
      </c>
      <c r="D929" s="184" t="n">
        <v>3257.98</v>
      </c>
      <c r="E929" s="184" t="n">
        <v>3290.89</v>
      </c>
      <c r="F929" s="184" t="n">
        <v>3416.73</v>
      </c>
      <c r="G929" s="184" t="n">
        <v>3353.81</v>
      </c>
    </row>
    <row r="930">
      <c r="A930" s="194" t="inlineStr">
        <is>
          <t>2026-08-03 18:00:08</t>
        </is>
      </c>
      <c r="B930" s="194" t="inlineStr">
        <is>
          <t>INR</t>
        </is>
      </c>
      <c r="C930" s="194" t="inlineStr">
        <is>
          <t>INDIAN RUPEE</t>
        </is>
      </c>
      <c r="D930" s="195" t="n"/>
      <c r="E930" s="195" t="n">
        <v>274.05</v>
      </c>
      <c r="F930" s="195" t="n">
        <v>285.85</v>
      </c>
      <c r="G930" s="195" t="n">
        <v>279.95</v>
      </c>
    </row>
    <row r="931">
      <c r="A931" s="196" t="inlineStr">
        <is>
          <t>2026-08-03 18:00:08</t>
        </is>
      </c>
      <c r="B931" s="196" t="inlineStr">
        <is>
          <t>JPY</t>
        </is>
      </c>
      <c r="C931" s="196" t="inlineStr">
        <is>
          <t>YEN</t>
        </is>
      </c>
      <c r="D931" s="184" t="n">
        <v>163.05</v>
      </c>
      <c r="E931" s="184" t="n">
        <v>164.7</v>
      </c>
      <c r="F931" s="184" t="n">
        <v>174.31</v>
      </c>
      <c r="G931" s="184" t="n">
        <v>169.5</v>
      </c>
    </row>
    <row r="932">
      <c r="A932" s="194" t="inlineStr">
        <is>
          <t>2026-08-03 18:00:08</t>
        </is>
      </c>
      <c r="B932" s="194" t="inlineStr">
        <is>
          <t>KRW</t>
        </is>
      </c>
      <c r="C932" s="194" t="inlineStr">
        <is>
          <t>KOREAN WON</t>
        </is>
      </c>
      <c r="D932" s="195" t="n">
        <v>15.89</v>
      </c>
      <c r="E932" s="195" t="n">
        <v>17.65</v>
      </c>
      <c r="F932" s="195" t="n">
        <v>19.15</v>
      </c>
      <c r="G932" s="195" t="n">
        <v>18.4</v>
      </c>
    </row>
    <row r="933">
      <c r="A933" s="196" t="inlineStr">
        <is>
          <t>2026-08-03 18:00:08</t>
        </is>
      </c>
      <c r="B933" s="196" t="inlineStr">
        <is>
          <t>KWD</t>
        </is>
      </c>
      <c r="C933" s="196" t="inlineStr">
        <is>
          <t>KUWAITI DINAR</t>
        </is>
      </c>
      <c r="D933" s="184" t="n"/>
      <c r="E933" s="184" t="n">
        <v>84978.23</v>
      </c>
      <c r="F933" s="184" t="n">
        <v>89097.03999999999</v>
      </c>
      <c r="G933" s="184" t="n">
        <v>87037.64</v>
      </c>
    </row>
    <row r="934">
      <c r="A934" s="194" t="inlineStr">
        <is>
          <t>2026-08-03 18:00:08</t>
        </is>
      </c>
      <c r="B934" s="194" t="inlineStr">
        <is>
          <t>MYR</t>
        </is>
      </c>
      <c r="C934" s="194" t="inlineStr">
        <is>
          <t>MALAYSIAN RINGGIT</t>
        </is>
      </c>
      <c r="D934" s="195" t="n"/>
      <c r="E934" s="195" t="n">
        <v>6379.67</v>
      </c>
      <c r="F934" s="195" t="n">
        <v>6518.46</v>
      </c>
      <c r="G934" s="195" t="n">
        <v>6449.06</v>
      </c>
    </row>
    <row r="935">
      <c r="A935" s="196" t="inlineStr">
        <is>
          <t>2026-08-03 18:00:08</t>
        </is>
      </c>
      <c r="B935" s="196" t="inlineStr">
        <is>
          <t>NOK</t>
        </is>
      </c>
      <c r="C935" s="196" t="inlineStr">
        <is>
          <t>NORWEGIAN KRONER</t>
        </is>
      </c>
      <c r="D935" s="184" t="n"/>
      <c r="E935" s="184" t="n">
        <v>2720.66</v>
      </c>
      <c r="F935" s="184" t="n">
        <v>2836.02</v>
      </c>
      <c r="G935" s="184" t="n">
        <v>2778.34</v>
      </c>
    </row>
    <row r="936">
      <c r="A936" s="194" t="inlineStr">
        <is>
          <t>2026-08-03 18:00:08</t>
        </is>
      </c>
      <c r="B936" s="194" t="inlineStr">
        <is>
          <t>RUB</t>
        </is>
      </c>
      <c r="C936" s="194" t="inlineStr">
        <is>
          <t>RUSSIAN RUBLE</t>
        </is>
      </c>
      <c r="D936" s="195" t="n"/>
      <c r="E936" s="195" t="n">
        <v>314.31</v>
      </c>
      <c r="F936" s="195" t="n">
        <v>347.92</v>
      </c>
      <c r="G936" s="195" t="n">
        <v>331.12</v>
      </c>
    </row>
    <row r="937">
      <c r="A937" s="196" t="inlineStr">
        <is>
          <t>2026-08-03 18:00:08</t>
        </is>
      </c>
      <c r="B937" s="196" t="inlineStr">
        <is>
          <t>SAR</t>
        </is>
      </c>
      <c r="C937" s="196" t="inlineStr">
        <is>
          <t>SAUDI RIAL</t>
        </is>
      </c>
      <c r="D937" s="184" t="n"/>
      <c r="E937" s="184" t="n">
        <v>6960.83</v>
      </c>
      <c r="F937" s="184" t="n">
        <v>7260.4</v>
      </c>
      <c r="G937" s="184" t="n">
        <v>7110.62</v>
      </c>
    </row>
    <row r="938">
      <c r="A938" s="194" t="inlineStr">
        <is>
          <t>2026-08-03 18:00:08</t>
        </is>
      </c>
      <c r="B938" s="194" t="inlineStr">
        <is>
          <t>SEK</t>
        </is>
      </c>
      <c r="C938" s="194" t="inlineStr">
        <is>
          <t>SWEDISH KRONA</t>
        </is>
      </c>
      <c r="D938" s="195" t="n"/>
      <c r="E938" s="195" t="n">
        <v>2714.44</v>
      </c>
      <c r="F938" s="195" t="n">
        <v>2829.54</v>
      </c>
      <c r="G938" s="195" t="n">
        <v>2771.99</v>
      </c>
    </row>
    <row r="939">
      <c r="A939" s="196" t="inlineStr">
        <is>
          <t>2026-08-03 18:00:08</t>
        </is>
      </c>
      <c r="B939" s="196" t="inlineStr">
        <is>
          <t>SGD</t>
        </is>
      </c>
      <c r="C939" s="196" t="inlineStr">
        <is>
          <t>SINGAPORE DOLLAR</t>
        </is>
      </c>
      <c r="D939" s="184" t="n">
        <v>20006.05</v>
      </c>
      <c r="E939" s="184" t="n">
        <v>20208.13</v>
      </c>
      <c r="F939" s="184" t="n">
        <v>20897.07</v>
      </c>
      <c r="G939" s="184" t="n">
        <v>20552.6</v>
      </c>
    </row>
    <row r="940">
      <c r="A940" s="194" t="inlineStr">
        <is>
          <t>2026-08-03 18:00:08</t>
        </is>
      </c>
      <c r="B940" s="194" t="inlineStr">
        <is>
          <t>THB</t>
        </is>
      </c>
      <c r="C940" s="194" t="inlineStr">
        <is>
          <t>THAILAND BAHT</t>
        </is>
      </c>
      <c r="D940" s="195" t="n">
        <v>695.66</v>
      </c>
      <c r="E940" s="195" t="n">
        <v>772.96</v>
      </c>
      <c r="F940" s="195" t="n">
        <v>805.73</v>
      </c>
      <c r="G940" s="195" t="n">
        <v>789.34</v>
      </c>
    </row>
    <row r="941">
      <c r="A941" s="196" t="inlineStr">
        <is>
          <t>2026-08-03 18:00:08</t>
        </is>
      </c>
      <c r="B941" s="196" t="inlineStr">
        <is>
          <t>USD</t>
        </is>
      </c>
      <c r="C941" s="196" t="inlineStr">
        <is>
          <t>US DOLLAR</t>
        </is>
      </c>
      <c r="D941" s="184" t="n">
        <v>26070</v>
      </c>
      <c r="E941" s="184" t="n">
        <v>26100</v>
      </c>
      <c r="F941" s="184" t="n">
        <v>26480</v>
      </c>
      <c r="G941" s="184" t="n">
        <v>26290</v>
      </c>
    </row>
    <row r="942">
      <c r="A942" s="194" t="inlineStr">
        <is>
          <t>2026-08-02 18:00:10</t>
        </is>
      </c>
      <c r="B942" s="194" t="inlineStr">
        <is>
          <t>AUD</t>
        </is>
      </c>
      <c r="C942" s="194" t="inlineStr">
        <is>
          <t>AUSTRALIAN DOLLAR</t>
        </is>
      </c>
      <c r="D942" s="195" t="n">
        <v>18010.61</v>
      </c>
      <c r="E942" s="195" t="n">
        <v>18192.54</v>
      </c>
      <c r="F942" s="195" t="n">
        <v>18775.16</v>
      </c>
      <c r="G942" s="195" t="n">
        <v>18483.85</v>
      </c>
    </row>
    <row r="943">
      <c r="A943" s="196" t="inlineStr">
        <is>
          <t>2026-08-02 18:00:10</t>
        </is>
      </c>
      <c r="B943" s="196" t="inlineStr">
        <is>
          <t>CAD</t>
        </is>
      </c>
      <c r="C943" s="196" t="inlineStr">
        <is>
          <t>CANADIAN DOLLAR</t>
        </is>
      </c>
      <c r="D943" s="184" t="n">
        <v>18285.57</v>
      </c>
      <c r="E943" s="184" t="n">
        <v>18470.27</v>
      </c>
      <c r="F943" s="184" t="n">
        <v>19061.79</v>
      </c>
      <c r="G943" s="184" t="n">
        <v>18766.03</v>
      </c>
    </row>
    <row r="944">
      <c r="A944" s="194" t="inlineStr">
        <is>
          <t>2026-08-02 18:00:10</t>
        </is>
      </c>
      <c r="B944" s="194" t="inlineStr">
        <is>
          <t>CHF</t>
        </is>
      </c>
      <c r="C944" s="194" t="inlineStr">
        <is>
          <t>SWISS FRANC</t>
        </is>
      </c>
      <c r="D944" s="195" t="n">
        <v>31751.16</v>
      </c>
      <c r="E944" s="195" t="n">
        <v>32071.88</v>
      </c>
      <c r="F944" s="195" t="n">
        <v>33098.99</v>
      </c>
      <c r="G944" s="195" t="n">
        <v>32585.44</v>
      </c>
    </row>
    <row r="945">
      <c r="A945" s="196" t="inlineStr">
        <is>
          <t>2026-08-02 18:00:10</t>
        </is>
      </c>
      <c r="B945" s="196" t="inlineStr">
        <is>
          <t>CNY</t>
        </is>
      </c>
      <c r="C945" s="196" t="inlineStr">
        <is>
          <t>YUAN RENMINBI</t>
        </is>
      </c>
      <c r="D945" s="184" t="n">
        <v>3799.18</v>
      </c>
      <c r="E945" s="184" t="n">
        <v>3837.56</v>
      </c>
      <c r="F945" s="184" t="n">
        <v>3960.46</v>
      </c>
      <c r="G945" s="184" t="n">
        <v>3899.01</v>
      </c>
    </row>
    <row r="946">
      <c r="A946" s="194" t="inlineStr">
        <is>
          <t>2026-08-02 18:00:10</t>
        </is>
      </c>
      <c r="B946" s="194" t="inlineStr">
        <is>
          <t>DKK</t>
        </is>
      </c>
      <c r="C946" s="194" t="inlineStr">
        <is>
          <t>DANISH KRONE</t>
        </is>
      </c>
      <c r="D946" s="195" t="n"/>
      <c r="E946" s="195" t="n">
        <v>3975.56</v>
      </c>
      <c r="F946" s="195" t="n">
        <v>4127.58</v>
      </c>
      <c r="G946" s="195" t="n">
        <v>4051.57</v>
      </c>
    </row>
    <row r="947">
      <c r="A947" s="196" t="inlineStr">
        <is>
          <t>2026-08-02 18:00:10</t>
        </is>
      </c>
      <c r="B947" s="196" t="inlineStr">
        <is>
          <t>EUR</t>
        </is>
      </c>
      <c r="C947" s="196" t="inlineStr">
        <is>
          <t>EURO</t>
        </is>
      </c>
      <c r="D947" s="184" t="n">
        <v>29496.61</v>
      </c>
      <c r="E947" s="184" t="n">
        <v>29794.56</v>
      </c>
      <c r="F947" s="184" t="n">
        <v>31051.68</v>
      </c>
      <c r="G947" s="184" t="n">
        <v>30423.12</v>
      </c>
    </row>
    <row r="948">
      <c r="A948" s="194" t="inlineStr">
        <is>
          <t>2026-08-02 18:00:10</t>
        </is>
      </c>
      <c r="B948" s="194" t="inlineStr">
        <is>
          <t>GBP</t>
        </is>
      </c>
      <c r="C948" s="194" t="inlineStr">
        <is>
          <t>POUND STERLING</t>
        </is>
      </c>
      <c r="D948" s="195" t="n">
        <v>34447.74</v>
      </c>
      <c r="E948" s="195" t="n">
        <v>34795.69</v>
      </c>
      <c r="F948" s="195" t="n">
        <v>35910.03</v>
      </c>
      <c r="G948" s="195" t="n">
        <v>35352.86</v>
      </c>
    </row>
    <row r="949">
      <c r="A949" s="196" t="inlineStr">
        <is>
          <t>2026-08-02 18:00:10</t>
        </is>
      </c>
      <c r="B949" s="196" t="inlineStr">
        <is>
          <t>HKD</t>
        </is>
      </c>
      <c r="C949" s="196" t="inlineStr">
        <is>
          <t>HONGKONG DOLLAR</t>
        </is>
      </c>
      <c r="D949" s="184" t="n">
        <v>3259.47</v>
      </c>
      <c r="E949" s="184" t="n">
        <v>3292.39</v>
      </c>
      <c r="F949" s="184" t="n">
        <v>3418.29</v>
      </c>
      <c r="G949" s="184" t="n">
        <v>3355.34</v>
      </c>
    </row>
    <row r="950">
      <c r="A950" s="194" t="inlineStr">
        <is>
          <t>2026-08-02 18:00:10</t>
        </is>
      </c>
      <c r="B950" s="194" t="inlineStr">
        <is>
          <t>INR</t>
        </is>
      </c>
      <c r="C950" s="194" t="inlineStr">
        <is>
          <t>INDIAN RUPEE</t>
        </is>
      </c>
      <c r="D950" s="195" t="n"/>
      <c r="E950" s="195" t="n">
        <v>274</v>
      </c>
      <c r="F950" s="195" t="n">
        <v>285.79</v>
      </c>
      <c r="G950" s="195" t="n">
        <v>279.9</v>
      </c>
    </row>
    <row r="951">
      <c r="A951" s="196" t="inlineStr">
        <is>
          <t>2026-08-02 18:00:10</t>
        </is>
      </c>
      <c r="B951" s="196" t="inlineStr">
        <is>
          <t>JPY</t>
        </is>
      </c>
      <c r="C951" s="196" t="inlineStr">
        <is>
          <t>YEN</t>
        </is>
      </c>
      <c r="D951" s="184" t="n">
        <v>158.33</v>
      </c>
      <c r="E951" s="184" t="n">
        <v>159.93</v>
      </c>
      <c r="F951" s="184" t="n">
        <v>169.26</v>
      </c>
      <c r="G951" s="184" t="n">
        <v>164.6</v>
      </c>
    </row>
    <row r="952">
      <c r="A952" s="194" t="inlineStr">
        <is>
          <t>2026-08-02 18:00:10</t>
        </is>
      </c>
      <c r="B952" s="194" t="inlineStr">
        <is>
          <t>KRW</t>
        </is>
      </c>
      <c r="C952" s="194" t="inlineStr">
        <is>
          <t>KOREAN WON</t>
        </is>
      </c>
      <c r="D952" s="195" t="n">
        <v>15.91</v>
      </c>
      <c r="E952" s="195" t="n">
        <v>17.68</v>
      </c>
      <c r="F952" s="195" t="n">
        <v>19.18</v>
      </c>
      <c r="G952" s="195" t="n">
        <v>18.43</v>
      </c>
    </row>
    <row r="953">
      <c r="A953" s="196" t="inlineStr">
        <is>
          <t>2026-08-02 18:00:10</t>
        </is>
      </c>
      <c r="B953" s="196" t="inlineStr">
        <is>
          <t>KWD</t>
        </is>
      </c>
      <c r="C953" s="196" t="inlineStr">
        <is>
          <t>KUWAITI DINAR</t>
        </is>
      </c>
      <c r="D953" s="184" t="n"/>
      <c r="E953" s="184" t="n">
        <v>85010.58</v>
      </c>
      <c r="F953" s="184" t="n">
        <v>89130.91</v>
      </c>
      <c r="G953" s="184" t="n">
        <v>87070.74000000001</v>
      </c>
    </row>
    <row r="954">
      <c r="A954" s="194" t="inlineStr">
        <is>
          <t>2026-08-02 18:00:10</t>
        </is>
      </c>
      <c r="B954" s="194" t="inlineStr">
        <is>
          <t>MYR</t>
        </is>
      </c>
      <c r="C954" s="194" t="inlineStr">
        <is>
          <t>MALAYSIAN RINGGIT</t>
        </is>
      </c>
      <c r="D954" s="195" t="n"/>
      <c r="E954" s="195" t="n">
        <v>6369.6</v>
      </c>
      <c r="F954" s="195" t="n">
        <v>6508.17</v>
      </c>
      <c r="G954" s="195" t="n">
        <v>6438.88</v>
      </c>
    </row>
    <row r="955">
      <c r="A955" s="196" t="inlineStr">
        <is>
          <t>2026-08-02 18:00:10</t>
        </is>
      </c>
      <c r="B955" s="196" t="inlineStr">
        <is>
          <t>NOK</t>
        </is>
      </c>
      <c r="C955" s="196" t="inlineStr">
        <is>
          <t>NORWEGIAN KRONER</t>
        </is>
      </c>
      <c r="D955" s="184" t="n"/>
      <c r="E955" s="184" t="n">
        <v>2703.14</v>
      </c>
      <c r="F955" s="184" t="n">
        <v>2817.75</v>
      </c>
      <c r="G955" s="184" t="n">
        <v>2760.44</v>
      </c>
    </row>
    <row r="956">
      <c r="A956" s="194" t="inlineStr">
        <is>
          <t>2026-08-02 18:00:10</t>
        </is>
      </c>
      <c r="B956" s="194" t="inlineStr">
        <is>
          <t>RUB</t>
        </is>
      </c>
      <c r="C956" s="194" t="inlineStr">
        <is>
          <t>RUSSIAN RUBLE</t>
        </is>
      </c>
      <c r="D956" s="195" t="n"/>
      <c r="E956" s="195" t="n">
        <v>315.62</v>
      </c>
      <c r="F956" s="195" t="n">
        <v>349.37</v>
      </c>
      <c r="G956" s="195" t="n">
        <v>332.5</v>
      </c>
    </row>
    <row r="957">
      <c r="A957" s="196" t="inlineStr">
        <is>
          <t>2026-08-02 18:00:10</t>
        </is>
      </c>
      <c r="B957" s="196" t="inlineStr">
        <is>
          <t>SAR</t>
        </is>
      </c>
      <c r="C957" s="196" t="inlineStr">
        <is>
          <t>SAUDI RIAL</t>
        </is>
      </c>
      <c r="D957" s="184" t="n"/>
      <c r="E957" s="184" t="n">
        <v>6964.41</v>
      </c>
      <c r="F957" s="184" t="n">
        <v>7264.13</v>
      </c>
      <c r="G957" s="184" t="n">
        <v>7114.27</v>
      </c>
    </row>
    <row r="958">
      <c r="A958" s="194" t="inlineStr">
        <is>
          <t>2026-08-02 18:00:10</t>
        </is>
      </c>
      <c r="B958" s="194" t="inlineStr">
        <is>
          <t>SEK</t>
        </is>
      </c>
      <c r="C958" s="194" t="inlineStr">
        <is>
          <t>SWEDISH KRONA</t>
        </is>
      </c>
      <c r="D958" s="195" t="n"/>
      <c r="E958" s="195" t="n">
        <v>2701.3</v>
      </c>
      <c r="F958" s="195" t="n">
        <v>2815.83</v>
      </c>
      <c r="G958" s="195" t="n">
        <v>2758.56</v>
      </c>
    </row>
    <row r="959">
      <c r="A959" s="196" t="inlineStr">
        <is>
          <t>2026-08-02 18:00:10</t>
        </is>
      </c>
      <c r="B959" s="196" t="inlineStr">
        <is>
          <t>SGD</t>
        </is>
      </c>
      <c r="C959" s="196" t="inlineStr">
        <is>
          <t>SINGAPORE DOLLAR</t>
        </is>
      </c>
      <c r="D959" s="184" t="n">
        <v>19966.85</v>
      </c>
      <c r="E959" s="184" t="n">
        <v>20168.53</v>
      </c>
      <c r="F959" s="184" t="n">
        <v>20856.11</v>
      </c>
      <c r="G959" s="184" t="n">
        <v>20512.32</v>
      </c>
    </row>
    <row r="960">
      <c r="A960" s="194" t="inlineStr">
        <is>
          <t>2026-08-02 18:00:10</t>
        </is>
      </c>
      <c r="B960" s="194" t="inlineStr">
        <is>
          <t>THB</t>
        </is>
      </c>
      <c r="C960" s="194" t="inlineStr">
        <is>
          <t>THAILAND BAHT</t>
        </is>
      </c>
      <c r="D960" s="195" t="n">
        <v>694.67</v>
      </c>
      <c r="E960" s="195" t="n">
        <v>771.86</v>
      </c>
      <c r="F960" s="195" t="n">
        <v>804.59</v>
      </c>
      <c r="G960" s="195" t="n">
        <v>788.22</v>
      </c>
    </row>
    <row r="961">
      <c r="A961" s="196" t="inlineStr">
        <is>
          <t>2026-08-02 18:00:10</t>
        </is>
      </c>
      <c r="B961" s="196" t="inlineStr">
        <is>
          <t>USD</t>
        </is>
      </c>
      <c r="C961" s="196" t="inlineStr">
        <is>
          <t>US DOLLAR</t>
        </is>
      </c>
      <c r="D961" s="184" t="n">
        <v>26080</v>
      </c>
      <c r="E961" s="184" t="n">
        <v>26110</v>
      </c>
      <c r="F961" s="184" t="n">
        <v>26490</v>
      </c>
      <c r="G961" s="184" t="n">
        <v>26300</v>
      </c>
    </row>
    <row r="962">
      <c r="A962" s="194" t="inlineStr">
        <is>
          <t>2026-08-01 18:00:10</t>
        </is>
      </c>
      <c r="B962" s="194" t="inlineStr">
        <is>
          <t>AUD</t>
        </is>
      </c>
      <c r="C962" s="194" t="inlineStr">
        <is>
          <t>AUSTRALIAN DOLLAR</t>
        </is>
      </c>
      <c r="D962" s="195" t="n">
        <v>18010.61</v>
      </c>
      <c r="E962" s="195" t="n">
        <v>18192.54</v>
      </c>
      <c r="F962" s="195" t="n">
        <v>18775.16</v>
      </c>
      <c r="G962" s="195" t="n">
        <v>18483.85</v>
      </c>
    </row>
    <row r="963">
      <c r="A963" s="196" t="inlineStr">
        <is>
          <t>2026-08-01 18:00:10</t>
        </is>
      </c>
      <c r="B963" s="196" t="inlineStr">
        <is>
          <t>CAD</t>
        </is>
      </c>
      <c r="C963" s="196" t="inlineStr">
        <is>
          <t>CANADIAN DOLLAR</t>
        </is>
      </c>
      <c r="D963" s="184" t="n">
        <v>18285.57</v>
      </c>
      <c r="E963" s="184" t="n">
        <v>18470.27</v>
      </c>
      <c r="F963" s="184" t="n">
        <v>19061.79</v>
      </c>
      <c r="G963" s="184" t="n">
        <v>18766.03</v>
      </c>
    </row>
    <row r="964">
      <c r="A964" s="194" t="inlineStr">
        <is>
          <t>2026-08-01 18:00:10</t>
        </is>
      </c>
      <c r="B964" s="194" t="inlineStr">
        <is>
          <t>CHF</t>
        </is>
      </c>
      <c r="C964" s="194" t="inlineStr">
        <is>
          <t>SWISS FRANC</t>
        </is>
      </c>
      <c r="D964" s="195" t="n">
        <v>31751.16</v>
      </c>
      <c r="E964" s="195" t="n">
        <v>32071.88</v>
      </c>
      <c r="F964" s="195" t="n">
        <v>33098.99</v>
      </c>
      <c r="G964" s="195" t="n">
        <v>32585.44</v>
      </c>
    </row>
    <row r="965">
      <c r="A965" s="196" t="inlineStr">
        <is>
          <t>2026-08-01 18:00:10</t>
        </is>
      </c>
      <c r="B965" s="196" t="inlineStr">
        <is>
          <t>CNY</t>
        </is>
      </c>
      <c r="C965" s="196" t="inlineStr">
        <is>
          <t>YUAN RENMINBI</t>
        </is>
      </c>
      <c r="D965" s="184" t="n">
        <v>3799.18</v>
      </c>
      <c r="E965" s="184" t="n">
        <v>3837.56</v>
      </c>
      <c r="F965" s="184" t="n">
        <v>3960.46</v>
      </c>
      <c r="G965" s="184" t="n">
        <v>3899.01</v>
      </c>
    </row>
    <row r="966">
      <c r="A966" s="194" t="inlineStr">
        <is>
          <t>2026-08-01 18:00:10</t>
        </is>
      </c>
      <c r="B966" s="194" t="inlineStr">
        <is>
          <t>DKK</t>
        </is>
      </c>
      <c r="C966" s="194" t="inlineStr">
        <is>
          <t>DANISH KRONE</t>
        </is>
      </c>
      <c r="D966" s="195" t="n"/>
      <c r="E966" s="195" t="n">
        <v>3975.56</v>
      </c>
      <c r="F966" s="195" t="n">
        <v>4127.58</v>
      </c>
      <c r="G966" s="195" t="n">
        <v>4051.57</v>
      </c>
    </row>
    <row r="967">
      <c r="A967" s="196" t="inlineStr">
        <is>
          <t>2026-08-01 18:00:10</t>
        </is>
      </c>
      <c r="B967" s="196" t="inlineStr">
        <is>
          <t>EUR</t>
        </is>
      </c>
      <c r="C967" s="196" t="inlineStr">
        <is>
          <t>EURO</t>
        </is>
      </c>
      <c r="D967" s="184" t="n">
        <v>29496.61</v>
      </c>
      <c r="E967" s="184" t="n">
        <v>29794.56</v>
      </c>
      <c r="F967" s="184" t="n">
        <v>31051.68</v>
      </c>
      <c r="G967" s="184" t="n">
        <v>30423.12</v>
      </c>
    </row>
    <row r="968">
      <c r="A968" s="194" t="inlineStr">
        <is>
          <t>2026-08-01 18:00:10</t>
        </is>
      </c>
      <c r="B968" s="194" t="inlineStr">
        <is>
          <t>GBP</t>
        </is>
      </c>
      <c r="C968" s="194" t="inlineStr">
        <is>
          <t>POUND STERLING</t>
        </is>
      </c>
      <c r="D968" s="195" t="n">
        <v>34447.74</v>
      </c>
      <c r="E968" s="195" t="n">
        <v>34795.69</v>
      </c>
      <c r="F968" s="195" t="n">
        <v>35910.03</v>
      </c>
      <c r="G968" s="195" t="n">
        <v>35352.86</v>
      </c>
    </row>
    <row r="969">
      <c r="A969" s="196" t="inlineStr">
        <is>
          <t>2026-08-01 18:00:10</t>
        </is>
      </c>
      <c r="B969" s="196" t="inlineStr">
        <is>
          <t>HKD</t>
        </is>
      </c>
      <c r="C969" s="196" t="inlineStr">
        <is>
          <t>HONGKONG DOLLAR</t>
        </is>
      </c>
      <c r="D969" s="184" t="n">
        <v>3259.47</v>
      </c>
      <c r="E969" s="184" t="n">
        <v>3292.39</v>
      </c>
      <c r="F969" s="184" t="n">
        <v>3418.29</v>
      </c>
      <c r="G969" s="184" t="n">
        <v>3355.34</v>
      </c>
    </row>
    <row r="970">
      <c r="A970" s="194" t="inlineStr">
        <is>
          <t>2026-08-01 18:00:10</t>
        </is>
      </c>
      <c r="B970" s="194" t="inlineStr">
        <is>
          <t>INR</t>
        </is>
      </c>
      <c r="C970" s="194" t="inlineStr">
        <is>
          <t>INDIAN RUPEE</t>
        </is>
      </c>
      <c r="D970" s="195" t="n"/>
      <c r="E970" s="195" t="n">
        <v>274</v>
      </c>
      <c r="F970" s="195" t="n">
        <v>285.79</v>
      </c>
      <c r="G970" s="195" t="n">
        <v>279.9</v>
      </c>
    </row>
    <row r="971">
      <c r="A971" s="196" t="inlineStr">
        <is>
          <t>2026-08-01 18:00:10</t>
        </is>
      </c>
      <c r="B971" s="196" t="inlineStr">
        <is>
          <t>JPY</t>
        </is>
      </c>
      <c r="C971" s="196" t="inlineStr">
        <is>
          <t>YEN</t>
        </is>
      </c>
      <c r="D971" s="184" t="n">
        <v>158.33</v>
      </c>
      <c r="E971" s="184" t="n">
        <v>159.93</v>
      </c>
      <c r="F971" s="184" t="n">
        <v>169.26</v>
      </c>
      <c r="G971" s="184" t="n">
        <v>164.6</v>
      </c>
    </row>
    <row r="972">
      <c r="A972" s="194" t="inlineStr">
        <is>
          <t>2026-08-01 18:00:10</t>
        </is>
      </c>
      <c r="B972" s="194" t="inlineStr">
        <is>
          <t>KRW</t>
        </is>
      </c>
      <c r="C972" s="194" t="inlineStr">
        <is>
          <t>KOREAN WON</t>
        </is>
      </c>
      <c r="D972" s="195" t="n">
        <v>15.91</v>
      </c>
      <c r="E972" s="195" t="n">
        <v>17.68</v>
      </c>
      <c r="F972" s="195" t="n">
        <v>19.18</v>
      </c>
      <c r="G972" s="195" t="n">
        <v>18.43</v>
      </c>
    </row>
    <row r="973">
      <c r="A973" s="196" t="inlineStr">
        <is>
          <t>2026-08-01 18:00:10</t>
        </is>
      </c>
      <c r="B973" s="196" t="inlineStr">
        <is>
          <t>KWD</t>
        </is>
      </c>
      <c r="C973" s="196" t="inlineStr">
        <is>
          <t>KUWAITI DINAR</t>
        </is>
      </c>
      <c r="D973" s="184" t="n"/>
      <c r="E973" s="184" t="n">
        <v>85010.58</v>
      </c>
      <c r="F973" s="184" t="n">
        <v>89130.91</v>
      </c>
      <c r="G973" s="184" t="n">
        <v>87070.74000000001</v>
      </c>
    </row>
    <row r="974">
      <c r="A974" s="194" t="inlineStr">
        <is>
          <t>2026-08-01 18:00:10</t>
        </is>
      </c>
      <c r="B974" s="194" t="inlineStr">
        <is>
          <t>MYR</t>
        </is>
      </c>
      <c r="C974" s="194" t="inlineStr">
        <is>
          <t>MALAYSIAN RINGGIT</t>
        </is>
      </c>
      <c r="D974" s="195" t="n"/>
      <c r="E974" s="195" t="n">
        <v>6369.6</v>
      </c>
      <c r="F974" s="195" t="n">
        <v>6508.17</v>
      </c>
      <c r="G974" s="195" t="n">
        <v>6438.88</v>
      </c>
    </row>
    <row r="975">
      <c r="A975" s="196" t="inlineStr">
        <is>
          <t>2026-08-01 18:00:10</t>
        </is>
      </c>
      <c r="B975" s="196" t="inlineStr">
        <is>
          <t>NOK</t>
        </is>
      </c>
      <c r="C975" s="196" t="inlineStr">
        <is>
          <t>NORWEGIAN KRONER</t>
        </is>
      </c>
      <c r="D975" s="184" t="n"/>
      <c r="E975" s="184" t="n">
        <v>2703.14</v>
      </c>
      <c r="F975" s="184" t="n">
        <v>2817.75</v>
      </c>
      <c r="G975" s="184" t="n">
        <v>2760.44</v>
      </c>
    </row>
    <row r="976">
      <c r="A976" s="194" t="inlineStr">
        <is>
          <t>2026-08-01 18:00:10</t>
        </is>
      </c>
      <c r="B976" s="194" t="inlineStr">
        <is>
          <t>RUB</t>
        </is>
      </c>
      <c r="C976" s="194" t="inlineStr">
        <is>
          <t>RUSSIAN RUBLE</t>
        </is>
      </c>
      <c r="D976" s="195" t="n"/>
      <c r="E976" s="195" t="n">
        <v>315.62</v>
      </c>
      <c r="F976" s="195" t="n">
        <v>349.37</v>
      </c>
      <c r="G976" s="195" t="n">
        <v>332.5</v>
      </c>
    </row>
    <row r="977">
      <c r="A977" s="196" t="inlineStr">
        <is>
          <t>2026-08-01 18:00:10</t>
        </is>
      </c>
      <c r="B977" s="196" t="inlineStr">
        <is>
          <t>SAR</t>
        </is>
      </c>
      <c r="C977" s="196" t="inlineStr">
        <is>
          <t>SAUDI RIAL</t>
        </is>
      </c>
      <c r="D977" s="184" t="n"/>
      <c r="E977" s="184" t="n">
        <v>6964.41</v>
      </c>
      <c r="F977" s="184" t="n">
        <v>7264.13</v>
      </c>
      <c r="G977" s="184" t="n">
        <v>7114.27</v>
      </c>
    </row>
    <row r="978">
      <c r="A978" s="194" t="inlineStr">
        <is>
          <t>2026-08-01 18:00:10</t>
        </is>
      </c>
      <c r="B978" s="194" t="inlineStr">
        <is>
          <t>SEK</t>
        </is>
      </c>
      <c r="C978" s="194" t="inlineStr">
        <is>
          <t>SWEDISH KRONA</t>
        </is>
      </c>
      <c r="D978" s="195" t="n"/>
      <c r="E978" s="195" t="n">
        <v>2701.3</v>
      </c>
      <c r="F978" s="195" t="n">
        <v>2815.83</v>
      </c>
      <c r="G978" s="195" t="n">
        <v>2758.56</v>
      </c>
    </row>
    <row r="979">
      <c r="A979" s="196" t="inlineStr">
        <is>
          <t>2026-08-01 18:00:10</t>
        </is>
      </c>
      <c r="B979" s="196" t="inlineStr">
        <is>
          <t>SGD</t>
        </is>
      </c>
      <c r="C979" s="196" t="inlineStr">
        <is>
          <t>SINGAPORE DOLLAR</t>
        </is>
      </c>
      <c r="D979" s="184" t="n">
        <v>19966.85</v>
      </c>
      <c r="E979" s="184" t="n">
        <v>20168.53</v>
      </c>
      <c r="F979" s="184" t="n">
        <v>20856.11</v>
      </c>
      <c r="G979" s="184" t="n">
        <v>20512.32</v>
      </c>
    </row>
    <row r="980">
      <c r="A980" s="194" t="inlineStr">
        <is>
          <t>2026-08-01 18:00:10</t>
        </is>
      </c>
      <c r="B980" s="194" t="inlineStr">
        <is>
          <t>THB</t>
        </is>
      </c>
      <c r="C980" s="194" t="inlineStr">
        <is>
          <t>THAILAND BAHT</t>
        </is>
      </c>
      <c r="D980" s="195" t="n">
        <v>694.67</v>
      </c>
      <c r="E980" s="195" t="n">
        <v>771.86</v>
      </c>
      <c r="F980" s="195" t="n">
        <v>804.59</v>
      </c>
      <c r="G980" s="195" t="n">
        <v>788.22</v>
      </c>
    </row>
    <row r="981">
      <c r="A981" s="196" t="inlineStr">
        <is>
          <t>2026-08-01 18:00:10</t>
        </is>
      </c>
      <c r="B981" s="196" t="inlineStr">
        <is>
          <t>USD</t>
        </is>
      </c>
      <c r="C981" s="196" t="inlineStr">
        <is>
          <t>US DOLLAR</t>
        </is>
      </c>
      <c r="D981" s="184" t="n">
        <v>26080</v>
      </c>
      <c r="E981" s="184" t="n">
        <v>26110</v>
      </c>
      <c r="F981" s="184" t="n">
        <v>26490</v>
      </c>
      <c r="G981" s="184" t="n">
        <v>26300</v>
      </c>
    </row>
    <row r="982">
      <c r="A982" s="194" t="inlineStr">
        <is>
          <t>2026-07-31 18:00:10</t>
        </is>
      </c>
      <c r="B982" s="194" t="inlineStr">
        <is>
          <t>AUD</t>
        </is>
      </c>
      <c r="C982" s="194" t="inlineStr">
        <is>
          <t>AUSTRALIAN DOLLAR</t>
        </is>
      </c>
      <c r="D982" s="195" t="n">
        <v>18010.61</v>
      </c>
      <c r="E982" s="195" t="n">
        <v>18192.54</v>
      </c>
      <c r="F982" s="195" t="n">
        <v>18775.16</v>
      </c>
      <c r="G982" s="195" t="n">
        <v>18483.85</v>
      </c>
    </row>
    <row r="983">
      <c r="A983" s="196" t="inlineStr">
        <is>
          <t>2026-07-31 18:00:10</t>
        </is>
      </c>
      <c r="B983" s="196" t="inlineStr">
        <is>
          <t>CAD</t>
        </is>
      </c>
      <c r="C983" s="196" t="inlineStr">
        <is>
          <t>CANADIAN DOLLAR</t>
        </is>
      </c>
      <c r="D983" s="184" t="n">
        <v>18285.57</v>
      </c>
      <c r="E983" s="184" t="n">
        <v>18470.27</v>
      </c>
      <c r="F983" s="184" t="n">
        <v>19061.79</v>
      </c>
      <c r="G983" s="184" t="n">
        <v>18766.03</v>
      </c>
    </row>
    <row r="984">
      <c r="A984" s="194" t="inlineStr">
        <is>
          <t>2026-07-31 18:00:10</t>
        </is>
      </c>
      <c r="B984" s="194" t="inlineStr">
        <is>
          <t>CHF</t>
        </is>
      </c>
      <c r="C984" s="194" t="inlineStr">
        <is>
          <t>SWISS FRANC</t>
        </is>
      </c>
      <c r="D984" s="195" t="n">
        <v>31751.16</v>
      </c>
      <c r="E984" s="195" t="n">
        <v>32071.88</v>
      </c>
      <c r="F984" s="195" t="n">
        <v>33098.99</v>
      </c>
      <c r="G984" s="195" t="n">
        <v>32585.44</v>
      </c>
    </row>
    <row r="985">
      <c r="A985" s="196" t="inlineStr">
        <is>
          <t>2026-07-31 18:00:10</t>
        </is>
      </c>
      <c r="B985" s="196" t="inlineStr">
        <is>
          <t>CNY</t>
        </is>
      </c>
      <c r="C985" s="196" t="inlineStr">
        <is>
          <t>YUAN RENMINBI</t>
        </is>
      </c>
      <c r="D985" s="184" t="n">
        <v>3799.18</v>
      </c>
      <c r="E985" s="184" t="n">
        <v>3837.56</v>
      </c>
      <c r="F985" s="184" t="n">
        <v>3960.46</v>
      </c>
      <c r="G985" s="184" t="n">
        <v>3899.01</v>
      </c>
    </row>
    <row r="986">
      <c r="A986" s="194" t="inlineStr">
        <is>
          <t>2026-07-31 18:00:10</t>
        </is>
      </c>
      <c r="B986" s="194" t="inlineStr">
        <is>
          <t>DKK</t>
        </is>
      </c>
      <c r="C986" s="194" t="inlineStr">
        <is>
          <t>DANISH KRONE</t>
        </is>
      </c>
      <c r="D986" s="195" t="n"/>
      <c r="E986" s="195" t="n">
        <v>3975.56</v>
      </c>
      <c r="F986" s="195" t="n">
        <v>4127.58</v>
      </c>
      <c r="G986" s="195" t="n">
        <v>4051.57</v>
      </c>
    </row>
    <row r="987">
      <c r="A987" s="196" t="inlineStr">
        <is>
          <t>2026-07-31 18:00:10</t>
        </is>
      </c>
      <c r="B987" s="196" t="inlineStr">
        <is>
          <t>EUR</t>
        </is>
      </c>
      <c r="C987" s="196" t="inlineStr">
        <is>
          <t>EURO</t>
        </is>
      </c>
      <c r="D987" s="184" t="n">
        <v>29496.61</v>
      </c>
      <c r="E987" s="184" t="n">
        <v>29794.56</v>
      </c>
      <c r="F987" s="184" t="n">
        <v>31051.68</v>
      </c>
      <c r="G987" s="184" t="n">
        <v>30423.12</v>
      </c>
    </row>
    <row r="988">
      <c r="A988" s="194" t="inlineStr">
        <is>
          <t>2026-07-31 18:00:10</t>
        </is>
      </c>
      <c r="B988" s="194" t="inlineStr">
        <is>
          <t>GBP</t>
        </is>
      </c>
      <c r="C988" s="194" t="inlineStr">
        <is>
          <t>POUND STERLING</t>
        </is>
      </c>
      <c r="D988" s="195" t="n">
        <v>34447.74</v>
      </c>
      <c r="E988" s="195" t="n">
        <v>34795.69</v>
      </c>
      <c r="F988" s="195" t="n">
        <v>35910.03</v>
      </c>
      <c r="G988" s="195" t="n">
        <v>35352.86</v>
      </c>
    </row>
    <row r="989">
      <c r="A989" s="196" t="inlineStr">
        <is>
          <t>2026-07-31 18:00:10</t>
        </is>
      </c>
      <c r="B989" s="196" t="inlineStr">
        <is>
          <t>HKD</t>
        </is>
      </c>
      <c r="C989" s="196" t="inlineStr">
        <is>
          <t>HONGKONG DOLLAR</t>
        </is>
      </c>
      <c r="D989" s="184" t="n">
        <v>3259.47</v>
      </c>
      <c r="E989" s="184" t="n">
        <v>3292.39</v>
      </c>
      <c r="F989" s="184" t="n">
        <v>3418.29</v>
      </c>
      <c r="G989" s="184" t="n">
        <v>3355.34</v>
      </c>
    </row>
    <row r="990">
      <c r="A990" s="194" t="inlineStr">
        <is>
          <t>2026-07-31 18:00:10</t>
        </is>
      </c>
      <c r="B990" s="194" t="inlineStr">
        <is>
          <t>INR</t>
        </is>
      </c>
      <c r="C990" s="194" t="inlineStr">
        <is>
          <t>INDIAN RUPEE</t>
        </is>
      </c>
      <c r="D990" s="195" t="n"/>
      <c r="E990" s="195" t="n">
        <v>274</v>
      </c>
      <c r="F990" s="195" t="n">
        <v>285.79</v>
      </c>
      <c r="G990" s="195" t="n">
        <v>279.9</v>
      </c>
    </row>
    <row r="991">
      <c r="A991" s="196" t="inlineStr">
        <is>
          <t>2026-07-31 18:00:10</t>
        </is>
      </c>
      <c r="B991" s="196" t="inlineStr">
        <is>
          <t>JPY</t>
        </is>
      </c>
      <c r="C991" s="196" t="inlineStr">
        <is>
          <t>YEN</t>
        </is>
      </c>
      <c r="D991" s="184" t="n">
        <v>158.33</v>
      </c>
      <c r="E991" s="184" t="n">
        <v>159.93</v>
      </c>
      <c r="F991" s="184" t="n">
        <v>169.26</v>
      </c>
      <c r="G991" s="184" t="n">
        <v>164.6</v>
      </c>
    </row>
    <row r="992">
      <c r="A992" s="194" t="inlineStr">
        <is>
          <t>2026-07-31 18:00:10</t>
        </is>
      </c>
      <c r="B992" s="194" t="inlineStr">
        <is>
          <t>KRW</t>
        </is>
      </c>
      <c r="C992" s="194" t="inlineStr">
        <is>
          <t>KOREAN WON</t>
        </is>
      </c>
      <c r="D992" s="195" t="n">
        <v>15.91</v>
      </c>
      <c r="E992" s="195" t="n">
        <v>17.68</v>
      </c>
      <c r="F992" s="195" t="n">
        <v>19.18</v>
      </c>
      <c r="G992" s="195" t="n">
        <v>18.43</v>
      </c>
    </row>
    <row r="993">
      <c r="A993" s="196" t="inlineStr">
        <is>
          <t>2026-07-31 18:00:10</t>
        </is>
      </c>
      <c r="B993" s="196" t="inlineStr">
        <is>
          <t>KWD</t>
        </is>
      </c>
      <c r="C993" s="196" t="inlineStr">
        <is>
          <t>KUWAITI DINAR</t>
        </is>
      </c>
      <c r="D993" s="184" t="n"/>
      <c r="E993" s="184" t="n">
        <v>85010.58</v>
      </c>
      <c r="F993" s="184" t="n">
        <v>89130.91</v>
      </c>
      <c r="G993" s="184" t="n">
        <v>87070.74000000001</v>
      </c>
    </row>
    <row r="994">
      <c r="A994" s="194" t="inlineStr">
        <is>
          <t>2026-07-31 18:00:10</t>
        </is>
      </c>
      <c r="B994" s="194" t="inlineStr">
        <is>
          <t>MYR</t>
        </is>
      </c>
      <c r="C994" s="194" t="inlineStr">
        <is>
          <t>MALAYSIAN RINGGIT</t>
        </is>
      </c>
      <c r="D994" s="195" t="n"/>
      <c r="E994" s="195" t="n">
        <v>6369.6</v>
      </c>
      <c r="F994" s="195" t="n">
        <v>6508.17</v>
      </c>
      <c r="G994" s="195" t="n">
        <v>6438.88</v>
      </c>
    </row>
    <row r="995">
      <c r="A995" s="196" t="inlineStr">
        <is>
          <t>2026-07-31 18:00:10</t>
        </is>
      </c>
      <c r="B995" s="196" t="inlineStr">
        <is>
          <t>NOK</t>
        </is>
      </c>
      <c r="C995" s="196" t="inlineStr">
        <is>
          <t>NORWEGIAN KRONER</t>
        </is>
      </c>
      <c r="D995" s="184" t="n"/>
      <c r="E995" s="184" t="n">
        <v>2703.14</v>
      </c>
      <c r="F995" s="184" t="n">
        <v>2817.75</v>
      </c>
      <c r="G995" s="184" t="n">
        <v>2760.44</v>
      </c>
    </row>
    <row r="996">
      <c r="A996" s="194" t="inlineStr">
        <is>
          <t>2026-07-31 18:00:10</t>
        </is>
      </c>
      <c r="B996" s="194" t="inlineStr">
        <is>
          <t>RUB</t>
        </is>
      </c>
      <c r="C996" s="194" t="inlineStr">
        <is>
          <t>RUSSIAN RUBLE</t>
        </is>
      </c>
      <c r="D996" s="195" t="n"/>
      <c r="E996" s="195" t="n">
        <v>315.62</v>
      </c>
      <c r="F996" s="195" t="n">
        <v>349.37</v>
      </c>
      <c r="G996" s="195" t="n">
        <v>332.5</v>
      </c>
    </row>
    <row r="997">
      <c r="A997" s="196" t="inlineStr">
        <is>
          <t>2026-07-31 18:00:10</t>
        </is>
      </c>
      <c r="B997" s="196" t="inlineStr">
        <is>
          <t>SAR</t>
        </is>
      </c>
      <c r="C997" s="196" t="inlineStr">
        <is>
          <t>SAUDI RIAL</t>
        </is>
      </c>
      <c r="D997" s="184" t="n"/>
      <c r="E997" s="184" t="n">
        <v>6964.41</v>
      </c>
      <c r="F997" s="184" t="n">
        <v>7264.13</v>
      </c>
      <c r="G997" s="184" t="n">
        <v>7114.27</v>
      </c>
    </row>
    <row r="998">
      <c r="A998" s="194" t="inlineStr">
        <is>
          <t>2026-07-31 18:00:10</t>
        </is>
      </c>
      <c r="B998" s="194" t="inlineStr">
        <is>
          <t>SEK</t>
        </is>
      </c>
      <c r="C998" s="194" t="inlineStr">
        <is>
          <t>SWEDISH KRONA</t>
        </is>
      </c>
      <c r="D998" s="195" t="n"/>
      <c r="E998" s="195" t="n">
        <v>2701.3</v>
      </c>
      <c r="F998" s="195" t="n">
        <v>2815.83</v>
      </c>
      <c r="G998" s="195" t="n">
        <v>2758.56</v>
      </c>
    </row>
    <row r="999">
      <c r="A999" s="196" t="inlineStr">
        <is>
          <t>2026-07-31 18:00:10</t>
        </is>
      </c>
      <c r="B999" s="196" t="inlineStr">
        <is>
          <t>SGD</t>
        </is>
      </c>
      <c r="C999" s="196" t="inlineStr">
        <is>
          <t>SINGAPORE DOLLAR</t>
        </is>
      </c>
      <c r="D999" s="184" t="n">
        <v>19966.85</v>
      </c>
      <c r="E999" s="184" t="n">
        <v>20168.53</v>
      </c>
      <c r="F999" s="184" t="n">
        <v>20856.11</v>
      </c>
      <c r="G999" s="184" t="n">
        <v>20512.32</v>
      </c>
    </row>
    <row r="1000">
      <c r="A1000" s="194" t="inlineStr">
        <is>
          <t>2026-07-31 18:00:10</t>
        </is>
      </c>
      <c r="B1000" s="194" t="inlineStr">
        <is>
          <t>THB</t>
        </is>
      </c>
      <c r="C1000" s="194" t="inlineStr">
        <is>
          <t>THAILAND BAHT</t>
        </is>
      </c>
      <c r="D1000" s="195" t="n">
        <v>694.67</v>
      </c>
      <c r="E1000" s="195" t="n">
        <v>771.86</v>
      </c>
      <c r="F1000" s="195" t="n">
        <v>804.59</v>
      </c>
      <c r="G1000" s="195" t="n">
        <v>788.22</v>
      </c>
    </row>
    <row r="1001">
      <c r="A1001" s="196" t="inlineStr">
        <is>
          <t>2026-07-31 18:00:10</t>
        </is>
      </c>
      <c r="B1001" s="196" t="inlineStr">
        <is>
          <t>USD</t>
        </is>
      </c>
      <c r="C1001" s="196" t="inlineStr">
        <is>
          <t>US DOLLAR</t>
        </is>
      </c>
      <c r="D1001" s="184" t="n">
        <v>26080</v>
      </c>
      <c r="E1001" s="184" t="n">
        <v>26110</v>
      </c>
      <c r="F1001" s="184" t="n">
        <v>26490</v>
      </c>
      <c r="G1001" s="184" t="n">
        <v>26300</v>
      </c>
    </row>
    <row r="1002">
      <c r="A1002" s="194" t="inlineStr">
        <is>
          <t>2026-07-30 18:00:09</t>
        </is>
      </c>
      <c r="B1002" s="194" t="inlineStr">
        <is>
          <t>AUD</t>
        </is>
      </c>
      <c r="C1002" s="194" t="inlineStr">
        <is>
          <t>AUSTRALIAN DOLLAR</t>
        </is>
      </c>
      <c r="D1002" s="195" t="n">
        <v>17836.35</v>
      </c>
      <c r="E1002" s="195" t="n">
        <v>18016.52</v>
      </c>
      <c r="F1002" s="195" t="n">
        <v>18593.5</v>
      </c>
      <c r="G1002" s="195" t="n">
        <v>18305.01</v>
      </c>
    </row>
    <row r="1003">
      <c r="A1003" s="196" t="inlineStr">
        <is>
          <t>2026-07-30 18:00:09</t>
        </is>
      </c>
      <c r="B1003" s="196" t="inlineStr">
        <is>
          <t>CAD</t>
        </is>
      </c>
      <c r="C1003" s="196" t="inlineStr">
        <is>
          <t>CANADIAN DOLLAR</t>
        </is>
      </c>
      <c r="D1003" s="184" t="n">
        <v>18230.95</v>
      </c>
      <c r="E1003" s="184" t="n">
        <v>18415.1</v>
      </c>
      <c r="F1003" s="184" t="n">
        <v>19004.85</v>
      </c>
      <c r="G1003" s="184" t="n">
        <v>18709.97</v>
      </c>
    </row>
    <row r="1004">
      <c r="A1004" s="194" t="inlineStr">
        <is>
          <t>2026-07-30 18:00:09</t>
        </is>
      </c>
      <c r="B1004" s="194" t="inlineStr">
        <is>
          <t>CHF</t>
        </is>
      </c>
      <c r="C1004" s="194" t="inlineStr">
        <is>
          <t>SWISS FRANC</t>
        </is>
      </c>
      <c r="D1004" s="195" t="n">
        <v>31424.19</v>
      </c>
      <c r="E1004" s="195" t="n">
        <v>31741.6</v>
      </c>
      <c r="F1004" s="195" t="n">
        <v>32758.14</v>
      </c>
      <c r="G1004" s="195" t="n">
        <v>32249.87</v>
      </c>
    </row>
    <row r="1005">
      <c r="A1005" s="196" t="inlineStr">
        <is>
          <t>2026-07-30 18:00:09</t>
        </is>
      </c>
      <c r="B1005" s="196" t="inlineStr">
        <is>
          <t>CNY</t>
        </is>
      </c>
      <c r="C1005" s="196" t="inlineStr">
        <is>
          <t>YUAN RENMINBI</t>
        </is>
      </c>
      <c r="D1005" s="184" t="n">
        <v>3793.56</v>
      </c>
      <c r="E1005" s="184" t="n">
        <v>3831.88</v>
      </c>
      <c r="F1005" s="184" t="n">
        <v>3954.6</v>
      </c>
      <c r="G1005" s="184" t="n">
        <v>3893.24</v>
      </c>
    </row>
    <row r="1006">
      <c r="A1006" s="194" t="inlineStr">
        <is>
          <t>2026-07-30 18:00:09</t>
        </is>
      </c>
      <c r="B1006" s="194" t="inlineStr">
        <is>
          <t>DKK</t>
        </is>
      </c>
      <c r="C1006" s="194" t="inlineStr">
        <is>
          <t>DANISH KRONE</t>
        </is>
      </c>
      <c r="D1006" s="195" t="n"/>
      <c r="E1006" s="195" t="n">
        <v>3953.04</v>
      </c>
      <c r="F1006" s="195" t="n">
        <v>4104.19</v>
      </c>
      <c r="G1006" s="195" t="n">
        <v>4028.62</v>
      </c>
    </row>
    <row r="1007">
      <c r="A1007" s="196" t="inlineStr">
        <is>
          <t>2026-07-30 18:00:09</t>
        </is>
      </c>
      <c r="B1007" s="196" t="inlineStr">
        <is>
          <t>EUR</t>
        </is>
      </c>
      <c r="C1007" s="196" t="inlineStr">
        <is>
          <t>EURO</t>
        </is>
      </c>
      <c r="D1007" s="184" t="n">
        <v>29327.47</v>
      </c>
      <c r="E1007" s="184" t="n">
        <v>29623.71</v>
      </c>
      <c r="F1007" s="184" t="n">
        <v>30873.62</v>
      </c>
      <c r="G1007" s="184" t="n">
        <v>30248.66</v>
      </c>
    </row>
    <row r="1008">
      <c r="A1008" s="194" t="inlineStr">
        <is>
          <t>2026-07-30 18:00:09</t>
        </is>
      </c>
      <c r="B1008" s="194" t="inlineStr">
        <is>
          <t>GBP</t>
        </is>
      </c>
      <c r="C1008" s="194" t="inlineStr">
        <is>
          <t>POUND STERLING</t>
        </is>
      </c>
      <c r="D1008" s="195" t="n">
        <v>34201.72</v>
      </c>
      <c r="E1008" s="195" t="n">
        <v>34547.19</v>
      </c>
      <c r="F1008" s="195" t="n">
        <v>35653.57</v>
      </c>
      <c r="G1008" s="195" t="n">
        <v>35100.38</v>
      </c>
    </row>
    <row r="1009">
      <c r="A1009" s="196" t="inlineStr">
        <is>
          <t>2026-07-30 18:00:09</t>
        </is>
      </c>
      <c r="B1009" s="196" t="inlineStr">
        <is>
          <t>HKD</t>
        </is>
      </c>
      <c r="C1009" s="196" t="inlineStr">
        <is>
          <t>HONGKONG DOLLAR</t>
        </is>
      </c>
      <c r="D1009" s="184" t="n">
        <v>3258.43</v>
      </c>
      <c r="E1009" s="184" t="n">
        <v>3291.34</v>
      </c>
      <c r="F1009" s="184" t="n">
        <v>3417.2</v>
      </c>
      <c r="G1009" s="184" t="n">
        <v>3354.27</v>
      </c>
    </row>
    <row r="1010">
      <c r="A1010" s="194" t="inlineStr">
        <is>
          <t>2026-07-30 18:00:09</t>
        </is>
      </c>
      <c r="B1010" s="194" t="inlineStr">
        <is>
          <t>INR</t>
        </is>
      </c>
      <c r="C1010" s="194" t="inlineStr">
        <is>
          <t>INDIAN RUPEE</t>
        </is>
      </c>
      <c r="D1010" s="195" t="n"/>
      <c r="E1010" s="195" t="n">
        <v>273.3</v>
      </c>
      <c r="F1010" s="195" t="n">
        <v>285.06</v>
      </c>
      <c r="G1010" s="195" t="n">
        <v>279.18</v>
      </c>
    </row>
    <row r="1011">
      <c r="A1011" s="196" t="inlineStr">
        <is>
          <t>2026-07-30 18:00:09</t>
        </is>
      </c>
      <c r="B1011" s="196" t="inlineStr">
        <is>
          <t>JPY</t>
        </is>
      </c>
      <c r="C1011" s="196" t="inlineStr">
        <is>
          <t>YEN</t>
        </is>
      </c>
      <c r="D1011" s="184" t="n">
        <v>155.15</v>
      </c>
      <c r="E1011" s="184" t="n">
        <v>156.72</v>
      </c>
      <c r="F1011" s="184" t="n">
        <v>165.86</v>
      </c>
      <c r="G1011" s="184" t="n">
        <v>161.29</v>
      </c>
    </row>
    <row r="1012">
      <c r="A1012" s="194" t="inlineStr">
        <is>
          <t>2026-07-30 18:00:09</t>
        </is>
      </c>
      <c r="B1012" s="194" t="inlineStr">
        <is>
          <t>KRW</t>
        </is>
      </c>
      <c r="C1012" s="194" t="inlineStr">
        <is>
          <t>KOREAN WON</t>
        </is>
      </c>
      <c r="D1012" s="195" t="n">
        <v>15.85</v>
      </c>
      <c r="E1012" s="195" t="n">
        <v>17.61</v>
      </c>
      <c r="F1012" s="195" t="n">
        <v>19.1</v>
      </c>
      <c r="G1012" s="195" t="n">
        <v>18.36</v>
      </c>
    </row>
    <row r="1013">
      <c r="A1013" s="196" t="inlineStr">
        <is>
          <t>2026-07-30 18:00:09</t>
        </is>
      </c>
      <c r="B1013" s="196" t="inlineStr">
        <is>
          <t>KWD</t>
        </is>
      </c>
      <c r="C1013" s="196" t="inlineStr">
        <is>
          <t>KUWAITI DINAR</t>
        </is>
      </c>
      <c r="D1013" s="184" t="n"/>
      <c r="E1013" s="184" t="n">
        <v>85010.58</v>
      </c>
      <c r="F1013" s="184" t="n">
        <v>89130.91</v>
      </c>
      <c r="G1013" s="184" t="n">
        <v>87070.74000000001</v>
      </c>
    </row>
    <row r="1014">
      <c r="A1014" s="194" t="inlineStr">
        <is>
          <t>2026-07-30 18:00:09</t>
        </is>
      </c>
      <c r="B1014" s="194" t="inlineStr">
        <is>
          <t>MYR</t>
        </is>
      </c>
      <c r="C1014" s="194" t="inlineStr">
        <is>
          <t>MALAYSIAN RINGGIT</t>
        </is>
      </c>
      <c r="D1014" s="195" t="n"/>
      <c r="E1014" s="195" t="n">
        <v>6364.92</v>
      </c>
      <c r="F1014" s="195" t="n">
        <v>6503.39</v>
      </c>
      <c r="G1014" s="195" t="n">
        <v>6434.16</v>
      </c>
    </row>
    <row r="1015">
      <c r="A1015" s="196" t="inlineStr">
        <is>
          <t>2026-07-30 18:00:09</t>
        </is>
      </c>
      <c r="B1015" s="196" t="inlineStr">
        <is>
          <t>NOK</t>
        </is>
      </c>
      <c r="C1015" s="196" t="inlineStr">
        <is>
          <t>NORWEGIAN KRONER</t>
        </is>
      </c>
      <c r="D1015" s="184" t="n"/>
      <c r="E1015" s="184" t="n">
        <v>2688.67</v>
      </c>
      <c r="F1015" s="184" t="n">
        <v>2802.67</v>
      </c>
      <c r="G1015" s="184" t="n">
        <v>2745.67</v>
      </c>
    </row>
    <row r="1016">
      <c r="A1016" s="194" t="inlineStr">
        <is>
          <t>2026-07-30 18:00:09</t>
        </is>
      </c>
      <c r="B1016" s="194" t="inlineStr">
        <is>
          <t>RUB</t>
        </is>
      </c>
      <c r="C1016" s="194" t="inlineStr">
        <is>
          <t>RUSSIAN RUBLE</t>
        </is>
      </c>
      <c r="D1016" s="195" t="n"/>
      <c r="E1016" s="195" t="n">
        <v>313.25</v>
      </c>
      <c r="F1016" s="195" t="n">
        <v>346.75</v>
      </c>
      <c r="G1016" s="195" t="n">
        <v>330</v>
      </c>
    </row>
    <row r="1017">
      <c r="A1017" s="196" t="inlineStr">
        <is>
          <t>2026-07-30 18:00:09</t>
        </is>
      </c>
      <c r="B1017" s="196" t="inlineStr">
        <is>
          <t>SAR</t>
        </is>
      </c>
      <c r="C1017" s="196" t="inlineStr">
        <is>
          <t>SAUDI RIAL</t>
        </is>
      </c>
      <c r="D1017" s="184" t="n"/>
      <c r="E1017" s="184" t="n">
        <v>6964.78</v>
      </c>
      <c r="F1017" s="184" t="n">
        <v>7264.51</v>
      </c>
      <c r="G1017" s="184" t="n">
        <v>7114.64</v>
      </c>
    </row>
    <row r="1018">
      <c r="A1018" s="194" t="inlineStr">
        <is>
          <t>2026-07-30 18:00:09</t>
        </is>
      </c>
      <c r="B1018" s="194" t="inlineStr">
        <is>
          <t>SEK</t>
        </is>
      </c>
      <c r="C1018" s="194" t="inlineStr">
        <is>
          <t>SWEDISH KRONA</t>
        </is>
      </c>
      <c r="D1018" s="195" t="n"/>
      <c r="E1018" s="195" t="n">
        <v>2666.93</v>
      </c>
      <c r="F1018" s="195" t="n">
        <v>2780.01</v>
      </c>
      <c r="G1018" s="195" t="n">
        <v>2723.47</v>
      </c>
    </row>
    <row r="1019">
      <c r="A1019" s="196" t="inlineStr">
        <is>
          <t>2026-07-30 18:00:09</t>
        </is>
      </c>
      <c r="B1019" s="196" t="inlineStr">
        <is>
          <t>SGD</t>
        </is>
      </c>
      <c r="C1019" s="196" t="inlineStr">
        <is>
          <t>SINGAPORE DOLLAR</t>
        </is>
      </c>
      <c r="D1019" s="184" t="n">
        <v>19844.61</v>
      </c>
      <c r="E1019" s="184" t="n">
        <v>20045.06</v>
      </c>
      <c r="F1019" s="184" t="n">
        <v>20728.43</v>
      </c>
      <c r="G1019" s="184" t="n">
        <v>20386.75</v>
      </c>
    </row>
    <row r="1020">
      <c r="A1020" s="194" t="inlineStr">
        <is>
          <t>2026-07-30 18:00:09</t>
        </is>
      </c>
      <c r="B1020" s="194" t="inlineStr">
        <is>
          <t>THB</t>
        </is>
      </c>
      <c r="C1020" s="194" t="inlineStr">
        <is>
          <t>THAILAND BAHT</t>
        </is>
      </c>
      <c r="D1020" s="195" t="n">
        <v>690.33</v>
      </c>
      <c r="E1020" s="195" t="n">
        <v>767.04</v>
      </c>
      <c r="F1020" s="195" t="n">
        <v>799.5599999999999</v>
      </c>
      <c r="G1020" s="195" t="n">
        <v>783.3</v>
      </c>
    </row>
    <row r="1021">
      <c r="A1021" s="196" t="inlineStr">
        <is>
          <t>2026-07-30 18:00:09</t>
        </is>
      </c>
      <c r="B1021" s="196" t="inlineStr">
        <is>
          <t>USD</t>
        </is>
      </c>
      <c r="C1021" s="196" t="inlineStr">
        <is>
          <t>US DOLLAR</t>
        </is>
      </c>
      <c r="D1021" s="184" t="n">
        <v>26080</v>
      </c>
      <c r="E1021" s="184" t="n">
        <v>26110</v>
      </c>
      <c r="F1021" s="184" t="n">
        <v>26490</v>
      </c>
      <c r="G1021" s="184" t="n">
        <v>26300</v>
      </c>
    </row>
    <row r="1022">
      <c r="A1022" s="194" t="inlineStr">
        <is>
          <t>2026-07-29 18:00:00</t>
        </is>
      </c>
      <c r="B1022" s="194" t="inlineStr">
        <is>
          <t>AUD</t>
        </is>
      </c>
      <c r="C1022" s="194" t="inlineStr">
        <is>
          <t>AUSTRALIAN DOLLAR</t>
        </is>
      </c>
      <c r="D1022" s="195" t="n">
        <v>17809.71</v>
      </c>
      <c r="E1022" s="195" t="n">
        <v>17989.61</v>
      </c>
      <c r="F1022" s="195" t="n">
        <v>18565.7</v>
      </c>
      <c r="G1022" s="195" t="n">
        <v>18277.66</v>
      </c>
    </row>
    <row r="1023">
      <c r="A1023" s="196" t="inlineStr">
        <is>
          <t>2026-07-29 18:00:00</t>
        </is>
      </c>
      <c r="B1023" s="196" t="inlineStr">
        <is>
          <t>CAD</t>
        </is>
      </c>
      <c r="C1023" s="196" t="inlineStr">
        <is>
          <t>CANADIAN DOLLAR</t>
        </is>
      </c>
      <c r="D1023" s="184" t="n">
        <v>18201.68</v>
      </c>
      <c r="E1023" s="184" t="n">
        <v>18385.54</v>
      </c>
      <c r="F1023" s="184" t="n">
        <v>18974.31</v>
      </c>
      <c r="G1023" s="184" t="n">
        <v>18679.93</v>
      </c>
    </row>
    <row r="1024">
      <c r="A1024" s="194" t="inlineStr">
        <is>
          <t>2026-07-29 18:00:00</t>
        </is>
      </c>
      <c r="B1024" s="194" t="inlineStr">
        <is>
          <t>CHF</t>
        </is>
      </c>
      <c r="C1024" s="194" t="inlineStr">
        <is>
          <t>SWISS FRANC</t>
        </is>
      </c>
      <c r="D1024" s="195" t="n">
        <v>31331.17</v>
      </c>
      <c r="E1024" s="195" t="n">
        <v>31647.64</v>
      </c>
      <c r="F1024" s="195" t="n">
        <v>32661.12</v>
      </c>
      <c r="G1024" s="195" t="n">
        <v>32154.38</v>
      </c>
    </row>
    <row r="1025">
      <c r="A1025" s="196" t="inlineStr">
        <is>
          <t>2026-07-29 18:00:00</t>
        </is>
      </c>
      <c r="B1025" s="196" t="inlineStr">
        <is>
          <t>CNY</t>
        </is>
      </c>
      <c r="C1025" s="196" t="inlineStr">
        <is>
          <t>YUAN RENMINBI</t>
        </is>
      </c>
      <c r="D1025" s="184" t="n">
        <v>3792.45</v>
      </c>
      <c r="E1025" s="184" t="n">
        <v>3830.76</v>
      </c>
      <c r="F1025" s="184" t="n">
        <v>3953.44</v>
      </c>
      <c r="G1025" s="184" t="n">
        <v>3892.1</v>
      </c>
    </row>
    <row r="1026">
      <c r="A1026" s="194" t="inlineStr">
        <is>
          <t>2026-07-29 18:00:00</t>
        </is>
      </c>
      <c r="B1026" s="194" t="inlineStr">
        <is>
          <t>DKK</t>
        </is>
      </c>
      <c r="C1026" s="194" t="inlineStr">
        <is>
          <t>DANISH KRONE</t>
        </is>
      </c>
      <c r="D1026" s="195" t="n"/>
      <c r="E1026" s="195" t="n">
        <v>3939.73</v>
      </c>
      <c r="F1026" s="195" t="n">
        <v>4090.37</v>
      </c>
      <c r="G1026" s="195" t="n">
        <v>4015.05</v>
      </c>
    </row>
    <row r="1027">
      <c r="A1027" s="196" t="inlineStr">
        <is>
          <t>2026-07-29 18:00:00</t>
        </is>
      </c>
      <c r="B1027" s="196" t="inlineStr">
        <is>
          <t>EUR</t>
        </is>
      </c>
      <c r="C1027" s="196" t="inlineStr">
        <is>
          <t>EURO</t>
        </is>
      </c>
      <c r="D1027" s="184" t="n">
        <v>29232.25</v>
      </c>
      <c r="E1027" s="184" t="n">
        <v>29527.52</v>
      </c>
      <c r="F1027" s="184" t="n">
        <v>30773.33</v>
      </c>
      <c r="G1027" s="184" t="n">
        <v>30150.43</v>
      </c>
    </row>
    <row r="1028">
      <c r="A1028" s="194" t="inlineStr">
        <is>
          <t>2026-07-29 18:00:00</t>
        </is>
      </c>
      <c r="B1028" s="194" t="inlineStr">
        <is>
          <t>GBP</t>
        </is>
      </c>
      <c r="C1028" s="194" t="inlineStr">
        <is>
          <t>POUND STERLING</t>
        </is>
      </c>
      <c r="D1028" s="195" t="n">
        <v>34121.39</v>
      </c>
      <c r="E1028" s="195" t="n">
        <v>34466.05</v>
      </c>
      <c r="F1028" s="195" t="n">
        <v>35569.78</v>
      </c>
      <c r="G1028" s="195" t="n">
        <v>35017.92</v>
      </c>
    </row>
    <row r="1029">
      <c r="A1029" s="196" t="inlineStr">
        <is>
          <t>2026-07-29 18:00:00</t>
        </is>
      </c>
      <c r="B1029" s="196" t="inlineStr">
        <is>
          <t>HKD</t>
        </is>
      </c>
      <c r="C1029" s="196" t="inlineStr">
        <is>
          <t>HONGKONG DOLLAR</t>
        </is>
      </c>
      <c r="D1029" s="184" t="n">
        <v>3261.7</v>
      </c>
      <c r="E1029" s="184" t="n">
        <v>3294.64</v>
      </c>
      <c r="F1029" s="184" t="n">
        <v>3420.62</v>
      </c>
      <c r="G1029" s="184" t="n">
        <v>3357.63</v>
      </c>
    </row>
    <row r="1030">
      <c r="A1030" s="194" t="inlineStr">
        <is>
          <t>2026-07-29 18:00:00</t>
        </is>
      </c>
      <c r="B1030" s="194" t="inlineStr">
        <is>
          <t>INR</t>
        </is>
      </c>
      <c r="C1030" s="194" t="inlineStr">
        <is>
          <t>INDIAN RUPEE</t>
        </is>
      </c>
      <c r="D1030" s="195" t="n"/>
      <c r="E1030" s="195" t="n">
        <v>273.75</v>
      </c>
      <c r="F1030" s="195" t="n">
        <v>285.53</v>
      </c>
      <c r="G1030" s="195" t="n">
        <v>279.64</v>
      </c>
    </row>
    <row r="1031">
      <c r="A1031" s="196" t="inlineStr">
        <is>
          <t>2026-07-29 18:00:00</t>
        </is>
      </c>
      <c r="B1031" s="196" t="inlineStr">
        <is>
          <t>JPY</t>
        </is>
      </c>
      <c r="C1031" s="196" t="inlineStr">
        <is>
          <t>YEN</t>
        </is>
      </c>
      <c r="D1031" s="184" t="n">
        <v>155.35</v>
      </c>
      <c r="E1031" s="184" t="n">
        <v>156.91</v>
      </c>
      <c r="F1031" s="184" t="n">
        <v>166.06</v>
      </c>
      <c r="G1031" s="184" t="n">
        <v>161.49</v>
      </c>
    </row>
    <row r="1032">
      <c r="A1032" s="194" t="inlineStr">
        <is>
          <t>2026-07-29 18:00:00</t>
        </is>
      </c>
      <c r="B1032" s="194" t="inlineStr">
        <is>
          <t>KRW</t>
        </is>
      </c>
      <c r="C1032" s="194" t="inlineStr">
        <is>
          <t>KOREAN WON</t>
        </is>
      </c>
      <c r="D1032" s="195" t="n">
        <v>15.7</v>
      </c>
      <c r="E1032" s="195" t="n">
        <v>17.44</v>
      </c>
      <c r="F1032" s="195" t="n">
        <v>18.92</v>
      </c>
      <c r="G1032" s="195" t="n">
        <v>18.18</v>
      </c>
    </row>
    <row r="1033">
      <c r="A1033" s="196" t="inlineStr">
        <is>
          <t>2026-07-29 18:00:00</t>
        </is>
      </c>
      <c r="B1033" s="196" t="inlineStr">
        <is>
          <t>KWD</t>
        </is>
      </c>
      <c r="C1033" s="196" t="inlineStr">
        <is>
          <t>KUWAITI DINAR</t>
        </is>
      </c>
      <c r="D1033" s="184" t="n"/>
      <c r="E1033" s="184" t="n">
        <v>85036.16</v>
      </c>
      <c r="F1033" s="184" t="n">
        <v>89157.60000000001</v>
      </c>
      <c r="G1033" s="184" t="n">
        <v>87096.88</v>
      </c>
    </row>
    <row r="1034">
      <c r="A1034" s="194" t="inlineStr">
        <is>
          <t>2026-07-29 18:00:00</t>
        </is>
      </c>
      <c r="B1034" s="194" t="inlineStr">
        <is>
          <t>MYR</t>
        </is>
      </c>
      <c r="C1034" s="194" t="inlineStr">
        <is>
          <t>MALAYSIAN RINGGIT</t>
        </is>
      </c>
      <c r="D1034" s="195" t="n"/>
      <c r="E1034" s="195" t="n">
        <v>6372.54</v>
      </c>
      <c r="F1034" s="195" t="n">
        <v>6511.16</v>
      </c>
      <c r="G1034" s="195" t="n">
        <v>6441.85</v>
      </c>
    </row>
    <row r="1035">
      <c r="A1035" s="196" t="inlineStr">
        <is>
          <t>2026-07-29 18:00:00</t>
        </is>
      </c>
      <c r="B1035" s="196" t="inlineStr">
        <is>
          <t>NOK</t>
        </is>
      </c>
      <c r="C1035" s="196" t="inlineStr">
        <is>
          <t>NORWEGIAN KRONER</t>
        </is>
      </c>
      <c r="D1035" s="184" t="n"/>
      <c r="E1035" s="184" t="n">
        <v>2665.88</v>
      </c>
      <c r="F1035" s="184" t="n">
        <v>2778.91</v>
      </c>
      <c r="G1035" s="184" t="n">
        <v>2722.4</v>
      </c>
    </row>
    <row r="1036">
      <c r="A1036" s="194" t="inlineStr">
        <is>
          <t>2026-07-29 18:00:00</t>
        </is>
      </c>
      <c r="B1036" s="194" t="inlineStr">
        <is>
          <t>RUB</t>
        </is>
      </c>
      <c r="C1036" s="194" t="inlineStr">
        <is>
          <t>RUSSIAN RUBLE</t>
        </is>
      </c>
      <c r="D1036" s="195" t="n"/>
      <c r="E1036" s="195" t="n">
        <v>315.72</v>
      </c>
      <c r="F1036" s="195" t="n">
        <v>349.48</v>
      </c>
      <c r="G1036" s="195" t="n">
        <v>332.6</v>
      </c>
    </row>
    <row r="1037">
      <c r="A1037" s="196" t="inlineStr">
        <is>
          <t>2026-07-29 18:00:00</t>
        </is>
      </c>
      <c r="B1037" s="196" t="inlineStr">
        <is>
          <t>SAR</t>
        </is>
      </c>
      <c r="C1037" s="196" t="inlineStr">
        <is>
          <t>SAUDI RIAL</t>
        </is>
      </c>
      <c r="D1037" s="184" t="n"/>
      <c r="E1037" s="184" t="n">
        <v>6972.7</v>
      </c>
      <c r="F1037" s="184" t="n">
        <v>7272.77</v>
      </c>
      <c r="G1037" s="184" t="n">
        <v>7122.74</v>
      </c>
    </row>
    <row r="1038">
      <c r="A1038" s="194" t="inlineStr">
        <is>
          <t>2026-07-29 18:00:00</t>
        </is>
      </c>
      <c r="B1038" s="194" t="inlineStr">
        <is>
          <t>SEK</t>
        </is>
      </c>
      <c r="C1038" s="194" t="inlineStr">
        <is>
          <t>SWEDISH KRONA</t>
        </is>
      </c>
      <c r="D1038" s="195" t="n"/>
      <c r="E1038" s="195" t="n">
        <v>2659.83</v>
      </c>
      <c r="F1038" s="195" t="n">
        <v>2772.61</v>
      </c>
      <c r="G1038" s="195" t="n">
        <v>2716.22</v>
      </c>
    </row>
    <row r="1039">
      <c r="A1039" s="196" t="inlineStr">
        <is>
          <t>2026-07-29 18:00:00</t>
        </is>
      </c>
      <c r="B1039" s="196" t="inlineStr">
        <is>
          <t>SGD</t>
        </is>
      </c>
      <c r="C1039" s="196" t="inlineStr">
        <is>
          <t>SINGAPORE DOLLAR</t>
        </is>
      </c>
      <c r="D1039" s="184" t="n">
        <v>19846.57</v>
      </c>
      <c r="E1039" s="184" t="n">
        <v>20047.04</v>
      </c>
      <c r="F1039" s="184" t="n">
        <v>20730.45</v>
      </c>
      <c r="G1039" s="184" t="n">
        <v>20388.75</v>
      </c>
    </row>
    <row r="1040">
      <c r="A1040" s="194" t="inlineStr">
        <is>
          <t>2026-07-29 18:00:00</t>
        </is>
      </c>
      <c r="B1040" s="194" t="inlineStr">
        <is>
          <t>THB</t>
        </is>
      </c>
      <c r="C1040" s="194" t="inlineStr">
        <is>
          <t>THAILAND BAHT</t>
        </is>
      </c>
      <c r="D1040" s="195" t="n">
        <v>693.05</v>
      </c>
      <c r="E1040" s="195" t="n">
        <v>770.0599999999999</v>
      </c>
      <c r="F1040" s="195" t="n">
        <v>802.71</v>
      </c>
      <c r="G1040" s="195" t="n">
        <v>786.38</v>
      </c>
    </row>
    <row r="1041">
      <c r="A1041" s="196" t="inlineStr">
        <is>
          <t>2026-07-29 18:00:00</t>
        </is>
      </c>
      <c r="B1041" s="196" t="inlineStr">
        <is>
          <t>USD</t>
        </is>
      </c>
      <c r="C1041" s="196" t="inlineStr">
        <is>
          <t>US DOLLAR</t>
        </is>
      </c>
      <c r="D1041" s="184" t="n">
        <v>26105</v>
      </c>
      <c r="E1041" s="184" t="n">
        <v>26135</v>
      </c>
      <c r="F1041" s="184" t="n">
        <v>26515</v>
      </c>
      <c r="G1041" s="184" t="n">
        <v>26325</v>
      </c>
    </row>
    <row r="1042">
      <c r="A1042" s="194" t="inlineStr">
        <is>
          <t>2026-07-28 18:01:38</t>
        </is>
      </c>
      <c r="B1042" s="194" t="inlineStr">
        <is>
          <t>AUD</t>
        </is>
      </c>
      <c r="C1042" s="194" t="inlineStr">
        <is>
          <t>AUSTRALIAN DOLLAR</t>
        </is>
      </c>
      <c r="D1042" s="195" t="n">
        <v>17921.69</v>
      </c>
      <c r="E1042" s="195" t="n">
        <v>18102.72</v>
      </c>
      <c r="F1042" s="195" t="n">
        <v>18682.43</v>
      </c>
      <c r="G1042" s="195" t="n">
        <v>18392.58</v>
      </c>
    </row>
    <row r="1043">
      <c r="A1043" s="196" t="inlineStr">
        <is>
          <t>2026-07-28 18:01:38</t>
        </is>
      </c>
      <c r="B1043" s="196" t="inlineStr">
        <is>
          <t>CAD</t>
        </is>
      </c>
      <c r="C1043" s="196" t="inlineStr">
        <is>
          <t>CANADIAN DOLLAR</t>
        </is>
      </c>
      <c r="D1043" s="184" t="n">
        <v>18177.65</v>
      </c>
      <c r="E1043" s="184" t="n">
        <v>18361.27</v>
      </c>
      <c r="F1043" s="184" t="n">
        <v>18949.25</v>
      </c>
      <c r="G1043" s="184" t="n">
        <v>18655.26</v>
      </c>
    </row>
    <row r="1044">
      <c r="A1044" s="194" t="inlineStr">
        <is>
          <t>2026-07-28 18:01:38</t>
        </is>
      </c>
      <c r="B1044" s="194" t="inlineStr">
        <is>
          <t>CHF</t>
        </is>
      </c>
      <c r="C1044" s="194" t="inlineStr">
        <is>
          <t>SWISS FRANC</t>
        </is>
      </c>
      <c r="D1044" s="195" t="n">
        <v>31343.08</v>
      </c>
      <c r="E1044" s="195" t="n">
        <v>31659.68</v>
      </c>
      <c r="F1044" s="195" t="n">
        <v>32673.52</v>
      </c>
      <c r="G1044" s="195" t="n">
        <v>32166.6</v>
      </c>
    </row>
    <row r="1045">
      <c r="A1045" s="196" t="inlineStr">
        <is>
          <t>2026-07-28 18:01:38</t>
        </is>
      </c>
      <c r="B1045" s="196" t="inlineStr">
        <is>
          <t>CNY</t>
        </is>
      </c>
      <c r="C1045" s="196" t="inlineStr">
        <is>
          <t>YUAN RENMINBI</t>
        </is>
      </c>
      <c r="D1045" s="184" t="n">
        <v>3793.67</v>
      </c>
      <c r="E1045" s="184" t="n">
        <v>3831.99</v>
      </c>
      <c r="F1045" s="184" t="n">
        <v>3954.7</v>
      </c>
      <c r="G1045" s="184" t="n">
        <v>3893.34</v>
      </c>
    </row>
    <row r="1046">
      <c r="A1046" s="194" t="inlineStr">
        <is>
          <t>2026-07-28 18:01:38</t>
        </is>
      </c>
      <c r="B1046" s="194" t="inlineStr">
        <is>
          <t>DKK</t>
        </is>
      </c>
      <c r="C1046" s="194" t="inlineStr">
        <is>
          <t>DANISH KRONE</t>
        </is>
      </c>
      <c r="D1046" s="195" t="n"/>
      <c r="E1046" s="195" t="n">
        <v>3932.29</v>
      </c>
      <c r="F1046" s="195" t="n">
        <v>4082.65</v>
      </c>
      <c r="G1046" s="195" t="n">
        <v>4007.47</v>
      </c>
    </row>
    <row r="1047">
      <c r="A1047" s="196" t="inlineStr">
        <is>
          <t>2026-07-28 18:01:38</t>
        </is>
      </c>
      <c r="B1047" s="196" t="inlineStr">
        <is>
          <t>EUR</t>
        </is>
      </c>
      <c r="C1047" s="196" t="inlineStr">
        <is>
          <t>EURO</t>
        </is>
      </c>
      <c r="D1047" s="184" t="n">
        <v>29176.64</v>
      </c>
      <c r="E1047" s="184" t="n">
        <v>29471.35</v>
      </c>
      <c r="F1047" s="184" t="n">
        <v>30714.78</v>
      </c>
      <c r="G1047" s="184" t="n">
        <v>30093.06</v>
      </c>
    </row>
    <row r="1048">
      <c r="A1048" s="194" t="inlineStr">
        <is>
          <t>2026-07-28 18:01:38</t>
        </is>
      </c>
      <c r="B1048" s="194" t="inlineStr">
        <is>
          <t>GBP</t>
        </is>
      </c>
      <c r="C1048" s="194" t="inlineStr">
        <is>
          <t>POUND STERLING</t>
        </is>
      </c>
      <c r="D1048" s="195" t="n">
        <v>34093.3</v>
      </c>
      <c r="E1048" s="195" t="n">
        <v>34437.68</v>
      </c>
      <c r="F1048" s="195" t="n">
        <v>35540.48</v>
      </c>
      <c r="G1048" s="195" t="n">
        <v>34989.08</v>
      </c>
    </row>
    <row r="1049">
      <c r="A1049" s="196" t="inlineStr">
        <is>
          <t>2026-07-28 18:01:38</t>
        </is>
      </c>
      <c r="B1049" s="196" t="inlineStr">
        <is>
          <t>HKD</t>
        </is>
      </c>
      <c r="C1049" s="196" t="inlineStr">
        <is>
          <t>HONGKONG DOLLAR</t>
        </is>
      </c>
      <c r="D1049" s="184" t="n">
        <v>3263.56</v>
      </c>
      <c r="E1049" s="184" t="n">
        <v>3296.53</v>
      </c>
      <c r="F1049" s="184" t="n">
        <v>3422.57</v>
      </c>
      <c r="G1049" s="184" t="n">
        <v>3359.55</v>
      </c>
    </row>
    <row r="1050">
      <c r="A1050" s="194" t="inlineStr">
        <is>
          <t>2026-07-28 18:01:38</t>
        </is>
      </c>
      <c r="B1050" s="194" t="inlineStr">
        <is>
          <t>INR</t>
        </is>
      </c>
      <c r="C1050" s="194" t="inlineStr">
        <is>
          <t>INDIAN RUPEE</t>
        </is>
      </c>
      <c r="D1050" s="195" t="n"/>
      <c r="E1050" s="195" t="n">
        <v>273.04</v>
      </c>
      <c r="F1050" s="195" t="n">
        <v>284.78</v>
      </c>
      <c r="G1050" s="195" t="n">
        <v>278.91</v>
      </c>
    </row>
    <row r="1051">
      <c r="A1051" s="196" t="inlineStr">
        <is>
          <t>2026-07-28 18:01:38</t>
        </is>
      </c>
      <c r="B1051" s="196" t="inlineStr">
        <is>
          <t>JPY</t>
        </is>
      </c>
      <c r="C1051" s="196" t="inlineStr">
        <is>
          <t>YEN</t>
        </is>
      </c>
      <c r="D1051" s="184" t="n">
        <v>154.44</v>
      </c>
      <c r="E1051" s="184" t="n">
        <v>156</v>
      </c>
      <c r="F1051" s="184" t="n">
        <v>165.9</v>
      </c>
      <c r="G1051" s="184" t="n">
        <v>160.95</v>
      </c>
    </row>
    <row r="1052">
      <c r="A1052" s="194" t="inlineStr">
        <is>
          <t>2026-07-28 18:01:38</t>
        </is>
      </c>
      <c r="B1052" s="194" t="inlineStr">
        <is>
          <t>KRW</t>
        </is>
      </c>
      <c r="C1052" s="194" t="inlineStr">
        <is>
          <t>KOREAN WON</t>
        </is>
      </c>
      <c r="D1052" s="195" t="n">
        <v>15.5</v>
      </c>
      <c r="E1052" s="195" t="n">
        <v>17.23</v>
      </c>
      <c r="F1052" s="195" t="n">
        <v>18.69</v>
      </c>
      <c r="G1052" s="195" t="n">
        <v>17.96</v>
      </c>
    </row>
    <row r="1053">
      <c r="A1053" s="196" t="inlineStr">
        <is>
          <t>2026-07-28 18:01:38</t>
        </is>
      </c>
      <c r="B1053" s="196" t="inlineStr">
        <is>
          <t>KWD</t>
        </is>
      </c>
      <c r="C1053" s="196" t="inlineStr">
        <is>
          <t>KUWAITI DINAR</t>
        </is>
      </c>
      <c r="D1053" s="184" t="n"/>
      <c r="E1053" s="184" t="n">
        <v>85068.48</v>
      </c>
      <c r="F1053" s="184" t="n">
        <v>89191.44</v>
      </c>
      <c r="G1053" s="184" t="n">
        <v>87129.96000000001</v>
      </c>
    </row>
    <row r="1054">
      <c r="A1054" s="194" t="inlineStr">
        <is>
          <t>2026-07-28 18:01:38</t>
        </is>
      </c>
      <c r="B1054" s="194" t="inlineStr">
        <is>
          <t>MYR</t>
        </is>
      </c>
      <c r="C1054" s="194" t="inlineStr">
        <is>
          <t>MALAYSIAN RINGGIT</t>
        </is>
      </c>
      <c r="D1054" s="195" t="n"/>
      <c r="E1054" s="195" t="n">
        <v>6382.77</v>
      </c>
      <c r="F1054" s="195" t="n">
        <v>6521.61</v>
      </c>
      <c r="G1054" s="195" t="n">
        <v>6452.19</v>
      </c>
    </row>
    <row r="1055">
      <c r="A1055" s="196" t="inlineStr">
        <is>
          <t>2026-07-28 18:01:38</t>
        </is>
      </c>
      <c r="B1055" s="196" t="inlineStr">
        <is>
          <t>NOK</t>
        </is>
      </c>
      <c r="C1055" s="196" t="inlineStr">
        <is>
          <t>NORWEGIAN KRONER</t>
        </is>
      </c>
      <c r="D1055" s="184" t="n"/>
      <c r="E1055" s="184" t="n">
        <v>2669.1</v>
      </c>
      <c r="F1055" s="184" t="n">
        <v>2782.27</v>
      </c>
      <c r="G1055" s="184" t="n">
        <v>2725.68</v>
      </c>
    </row>
    <row r="1056">
      <c r="A1056" s="194" t="inlineStr">
        <is>
          <t>2026-07-28 18:01:38</t>
        </is>
      </c>
      <c r="B1056" s="194" t="inlineStr">
        <is>
          <t>RUB</t>
        </is>
      </c>
      <c r="C1056" s="194" t="inlineStr">
        <is>
          <t>RUSSIAN RUBLE</t>
        </is>
      </c>
      <c r="D1056" s="195" t="n"/>
      <c r="E1056" s="195" t="n">
        <v>321.33</v>
      </c>
      <c r="F1056" s="195" t="n">
        <v>355.69</v>
      </c>
      <c r="G1056" s="195" t="n">
        <v>338.51</v>
      </c>
    </row>
    <row r="1057">
      <c r="A1057" s="196" t="inlineStr">
        <is>
          <t>2026-07-28 18:01:38</t>
        </is>
      </c>
      <c r="B1057" s="196" t="inlineStr">
        <is>
          <t>SAR</t>
        </is>
      </c>
      <c r="C1057" s="196" t="inlineStr">
        <is>
          <t>SAUDI RIAL</t>
        </is>
      </c>
      <c r="D1057" s="184" t="n"/>
      <c r="E1057" s="184" t="n">
        <v>6975.35</v>
      </c>
      <c r="F1057" s="184" t="n">
        <v>7275.53</v>
      </c>
      <c r="G1057" s="184" t="n">
        <v>7125.44</v>
      </c>
    </row>
    <row r="1058">
      <c r="A1058" s="194" t="inlineStr">
        <is>
          <t>2026-07-28 18:01:38</t>
        </is>
      </c>
      <c r="B1058" s="194" t="inlineStr">
        <is>
          <t>SEK</t>
        </is>
      </c>
      <c r="C1058" s="194" t="inlineStr">
        <is>
          <t>SWEDISH KRONA</t>
        </is>
      </c>
      <c r="D1058" s="195" t="n"/>
      <c r="E1058" s="195" t="n">
        <v>2652.91</v>
      </c>
      <c r="F1058" s="195" t="n">
        <v>2765.39</v>
      </c>
      <c r="G1058" s="195" t="n">
        <v>2709.15</v>
      </c>
    </row>
    <row r="1059">
      <c r="A1059" s="196" t="inlineStr">
        <is>
          <t>2026-07-28 18:01:38</t>
        </is>
      </c>
      <c r="B1059" s="196" t="inlineStr">
        <is>
          <t>SGD</t>
        </is>
      </c>
      <c r="C1059" s="196" t="inlineStr">
        <is>
          <t>SINGAPORE DOLLAR</t>
        </is>
      </c>
      <c r="D1059" s="184" t="n">
        <v>19854.11</v>
      </c>
      <c r="E1059" s="184" t="n">
        <v>20054.66</v>
      </c>
      <c r="F1059" s="184" t="n">
        <v>20738.32</v>
      </c>
      <c r="G1059" s="184" t="n">
        <v>20396.49</v>
      </c>
    </row>
    <row r="1060">
      <c r="A1060" s="194" t="inlineStr">
        <is>
          <t>2026-07-28 18:01:38</t>
        </is>
      </c>
      <c r="B1060" s="194" t="inlineStr">
        <is>
          <t>THB</t>
        </is>
      </c>
      <c r="C1060" s="194" t="inlineStr">
        <is>
          <t>THAILAND BAHT</t>
        </is>
      </c>
      <c r="D1060" s="195" t="n">
        <v>690.22</v>
      </c>
      <c r="E1060" s="195" t="n">
        <v>766.91</v>
      </c>
      <c r="F1060" s="195" t="n">
        <v>799.4299999999999</v>
      </c>
      <c r="G1060" s="195" t="n">
        <v>783.17</v>
      </c>
    </row>
    <row r="1061">
      <c r="A1061" s="196" t="inlineStr">
        <is>
          <t>2026-07-28 18:01:38</t>
        </is>
      </c>
      <c r="B1061" s="196" t="inlineStr">
        <is>
          <t>USD</t>
        </is>
      </c>
      <c r="C1061" s="196" t="inlineStr">
        <is>
          <t>US DOLLAR</t>
        </is>
      </c>
      <c r="D1061" s="184" t="n">
        <v>26115</v>
      </c>
      <c r="E1061" s="184" t="n">
        <v>26145</v>
      </c>
      <c r="F1061" s="184" t="n">
        <v>26525</v>
      </c>
      <c r="G1061" s="184" t="n">
        <v>26335</v>
      </c>
    </row>
    <row r="1062">
      <c r="A1062" s="194" t="inlineStr">
        <is>
          <t>2026-07-27 18:00:00</t>
        </is>
      </c>
      <c r="B1062" s="194" t="inlineStr">
        <is>
          <t>AUD</t>
        </is>
      </c>
      <c r="C1062" s="194" t="inlineStr">
        <is>
          <t>AUSTRALIAN DOLLAR</t>
        </is>
      </c>
      <c r="D1062" s="195" t="n">
        <v>17943.94</v>
      </c>
      <c r="E1062" s="195" t="n">
        <v>18125.2</v>
      </c>
      <c r="F1062" s="195" t="n">
        <v>18705.63</v>
      </c>
      <c r="G1062" s="195" t="n">
        <v>18415.42</v>
      </c>
    </row>
    <row r="1063">
      <c r="A1063" s="196" t="inlineStr">
        <is>
          <t>2026-07-27 18:00:00</t>
        </is>
      </c>
      <c r="B1063" s="196" t="inlineStr">
        <is>
          <t>CAD</t>
        </is>
      </c>
      <c r="C1063" s="196" t="inlineStr">
        <is>
          <t>CANADIAN DOLLAR</t>
        </is>
      </c>
      <c r="D1063" s="184" t="n">
        <v>18225.83</v>
      </c>
      <c r="E1063" s="184" t="n">
        <v>18409.93</v>
      </c>
      <c r="F1063" s="184" t="n">
        <v>18999.48</v>
      </c>
      <c r="G1063" s="184" t="n">
        <v>18704.71</v>
      </c>
    </row>
    <row r="1064">
      <c r="A1064" s="194" t="inlineStr">
        <is>
          <t>2026-07-27 18:00:00</t>
        </is>
      </c>
      <c r="B1064" s="194" t="inlineStr">
        <is>
          <t>CHF</t>
        </is>
      </c>
      <c r="C1064" s="194" t="inlineStr">
        <is>
          <t>SWISS FRANC</t>
        </is>
      </c>
      <c r="D1064" s="195" t="n">
        <v>31490.94</v>
      </c>
      <c r="E1064" s="195" t="n">
        <v>31809.03</v>
      </c>
      <c r="F1064" s="195" t="n">
        <v>32827.67</v>
      </c>
      <c r="G1064" s="195" t="n">
        <v>32318.35</v>
      </c>
    </row>
    <row r="1065">
      <c r="A1065" s="196" t="inlineStr">
        <is>
          <t>2026-07-27 18:00:00</t>
        </is>
      </c>
      <c r="B1065" s="196" t="inlineStr">
        <is>
          <t>CNY</t>
        </is>
      </c>
      <c r="C1065" s="196" t="inlineStr">
        <is>
          <t>YUAN RENMINBI</t>
        </is>
      </c>
      <c r="D1065" s="184" t="n">
        <v>3789.48</v>
      </c>
      <c r="E1065" s="184" t="n">
        <v>3827.76</v>
      </c>
      <c r="F1065" s="184" t="n">
        <v>3950.33</v>
      </c>
      <c r="G1065" s="184" t="n">
        <v>3889.04</v>
      </c>
    </row>
    <row r="1066">
      <c r="A1066" s="194" t="inlineStr">
        <is>
          <t>2026-07-27 18:00:00</t>
        </is>
      </c>
      <c r="B1066" s="194" t="inlineStr">
        <is>
          <t>DKK</t>
        </is>
      </c>
      <c r="C1066" s="194" t="inlineStr">
        <is>
          <t>DANISH KRONE</t>
        </is>
      </c>
      <c r="D1066" s="195" t="n"/>
      <c r="E1066" s="195" t="n">
        <v>3941.98</v>
      </c>
      <c r="F1066" s="195" t="n">
        <v>4092.7</v>
      </c>
      <c r="G1066" s="195" t="n">
        <v>4017.34</v>
      </c>
    </row>
    <row r="1067">
      <c r="A1067" s="196" t="inlineStr">
        <is>
          <t>2026-07-27 18:00:00</t>
        </is>
      </c>
      <c r="B1067" s="196" t="inlineStr">
        <is>
          <t>EUR</t>
        </is>
      </c>
      <c r="C1067" s="196" t="inlineStr">
        <is>
          <t>EURO</t>
        </is>
      </c>
      <c r="D1067" s="184" t="n">
        <v>29250.63</v>
      </c>
      <c r="E1067" s="184" t="n">
        <v>29546.09</v>
      </c>
      <c r="F1067" s="184" t="n">
        <v>30792.68</v>
      </c>
      <c r="G1067" s="184" t="n">
        <v>30169.38</v>
      </c>
    </row>
    <row r="1068">
      <c r="A1068" s="194" t="inlineStr">
        <is>
          <t>2026-07-27 18:00:00</t>
        </is>
      </c>
      <c r="B1068" s="194" t="inlineStr">
        <is>
          <t>GBP</t>
        </is>
      </c>
      <c r="C1068" s="194" t="inlineStr">
        <is>
          <t>POUND STERLING</t>
        </is>
      </c>
      <c r="D1068" s="195" t="n">
        <v>34248.46</v>
      </c>
      <c r="E1068" s="195" t="n">
        <v>34594.4</v>
      </c>
      <c r="F1068" s="195" t="n">
        <v>35702.23</v>
      </c>
      <c r="G1068" s="195" t="n">
        <v>35148.32</v>
      </c>
    </row>
    <row r="1069">
      <c r="A1069" s="196" t="inlineStr">
        <is>
          <t>2026-07-27 18:00:00</t>
        </is>
      </c>
      <c r="B1069" s="196" t="inlineStr">
        <is>
          <t>HKD</t>
        </is>
      </c>
      <c r="C1069" s="196" t="inlineStr">
        <is>
          <t>HONGKONG DOLLAR</t>
        </is>
      </c>
      <c r="D1069" s="184" t="n">
        <v>3262.82</v>
      </c>
      <c r="E1069" s="184" t="n">
        <v>3295.77</v>
      </c>
      <c r="F1069" s="184" t="n">
        <v>3421.79</v>
      </c>
      <c r="G1069" s="184" t="n">
        <v>3358.78</v>
      </c>
    </row>
    <row r="1070">
      <c r="A1070" s="194" t="inlineStr">
        <is>
          <t>2026-07-27 18:00:00</t>
        </is>
      </c>
      <c r="B1070" s="194" t="inlineStr">
        <is>
          <t>INR</t>
        </is>
      </c>
      <c r="C1070" s="194" t="inlineStr">
        <is>
          <t>INDIAN RUPEE</t>
        </is>
      </c>
      <c r="D1070" s="195" t="n"/>
      <c r="E1070" s="195" t="n">
        <v>271.11</v>
      </c>
      <c r="F1070" s="195" t="n">
        <v>282.78</v>
      </c>
      <c r="G1070" s="195" t="n">
        <v>276.94</v>
      </c>
    </row>
    <row r="1071">
      <c r="A1071" s="196" t="inlineStr">
        <is>
          <t>2026-07-27 18:00:00</t>
        </is>
      </c>
      <c r="B1071" s="196" t="inlineStr">
        <is>
          <t>JPY</t>
        </is>
      </c>
      <c r="C1071" s="196" t="inlineStr">
        <is>
          <t>YEN</t>
        </is>
      </c>
      <c r="D1071" s="184" t="n">
        <v>154.55</v>
      </c>
      <c r="E1071" s="184" t="n">
        <v>156.11</v>
      </c>
      <c r="F1071" s="184" t="n">
        <v>166.01</v>
      </c>
      <c r="G1071" s="184" t="n">
        <v>161.06</v>
      </c>
    </row>
    <row r="1072">
      <c r="A1072" s="194" t="inlineStr">
        <is>
          <t>2026-07-27 18:00:00</t>
        </is>
      </c>
      <c r="B1072" s="194" t="inlineStr">
        <is>
          <t>KRW</t>
        </is>
      </c>
      <c r="C1072" s="194" t="inlineStr">
        <is>
          <t>KOREAN WON</t>
        </is>
      </c>
      <c r="D1072" s="195" t="n">
        <v>15.55</v>
      </c>
      <c r="E1072" s="195" t="n">
        <v>17.27</v>
      </c>
      <c r="F1072" s="195" t="n">
        <v>18.74</v>
      </c>
      <c r="G1072" s="195" t="n">
        <v>18</v>
      </c>
    </row>
    <row r="1073">
      <c r="A1073" s="196" t="inlineStr">
        <is>
          <t>2026-07-27 18:00:00</t>
        </is>
      </c>
      <c r="B1073" s="196" t="inlineStr">
        <is>
          <t>KWD</t>
        </is>
      </c>
      <c r="C1073" s="196" t="inlineStr">
        <is>
          <t>KUWAITI DINAR</t>
        </is>
      </c>
      <c r="D1073" s="184" t="n"/>
      <c r="E1073" s="184" t="n">
        <v>85024.7</v>
      </c>
      <c r="F1073" s="184" t="n">
        <v>89145.56</v>
      </c>
      <c r="G1073" s="184" t="n">
        <v>87085.13</v>
      </c>
    </row>
    <row r="1074">
      <c r="A1074" s="194" t="inlineStr">
        <is>
          <t>2026-07-27 18:00:00</t>
        </is>
      </c>
      <c r="B1074" s="194" t="inlineStr">
        <is>
          <t>MYR</t>
        </is>
      </c>
      <c r="C1074" s="194" t="inlineStr">
        <is>
          <t>MALAYSIAN RINGGIT</t>
        </is>
      </c>
      <c r="D1074" s="195" t="n"/>
      <c r="E1074" s="195" t="n">
        <v>6376.87</v>
      </c>
      <c r="F1074" s="195" t="n">
        <v>6515.58</v>
      </c>
      <c r="G1074" s="195" t="n">
        <v>6446.22</v>
      </c>
    </row>
    <row r="1075">
      <c r="A1075" s="196" t="inlineStr">
        <is>
          <t>2026-07-27 18:00:00</t>
        </is>
      </c>
      <c r="B1075" s="196" t="inlineStr">
        <is>
          <t>NOK</t>
        </is>
      </c>
      <c r="C1075" s="196" t="inlineStr">
        <is>
          <t>NORWEGIAN KRONER</t>
        </is>
      </c>
      <c r="D1075" s="184" t="n"/>
      <c r="E1075" s="184" t="n">
        <v>2696.32</v>
      </c>
      <c r="F1075" s="184" t="n">
        <v>2810.65</v>
      </c>
      <c r="G1075" s="184" t="n">
        <v>2753.48</v>
      </c>
    </row>
    <row r="1076">
      <c r="A1076" s="194" t="inlineStr">
        <is>
          <t>2026-07-27 18:00:00</t>
        </is>
      </c>
      <c r="B1076" s="194" t="inlineStr">
        <is>
          <t>RUB</t>
        </is>
      </c>
      <c r="C1076" s="194" t="inlineStr">
        <is>
          <t>RUSSIAN RUBLE</t>
        </is>
      </c>
      <c r="D1076" s="195" t="n"/>
      <c r="E1076" s="195" t="n">
        <v>322.71</v>
      </c>
      <c r="F1076" s="195" t="n">
        <v>357.22</v>
      </c>
      <c r="G1076" s="195" t="n">
        <v>339.96</v>
      </c>
    </row>
    <row r="1077">
      <c r="A1077" s="196" t="inlineStr">
        <is>
          <t>2026-07-27 18:00:00</t>
        </is>
      </c>
      <c r="B1077" s="196" t="inlineStr">
        <is>
          <t>SAR</t>
        </is>
      </c>
      <c r="C1077" s="196" t="inlineStr">
        <is>
          <t>SAUDI RIAL</t>
        </is>
      </c>
      <c r="D1077" s="184" t="n"/>
      <c r="E1077" s="184" t="n">
        <v>6976.07</v>
      </c>
      <c r="F1077" s="184" t="n">
        <v>7276.28</v>
      </c>
      <c r="G1077" s="184" t="n">
        <v>7126.17</v>
      </c>
    </row>
    <row r="1078">
      <c r="A1078" s="194" t="inlineStr">
        <is>
          <t>2026-07-27 18:00:00</t>
        </is>
      </c>
      <c r="B1078" s="194" t="inlineStr">
        <is>
          <t>SEK</t>
        </is>
      </c>
      <c r="C1078" s="194" t="inlineStr">
        <is>
          <t>SWEDISH KRONA</t>
        </is>
      </c>
      <c r="D1078" s="195" t="n"/>
      <c r="E1078" s="195" t="n">
        <v>2666.67</v>
      </c>
      <c r="F1078" s="195" t="n">
        <v>2779.73</v>
      </c>
      <c r="G1078" s="195" t="n">
        <v>2723.2</v>
      </c>
    </row>
    <row r="1079">
      <c r="A1079" s="196" t="inlineStr">
        <is>
          <t>2026-07-27 18:00:00</t>
        </is>
      </c>
      <c r="B1079" s="196" t="inlineStr">
        <is>
          <t>SGD</t>
        </is>
      </c>
      <c r="C1079" s="196" t="inlineStr">
        <is>
          <t>SINGAPORE DOLLAR</t>
        </is>
      </c>
      <c r="D1079" s="184" t="n">
        <v>19884.21</v>
      </c>
      <c r="E1079" s="184" t="n">
        <v>20085.06</v>
      </c>
      <c r="F1079" s="184" t="n">
        <v>20769.76</v>
      </c>
      <c r="G1079" s="184" t="n">
        <v>20427.41</v>
      </c>
    </row>
    <row r="1080">
      <c r="A1080" s="194" t="inlineStr">
        <is>
          <t>2026-07-27 18:00:00</t>
        </is>
      </c>
      <c r="B1080" s="194" t="inlineStr">
        <is>
          <t>THB</t>
        </is>
      </c>
      <c r="C1080" s="194" t="inlineStr">
        <is>
          <t>THAILAND BAHT</t>
        </is>
      </c>
      <c r="D1080" s="195" t="n">
        <v>691.12</v>
      </c>
      <c r="E1080" s="195" t="n">
        <v>767.91</v>
      </c>
      <c r="F1080" s="195" t="n">
        <v>800.47</v>
      </c>
      <c r="G1080" s="195" t="n">
        <v>784.1900000000001</v>
      </c>
    </row>
    <row r="1081">
      <c r="A1081" s="196" t="inlineStr">
        <is>
          <t>2026-07-27 18:00:00</t>
        </is>
      </c>
      <c r="B1081" s="196" t="inlineStr">
        <is>
          <t>USD</t>
        </is>
      </c>
      <c r="C1081" s="196" t="inlineStr">
        <is>
          <t>US DOLLAR</t>
        </is>
      </c>
      <c r="D1081" s="184" t="n">
        <v>26110</v>
      </c>
      <c r="E1081" s="184" t="n">
        <v>26140</v>
      </c>
      <c r="F1081" s="184" t="n">
        <v>26520</v>
      </c>
      <c r="G1081" s="184" t="n">
        <v>26330</v>
      </c>
    </row>
    <row r="1082">
      <c r="A1082" s="194" t="inlineStr">
        <is>
          <t>2026-07-26 18:00:00</t>
        </is>
      </c>
      <c r="B1082" s="194" t="inlineStr">
        <is>
          <t>AUD</t>
        </is>
      </c>
      <c r="C1082" s="194" t="inlineStr">
        <is>
          <t>AUSTRALIAN DOLLAR</t>
        </is>
      </c>
      <c r="D1082" s="195" t="n">
        <v>17883.27</v>
      </c>
      <c r="E1082" s="195" t="n">
        <v>18063.91</v>
      </c>
      <c r="F1082" s="195" t="n">
        <v>18642.39</v>
      </c>
      <c r="G1082" s="195" t="n">
        <v>18353.15</v>
      </c>
    </row>
    <row r="1083">
      <c r="A1083" s="196" t="inlineStr">
        <is>
          <t>2026-07-26 18:00:00</t>
        </is>
      </c>
      <c r="B1083" s="196" t="inlineStr">
        <is>
          <t>CAD</t>
        </is>
      </c>
      <c r="C1083" s="196" t="inlineStr">
        <is>
          <t>CANADIAN DOLLAR</t>
        </is>
      </c>
      <c r="D1083" s="184" t="n">
        <v>18226.67</v>
      </c>
      <c r="E1083" s="184" t="n">
        <v>18410.78</v>
      </c>
      <c r="F1083" s="184" t="n">
        <v>19000.37</v>
      </c>
      <c r="G1083" s="184" t="n">
        <v>18705.57</v>
      </c>
    </row>
    <row r="1084">
      <c r="A1084" s="194" t="inlineStr">
        <is>
          <t>2026-07-26 18:00:00</t>
        </is>
      </c>
      <c r="B1084" s="194" t="inlineStr">
        <is>
          <t>CHF</t>
        </is>
      </c>
      <c r="C1084" s="194" t="inlineStr">
        <is>
          <t>SWISS FRANC</t>
        </is>
      </c>
      <c r="D1084" s="195" t="n">
        <v>31413.44</v>
      </c>
      <c r="E1084" s="195" t="n">
        <v>31730.75</v>
      </c>
      <c r="F1084" s="195" t="n">
        <v>32746.9</v>
      </c>
      <c r="G1084" s="195" t="n">
        <v>32238.82</v>
      </c>
    </row>
    <row r="1085">
      <c r="A1085" s="196" t="inlineStr">
        <is>
          <t>2026-07-26 18:00:00</t>
        </is>
      </c>
      <c r="B1085" s="196" t="inlineStr">
        <is>
          <t>CNY</t>
        </is>
      </c>
      <c r="C1085" s="196" t="inlineStr">
        <is>
          <t>YUAN RENMINBI</t>
        </is>
      </c>
      <c r="D1085" s="184" t="n">
        <v>3789.05</v>
      </c>
      <c r="E1085" s="184" t="n">
        <v>3827.32</v>
      </c>
      <c r="F1085" s="184" t="n">
        <v>3949.89</v>
      </c>
      <c r="G1085" s="184" t="n">
        <v>3888.6</v>
      </c>
    </row>
    <row r="1086">
      <c r="A1086" s="194" t="inlineStr">
        <is>
          <t>2026-07-26 18:00:00</t>
        </is>
      </c>
      <c r="B1086" s="194" t="inlineStr">
        <is>
          <t>DKK</t>
        </is>
      </c>
      <c r="C1086" s="194" t="inlineStr">
        <is>
          <t>DANISH KRONE</t>
        </is>
      </c>
      <c r="D1086" s="195" t="n"/>
      <c r="E1086" s="195" t="n">
        <v>3932.92</v>
      </c>
      <c r="F1086" s="195" t="n">
        <v>4083.3</v>
      </c>
      <c r="G1086" s="195" t="n">
        <v>4008.11</v>
      </c>
    </row>
    <row r="1087">
      <c r="A1087" s="196" t="inlineStr">
        <is>
          <t>2026-07-26 18:00:00</t>
        </is>
      </c>
      <c r="B1087" s="196" t="inlineStr">
        <is>
          <t>EUR</t>
        </is>
      </c>
      <c r="C1087" s="196" t="inlineStr">
        <is>
          <t>EURO</t>
        </is>
      </c>
      <c r="D1087" s="184" t="n">
        <v>29183.09</v>
      </c>
      <c r="E1087" s="184" t="n">
        <v>29477.87</v>
      </c>
      <c r="F1087" s="184" t="n">
        <v>30721.59</v>
      </c>
      <c r="G1087" s="184" t="n">
        <v>30099.73</v>
      </c>
    </row>
    <row r="1088">
      <c r="A1088" s="194" t="inlineStr">
        <is>
          <t>2026-07-26 18:00:00</t>
        </is>
      </c>
      <c r="B1088" s="194" t="inlineStr">
        <is>
          <t>GBP</t>
        </is>
      </c>
      <c r="C1088" s="194" t="inlineStr">
        <is>
          <t>POUND STERLING</t>
        </is>
      </c>
      <c r="D1088" s="195" t="n">
        <v>34150.81</v>
      </c>
      <c r="E1088" s="195" t="n">
        <v>34495.76</v>
      </c>
      <c r="F1088" s="195" t="n">
        <v>35600.46</v>
      </c>
      <c r="G1088" s="195" t="n">
        <v>35048.11</v>
      </c>
    </row>
    <row r="1089">
      <c r="A1089" s="196" t="inlineStr">
        <is>
          <t>2026-07-26 18:00:00</t>
        </is>
      </c>
      <c r="B1089" s="196" t="inlineStr">
        <is>
          <t>HKD</t>
        </is>
      </c>
      <c r="C1089" s="196" t="inlineStr">
        <is>
          <t>HONGKONG DOLLAR</t>
        </is>
      </c>
      <c r="D1089" s="184" t="n">
        <v>3261.91</v>
      </c>
      <c r="E1089" s="184" t="n">
        <v>3294.86</v>
      </c>
      <c r="F1089" s="184" t="n">
        <v>3420.84</v>
      </c>
      <c r="G1089" s="184" t="n">
        <v>3357.85</v>
      </c>
    </row>
    <row r="1090">
      <c r="A1090" s="194" t="inlineStr">
        <is>
          <t>2026-07-26 18:00:00</t>
        </is>
      </c>
      <c r="B1090" s="194" t="inlineStr">
        <is>
          <t>INR</t>
        </is>
      </c>
      <c r="C1090" s="194" t="inlineStr">
        <is>
          <t>INDIAN RUPEE</t>
        </is>
      </c>
      <c r="D1090" s="195" t="n"/>
      <c r="E1090" s="195" t="n">
        <v>270.98</v>
      </c>
      <c r="F1090" s="195" t="n">
        <v>282.64</v>
      </c>
      <c r="G1090" s="195" t="n">
        <v>276.81</v>
      </c>
    </row>
    <row r="1091">
      <c r="A1091" s="196" t="inlineStr">
        <is>
          <t>2026-07-26 18:00:00</t>
        </is>
      </c>
      <c r="B1091" s="196" t="inlineStr">
        <is>
          <t>JPY</t>
        </is>
      </c>
      <c r="C1091" s="196" t="inlineStr">
        <is>
          <t>YEN</t>
        </is>
      </c>
      <c r="D1091" s="184" t="n">
        <v>155.02</v>
      </c>
      <c r="E1091" s="184" t="n">
        <v>156.59</v>
      </c>
      <c r="F1091" s="184" t="n">
        <v>165.72</v>
      </c>
      <c r="G1091" s="184" t="n">
        <v>161.16</v>
      </c>
    </row>
    <row r="1092">
      <c r="A1092" s="194" t="inlineStr">
        <is>
          <t>2026-07-26 18:00:00</t>
        </is>
      </c>
      <c r="B1092" s="194" t="inlineStr">
        <is>
          <t>KRW</t>
        </is>
      </c>
      <c r="C1092" s="194" t="inlineStr">
        <is>
          <t>KOREAN WON</t>
        </is>
      </c>
      <c r="D1092" s="195" t="n">
        <v>15.5</v>
      </c>
      <c r="E1092" s="195" t="n">
        <v>17.23</v>
      </c>
      <c r="F1092" s="195" t="n">
        <v>18.69</v>
      </c>
      <c r="G1092" s="195" t="n">
        <v>17.96</v>
      </c>
    </row>
    <row r="1093">
      <c r="A1093" s="196" t="inlineStr">
        <is>
          <t>2026-07-26 18:00:00</t>
        </is>
      </c>
      <c r="B1093" s="196" t="inlineStr">
        <is>
          <t>KWD</t>
        </is>
      </c>
      <c r="C1093" s="196" t="inlineStr">
        <is>
          <t>KUWAITI DINAR</t>
        </is>
      </c>
      <c r="D1093" s="184" t="n"/>
      <c r="E1093" s="184" t="n">
        <v>85019.99000000001</v>
      </c>
      <c r="F1093" s="184" t="n">
        <v>89140.67999999999</v>
      </c>
      <c r="G1093" s="184" t="n">
        <v>87080.34</v>
      </c>
    </row>
    <row r="1094">
      <c r="A1094" s="194" t="inlineStr">
        <is>
          <t>2026-07-26 18:00:00</t>
        </is>
      </c>
      <c r="B1094" s="194" t="inlineStr">
        <is>
          <t>MYR</t>
        </is>
      </c>
      <c r="C1094" s="194" t="inlineStr">
        <is>
          <t>MALAYSIAN RINGGIT</t>
        </is>
      </c>
      <c r="D1094" s="195" t="n"/>
      <c r="E1094" s="195" t="n">
        <v>6360.43</v>
      </c>
      <c r="F1094" s="195" t="n">
        <v>6498.79</v>
      </c>
      <c r="G1094" s="195" t="n">
        <v>6429.61</v>
      </c>
    </row>
    <row r="1095">
      <c r="A1095" s="196" t="inlineStr">
        <is>
          <t>2026-07-26 18:00:00</t>
        </is>
      </c>
      <c r="B1095" s="196" t="inlineStr">
        <is>
          <t>NOK</t>
        </is>
      </c>
      <c r="C1095" s="196" t="inlineStr">
        <is>
          <t>NORWEGIAN KRONER</t>
        </is>
      </c>
      <c r="D1095" s="184" t="n"/>
      <c r="E1095" s="184" t="n">
        <v>2685.14</v>
      </c>
      <c r="F1095" s="184" t="n">
        <v>2798.99</v>
      </c>
      <c r="G1095" s="184" t="n">
        <v>2742.06</v>
      </c>
    </row>
    <row r="1096">
      <c r="A1096" s="194" t="inlineStr">
        <is>
          <t>2026-07-26 18:00:00</t>
        </is>
      </c>
      <c r="B1096" s="194" t="inlineStr">
        <is>
          <t>RUB</t>
        </is>
      </c>
      <c r="C1096" s="194" t="inlineStr">
        <is>
          <t>RUSSIAN RUBLE</t>
        </is>
      </c>
      <c r="D1096" s="195" t="n"/>
      <c r="E1096" s="195" t="n">
        <v>319.91</v>
      </c>
      <c r="F1096" s="195" t="n">
        <v>354.12</v>
      </c>
      <c r="G1096" s="195" t="n">
        <v>337.02</v>
      </c>
    </row>
    <row r="1097">
      <c r="A1097" s="196" t="inlineStr">
        <is>
          <t>2026-07-26 18:00:00</t>
        </is>
      </c>
      <c r="B1097" s="196" t="inlineStr">
        <is>
          <t>SAR</t>
        </is>
      </c>
      <c r="C1097" s="196" t="inlineStr">
        <is>
          <t>SAUDI RIAL</t>
        </is>
      </c>
      <c r="D1097" s="184" t="n"/>
      <c r="E1097" s="184" t="n">
        <v>6973.98</v>
      </c>
      <c r="F1097" s="184" t="n">
        <v>7274.1</v>
      </c>
      <c r="G1097" s="184" t="n">
        <v>7124.04</v>
      </c>
    </row>
    <row r="1098">
      <c r="A1098" s="194" t="inlineStr">
        <is>
          <t>2026-07-26 18:00:00</t>
        </is>
      </c>
      <c r="B1098" s="194" t="inlineStr">
        <is>
          <t>SEK</t>
        </is>
      </c>
      <c r="C1098" s="194" t="inlineStr">
        <is>
          <t>SWEDISH KRONA</t>
        </is>
      </c>
      <c r="D1098" s="195" t="n"/>
      <c r="E1098" s="195" t="n">
        <v>2643.68</v>
      </c>
      <c r="F1098" s="195" t="n">
        <v>2755.77</v>
      </c>
      <c r="G1098" s="195" t="n">
        <v>2699.72</v>
      </c>
    </row>
    <row r="1099">
      <c r="A1099" s="196" t="inlineStr">
        <is>
          <t>2026-07-26 18:00:00</t>
        </is>
      </c>
      <c r="B1099" s="196" t="inlineStr">
        <is>
          <t>SGD</t>
        </is>
      </c>
      <c r="C1099" s="196" t="inlineStr">
        <is>
          <t>SINGAPORE DOLLAR</t>
        </is>
      </c>
      <c r="D1099" s="184" t="n">
        <v>19832.04</v>
      </c>
      <c r="E1099" s="184" t="n">
        <v>20032.37</v>
      </c>
      <c r="F1099" s="184" t="n">
        <v>20715.29</v>
      </c>
      <c r="G1099" s="184" t="n">
        <v>20373.83</v>
      </c>
    </row>
    <row r="1100">
      <c r="A1100" s="194" t="inlineStr">
        <is>
          <t>2026-07-26 18:00:00</t>
        </is>
      </c>
      <c r="B1100" s="194" t="inlineStr">
        <is>
          <t>THB</t>
        </is>
      </c>
      <c r="C1100" s="194" t="inlineStr">
        <is>
          <t>THAILAND BAHT</t>
        </is>
      </c>
      <c r="D1100" s="195" t="n">
        <v>686.5599999999999</v>
      </c>
      <c r="E1100" s="195" t="n">
        <v>762.85</v>
      </c>
      <c r="F1100" s="195" t="n">
        <v>795.1900000000001</v>
      </c>
      <c r="G1100" s="195" t="n">
        <v>779.02</v>
      </c>
    </row>
    <row r="1101">
      <c r="A1101" s="196" t="inlineStr">
        <is>
          <t>2026-07-26 18:00:00</t>
        </is>
      </c>
      <c r="B1101" s="196" t="inlineStr">
        <is>
          <t>USD</t>
        </is>
      </c>
      <c r="C1101" s="196" t="inlineStr">
        <is>
          <t>US DOLLAR</t>
        </is>
      </c>
      <c r="D1101" s="184" t="n">
        <v>26100</v>
      </c>
      <c r="E1101" s="184" t="n">
        <v>26130</v>
      </c>
      <c r="F1101" s="184" t="n">
        <v>26510</v>
      </c>
      <c r="G1101" s="184" t="n">
        <v>26320</v>
      </c>
    </row>
    <row r="1102">
      <c r="A1102" s="194" t="inlineStr">
        <is>
          <t>2026-07-25 18:00:00</t>
        </is>
      </c>
      <c r="B1102" s="194" t="inlineStr">
        <is>
          <t>AUD</t>
        </is>
      </c>
      <c r="C1102" s="194" t="inlineStr">
        <is>
          <t>AUSTRALIAN DOLLAR</t>
        </is>
      </c>
      <c r="D1102" s="195" t="n">
        <v>17883.27</v>
      </c>
      <c r="E1102" s="195" t="n">
        <v>18063.91</v>
      </c>
      <c r="F1102" s="195" t="n">
        <v>18642.39</v>
      </c>
      <c r="G1102" s="195" t="n">
        <v>18353.15</v>
      </c>
    </row>
    <row r="1103">
      <c r="A1103" s="196" t="inlineStr">
        <is>
          <t>2026-07-25 18:00:00</t>
        </is>
      </c>
      <c r="B1103" s="196" t="inlineStr">
        <is>
          <t>CAD</t>
        </is>
      </c>
      <c r="C1103" s="196" t="inlineStr">
        <is>
          <t>CANADIAN DOLLAR</t>
        </is>
      </c>
      <c r="D1103" s="184" t="n">
        <v>18226.67</v>
      </c>
      <c r="E1103" s="184" t="n">
        <v>18410.78</v>
      </c>
      <c r="F1103" s="184" t="n">
        <v>19000.37</v>
      </c>
      <c r="G1103" s="184" t="n">
        <v>18705.57</v>
      </c>
    </row>
    <row r="1104">
      <c r="A1104" s="194" t="inlineStr">
        <is>
          <t>2026-07-25 18:00:00</t>
        </is>
      </c>
      <c r="B1104" s="194" t="inlineStr">
        <is>
          <t>CHF</t>
        </is>
      </c>
      <c r="C1104" s="194" t="inlineStr">
        <is>
          <t>SWISS FRANC</t>
        </is>
      </c>
      <c r="D1104" s="195" t="n">
        <v>31413.44</v>
      </c>
      <c r="E1104" s="195" t="n">
        <v>31730.75</v>
      </c>
      <c r="F1104" s="195" t="n">
        <v>32746.9</v>
      </c>
      <c r="G1104" s="195" t="n">
        <v>32238.82</v>
      </c>
    </row>
    <row r="1105">
      <c r="A1105" s="196" t="inlineStr">
        <is>
          <t>2026-07-25 18:00:00</t>
        </is>
      </c>
      <c r="B1105" s="196" t="inlineStr">
        <is>
          <t>CNY</t>
        </is>
      </c>
      <c r="C1105" s="196" t="inlineStr">
        <is>
          <t>YUAN RENMINBI</t>
        </is>
      </c>
      <c r="D1105" s="184" t="n">
        <v>3789.05</v>
      </c>
      <c r="E1105" s="184" t="n">
        <v>3827.32</v>
      </c>
      <c r="F1105" s="184" t="n">
        <v>3949.89</v>
      </c>
      <c r="G1105" s="184" t="n">
        <v>3888.6</v>
      </c>
    </row>
    <row r="1106">
      <c r="A1106" s="194" t="inlineStr">
        <is>
          <t>2026-07-25 18:00:00</t>
        </is>
      </c>
      <c r="B1106" s="194" t="inlineStr">
        <is>
          <t>DKK</t>
        </is>
      </c>
      <c r="C1106" s="194" t="inlineStr">
        <is>
          <t>DANISH KRONE</t>
        </is>
      </c>
      <c r="D1106" s="195" t="n"/>
      <c r="E1106" s="195" t="n">
        <v>3932.92</v>
      </c>
      <c r="F1106" s="195" t="n">
        <v>4083.3</v>
      </c>
      <c r="G1106" s="195" t="n">
        <v>4008.11</v>
      </c>
    </row>
    <row r="1107">
      <c r="A1107" s="196" t="inlineStr">
        <is>
          <t>2026-07-25 18:00:00</t>
        </is>
      </c>
      <c r="B1107" s="196" t="inlineStr">
        <is>
          <t>EUR</t>
        </is>
      </c>
      <c r="C1107" s="196" t="inlineStr">
        <is>
          <t>EURO</t>
        </is>
      </c>
      <c r="D1107" s="184" t="n">
        <v>29183.09</v>
      </c>
      <c r="E1107" s="184" t="n">
        <v>29477.87</v>
      </c>
      <c r="F1107" s="184" t="n">
        <v>30721.59</v>
      </c>
      <c r="G1107" s="184" t="n">
        <v>30099.73</v>
      </c>
    </row>
    <row r="1108">
      <c r="A1108" s="194" t="inlineStr">
        <is>
          <t>2026-07-25 18:00:00</t>
        </is>
      </c>
      <c r="B1108" s="194" t="inlineStr">
        <is>
          <t>GBP</t>
        </is>
      </c>
      <c r="C1108" s="194" t="inlineStr">
        <is>
          <t>POUND STERLING</t>
        </is>
      </c>
      <c r="D1108" s="195" t="n">
        <v>34150.81</v>
      </c>
      <c r="E1108" s="195" t="n">
        <v>34495.76</v>
      </c>
      <c r="F1108" s="195" t="n">
        <v>35600.46</v>
      </c>
      <c r="G1108" s="195" t="n">
        <v>35048.11</v>
      </c>
    </row>
    <row r="1109">
      <c r="A1109" s="196" t="inlineStr">
        <is>
          <t>2026-07-25 18:00:00</t>
        </is>
      </c>
      <c r="B1109" s="196" t="inlineStr">
        <is>
          <t>HKD</t>
        </is>
      </c>
      <c r="C1109" s="196" t="inlineStr">
        <is>
          <t>HONGKONG DOLLAR</t>
        </is>
      </c>
      <c r="D1109" s="184" t="n">
        <v>3261.91</v>
      </c>
      <c r="E1109" s="184" t="n">
        <v>3294.86</v>
      </c>
      <c r="F1109" s="184" t="n">
        <v>3420.84</v>
      </c>
      <c r="G1109" s="184" t="n">
        <v>3357.85</v>
      </c>
    </row>
    <row r="1110">
      <c r="A1110" s="194" t="inlineStr">
        <is>
          <t>2026-07-25 18:00:00</t>
        </is>
      </c>
      <c r="B1110" s="194" t="inlineStr">
        <is>
          <t>INR</t>
        </is>
      </c>
      <c r="C1110" s="194" t="inlineStr">
        <is>
          <t>INDIAN RUPEE</t>
        </is>
      </c>
      <c r="D1110" s="195" t="n"/>
      <c r="E1110" s="195" t="n">
        <v>270.98</v>
      </c>
      <c r="F1110" s="195" t="n">
        <v>282.64</v>
      </c>
      <c r="G1110" s="195" t="n">
        <v>276.81</v>
      </c>
    </row>
    <row r="1111">
      <c r="A1111" s="196" t="inlineStr">
        <is>
          <t>2026-07-25 18:00:00</t>
        </is>
      </c>
      <c r="B1111" s="196" t="inlineStr">
        <is>
          <t>JPY</t>
        </is>
      </c>
      <c r="C1111" s="196" t="inlineStr">
        <is>
          <t>YEN</t>
        </is>
      </c>
      <c r="D1111" s="184" t="n">
        <v>155.02</v>
      </c>
      <c r="E1111" s="184" t="n">
        <v>156.59</v>
      </c>
      <c r="F1111" s="184" t="n">
        <v>165.72</v>
      </c>
      <c r="G1111" s="184" t="n">
        <v>161.16</v>
      </c>
    </row>
    <row r="1112">
      <c r="A1112" s="194" t="inlineStr">
        <is>
          <t>2026-07-25 18:00:00</t>
        </is>
      </c>
      <c r="B1112" s="194" t="inlineStr">
        <is>
          <t>KRW</t>
        </is>
      </c>
      <c r="C1112" s="194" t="inlineStr">
        <is>
          <t>KOREAN WON</t>
        </is>
      </c>
      <c r="D1112" s="195" t="n">
        <v>15.5</v>
      </c>
      <c r="E1112" s="195" t="n">
        <v>17.23</v>
      </c>
      <c r="F1112" s="195" t="n">
        <v>18.69</v>
      </c>
      <c r="G1112" s="195" t="n">
        <v>17.96</v>
      </c>
    </row>
    <row r="1113">
      <c r="A1113" s="196" t="inlineStr">
        <is>
          <t>2026-07-25 18:00:00</t>
        </is>
      </c>
      <c r="B1113" s="196" t="inlineStr">
        <is>
          <t>KWD</t>
        </is>
      </c>
      <c r="C1113" s="196" t="inlineStr">
        <is>
          <t>KUWAITI DINAR</t>
        </is>
      </c>
      <c r="D1113" s="184" t="n"/>
      <c r="E1113" s="184" t="n">
        <v>85019.99000000001</v>
      </c>
      <c r="F1113" s="184" t="n">
        <v>89140.67999999999</v>
      </c>
      <c r="G1113" s="184" t="n">
        <v>87080.34</v>
      </c>
    </row>
    <row r="1114">
      <c r="A1114" s="194" t="inlineStr">
        <is>
          <t>2026-07-25 18:00:00</t>
        </is>
      </c>
      <c r="B1114" s="194" t="inlineStr">
        <is>
          <t>MYR</t>
        </is>
      </c>
      <c r="C1114" s="194" t="inlineStr">
        <is>
          <t>MALAYSIAN RINGGIT</t>
        </is>
      </c>
      <c r="D1114" s="195" t="n"/>
      <c r="E1114" s="195" t="n">
        <v>6360.43</v>
      </c>
      <c r="F1114" s="195" t="n">
        <v>6498.79</v>
      </c>
      <c r="G1114" s="195" t="n">
        <v>6429.61</v>
      </c>
    </row>
    <row r="1115">
      <c r="A1115" s="196" t="inlineStr">
        <is>
          <t>2026-07-25 18:00:00</t>
        </is>
      </c>
      <c r="B1115" s="196" t="inlineStr">
        <is>
          <t>NOK</t>
        </is>
      </c>
      <c r="C1115" s="196" t="inlineStr">
        <is>
          <t>NORWEGIAN KRONER</t>
        </is>
      </c>
      <c r="D1115" s="184" t="n"/>
      <c r="E1115" s="184" t="n">
        <v>2685.14</v>
      </c>
      <c r="F1115" s="184" t="n">
        <v>2798.99</v>
      </c>
      <c r="G1115" s="184" t="n">
        <v>2742.06</v>
      </c>
    </row>
    <row r="1116">
      <c r="A1116" s="194" t="inlineStr">
        <is>
          <t>2026-07-25 18:00:00</t>
        </is>
      </c>
      <c r="B1116" s="194" t="inlineStr">
        <is>
          <t>RUB</t>
        </is>
      </c>
      <c r="C1116" s="194" t="inlineStr">
        <is>
          <t>RUSSIAN RUBLE</t>
        </is>
      </c>
      <c r="D1116" s="195" t="n"/>
      <c r="E1116" s="195" t="n">
        <v>319.91</v>
      </c>
      <c r="F1116" s="195" t="n">
        <v>354.12</v>
      </c>
      <c r="G1116" s="195" t="n">
        <v>337.02</v>
      </c>
    </row>
    <row r="1117">
      <c r="A1117" s="196" t="inlineStr">
        <is>
          <t>2026-07-25 18:00:00</t>
        </is>
      </c>
      <c r="B1117" s="196" t="inlineStr">
        <is>
          <t>SAR</t>
        </is>
      </c>
      <c r="C1117" s="196" t="inlineStr">
        <is>
          <t>SAUDI RIAL</t>
        </is>
      </c>
      <c r="D1117" s="184" t="n"/>
      <c r="E1117" s="184" t="n">
        <v>6973.98</v>
      </c>
      <c r="F1117" s="184" t="n">
        <v>7274.1</v>
      </c>
      <c r="G1117" s="184" t="n">
        <v>7124.04</v>
      </c>
    </row>
    <row r="1118">
      <c r="A1118" s="194" t="inlineStr">
        <is>
          <t>2026-07-25 18:00:00</t>
        </is>
      </c>
      <c r="B1118" s="194" t="inlineStr">
        <is>
          <t>SEK</t>
        </is>
      </c>
      <c r="C1118" s="194" t="inlineStr">
        <is>
          <t>SWEDISH KRONA</t>
        </is>
      </c>
      <c r="D1118" s="195" t="n"/>
      <c r="E1118" s="195" t="n">
        <v>2643.68</v>
      </c>
      <c r="F1118" s="195" t="n">
        <v>2755.77</v>
      </c>
      <c r="G1118" s="195" t="n">
        <v>2699.72</v>
      </c>
    </row>
    <row r="1119">
      <c r="A1119" s="196" t="inlineStr">
        <is>
          <t>2026-07-25 18:00:00</t>
        </is>
      </c>
      <c r="B1119" s="196" t="inlineStr">
        <is>
          <t>SGD</t>
        </is>
      </c>
      <c r="C1119" s="196" t="inlineStr">
        <is>
          <t>SINGAPORE DOLLAR</t>
        </is>
      </c>
      <c r="D1119" s="184" t="n">
        <v>19832.04</v>
      </c>
      <c r="E1119" s="184" t="n">
        <v>20032.37</v>
      </c>
      <c r="F1119" s="184" t="n">
        <v>20715.29</v>
      </c>
      <c r="G1119" s="184" t="n">
        <v>20373.83</v>
      </c>
    </row>
    <row r="1120">
      <c r="A1120" s="194" t="inlineStr">
        <is>
          <t>2026-07-25 18:00:00</t>
        </is>
      </c>
      <c r="B1120" s="194" t="inlineStr">
        <is>
          <t>THB</t>
        </is>
      </c>
      <c r="C1120" s="194" t="inlineStr">
        <is>
          <t>THAILAND BAHT</t>
        </is>
      </c>
      <c r="D1120" s="195" t="n">
        <v>686.5599999999999</v>
      </c>
      <c r="E1120" s="195" t="n">
        <v>762.85</v>
      </c>
      <c r="F1120" s="195" t="n">
        <v>795.1900000000001</v>
      </c>
      <c r="G1120" s="195" t="n">
        <v>779.02</v>
      </c>
    </row>
    <row r="1121">
      <c r="A1121" s="196" t="inlineStr">
        <is>
          <t>2026-07-25 18:00:00</t>
        </is>
      </c>
      <c r="B1121" s="196" t="inlineStr">
        <is>
          <t>USD</t>
        </is>
      </c>
      <c r="C1121" s="196" t="inlineStr">
        <is>
          <t>US DOLLAR</t>
        </is>
      </c>
      <c r="D1121" s="184" t="n">
        <v>26100</v>
      </c>
      <c r="E1121" s="184" t="n">
        <v>26130</v>
      </c>
      <c r="F1121" s="184" t="n">
        <v>26510</v>
      </c>
      <c r="G1121" s="184" t="n">
        <v>26320</v>
      </c>
    </row>
    <row r="1122">
      <c r="A1122" s="194" t="inlineStr">
        <is>
          <t>2026-07-24 18:00:00</t>
        </is>
      </c>
      <c r="B1122" s="194" t="inlineStr">
        <is>
          <t>AUD</t>
        </is>
      </c>
      <c r="C1122" s="194" t="inlineStr">
        <is>
          <t>AUSTRALIAN DOLLAR</t>
        </is>
      </c>
      <c r="D1122" s="195" t="n">
        <v>17883.27</v>
      </c>
      <c r="E1122" s="195" t="n">
        <v>18063.91</v>
      </c>
      <c r="F1122" s="195" t="n">
        <v>18642.39</v>
      </c>
      <c r="G1122" s="195" t="n">
        <v>18353.15</v>
      </c>
    </row>
    <row r="1123">
      <c r="A1123" s="196" t="inlineStr">
        <is>
          <t>2026-07-24 18:00:00</t>
        </is>
      </c>
      <c r="B1123" s="196" t="inlineStr">
        <is>
          <t>CAD</t>
        </is>
      </c>
      <c r="C1123" s="196" t="inlineStr">
        <is>
          <t>CANADIAN DOLLAR</t>
        </is>
      </c>
      <c r="D1123" s="184" t="n">
        <v>18226.67</v>
      </c>
      <c r="E1123" s="184" t="n">
        <v>18410.78</v>
      </c>
      <c r="F1123" s="184" t="n">
        <v>19000.37</v>
      </c>
      <c r="G1123" s="184" t="n">
        <v>18705.57</v>
      </c>
    </row>
    <row r="1124">
      <c r="A1124" s="194" t="inlineStr">
        <is>
          <t>2026-07-24 18:00:00</t>
        </is>
      </c>
      <c r="B1124" s="194" t="inlineStr">
        <is>
          <t>CHF</t>
        </is>
      </c>
      <c r="C1124" s="194" t="inlineStr">
        <is>
          <t>SWISS FRANC</t>
        </is>
      </c>
      <c r="D1124" s="195" t="n">
        <v>31413.44</v>
      </c>
      <c r="E1124" s="195" t="n">
        <v>31730.75</v>
      </c>
      <c r="F1124" s="195" t="n">
        <v>32746.9</v>
      </c>
      <c r="G1124" s="195" t="n">
        <v>32238.82</v>
      </c>
    </row>
    <row r="1125">
      <c r="A1125" s="196" t="inlineStr">
        <is>
          <t>2026-07-24 18:00:00</t>
        </is>
      </c>
      <c r="B1125" s="196" t="inlineStr">
        <is>
          <t>CNY</t>
        </is>
      </c>
      <c r="C1125" s="196" t="inlineStr">
        <is>
          <t>YUAN RENMINBI</t>
        </is>
      </c>
      <c r="D1125" s="184" t="n">
        <v>3789.05</v>
      </c>
      <c r="E1125" s="184" t="n">
        <v>3827.32</v>
      </c>
      <c r="F1125" s="184" t="n">
        <v>3949.89</v>
      </c>
      <c r="G1125" s="184" t="n">
        <v>3888.6</v>
      </c>
    </row>
    <row r="1126">
      <c r="A1126" s="194" t="inlineStr">
        <is>
          <t>2026-07-24 18:00:00</t>
        </is>
      </c>
      <c r="B1126" s="194" t="inlineStr">
        <is>
          <t>DKK</t>
        </is>
      </c>
      <c r="C1126" s="194" t="inlineStr">
        <is>
          <t>DANISH KRONE</t>
        </is>
      </c>
      <c r="D1126" s="195" t="n"/>
      <c r="E1126" s="195" t="n">
        <v>3932.92</v>
      </c>
      <c r="F1126" s="195" t="n">
        <v>4083.3</v>
      </c>
      <c r="G1126" s="195" t="n">
        <v>4008.11</v>
      </c>
    </row>
    <row r="1127">
      <c r="A1127" s="196" t="inlineStr">
        <is>
          <t>2026-07-24 18:00:00</t>
        </is>
      </c>
      <c r="B1127" s="196" t="inlineStr">
        <is>
          <t>EUR</t>
        </is>
      </c>
      <c r="C1127" s="196" t="inlineStr">
        <is>
          <t>EURO</t>
        </is>
      </c>
      <c r="D1127" s="184" t="n">
        <v>29183.09</v>
      </c>
      <c r="E1127" s="184" t="n">
        <v>29477.87</v>
      </c>
      <c r="F1127" s="184" t="n">
        <v>30721.59</v>
      </c>
      <c r="G1127" s="184" t="n">
        <v>30099.73</v>
      </c>
    </row>
    <row r="1128">
      <c r="A1128" s="194" t="inlineStr">
        <is>
          <t>2026-07-24 18:00:00</t>
        </is>
      </c>
      <c r="B1128" s="194" t="inlineStr">
        <is>
          <t>GBP</t>
        </is>
      </c>
      <c r="C1128" s="194" t="inlineStr">
        <is>
          <t>POUND STERLING</t>
        </is>
      </c>
      <c r="D1128" s="195" t="n">
        <v>34150.81</v>
      </c>
      <c r="E1128" s="195" t="n">
        <v>34495.76</v>
      </c>
      <c r="F1128" s="195" t="n">
        <v>35600.46</v>
      </c>
      <c r="G1128" s="195" t="n">
        <v>35048.11</v>
      </c>
    </row>
    <row r="1129">
      <c r="A1129" s="196" t="inlineStr">
        <is>
          <t>2026-07-24 18:00:00</t>
        </is>
      </c>
      <c r="B1129" s="196" t="inlineStr">
        <is>
          <t>HKD</t>
        </is>
      </c>
      <c r="C1129" s="196" t="inlineStr">
        <is>
          <t>HONGKONG DOLLAR</t>
        </is>
      </c>
      <c r="D1129" s="184" t="n">
        <v>3261.91</v>
      </c>
      <c r="E1129" s="184" t="n">
        <v>3294.86</v>
      </c>
      <c r="F1129" s="184" t="n">
        <v>3420.84</v>
      </c>
      <c r="G1129" s="184" t="n">
        <v>3357.85</v>
      </c>
    </row>
    <row r="1130">
      <c r="A1130" s="194" t="inlineStr">
        <is>
          <t>2026-07-24 18:00:00</t>
        </is>
      </c>
      <c r="B1130" s="194" t="inlineStr">
        <is>
          <t>INR</t>
        </is>
      </c>
      <c r="C1130" s="194" t="inlineStr">
        <is>
          <t>INDIAN RUPEE</t>
        </is>
      </c>
      <c r="D1130" s="195" t="n"/>
      <c r="E1130" s="195" t="n">
        <v>270.98</v>
      </c>
      <c r="F1130" s="195" t="n">
        <v>282.64</v>
      </c>
      <c r="G1130" s="195" t="n">
        <v>276.81</v>
      </c>
    </row>
    <row r="1131">
      <c r="A1131" s="196" t="inlineStr">
        <is>
          <t>2026-07-24 18:00:00</t>
        </is>
      </c>
      <c r="B1131" s="196" t="inlineStr">
        <is>
          <t>JPY</t>
        </is>
      </c>
      <c r="C1131" s="196" t="inlineStr">
        <is>
          <t>YEN</t>
        </is>
      </c>
      <c r="D1131" s="184" t="n">
        <v>155.02</v>
      </c>
      <c r="E1131" s="184" t="n">
        <v>156.59</v>
      </c>
      <c r="F1131" s="184" t="n">
        <v>165.72</v>
      </c>
      <c r="G1131" s="184" t="n">
        <v>161.16</v>
      </c>
    </row>
    <row r="1132">
      <c r="A1132" s="194" t="inlineStr">
        <is>
          <t>2026-07-24 18:00:00</t>
        </is>
      </c>
      <c r="B1132" s="194" t="inlineStr">
        <is>
          <t>KRW</t>
        </is>
      </c>
      <c r="C1132" s="194" t="inlineStr">
        <is>
          <t>KOREAN WON</t>
        </is>
      </c>
      <c r="D1132" s="195" t="n">
        <v>15.5</v>
      </c>
      <c r="E1132" s="195" t="n">
        <v>17.23</v>
      </c>
      <c r="F1132" s="195" t="n">
        <v>18.69</v>
      </c>
      <c r="G1132" s="195" t="n">
        <v>17.96</v>
      </c>
    </row>
    <row r="1133">
      <c r="A1133" s="196" t="inlineStr">
        <is>
          <t>2026-07-24 18:00:00</t>
        </is>
      </c>
      <c r="B1133" s="196" t="inlineStr">
        <is>
          <t>KWD</t>
        </is>
      </c>
      <c r="C1133" s="196" t="inlineStr">
        <is>
          <t>KUWAITI DINAR</t>
        </is>
      </c>
      <c r="D1133" s="184" t="n"/>
      <c r="E1133" s="184" t="n">
        <v>85019.99000000001</v>
      </c>
      <c r="F1133" s="184" t="n">
        <v>89140.67999999999</v>
      </c>
      <c r="G1133" s="184" t="n">
        <v>87080.34</v>
      </c>
    </row>
    <row r="1134">
      <c r="A1134" s="194" t="inlineStr">
        <is>
          <t>2026-07-24 18:00:00</t>
        </is>
      </c>
      <c r="B1134" s="194" t="inlineStr">
        <is>
          <t>MYR</t>
        </is>
      </c>
      <c r="C1134" s="194" t="inlineStr">
        <is>
          <t>MALAYSIAN RINGGIT</t>
        </is>
      </c>
      <c r="D1134" s="195" t="n"/>
      <c r="E1134" s="195" t="n">
        <v>6360.43</v>
      </c>
      <c r="F1134" s="195" t="n">
        <v>6498.79</v>
      </c>
      <c r="G1134" s="195" t="n">
        <v>6429.61</v>
      </c>
    </row>
    <row r="1135">
      <c r="A1135" s="196" t="inlineStr">
        <is>
          <t>2026-07-24 18:00:00</t>
        </is>
      </c>
      <c r="B1135" s="196" t="inlineStr">
        <is>
          <t>NOK</t>
        </is>
      </c>
      <c r="C1135" s="196" t="inlineStr">
        <is>
          <t>NORWEGIAN KRONER</t>
        </is>
      </c>
      <c r="D1135" s="184" t="n"/>
      <c r="E1135" s="184" t="n">
        <v>2685.14</v>
      </c>
      <c r="F1135" s="184" t="n">
        <v>2798.99</v>
      </c>
      <c r="G1135" s="184" t="n">
        <v>2742.06</v>
      </c>
    </row>
    <row r="1136">
      <c r="A1136" s="194" t="inlineStr">
        <is>
          <t>2026-07-24 18:00:00</t>
        </is>
      </c>
      <c r="B1136" s="194" t="inlineStr">
        <is>
          <t>RUB</t>
        </is>
      </c>
      <c r="C1136" s="194" t="inlineStr">
        <is>
          <t>RUSSIAN RUBLE</t>
        </is>
      </c>
      <c r="D1136" s="195" t="n"/>
      <c r="E1136" s="195" t="n">
        <v>319.91</v>
      </c>
      <c r="F1136" s="195" t="n">
        <v>354.12</v>
      </c>
      <c r="G1136" s="195" t="n">
        <v>337.02</v>
      </c>
    </row>
    <row r="1137">
      <c r="A1137" s="196" t="inlineStr">
        <is>
          <t>2026-07-24 18:00:00</t>
        </is>
      </c>
      <c r="B1137" s="196" t="inlineStr">
        <is>
          <t>SAR</t>
        </is>
      </c>
      <c r="C1137" s="196" t="inlineStr">
        <is>
          <t>SAUDI RIAL</t>
        </is>
      </c>
      <c r="D1137" s="184" t="n"/>
      <c r="E1137" s="184" t="n">
        <v>6973.98</v>
      </c>
      <c r="F1137" s="184" t="n">
        <v>7274.1</v>
      </c>
      <c r="G1137" s="184" t="n">
        <v>7124.04</v>
      </c>
    </row>
    <row r="1138">
      <c r="A1138" s="194" t="inlineStr">
        <is>
          <t>2026-07-24 18:00:00</t>
        </is>
      </c>
      <c r="B1138" s="194" t="inlineStr">
        <is>
          <t>SEK</t>
        </is>
      </c>
      <c r="C1138" s="194" t="inlineStr">
        <is>
          <t>SWEDISH KRONA</t>
        </is>
      </c>
      <c r="D1138" s="195" t="n"/>
      <c r="E1138" s="195" t="n">
        <v>2643.68</v>
      </c>
      <c r="F1138" s="195" t="n">
        <v>2755.77</v>
      </c>
      <c r="G1138" s="195" t="n">
        <v>2699.72</v>
      </c>
    </row>
    <row r="1139">
      <c r="A1139" s="196" t="inlineStr">
        <is>
          <t>2026-07-24 18:00:00</t>
        </is>
      </c>
      <c r="B1139" s="196" t="inlineStr">
        <is>
          <t>SGD</t>
        </is>
      </c>
      <c r="C1139" s="196" t="inlineStr">
        <is>
          <t>SINGAPORE DOLLAR</t>
        </is>
      </c>
      <c r="D1139" s="184" t="n">
        <v>19832.04</v>
      </c>
      <c r="E1139" s="184" t="n">
        <v>20032.37</v>
      </c>
      <c r="F1139" s="184" t="n">
        <v>20715.29</v>
      </c>
      <c r="G1139" s="184" t="n">
        <v>20373.83</v>
      </c>
    </row>
    <row r="1140">
      <c r="A1140" s="194" t="inlineStr">
        <is>
          <t>2026-07-24 18:00:00</t>
        </is>
      </c>
      <c r="B1140" s="194" t="inlineStr">
        <is>
          <t>THB</t>
        </is>
      </c>
      <c r="C1140" s="194" t="inlineStr">
        <is>
          <t>THAILAND BAHT</t>
        </is>
      </c>
      <c r="D1140" s="195" t="n">
        <v>686.5599999999999</v>
      </c>
      <c r="E1140" s="195" t="n">
        <v>762.85</v>
      </c>
      <c r="F1140" s="195" t="n">
        <v>795.1900000000001</v>
      </c>
      <c r="G1140" s="195" t="n">
        <v>779.02</v>
      </c>
    </row>
    <row r="1141">
      <c r="A1141" s="196" t="inlineStr">
        <is>
          <t>2026-07-24 18:00:00</t>
        </is>
      </c>
      <c r="B1141" s="196" t="inlineStr">
        <is>
          <t>USD</t>
        </is>
      </c>
      <c r="C1141" s="196" t="inlineStr">
        <is>
          <t>US DOLLAR</t>
        </is>
      </c>
      <c r="D1141" s="184" t="n">
        <v>26100</v>
      </c>
      <c r="E1141" s="184" t="n">
        <v>26130</v>
      </c>
      <c r="F1141" s="184" t="n">
        <v>26510</v>
      </c>
      <c r="G1141" s="184" t="n">
        <v>26320</v>
      </c>
    </row>
    <row r="1142">
      <c r="A1142" s="194" t="inlineStr">
        <is>
          <t>2026-07-23 18:00:00</t>
        </is>
      </c>
      <c r="B1142" s="194" t="inlineStr">
        <is>
          <t>AUD</t>
        </is>
      </c>
      <c r="C1142" s="194" t="inlineStr">
        <is>
          <t>AUSTRALIAN DOLLAR</t>
        </is>
      </c>
      <c r="D1142" s="195" t="n">
        <v>17925.18</v>
      </c>
      <c r="E1142" s="195" t="n">
        <v>18106.24</v>
      </c>
      <c r="F1142" s="195" t="n">
        <v>18686.09</v>
      </c>
      <c r="G1142" s="195" t="n">
        <v>18396.16</v>
      </c>
    </row>
    <row r="1143">
      <c r="A1143" s="196" t="inlineStr">
        <is>
          <t>2026-07-23 18:00:00</t>
        </is>
      </c>
      <c r="B1143" s="196" t="inlineStr">
        <is>
          <t>CAD</t>
        </is>
      </c>
      <c r="C1143" s="196" t="inlineStr">
        <is>
          <t>CANADIAN DOLLAR</t>
        </is>
      </c>
      <c r="D1143" s="184" t="n">
        <v>18211.98</v>
      </c>
      <c r="E1143" s="184" t="n">
        <v>18395.94</v>
      </c>
      <c r="F1143" s="184" t="n">
        <v>18985.06</v>
      </c>
      <c r="G1143" s="184" t="n">
        <v>18690.5</v>
      </c>
    </row>
    <row r="1144">
      <c r="A1144" s="194" t="inlineStr">
        <is>
          <t>2026-07-23 18:00:00</t>
        </is>
      </c>
      <c r="B1144" s="194" t="inlineStr">
        <is>
          <t>CHF</t>
        </is>
      </c>
      <c r="C1144" s="194" t="inlineStr">
        <is>
          <t>SWISS FRANC</t>
        </is>
      </c>
      <c r="D1144" s="195" t="n">
        <v>31509.54</v>
      </c>
      <c r="E1144" s="195" t="n">
        <v>31827.82</v>
      </c>
      <c r="F1144" s="195" t="n">
        <v>32847.09</v>
      </c>
      <c r="G1144" s="195" t="n">
        <v>32337.46</v>
      </c>
    </row>
    <row r="1145">
      <c r="A1145" s="196" t="inlineStr">
        <is>
          <t>2026-07-23 18:00:00</t>
        </is>
      </c>
      <c r="B1145" s="196" t="inlineStr">
        <is>
          <t>CNY</t>
        </is>
      </c>
      <c r="C1145" s="196" t="inlineStr">
        <is>
          <t>YUAN RENMINBI</t>
        </is>
      </c>
      <c r="D1145" s="184" t="n">
        <v>3786.26</v>
      </c>
      <c r="E1145" s="184" t="n">
        <v>3824.51</v>
      </c>
      <c r="F1145" s="184" t="n">
        <v>3946.99</v>
      </c>
      <c r="G1145" s="184" t="n">
        <v>3885.75</v>
      </c>
    </row>
    <row r="1146">
      <c r="A1146" s="194" t="inlineStr">
        <is>
          <t>2026-07-23 18:00:00</t>
        </is>
      </c>
      <c r="B1146" s="194" t="inlineStr">
        <is>
          <t>DKK</t>
        </is>
      </c>
      <c r="C1146" s="194" t="inlineStr">
        <is>
          <t>DANISH KRONE</t>
        </is>
      </c>
      <c r="D1146" s="195" t="n"/>
      <c r="E1146" s="195" t="n">
        <v>3944.16</v>
      </c>
      <c r="F1146" s="195" t="n">
        <v>4094.97</v>
      </c>
      <c r="G1146" s="195" t="n">
        <v>4019.56</v>
      </c>
    </row>
    <row r="1147">
      <c r="A1147" s="196" t="inlineStr">
        <is>
          <t>2026-07-23 18:00:00</t>
        </is>
      </c>
      <c r="B1147" s="196" t="inlineStr">
        <is>
          <t>EUR</t>
        </is>
      </c>
      <c r="C1147" s="196" t="inlineStr">
        <is>
          <t>EURO</t>
        </is>
      </c>
      <c r="D1147" s="184" t="n">
        <v>29264.29</v>
      </c>
      <c r="E1147" s="184" t="n">
        <v>29559.88</v>
      </c>
      <c r="F1147" s="184" t="n">
        <v>30807.09</v>
      </c>
      <c r="G1147" s="184" t="n">
        <v>30183.48</v>
      </c>
    </row>
    <row r="1148">
      <c r="A1148" s="194" t="inlineStr">
        <is>
          <t>2026-07-23 18:00:00</t>
        </is>
      </c>
      <c r="B1148" s="194" t="inlineStr">
        <is>
          <t>GBP</t>
        </is>
      </c>
      <c r="C1148" s="194" t="inlineStr">
        <is>
          <t>POUND STERLING</t>
        </is>
      </c>
      <c r="D1148" s="195" t="n">
        <v>34294.2</v>
      </c>
      <c r="E1148" s="195" t="n">
        <v>34640.61</v>
      </c>
      <c r="F1148" s="195" t="n">
        <v>35749.97</v>
      </c>
      <c r="G1148" s="195" t="n">
        <v>35195.29</v>
      </c>
    </row>
    <row r="1149">
      <c r="A1149" s="196" t="inlineStr">
        <is>
          <t>2026-07-23 18:00:00</t>
        </is>
      </c>
      <c r="B1149" s="196" t="inlineStr">
        <is>
          <t>HKD</t>
        </is>
      </c>
      <c r="C1149" s="196" t="inlineStr">
        <is>
          <t>HONGKONG DOLLAR</t>
        </is>
      </c>
      <c r="D1149" s="184" t="n">
        <v>3261.25</v>
      </c>
      <c r="E1149" s="184" t="n">
        <v>3294.19</v>
      </c>
      <c r="F1149" s="184" t="n">
        <v>3420.15</v>
      </c>
      <c r="G1149" s="184" t="n">
        <v>3357.17</v>
      </c>
    </row>
    <row r="1150">
      <c r="A1150" s="194" t="inlineStr">
        <is>
          <t>2026-07-23 18:00:00</t>
        </is>
      </c>
      <c r="B1150" s="194" t="inlineStr">
        <is>
          <t>INR</t>
        </is>
      </c>
      <c r="C1150" s="194" t="inlineStr">
        <is>
          <t>INDIAN RUPEE</t>
        </is>
      </c>
      <c r="D1150" s="195" t="n"/>
      <c r="E1150" s="195" t="n">
        <v>270.91</v>
      </c>
      <c r="F1150" s="195" t="n">
        <v>282.57</v>
      </c>
      <c r="G1150" s="195" t="n">
        <v>276.74</v>
      </c>
    </row>
    <row r="1151">
      <c r="A1151" s="196" t="inlineStr">
        <is>
          <t>2026-07-23 18:00:00</t>
        </is>
      </c>
      <c r="B1151" s="196" t="inlineStr">
        <is>
          <t>JPY</t>
        </is>
      </c>
      <c r="C1151" s="196" t="inlineStr">
        <is>
          <t>YEN</t>
        </is>
      </c>
      <c r="D1151" s="184" t="n">
        <v>155.73</v>
      </c>
      <c r="E1151" s="184" t="n">
        <v>157.31</v>
      </c>
      <c r="F1151" s="184" t="n">
        <v>166.48</v>
      </c>
      <c r="G1151" s="184" t="n">
        <v>161.89</v>
      </c>
    </row>
    <row r="1152">
      <c r="A1152" s="194" t="inlineStr">
        <is>
          <t>2026-07-23 18:00:00</t>
        </is>
      </c>
      <c r="B1152" s="194" t="inlineStr">
        <is>
          <t>KRW</t>
        </is>
      </c>
      <c r="C1152" s="194" t="inlineStr">
        <is>
          <t>KOREAN WON</t>
        </is>
      </c>
      <c r="D1152" s="195" t="n">
        <v>15.46</v>
      </c>
      <c r="E1152" s="195" t="n">
        <v>17.18</v>
      </c>
      <c r="F1152" s="195" t="n">
        <v>18.64</v>
      </c>
      <c r="G1152" s="195" t="n">
        <v>17.91</v>
      </c>
    </row>
    <row r="1153">
      <c r="A1153" s="196" t="inlineStr">
        <is>
          <t>2026-07-23 18:00:00</t>
        </is>
      </c>
      <c r="B1153" s="196" t="inlineStr">
        <is>
          <t>KWD</t>
        </is>
      </c>
      <c r="C1153" s="196" t="inlineStr">
        <is>
          <t>KUWAITI DINAR</t>
        </is>
      </c>
      <c r="D1153" s="184" t="n"/>
      <c r="E1153" s="184" t="n">
        <v>84987.67</v>
      </c>
      <c r="F1153" s="184" t="n">
        <v>89106.83</v>
      </c>
      <c r="G1153" s="184" t="n">
        <v>87047.25</v>
      </c>
    </row>
    <row r="1154">
      <c r="A1154" s="194" t="inlineStr">
        <is>
          <t>2026-07-23 18:00:00</t>
        </is>
      </c>
      <c r="B1154" s="194" t="inlineStr">
        <is>
          <t>MYR</t>
        </is>
      </c>
      <c r="C1154" s="194" t="inlineStr">
        <is>
          <t>MALAYSIAN RINGGIT</t>
        </is>
      </c>
      <c r="D1154" s="195" t="n"/>
      <c r="E1154" s="195" t="n">
        <v>6372.02</v>
      </c>
      <c r="F1154" s="195" t="n">
        <v>6510.64</v>
      </c>
      <c r="G1154" s="195" t="n">
        <v>6441.33</v>
      </c>
    </row>
    <row r="1155">
      <c r="A1155" s="196" t="inlineStr">
        <is>
          <t>2026-07-23 18:00:00</t>
        </is>
      </c>
      <c r="B1155" s="196" t="inlineStr">
        <is>
          <t>NOK</t>
        </is>
      </c>
      <c r="C1155" s="196" t="inlineStr">
        <is>
          <t>NORWEGIAN KRONER</t>
        </is>
      </c>
      <c r="D1155" s="184" t="n"/>
      <c r="E1155" s="184" t="n">
        <v>2690</v>
      </c>
      <c r="F1155" s="184" t="n">
        <v>2804.06</v>
      </c>
      <c r="G1155" s="184" t="n">
        <v>2747.03</v>
      </c>
    </row>
    <row r="1156">
      <c r="A1156" s="194" t="inlineStr">
        <is>
          <t>2026-07-23 18:00:00</t>
        </is>
      </c>
      <c r="B1156" s="194" t="inlineStr">
        <is>
          <t>RUB</t>
        </is>
      </c>
      <c r="C1156" s="194" t="inlineStr">
        <is>
          <t>RUSSIAN RUBLE</t>
        </is>
      </c>
      <c r="D1156" s="195" t="n"/>
      <c r="E1156" s="195" t="n">
        <v>318.97</v>
      </c>
      <c r="F1156" s="195" t="n">
        <v>353.09</v>
      </c>
      <c r="G1156" s="195" t="n">
        <v>336.03</v>
      </c>
    </row>
    <row r="1157">
      <c r="A1157" s="196" t="inlineStr">
        <is>
          <t>2026-07-23 18:00:00</t>
        </is>
      </c>
      <c r="B1157" s="196" t="inlineStr">
        <is>
          <t>SAR</t>
        </is>
      </c>
      <c r="C1157" s="196" t="inlineStr">
        <is>
          <t>SAUDI RIAL</t>
        </is>
      </c>
      <c r="D1157" s="184" t="n"/>
      <c r="E1157" s="184" t="n">
        <v>6968.73</v>
      </c>
      <c r="F1157" s="184" t="n">
        <v>7268.63</v>
      </c>
      <c r="G1157" s="184" t="n">
        <v>7118.68</v>
      </c>
    </row>
    <row r="1158">
      <c r="A1158" s="194" t="inlineStr">
        <is>
          <t>2026-07-23 18:00:00</t>
        </is>
      </c>
      <c r="B1158" s="194" t="inlineStr">
        <is>
          <t>SEK</t>
        </is>
      </c>
      <c r="C1158" s="194" t="inlineStr">
        <is>
          <t>SWEDISH KRONA</t>
        </is>
      </c>
      <c r="D1158" s="195" t="n"/>
      <c r="E1158" s="195" t="n">
        <v>2660.92</v>
      </c>
      <c r="F1158" s="195" t="n">
        <v>2773.75</v>
      </c>
      <c r="G1158" s="195" t="n">
        <v>2717.34</v>
      </c>
    </row>
    <row r="1159">
      <c r="A1159" s="196" t="inlineStr">
        <is>
          <t>2026-07-23 18:00:00</t>
        </is>
      </c>
      <c r="B1159" s="196" t="inlineStr">
        <is>
          <t>SGD</t>
        </is>
      </c>
      <c r="C1159" s="196" t="inlineStr">
        <is>
          <t>SINGAPORE DOLLAR</t>
        </is>
      </c>
      <c r="D1159" s="184" t="n">
        <v>19856.77</v>
      </c>
      <c r="E1159" s="184" t="n">
        <v>20057.35</v>
      </c>
      <c r="F1159" s="184" t="n">
        <v>20741.13</v>
      </c>
      <c r="G1159" s="184" t="n">
        <v>20399.24</v>
      </c>
    </row>
    <row r="1160">
      <c r="A1160" s="194" t="inlineStr">
        <is>
          <t>2026-07-23 18:00:00</t>
        </is>
      </c>
      <c r="B1160" s="194" t="inlineStr">
        <is>
          <t>THB</t>
        </is>
      </c>
      <c r="C1160" s="194" t="inlineStr">
        <is>
          <t>THAILAND BAHT</t>
        </is>
      </c>
      <c r="D1160" s="195" t="n">
        <v>686.71</v>
      </c>
      <c r="E1160" s="195" t="n">
        <v>763.01</v>
      </c>
      <c r="F1160" s="195" t="n">
        <v>795.36</v>
      </c>
      <c r="G1160" s="195" t="n">
        <v>779.1799999999999</v>
      </c>
    </row>
    <row r="1161">
      <c r="A1161" s="196" t="inlineStr">
        <is>
          <t>2026-07-23 18:00:00</t>
        </is>
      </c>
      <c r="B1161" s="196" t="inlineStr">
        <is>
          <t>USD</t>
        </is>
      </c>
      <c r="C1161" s="196" t="inlineStr">
        <is>
          <t>US DOLLAR</t>
        </is>
      </c>
      <c r="D1161" s="184" t="n">
        <v>26090</v>
      </c>
      <c r="E1161" s="184" t="n">
        <v>26120</v>
      </c>
      <c r="F1161" s="184" t="n">
        <v>26500</v>
      </c>
      <c r="G1161" s="184" t="n">
        <v>26310</v>
      </c>
    </row>
    <row r="1162">
      <c r="A1162" s="194" t="inlineStr">
        <is>
          <t>2026-07-22 18:00:00</t>
        </is>
      </c>
      <c r="B1162" s="194" t="inlineStr">
        <is>
          <t>AUD</t>
        </is>
      </c>
      <c r="C1162" s="194" t="inlineStr">
        <is>
          <t>AUSTRALIAN DOLLAR</t>
        </is>
      </c>
      <c r="D1162" s="195" t="n">
        <v>17927.74</v>
      </c>
      <c r="E1162" s="195" t="n">
        <v>18108.83</v>
      </c>
      <c r="F1162" s="195" t="n">
        <v>18688.76</v>
      </c>
      <c r="G1162" s="195" t="n">
        <v>18398.79</v>
      </c>
    </row>
    <row r="1163">
      <c r="A1163" s="196" t="inlineStr">
        <is>
          <t>2026-07-22 18:00:00</t>
        </is>
      </c>
      <c r="B1163" s="196" t="inlineStr">
        <is>
          <t>CAD</t>
        </is>
      </c>
      <c r="C1163" s="196" t="inlineStr">
        <is>
          <t>CANADIAN DOLLAR</t>
        </is>
      </c>
      <c r="D1163" s="184" t="n">
        <v>18191.3</v>
      </c>
      <c r="E1163" s="184" t="n">
        <v>18375.06</v>
      </c>
      <c r="F1163" s="184" t="n">
        <v>18963.51</v>
      </c>
      <c r="G1163" s="184" t="n">
        <v>18669.28</v>
      </c>
    </row>
    <row r="1164">
      <c r="A1164" s="194" t="inlineStr">
        <is>
          <t>2026-07-22 18:00:00</t>
        </is>
      </c>
      <c r="B1164" s="194" t="inlineStr">
        <is>
          <t>CHF</t>
        </is>
      </c>
      <c r="C1164" s="194" t="inlineStr">
        <is>
          <t>SWISS FRANC</t>
        </is>
      </c>
      <c r="D1164" s="195" t="n">
        <v>31571.61</v>
      </c>
      <c r="E1164" s="195" t="n">
        <v>31890.52</v>
      </c>
      <c r="F1164" s="195" t="n">
        <v>32911.8</v>
      </c>
      <c r="G1164" s="195" t="n">
        <v>32401.16</v>
      </c>
    </row>
    <row r="1165">
      <c r="A1165" s="196" t="inlineStr">
        <is>
          <t>2026-07-22 18:00:00</t>
        </is>
      </c>
      <c r="B1165" s="196" t="inlineStr">
        <is>
          <t>CNY</t>
        </is>
      </c>
      <c r="C1165" s="196" t="inlineStr">
        <is>
          <t>YUAN RENMINBI</t>
        </is>
      </c>
      <c r="D1165" s="184" t="n">
        <v>3786.37</v>
      </c>
      <c r="E1165" s="184" t="n">
        <v>3824.62</v>
      </c>
      <c r="F1165" s="184" t="n">
        <v>3947.1</v>
      </c>
      <c r="G1165" s="184" t="n">
        <v>3885.86</v>
      </c>
    </row>
    <row r="1166">
      <c r="A1166" s="194" t="inlineStr">
        <is>
          <t>2026-07-22 18:00:00</t>
        </is>
      </c>
      <c r="B1166" s="194" t="inlineStr">
        <is>
          <t>DKK</t>
        </is>
      </c>
      <c r="C1166" s="194" t="inlineStr">
        <is>
          <t>DANISH KRONE</t>
        </is>
      </c>
      <c r="D1166" s="195" t="n"/>
      <c r="E1166" s="195" t="n">
        <v>3941.81</v>
      </c>
      <c r="F1166" s="195" t="n">
        <v>4092.53</v>
      </c>
      <c r="G1166" s="195" t="n">
        <v>4017.17</v>
      </c>
    </row>
    <row r="1167">
      <c r="A1167" s="196" t="inlineStr">
        <is>
          <t>2026-07-22 18:00:00</t>
        </is>
      </c>
      <c r="B1167" s="196" t="inlineStr">
        <is>
          <t>EUR</t>
        </is>
      </c>
      <c r="C1167" s="196" t="inlineStr">
        <is>
          <t>EURO</t>
        </is>
      </c>
      <c r="D1167" s="184" t="n">
        <v>29246.34</v>
      </c>
      <c r="E1167" s="184" t="n">
        <v>29541.76</v>
      </c>
      <c r="F1167" s="184" t="n">
        <v>30788.2</v>
      </c>
      <c r="G1167" s="184" t="n">
        <v>30164.98</v>
      </c>
    </row>
    <row r="1168">
      <c r="A1168" s="194" t="inlineStr">
        <is>
          <t>2026-07-22 18:00:00</t>
        </is>
      </c>
      <c r="B1168" s="194" t="inlineStr">
        <is>
          <t>GBP</t>
        </is>
      </c>
      <c r="C1168" s="194" t="inlineStr">
        <is>
          <t>POUND STERLING</t>
        </is>
      </c>
      <c r="D1168" s="195" t="n">
        <v>34273.7</v>
      </c>
      <c r="E1168" s="195" t="n">
        <v>34619.89</v>
      </c>
      <c r="F1168" s="195" t="n">
        <v>35728.59</v>
      </c>
      <c r="G1168" s="195" t="n">
        <v>35174.24</v>
      </c>
    </row>
    <row r="1169">
      <c r="A1169" s="196" t="inlineStr">
        <is>
          <t>2026-07-22 18:00:00</t>
        </is>
      </c>
      <c r="B1169" s="196" t="inlineStr">
        <is>
          <t>HKD</t>
        </is>
      </c>
      <c r="C1169" s="196" t="inlineStr">
        <is>
          <t>HONGKONG DOLLAR</t>
        </is>
      </c>
      <c r="D1169" s="184" t="n">
        <v>3260.92</v>
      </c>
      <c r="E1169" s="184" t="n">
        <v>3293.86</v>
      </c>
      <c r="F1169" s="184" t="n">
        <v>3419.8</v>
      </c>
      <c r="G1169" s="184" t="n">
        <v>3356.83</v>
      </c>
    </row>
    <row r="1170">
      <c r="A1170" s="194" t="inlineStr">
        <is>
          <t>2026-07-22 18:00:00</t>
        </is>
      </c>
      <c r="B1170" s="194" t="inlineStr">
        <is>
          <t>INR</t>
        </is>
      </c>
      <c r="C1170" s="194" t="inlineStr">
        <is>
          <t>INDIAN RUPEE</t>
        </is>
      </c>
      <c r="D1170" s="195" t="n"/>
      <c r="E1170" s="195" t="n">
        <v>270.93</v>
      </c>
      <c r="F1170" s="195" t="n">
        <v>282.59</v>
      </c>
      <c r="G1170" s="195" t="n">
        <v>276.76</v>
      </c>
    </row>
    <row r="1171">
      <c r="A1171" s="196" t="inlineStr">
        <is>
          <t>2026-07-22 18:00:00</t>
        </is>
      </c>
      <c r="B1171" s="196" t="inlineStr">
        <is>
          <t>JPY</t>
        </is>
      </c>
      <c r="C1171" s="196" t="inlineStr">
        <is>
          <t>YEN</t>
        </is>
      </c>
      <c r="D1171" s="184" t="n">
        <v>155.81</v>
      </c>
      <c r="E1171" s="184" t="n">
        <v>157.38</v>
      </c>
      <c r="F1171" s="184" t="n">
        <v>166.56</v>
      </c>
      <c r="G1171" s="184" t="n">
        <v>161.97</v>
      </c>
    </row>
    <row r="1172">
      <c r="A1172" s="194" t="inlineStr">
        <is>
          <t>2026-07-22 18:00:00</t>
        </is>
      </c>
      <c r="B1172" s="194" t="inlineStr">
        <is>
          <t>KRW</t>
        </is>
      </c>
      <c r="C1172" s="194" t="inlineStr">
        <is>
          <t>KOREAN WON</t>
        </is>
      </c>
      <c r="D1172" s="195" t="n">
        <v>15.36</v>
      </c>
      <c r="E1172" s="195" t="n">
        <v>17.06</v>
      </c>
      <c r="F1172" s="195" t="n">
        <v>18.51</v>
      </c>
      <c r="G1172" s="195" t="n">
        <v>17.78</v>
      </c>
    </row>
    <row r="1173">
      <c r="A1173" s="196" t="inlineStr">
        <is>
          <t>2026-07-22 18:00:00</t>
        </is>
      </c>
      <c r="B1173" s="196" t="inlineStr">
        <is>
          <t>KWD</t>
        </is>
      </c>
      <c r="C1173" s="196" t="inlineStr">
        <is>
          <t>KUWAITI DINAR</t>
        </is>
      </c>
      <c r="D1173" s="184" t="n"/>
      <c r="E1173" s="184" t="n">
        <v>84987.67</v>
      </c>
      <c r="F1173" s="184" t="n">
        <v>89106.83</v>
      </c>
      <c r="G1173" s="184" t="n">
        <v>87047.25</v>
      </c>
    </row>
    <row r="1174">
      <c r="A1174" s="194" t="inlineStr">
        <is>
          <t>2026-07-22 18:00:00</t>
        </is>
      </c>
      <c r="B1174" s="194" t="inlineStr">
        <is>
          <t>MYR</t>
        </is>
      </c>
      <c r="C1174" s="194" t="inlineStr">
        <is>
          <t>MALAYSIAN RINGGIT</t>
        </is>
      </c>
      <c r="D1174" s="195" t="n"/>
      <c r="E1174" s="195" t="n">
        <v>6375.14</v>
      </c>
      <c r="F1174" s="195" t="n">
        <v>6513.83</v>
      </c>
      <c r="G1174" s="195" t="n">
        <v>6444.48</v>
      </c>
    </row>
    <row r="1175">
      <c r="A1175" s="196" t="inlineStr">
        <is>
          <t>2026-07-22 18:00:00</t>
        </is>
      </c>
      <c r="B1175" s="196" t="inlineStr">
        <is>
          <t>NOK</t>
        </is>
      </c>
      <c r="C1175" s="196" t="inlineStr">
        <is>
          <t>NORWEGIAN KRONER</t>
        </is>
      </c>
      <c r="D1175" s="184" t="n"/>
      <c r="E1175" s="184" t="n">
        <v>2682.92</v>
      </c>
      <c r="F1175" s="184" t="n">
        <v>2796.67</v>
      </c>
      <c r="G1175" s="184" t="n">
        <v>2739.8</v>
      </c>
    </row>
    <row r="1176">
      <c r="A1176" s="194" t="inlineStr">
        <is>
          <t>2026-07-22 18:00:00</t>
        </is>
      </c>
      <c r="B1176" s="194" t="inlineStr">
        <is>
          <t>RUB</t>
        </is>
      </c>
      <c r="C1176" s="194" t="inlineStr">
        <is>
          <t>RUSSIAN RUBLE</t>
        </is>
      </c>
      <c r="D1176" s="195" t="n"/>
      <c r="E1176" s="195" t="n">
        <v>317.74</v>
      </c>
      <c r="F1176" s="195" t="n">
        <v>351.72</v>
      </c>
      <c r="G1176" s="195" t="n">
        <v>334.73</v>
      </c>
    </row>
    <row r="1177">
      <c r="A1177" s="196" t="inlineStr">
        <is>
          <t>2026-07-22 18:00:00</t>
        </is>
      </c>
      <c r="B1177" s="196" t="inlineStr">
        <is>
          <t>SAR</t>
        </is>
      </c>
      <c r="C1177" s="196" t="inlineStr">
        <is>
          <t>SAUDI RIAL</t>
        </is>
      </c>
      <c r="D1177" s="184" t="n"/>
      <c r="E1177" s="184" t="n">
        <v>6970.21</v>
      </c>
      <c r="F1177" s="184" t="n">
        <v>7270.18</v>
      </c>
      <c r="G1177" s="184" t="n">
        <v>7120.2</v>
      </c>
    </row>
    <row r="1178">
      <c r="A1178" s="194" t="inlineStr">
        <is>
          <t>2026-07-22 18:00:00</t>
        </is>
      </c>
      <c r="B1178" s="194" t="inlineStr">
        <is>
          <t>SEK</t>
        </is>
      </c>
      <c r="C1178" s="194" t="inlineStr">
        <is>
          <t>SWEDISH KRONA</t>
        </is>
      </c>
      <c r="D1178" s="195" t="n"/>
      <c r="E1178" s="195" t="n">
        <v>2654.46</v>
      </c>
      <c r="F1178" s="195" t="n">
        <v>2767.01</v>
      </c>
      <c r="G1178" s="195" t="n">
        <v>2710.74</v>
      </c>
    </row>
    <row r="1179">
      <c r="A1179" s="196" t="inlineStr">
        <is>
          <t>2026-07-22 18:00:00</t>
        </is>
      </c>
      <c r="B1179" s="196" t="inlineStr">
        <is>
          <t>SGD</t>
        </is>
      </c>
      <c r="C1179" s="196" t="inlineStr">
        <is>
          <t>SINGAPORE DOLLAR</t>
        </is>
      </c>
      <c r="D1179" s="184" t="n">
        <v>19847.54</v>
      </c>
      <c r="E1179" s="184" t="n">
        <v>20048.02</v>
      </c>
      <c r="F1179" s="184" t="n">
        <v>20731.49</v>
      </c>
      <c r="G1179" s="184" t="n">
        <v>20389.76</v>
      </c>
    </row>
    <row r="1180">
      <c r="A1180" s="194" t="inlineStr">
        <is>
          <t>2026-07-22 18:00:00</t>
        </is>
      </c>
      <c r="B1180" s="194" t="inlineStr">
        <is>
          <t>THB</t>
        </is>
      </c>
      <c r="C1180" s="194" t="inlineStr">
        <is>
          <t>THAILAND BAHT</t>
        </is>
      </c>
      <c r="D1180" s="195" t="n">
        <v>686.1</v>
      </c>
      <c r="E1180" s="195" t="n">
        <v>762.33</v>
      </c>
      <c r="F1180" s="195" t="n">
        <v>794.66</v>
      </c>
      <c r="G1180" s="195" t="n">
        <v>778.5</v>
      </c>
    </row>
    <row r="1181">
      <c r="A1181" s="196" t="inlineStr">
        <is>
          <t>2026-07-22 18:00:00</t>
        </is>
      </c>
      <c r="B1181" s="196" t="inlineStr">
        <is>
          <t>USD</t>
        </is>
      </c>
      <c r="C1181" s="196" t="inlineStr">
        <is>
          <t>US DOLLAR</t>
        </is>
      </c>
      <c r="D1181" s="184" t="n">
        <v>26090</v>
      </c>
      <c r="E1181" s="184" t="n">
        <v>26120</v>
      </c>
      <c r="F1181" s="184" t="n">
        <v>26500</v>
      </c>
      <c r="G1181" s="184" t="n">
        <v>26310</v>
      </c>
    </row>
    <row r="1182">
      <c r="A1182" s="194" t="inlineStr">
        <is>
          <t>2026-07-21 18:00:00</t>
        </is>
      </c>
      <c r="B1182" s="194" t="inlineStr">
        <is>
          <t>AUD</t>
        </is>
      </c>
      <c r="C1182" s="194" t="inlineStr">
        <is>
          <t>AUSTRALIAN DOLLAR</t>
        </is>
      </c>
      <c r="D1182" s="195" t="n">
        <v>17962.77</v>
      </c>
      <c r="E1182" s="195" t="n">
        <v>18144.21</v>
      </c>
      <c r="F1182" s="195" t="n">
        <v>18725.26</v>
      </c>
      <c r="G1182" s="195" t="n">
        <v>18434.74</v>
      </c>
    </row>
    <row r="1183">
      <c r="A1183" s="196" t="inlineStr">
        <is>
          <t>2026-07-21 18:00:00</t>
        </is>
      </c>
      <c r="B1183" s="196" t="inlineStr">
        <is>
          <t>CAD</t>
        </is>
      </c>
      <c r="C1183" s="196" t="inlineStr">
        <is>
          <t>CANADIAN DOLLAR</t>
        </is>
      </c>
      <c r="D1183" s="184" t="n">
        <v>18230.56</v>
      </c>
      <c r="E1183" s="184" t="n">
        <v>18414.7</v>
      </c>
      <c r="F1183" s="184" t="n">
        <v>19004.42</v>
      </c>
      <c r="G1183" s="184" t="n">
        <v>18709.56</v>
      </c>
    </row>
    <row r="1184">
      <c r="A1184" s="194" t="inlineStr">
        <is>
          <t>2026-07-21 18:00:00</t>
        </is>
      </c>
      <c r="B1184" s="194" t="inlineStr">
        <is>
          <t>CHF</t>
        </is>
      </c>
      <c r="C1184" s="194" t="inlineStr">
        <is>
          <t>SWISS FRANC</t>
        </is>
      </c>
      <c r="D1184" s="195" t="n">
        <v>31669.4</v>
      </c>
      <c r="E1184" s="195" t="n">
        <v>31989.3</v>
      </c>
      <c r="F1184" s="195" t="n">
        <v>33013.72</v>
      </c>
      <c r="G1184" s="195" t="n">
        <v>32501.51</v>
      </c>
    </row>
    <row r="1185">
      <c r="A1185" s="196" t="inlineStr">
        <is>
          <t>2026-07-21 18:00:00</t>
        </is>
      </c>
      <c r="B1185" s="196" t="inlineStr">
        <is>
          <t>CNY</t>
        </is>
      </c>
      <c r="C1185" s="196" t="inlineStr">
        <is>
          <t>YUAN RENMINBI</t>
        </is>
      </c>
      <c r="D1185" s="184" t="n">
        <v>3790.84</v>
      </c>
      <c r="E1185" s="184" t="n">
        <v>3829.13</v>
      </c>
      <c r="F1185" s="184" t="n">
        <v>3951.75</v>
      </c>
      <c r="G1185" s="184" t="n">
        <v>3890.44</v>
      </c>
    </row>
    <row r="1186">
      <c r="A1186" s="194" t="inlineStr">
        <is>
          <t>2026-07-21 18:00:00</t>
        </is>
      </c>
      <c r="B1186" s="194" t="inlineStr">
        <is>
          <t>DKK</t>
        </is>
      </c>
      <c r="C1186" s="194" t="inlineStr">
        <is>
          <t>DANISH KRONE</t>
        </is>
      </c>
      <c r="D1186" s="195" t="n"/>
      <c r="E1186" s="195" t="n">
        <v>3945.41</v>
      </c>
      <c r="F1186" s="195" t="n">
        <v>4096.27</v>
      </c>
      <c r="G1186" s="195" t="n">
        <v>4020.84</v>
      </c>
    </row>
    <row r="1187">
      <c r="A1187" s="196" t="inlineStr">
        <is>
          <t>2026-07-21 18:00:00</t>
        </is>
      </c>
      <c r="B1187" s="196" t="inlineStr">
        <is>
          <t>EUR</t>
        </is>
      </c>
      <c r="C1187" s="196" t="inlineStr">
        <is>
          <t>EURO</t>
        </is>
      </c>
      <c r="D1187" s="184" t="n">
        <v>29275.42</v>
      </c>
      <c r="E1187" s="184" t="n">
        <v>29571.13</v>
      </c>
      <c r="F1187" s="184" t="n">
        <v>30818.79</v>
      </c>
      <c r="G1187" s="184" t="n">
        <v>30194.96</v>
      </c>
    </row>
    <row r="1188">
      <c r="A1188" s="194" t="inlineStr">
        <is>
          <t>2026-07-21 18:00:00</t>
        </is>
      </c>
      <c r="B1188" s="194" t="inlineStr">
        <is>
          <t>GBP</t>
        </is>
      </c>
      <c r="C1188" s="194" t="inlineStr">
        <is>
          <t>POUND STERLING</t>
        </is>
      </c>
      <c r="D1188" s="195" t="n">
        <v>34448.3</v>
      </c>
      <c r="E1188" s="195" t="n">
        <v>34796.27</v>
      </c>
      <c r="F1188" s="195" t="n">
        <v>35910.59</v>
      </c>
      <c r="G1188" s="195" t="n">
        <v>35353.43</v>
      </c>
    </row>
    <row r="1189">
      <c r="A1189" s="196" t="inlineStr">
        <is>
          <t>2026-07-21 18:00:00</t>
        </is>
      </c>
      <c r="B1189" s="196" t="inlineStr">
        <is>
          <t>HKD</t>
        </is>
      </c>
      <c r="C1189" s="196" t="inlineStr">
        <is>
          <t>HONGKONG DOLLAR</t>
        </is>
      </c>
      <c r="D1189" s="184" t="n">
        <v>3262.45</v>
      </c>
      <c r="E1189" s="184" t="n">
        <v>3295.4</v>
      </c>
      <c r="F1189" s="184" t="n">
        <v>3421.41</v>
      </c>
      <c r="G1189" s="184" t="n">
        <v>3358.4</v>
      </c>
    </row>
    <row r="1190">
      <c r="A1190" s="194" t="inlineStr">
        <is>
          <t>2026-07-21 18:00:00</t>
        </is>
      </c>
      <c r="B1190" s="194" t="inlineStr">
        <is>
          <t>INR</t>
        </is>
      </c>
      <c r="C1190" s="194" t="inlineStr">
        <is>
          <t>INDIAN RUPEE</t>
        </is>
      </c>
      <c r="D1190" s="195" t="n"/>
      <c r="E1190" s="195" t="n">
        <v>271.35</v>
      </c>
      <c r="F1190" s="195" t="n">
        <v>283.03</v>
      </c>
      <c r="G1190" s="195" t="n">
        <v>277.19</v>
      </c>
    </row>
    <row r="1191">
      <c r="A1191" s="196" t="inlineStr">
        <is>
          <t>2026-07-21 18:00:00</t>
        </is>
      </c>
      <c r="B1191" s="196" t="inlineStr">
        <is>
          <t>JPY</t>
        </is>
      </c>
      <c r="C1191" s="196" t="inlineStr">
        <is>
          <t>YEN</t>
        </is>
      </c>
      <c r="D1191" s="184" t="n">
        <v>156.31</v>
      </c>
      <c r="E1191" s="184" t="n">
        <v>157.89</v>
      </c>
      <c r="F1191" s="184" t="n">
        <v>167.1</v>
      </c>
      <c r="G1191" s="184" t="n">
        <v>162.5</v>
      </c>
    </row>
    <row r="1192">
      <c r="A1192" s="194" t="inlineStr">
        <is>
          <t>2026-07-21 18:00:00</t>
        </is>
      </c>
      <c r="B1192" s="194" t="inlineStr">
        <is>
          <t>KRW</t>
        </is>
      </c>
      <c r="C1192" s="194" t="inlineStr">
        <is>
          <t>KOREAN WON</t>
        </is>
      </c>
      <c r="D1192" s="195" t="n">
        <v>15.41</v>
      </c>
      <c r="E1192" s="195" t="n">
        <v>17.12</v>
      </c>
      <c r="F1192" s="195" t="n">
        <v>18.57</v>
      </c>
      <c r="G1192" s="195" t="n">
        <v>17.84</v>
      </c>
    </row>
    <row r="1193">
      <c r="A1193" s="196" t="inlineStr">
        <is>
          <t>2026-07-21 18:00:00</t>
        </is>
      </c>
      <c r="B1193" s="196" t="inlineStr">
        <is>
          <t>KWD</t>
        </is>
      </c>
      <c r="C1193" s="196" t="inlineStr">
        <is>
          <t>KUWAITI DINAR</t>
        </is>
      </c>
      <c r="D1193" s="184" t="n"/>
      <c r="E1193" s="184" t="n">
        <v>85075.27</v>
      </c>
      <c r="F1193" s="184" t="n">
        <v>89198.63</v>
      </c>
      <c r="G1193" s="184" t="n">
        <v>87136.95</v>
      </c>
    </row>
    <row r="1194">
      <c r="A1194" s="194" t="inlineStr">
        <is>
          <t>2026-07-21 18:00:00</t>
        </is>
      </c>
      <c r="B1194" s="194" t="inlineStr">
        <is>
          <t>MYR</t>
        </is>
      </c>
      <c r="C1194" s="194" t="inlineStr">
        <is>
          <t>MALAYSIAN RINGGIT</t>
        </is>
      </c>
      <c r="D1194" s="195" t="n"/>
      <c r="E1194" s="195" t="n">
        <v>6368.21</v>
      </c>
      <c r="F1194" s="195" t="n">
        <v>6506.74</v>
      </c>
      <c r="G1194" s="195" t="n">
        <v>6437.48</v>
      </c>
    </row>
    <row r="1195">
      <c r="A1195" s="196" t="inlineStr">
        <is>
          <t>2026-07-21 18:00:00</t>
        </is>
      </c>
      <c r="B1195" s="196" t="inlineStr">
        <is>
          <t>NOK</t>
        </is>
      </c>
      <c r="C1195" s="196" t="inlineStr">
        <is>
          <t>NORWEGIAN KRONER</t>
        </is>
      </c>
      <c r="D1195" s="184" t="n"/>
      <c r="E1195" s="184" t="n">
        <v>2668.05</v>
      </c>
      <c r="F1195" s="184" t="n">
        <v>2781.17</v>
      </c>
      <c r="G1195" s="184" t="n">
        <v>2724.61</v>
      </c>
    </row>
    <row r="1196">
      <c r="A1196" s="194" t="inlineStr">
        <is>
          <t>2026-07-21 18:00:00</t>
        </is>
      </c>
      <c r="B1196" s="194" t="inlineStr">
        <is>
          <t>RUB</t>
        </is>
      </c>
      <c r="C1196" s="194" t="inlineStr">
        <is>
          <t>RUSSIAN RUBLE</t>
        </is>
      </c>
      <c r="D1196" s="195" t="n"/>
      <c r="E1196" s="195" t="n">
        <v>319.1</v>
      </c>
      <c r="F1196" s="195" t="n">
        <v>353.22</v>
      </c>
      <c r="G1196" s="195" t="n">
        <v>336.16</v>
      </c>
    </row>
    <row r="1197">
      <c r="A1197" s="196" t="inlineStr">
        <is>
          <t>2026-07-21 18:00:00</t>
        </is>
      </c>
      <c r="B1197" s="196" t="inlineStr">
        <is>
          <t>SAR</t>
        </is>
      </c>
      <c r="C1197" s="196" t="inlineStr">
        <is>
          <t>SAUDI RIAL</t>
        </is>
      </c>
      <c r="D1197" s="184" t="n"/>
      <c r="E1197" s="184" t="n">
        <v>6969.33</v>
      </c>
      <c r="F1197" s="184" t="n">
        <v>7269.26</v>
      </c>
      <c r="G1197" s="184" t="n">
        <v>7119.3</v>
      </c>
    </row>
    <row r="1198">
      <c r="A1198" s="194" t="inlineStr">
        <is>
          <t>2026-07-21 18:00:00</t>
        </is>
      </c>
      <c r="B1198" s="194" t="inlineStr">
        <is>
          <t>SEK</t>
        </is>
      </c>
      <c r="C1198" s="194" t="inlineStr">
        <is>
          <t>SWEDISH KRONA</t>
        </is>
      </c>
      <c r="D1198" s="195" t="n"/>
      <c r="E1198" s="195" t="n">
        <v>2663.31</v>
      </c>
      <c r="F1198" s="195" t="n">
        <v>2776.23</v>
      </c>
      <c r="G1198" s="195" t="n">
        <v>2719.77</v>
      </c>
    </row>
    <row r="1199">
      <c r="A1199" s="196" t="inlineStr">
        <is>
          <t>2026-07-21 18:00:00</t>
        </is>
      </c>
      <c r="B1199" s="196" t="inlineStr">
        <is>
          <t>SGD</t>
        </is>
      </c>
      <c r="C1199" s="196" t="inlineStr">
        <is>
          <t>SINGAPORE DOLLAR</t>
        </is>
      </c>
      <c r="D1199" s="184" t="n">
        <v>19856.63</v>
      </c>
      <c r="E1199" s="184" t="n">
        <v>20057.2</v>
      </c>
      <c r="F1199" s="184" t="n">
        <v>20740.97</v>
      </c>
      <c r="G1199" s="184" t="n">
        <v>20399.08</v>
      </c>
    </row>
    <row r="1200">
      <c r="A1200" s="194" t="inlineStr">
        <is>
          <t>2026-07-21 18:00:00</t>
        </is>
      </c>
      <c r="B1200" s="194" t="inlineStr">
        <is>
          <t>THB</t>
        </is>
      </c>
      <c r="C1200" s="194" t="inlineStr">
        <is>
          <t>THAILAND BAHT</t>
        </is>
      </c>
      <c r="D1200" s="195" t="n">
        <v>689.83</v>
      </c>
      <c r="E1200" s="195" t="n">
        <v>766.48</v>
      </c>
      <c r="F1200" s="195" t="n">
        <v>798.98</v>
      </c>
      <c r="G1200" s="195" t="n">
        <v>782.73</v>
      </c>
    </row>
    <row r="1201">
      <c r="A1201" s="196" t="inlineStr">
        <is>
          <t>2026-07-21 18:00:00</t>
        </is>
      </c>
      <c r="B1201" s="196" t="inlineStr">
        <is>
          <t>USD</t>
        </is>
      </c>
      <c r="C1201" s="196" t="inlineStr">
        <is>
          <t>US DOLLAR</t>
        </is>
      </c>
      <c r="D1201" s="184" t="n">
        <v>26100</v>
      </c>
      <c r="E1201" s="184" t="n">
        <v>26130</v>
      </c>
      <c r="F1201" s="184" t="n">
        <v>26510</v>
      </c>
      <c r="G1201" s="184" t="n">
        <v>26320</v>
      </c>
    </row>
    <row r="1202">
      <c r="A1202" s="194" t="inlineStr">
        <is>
          <t>2026-07-20 18:00:00</t>
        </is>
      </c>
      <c r="B1202" s="194" t="inlineStr">
        <is>
          <t>AUD</t>
        </is>
      </c>
      <c r="C1202" s="194" t="inlineStr">
        <is>
          <t>AUSTRALIAN DOLLAR</t>
        </is>
      </c>
      <c r="D1202" s="195" t="n">
        <v>17892.73</v>
      </c>
      <c r="E1202" s="195" t="n">
        <v>18073.47</v>
      </c>
      <c r="F1202" s="195" t="n">
        <v>18652.27</v>
      </c>
      <c r="G1202" s="195" t="n">
        <v>18362.87</v>
      </c>
    </row>
    <row r="1203">
      <c r="A1203" s="196" t="inlineStr">
        <is>
          <t>2026-07-20 18:00:00</t>
        </is>
      </c>
      <c r="B1203" s="196" t="inlineStr">
        <is>
          <t>CAD</t>
        </is>
      </c>
      <c r="C1203" s="196" t="inlineStr">
        <is>
          <t>CANADIAN DOLLAR</t>
        </is>
      </c>
      <c r="D1203" s="184" t="n">
        <v>18292.09</v>
      </c>
      <c r="E1203" s="184" t="n">
        <v>18476.86</v>
      </c>
      <c r="F1203" s="184" t="n">
        <v>19068.59</v>
      </c>
      <c r="G1203" s="184" t="n">
        <v>18772.72</v>
      </c>
    </row>
    <row r="1204">
      <c r="A1204" s="194" t="inlineStr">
        <is>
          <t>2026-07-20 18:00:00</t>
        </is>
      </c>
      <c r="B1204" s="194" t="inlineStr">
        <is>
          <t>CHF</t>
        </is>
      </c>
      <c r="C1204" s="194" t="inlineStr">
        <is>
          <t>SWISS FRANC</t>
        </is>
      </c>
      <c r="D1204" s="195" t="n">
        <v>31723.65</v>
      </c>
      <c r="E1204" s="195" t="n">
        <v>32044.09</v>
      </c>
      <c r="F1204" s="195" t="n">
        <v>33070.31</v>
      </c>
      <c r="G1204" s="195" t="n">
        <v>32557.2</v>
      </c>
    </row>
    <row r="1205">
      <c r="A1205" s="196" t="inlineStr">
        <is>
          <t>2026-07-20 18:00:00</t>
        </is>
      </c>
      <c r="B1205" s="196" t="inlineStr">
        <is>
          <t>CNY</t>
        </is>
      </c>
      <c r="C1205" s="196" t="inlineStr">
        <is>
          <t>YUAN RENMINBI</t>
        </is>
      </c>
      <c r="D1205" s="184" t="n">
        <v>3782.87</v>
      </c>
      <c r="E1205" s="184" t="n">
        <v>3821.08</v>
      </c>
      <c r="F1205" s="184" t="n">
        <v>3943.45</v>
      </c>
      <c r="G1205" s="184" t="n">
        <v>3882.26</v>
      </c>
    </row>
    <row r="1206">
      <c r="A1206" s="194" t="inlineStr">
        <is>
          <t>2026-07-20 18:00:00</t>
        </is>
      </c>
      <c r="B1206" s="194" t="inlineStr">
        <is>
          <t>DKK</t>
        </is>
      </c>
      <c r="C1206" s="194" t="inlineStr">
        <is>
          <t>DANISH KRONE</t>
        </is>
      </c>
      <c r="D1206" s="195" t="n"/>
      <c r="E1206" s="195" t="n">
        <v>3948.38</v>
      </c>
      <c r="F1206" s="195" t="n">
        <v>4099.36</v>
      </c>
      <c r="G1206" s="195" t="n">
        <v>4023.87</v>
      </c>
    </row>
    <row r="1207">
      <c r="A1207" s="196" t="inlineStr">
        <is>
          <t>2026-07-20 18:00:00</t>
        </is>
      </c>
      <c r="B1207" s="196" t="inlineStr">
        <is>
          <t>EUR</t>
        </is>
      </c>
      <c r="C1207" s="196" t="inlineStr">
        <is>
          <t>EURO</t>
        </is>
      </c>
      <c r="D1207" s="184" t="n">
        <v>29296.72</v>
      </c>
      <c r="E1207" s="184" t="n">
        <v>29592.65</v>
      </c>
      <c r="F1207" s="184" t="n">
        <v>30841.25</v>
      </c>
      <c r="G1207" s="184" t="n">
        <v>30216.95</v>
      </c>
    </row>
    <row r="1208">
      <c r="A1208" s="194" t="inlineStr">
        <is>
          <t>2026-07-20 18:00:00</t>
        </is>
      </c>
      <c r="B1208" s="194" t="inlineStr">
        <is>
          <t>GBP</t>
        </is>
      </c>
      <c r="C1208" s="194" t="inlineStr">
        <is>
          <t>POUND STERLING</t>
        </is>
      </c>
      <c r="D1208" s="195" t="n">
        <v>34457.99</v>
      </c>
      <c r="E1208" s="195" t="n">
        <v>34806.05</v>
      </c>
      <c r="F1208" s="195" t="n">
        <v>35920.72</v>
      </c>
      <c r="G1208" s="195" t="n">
        <v>35363.38</v>
      </c>
    </row>
    <row r="1209">
      <c r="A1209" s="196" t="inlineStr">
        <is>
          <t>2026-07-20 18:00:00</t>
        </is>
      </c>
      <c r="B1209" s="196" t="inlineStr">
        <is>
          <t>HKD</t>
        </is>
      </c>
      <c r="C1209" s="196" t="inlineStr">
        <is>
          <t>HONGKONG DOLLAR</t>
        </is>
      </c>
      <c r="D1209" s="184" t="n">
        <v>3259.68</v>
      </c>
      <c r="E1209" s="184" t="n">
        <v>3292.6</v>
      </c>
      <c r="F1209" s="184" t="n">
        <v>3418.5</v>
      </c>
      <c r="G1209" s="184" t="n">
        <v>3355.55</v>
      </c>
    </row>
    <row r="1210">
      <c r="A1210" s="194" t="inlineStr">
        <is>
          <t>2026-07-20 18:00:00</t>
        </is>
      </c>
      <c r="B1210" s="194" t="inlineStr">
        <is>
          <t>INR</t>
        </is>
      </c>
      <c r="C1210" s="194" t="inlineStr">
        <is>
          <t>INDIAN RUPEE</t>
        </is>
      </c>
      <c r="D1210" s="195" t="n"/>
      <c r="E1210" s="195" t="n">
        <v>271.6</v>
      </c>
      <c r="F1210" s="195" t="n">
        <v>283.28</v>
      </c>
      <c r="G1210" s="195" t="n">
        <v>277.44</v>
      </c>
    </row>
    <row r="1211">
      <c r="A1211" s="196" t="inlineStr">
        <is>
          <t>2026-07-20 18:00:00</t>
        </is>
      </c>
      <c r="B1211" s="196" t="inlineStr">
        <is>
          <t>JPY</t>
        </is>
      </c>
      <c r="C1211" s="196" t="inlineStr">
        <is>
          <t>YEN</t>
        </is>
      </c>
      <c r="D1211" s="184" t="n">
        <v>156.34</v>
      </c>
      <c r="E1211" s="184" t="n">
        <v>157.91</v>
      </c>
      <c r="F1211" s="184" t="n">
        <v>167.12</v>
      </c>
      <c r="G1211" s="184" t="n">
        <v>162.51</v>
      </c>
    </row>
    <row r="1212">
      <c r="A1212" s="194" t="inlineStr">
        <is>
          <t>2026-07-20 18:00:00</t>
        </is>
      </c>
      <c r="B1212" s="194" t="inlineStr">
        <is>
          <t>KRW</t>
        </is>
      </c>
      <c r="C1212" s="194" t="inlineStr">
        <is>
          <t>KOREAN WON</t>
        </is>
      </c>
      <c r="D1212" s="195" t="n">
        <v>15.29</v>
      </c>
      <c r="E1212" s="195" t="n">
        <v>16.99</v>
      </c>
      <c r="F1212" s="195" t="n">
        <v>18.44</v>
      </c>
      <c r="G1212" s="195" t="n">
        <v>17.72</v>
      </c>
    </row>
    <row r="1213">
      <c r="A1213" s="196" t="inlineStr">
        <is>
          <t>2026-07-20 18:00:00</t>
        </is>
      </c>
      <c r="B1213" s="196" t="inlineStr">
        <is>
          <t>KWD</t>
        </is>
      </c>
      <c r="C1213" s="196" t="inlineStr">
        <is>
          <t>KUWAITI DINAR</t>
        </is>
      </c>
      <c r="D1213" s="184" t="n"/>
      <c r="E1213" s="184" t="n">
        <v>85010.58</v>
      </c>
      <c r="F1213" s="184" t="n">
        <v>89130.91</v>
      </c>
      <c r="G1213" s="184" t="n">
        <v>87070.74000000001</v>
      </c>
    </row>
    <row r="1214">
      <c r="A1214" s="194" t="inlineStr">
        <is>
          <t>2026-07-20 18:00:00</t>
        </is>
      </c>
      <c r="B1214" s="194" t="inlineStr">
        <is>
          <t>MYR</t>
        </is>
      </c>
      <c r="C1214" s="194" t="inlineStr">
        <is>
          <t>MALAYSIAN RINGGIT</t>
        </is>
      </c>
      <c r="D1214" s="195" t="n"/>
      <c r="E1214" s="195" t="n">
        <v>6374.28</v>
      </c>
      <c r="F1214" s="195" t="n">
        <v>6512.95</v>
      </c>
      <c r="G1214" s="195" t="n">
        <v>6443.62</v>
      </c>
    </row>
    <row r="1215">
      <c r="A1215" s="196" t="inlineStr">
        <is>
          <t>2026-07-20 18:00:00</t>
        </is>
      </c>
      <c r="B1215" s="196" t="inlineStr">
        <is>
          <t>NOK</t>
        </is>
      </c>
      <c r="C1215" s="196" t="inlineStr">
        <is>
          <t>NORWEGIAN KRONER</t>
        </is>
      </c>
      <c r="D1215" s="184" t="n"/>
      <c r="E1215" s="184" t="n">
        <v>2671.63</v>
      </c>
      <c r="F1215" s="184" t="n">
        <v>2784.91</v>
      </c>
      <c r="G1215" s="184" t="n">
        <v>2728.27</v>
      </c>
    </row>
    <row r="1216">
      <c r="A1216" s="194" t="inlineStr">
        <is>
          <t>2026-07-20 18:00:00</t>
        </is>
      </c>
      <c r="B1216" s="194" t="inlineStr">
        <is>
          <t>RUB</t>
        </is>
      </c>
      <c r="C1216" s="194" t="inlineStr">
        <is>
          <t>RUSSIAN RUBLE</t>
        </is>
      </c>
      <c r="D1216" s="195" t="n"/>
      <c r="E1216" s="195" t="n">
        <v>320.08</v>
      </c>
      <c r="F1216" s="195" t="n">
        <v>354.31</v>
      </c>
      <c r="G1216" s="195" t="n">
        <v>337.2</v>
      </c>
    </row>
    <row r="1217">
      <c r="A1217" s="196" t="inlineStr">
        <is>
          <t>2026-07-20 18:00:00</t>
        </is>
      </c>
      <c r="B1217" s="196" t="inlineStr">
        <is>
          <t>SAR</t>
        </is>
      </c>
      <c r="C1217" s="196" t="inlineStr">
        <is>
          <t>SAUDI RIAL</t>
        </is>
      </c>
      <c r="D1217" s="184" t="n"/>
      <c r="E1217" s="184" t="n">
        <v>6963.48</v>
      </c>
      <c r="F1217" s="184" t="n">
        <v>7263.16</v>
      </c>
      <c r="G1217" s="184" t="n">
        <v>7113.32</v>
      </c>
    </row>
    <row r="1218">
      <c r="A1218" s="194" t="inlineStr">
        <is>
          <t>2026-07-20 18:00:00</t>
        </is>
      </c>
      <c r="B1218" s="194" t="inlineStr">
        <is>
          <t>SEK</t>
        </is>
      </c>
      <c r="C1218" s="194" t="inlineStr">
        <is>
          <t>SWEDISH KRONA</t>
        </is>
      </c>
      <c r="D1218" s="195" t="n"/>
      <c r="E1218" s="195" t="n">
        <v>2667.35</v>
      </c>
      <c r="F1218" s="195" t="n">
        <v>2780.44</v>
      </c>
      <c r="G1218" s="195" t="n">
        <v>2723.9</v>
      </c>
    </row>
    <row r="1219">
      <c r="A1219" s="196" t="inlineStr">
        <is>
          <t>2026-07-20 18:00:00</t>
        </is>
      </c>
      <c r="B1219" s="196" t="inlineStr">
        <is>
          <t>SGD</t>
        </is>
      </c>
      <c r="C1219" s="196" t="inlineStr">
        <is>
          <t>SINGAPORE DOLLAR</t>
        </is>
      </c>
      <c r="D1219" s="184" t="n">
        <v>19832.31</v>
      </c>
      <c r="E1219" s="184" t="n">
        <v>20032.64</v>
      </c>
      <c r="F1219" s="184" t="n">
        <v>20715.59</v>
      </c>
      <c r="G1219" s="184" t="n">
        <v>20374.11</v>
      </c>
    </row>
    <row r="1220">
      <c r="A1220" s="194" t="inlineStr">
        <is>
          <t>2026-07-20 18:00:00</t>
        </is>
      </c>
      <c r="B1220" s="194" t="inlineStr">
        <is>
          <t>THB</t>
        </is>
      </c>
      <c r="C1220" s="194" t="inlineStr">
        <is>
          <t>THAILAND BAHT</t>
        </is>
      </c>
      <c r="D1220" s="195" t="n">
        <v>689.1</v>
      </c>
      <c r="E1220" s="195" t="n">
        <v>765.67</v>
      </c>
      <c r="F1220" s="195" t="n">
        <v>798.13</v>
      </c>
      <c r="G1220" s="195" t="n">
        <v>781.9</v>
      </c>
    </row>
    <row r="1221">
      <c r="A1221" s="196" t="inlineStr">
        <is>
          <t>2026-07-20 18:00:00</t>
        </is>
      </c>
      <c r="B1221" s="196" t="inlineStr">
        <is>
          <t>USD</t>
        </is>
      </c>
      <c r="C1221" s="196" t="inlineStr">
        <is>
          <t>US DOLLAR</t>
        </is>
      </c>
      <c r="D1221" s="184" t="n">
        <v>26080</v>
      </c>
      <c r="E1221" s="184" t="n">
        <v>26110</v>
      </c>
      <c r="F1221" s="184" t="n">
        <v>26490</v>
      </c>
      <c r="G1221" s="184" t="n">
        <v>26300</v>
      </c>
    </row>
    <row r="1222">
      <c r="A1222" s="194" t="inlineStr">
        <is>
          <t>2026-07-19 18:00:00</t>
        </is>
      </c>
      <c r="B1222" s="194" t="inlineStr">
        <is>
          <t>AUD</t>
        </is>
      </c>
      <c r="C1222" s="194" t="inlineStr">
        <is>
          <t>AUSTRALIAN DOLLAR</t>
        </is>
      </c>
      <c r="D1222" s="195" t="n">
        <v>17869.67</v>
      </c>
      <c r="E1222" s="195" t="n">
        <v>18050.17</v>
      </c>
      <c r="F1222" s="195" t="n">
        <v>18628.23</v>
      </c>
      <c r="G1222" s="195" t="n">
        <v>18339.2</v>
      </c>
    </row>
    <row r="1223">
      <c r="A1223" s="196" t="inlineStr">
        <is>
          <t>2026-07-19 18:00:00</t>
        </is>
      </c>
      <c r="B1223" s="196" t="inlineStr">
        <is>
          <t>CAD</t>
        </is>
      </c>
      <c r="C1223" s="196" t="inlineStr">
        <is>
          <t>CANADIAN DOLLAR</t>
        </is>
      </c>
      <c r="D1223" s="184" t="n">
        <v>18267.32</v>
      </c>
      <c r="E1223" s="184" t="n">
        <v>18451.84</v>
      </c>
      <c r="F1223" s="184" t="n">
        <v>19042.77</v>
      </c>
      <c r="G1223" s="184" t="n">
        <v>18747.3</v>
      </c>
    </row>
    <row r="1224">
      <c r="A1224" s="194" t="inlineStr">
        <is>
          <t>2026-07-19 18:00:00</t>
        </is>
      </c>
      <c r="B1224" s="194" t="inlineStr">
        <is>
          <t>CHF</t>
        </is>
      </c>
      <c r="C1224" s="194" t="inlineStr">
        <is>
          <t>SWISS FRANC</t>
        </is>
      </c>
      <c r="D1224" s="195" t="n">
        <v>31766.9</v>
      </c>
      <c r="E1224" s="195" t="n">
        <v>32087.77</v>
      </c>
      <c r="F1224" s="195" t="n">
        <v>33115.39</v>
      </c>
      <c r="G1224" s="195" t="n">
        <v>32601.58</v>
      </c>
    </row>
    <row r="1225">
      <c r="A1225" s="196" t="inlineStr">
        <is>
          <t>2026-07-19 18:00:00</t>
        </is>
      </c>
      <c r="B1225" s="196" t="inlineStr">
        <is>
          <t>CNY</t>
        </is>
      </c>
      <c r="C1225" s="196" t="inlineStr">
        <is>
          <t>YUAN RENMINBI</t>
        </is>
      </c>
      <c r="D1225" s="184" t="n">
        <v>3782.14</v>
      </c>
      <c r="E1225" s="184" t="n">
        <v>3820.35</v>
      </c>
      <c r="F1225" s="184" t="n">
        <v>3942.69</v>
      </c>
      <c r="G1225" s="184" t="n">
        <v>3881.52</v>
      </c>
    </row>
    <row r="1226">
      <c r="A1226" s="194" t="inlineStr">
        <is>
          <t>2026-07-19 18:00:00</t>
        </is>
      </c>
      <c r="B1226" s="194" t="inlineStr">
        <is>
          <t>DKK</t>
        </is>
      </c>
      <c r="C1226" s="194" t="inlineStr">
        <is>
          <t>DANISH KRONE</t>
        </is>
      </c>
      <c r="D1226" s="195" t="n"/>
      <c r="E1226" s="195" t="n">
        <v>3951.16</v>
      </c>
      <c r="F1226" s="195" t="n">
        <v>4102.25</v>
      </c>
      <c r="G1226" s="195" t="n">
        <v>4026.7</v>
      </c>
    </row>
    <row r="1227">
      <c r="A1227" s="196" t="inlineStr">
        <is>
          <t>2026-07-19 18:00:00</t>
        </is>
      </c>
      <c r="B1227" s="196" t="inlineStr">
        <is>
          <t>EUR</t>
        </is>
      </c>
      <c r="C1227" s="196" t="inlineStr">
        <is>
          <t>EURO</t>
        </is>
      </c>
      <c r="D1227" s="184" t="n">
        <v>29314.66</v>
      </c>
      <c r="E1227" s="184" t="n">
        <v>29610.77</v>
      </c>
      <c r="F1227" s="184" t="n">
        <v>30860.13</v>
      </c>
      <c r="G1227" s="184" t="n">
        <v>30235.45</v>
      </c>
    </row>
    <row r="1228">
      <c r="A1228" s="194" t="inlineStr">
        <is>
          <t>2026-07-19 18:00:00</t>
        </is>
      </c>
      <c r="B1228" s="194" t="inlineStr">
        <is>
          <t>GBP</t>
        </is>
      </c>
      <c r="C1228" s="194" t="inlineStr">
        <is>
          <t>POUND STERLING</t>
        </is>
      </c>
      <c r="D1228" s="195" t="n">
        <v>34452.86</v>
      </c>
      <c r="E1228" s="195" t="n">
        <v>34800.87</v>
      </c>
      <c r="F1228" s="195" t="n">
        <v>35915.38</v>
      </c>
      <c r="G1228" s="195" t="n">
        <v>35358.12</v>
      </c>
    </row>
    <row r="1229">
      <c r="A1229" s="196" t="inlineStr">
        <is>
          <t>2026-07-19 18:00:00</t>
        </is>
      </c>
      <c r="B1229" s="196" t="inlineStr">
        <is>
          <t>HKD</t>
        </is>
      </c>
      <c r="C1229" s="196" t="inlineStr">
        <is>
          <t>HONGKONG DOLLAR</t>
        </is>
      </c>
      <c r="D1229" s="184" t="n">
        <v>3259.59</v>
      </c>
      <c r="E1229" s="184" t="n">
        <v>3292.52</v>
      </c>
      <c r="F1229" s="184" t="n">
        <v>3418.42</v>
      </c>
      <c r="G1229" s="184" t="n">
        <v>3355.47</v>
      </c>
    </row>
    <row r="1230">
      <c r="A1230" s="194" t="inlineStr">
        <is>
          <t>2026-07-19 18:00:00</t>
        </is>
      </c>
      <c r="B1230" s="194" t="inlineStr">
        <is>
          <t>INR</t>
        </is>
      </c>
      <c r="C1230" s="194" t="inlineStr">
        <is>
          <t>INDIAN RUPEE</t>
        </is>
      </c>
      <c r="D1230" s="195" t="n"/>
      <c r="E1230" s="195" t="n">
        <v>271.37</v>
      </c>
      <c r="F1230" s="195" t="n">
        <v>283.05</v>
      </c>
      <c r="G1230" s="195" t="n">
        <v>277.21</v>
      </c>
    </row>
    <row r="1231">
      <c r="A1231" s="196" t="inlineStr">
        <is>
          <t>2026-07-19 18:00:00</t>
        </is>
      </c>
      <c r="B1231" s="196" t="inlineStr">
        <is>
          <t>JPY</t>
        </is>
      </c>
      <c r="C1231" s="196" t="inlineStr">
        <is>
          <t>YEN</t>
        </is>
      </c>
      <c r="D1231" s="184" t="n">
        <v>156.34</v>
      </c>
      <c r="E1231" s="184" t="n">
        <v>157.91</v>
      </c>
      <c r="F1231" s="184" t="n">
        <v>167.12</v>
      </c>
      <c r="G1231" s="184" t="n">
        <v>162.51</v>
      </c>
    </row>
    <row r="1232">
      <c r="A1232" s="194" t="inlineStr">
        <is>
          <t>2026-07-19 18:00:00</t>
        </is>
      </c>
      <c r="B1232" s="194" t="inlineStr">
        <is>
          <t>KRW</t>
        </is>
      </c>
      <c r="C1232" s="194" t="inlineStr">
        <is>
          <t>KOREAN WON</t>
        </is>
      </c>
      <c r="D1232" s="195" t="n">
        <v>15.32</v>
      </c>
      <c r="E1232" s="195" t="n">
        <v>17.02</v>
      </c>
      <c r="F1232" s="195" t="n">
        <v>18.47</v>
      </c>
      <c r="G1232" s="195" t="n">
        <v>17.74</v>
      </c>
    </row>
    <row r="1233">
      <c r="A1233" s="196" t="inlineStr">
        <is>
          <t>2026-07-19 18:00:00</t>
        </is>
      </c>
      <c r="B1233" s="196" t="inlineStr">
        <is>
          <t>KWD</t>
        </is>
      </c>
      <c r="C1233" s="196" t="inlineStr">
        <is>
          <t>KUWAITI DINAR</t>
        </is>
      </c>
      <c r="D1233" s="184" t="n"/>
      <c r="E1233" s="184" t="n">
        <v>85065.89</v>
      </c>
      <c r="F1233" s="184" t="n">
        <v>89188.89999999999</v>
      </c>
      <c r="G1233" s="184" t="n">
        <v>87127.39</v>
      </c>
    </row>
    <row r="1234">
      <c r="A1234" s="194" t="inlineStr">
        <is>
          <t>2026-07-19 18:00:00</t>
        </is>
      </c>
      <c r="B1234" s="194" t="inlineStr">
        <is>
          <t>MYR</t>
        </is>
      </c>
      <c r="C1234" s="194" t="inlineStr">
        <is>
          <t>MALAYSIAN RINGGIT</t>
        </is>
      </c>
      <c r="D1234" s="195" t="n"/>
      <c r="E1234" s="195" t="n">
        <v>6377.4</v>
      </c>
      <c r="F1234" s="195" t="n">
        <v>6516.14</v>
      </c>
      <c r="G1234" s="195" t="n">
        <v>6446.77</v>
      </c>
    </row>
    <row r="1235">
      <c r="A1235" s="196" t="inlineStr">
        <is>
          <t>2026-07-19 18:00:00</t>
        </is>
      </c>
      <c r="B1235" s="196" t="inlineStr">
        <is>
          <t>NOK</t>
        </is>
      </c>
      <c r="C1235" s="196" t="inlineStr">
        <is>
          <t>NORWEGIAN KRONER</t>
        </is>
      </c>
      <c r="D1235" s="184" t="n"/>
      <c r="E1235" s="184" t="n">
        <v>2665.28</v>
      </c>
      <c r="F1235" s="184" t="n">
        <v>2778.29</v>
      </c>
      <c r="G1235" s="184" t="n">
        <v>2721.78</v>
      </c>
    </row>
    <row r="1236">
      <c r="A1236" s="194" t="inlineStr">
        <is>
          <t>2026-07-19 18:00:00</t>
        </is>
      </c>
      <c r="B1236" s="194" t="inlineStr">
        <is>
          <t>RUB</t>
        </is>
      </c>
      <c r="C1236" s="194" t="inlineStr">
        <is>
          <t>RUSSIAN RUBLE</t>
        </is>
      </c>
      <c r="D1236" s="195" t="n"/>
      <c r="E1236" s="195" t="n">
        <v>318.84</v>
      </c>
      <c r="F1236" s="195" t="n">
        <v>352.93</v>
      </c>
      <c r="G1236" s="195" t="n">
        <v>335.88</v>
      </c>
    </row>
    <row r="1237">
      <c r="A1237" s="196" t="inlineStr">
        <is>
          <t>2026-07-19 18:00:00</t>
        </is>
      </c>
      <c r="B1237" s="196" t="inlineStr">
        <is>
          <t>SAR</t>
        </is>
      </c>
      <c r="C1237" s="196" t="inlineStr">
        <is>
          <t>SAUDI RIAL</t>
        </is>
      </c>
      <c r="D1237" s="184" t="n"/>
      <c r="E1237" s="184" t="n">
        <v>6963.48</v>
      </c>
      <c r="F1237" s="184" t="n">
        <v>7263.16</v>
      </c>
      <c r="G1237" s="184" t="n">
        <v>7113.32</v>
      </c>
    </row>
    <row r="1238">
      <c r="A1238" s="194" t="inlineStr">
        <is>
          <t>2026-07-19 18:00:00</t>
        </is>
      </c>
      <c r="B1238" s="194" t="inlineStr">
        <is>
          <t>SEK</t>
        </is>
      </c>
      <c r="C1238" s="194" t="inlineStr">
        <is>
          <t>SWEDISH KRONA</t>
        </is>
      </c>
      <c r="D1238" s="195" t="n"/>
      <c r="E1238" s="195" t="n">
        <v>2668.29</v>
      </c>
      <c r="F1238" s="195" t="n">
        <v>2781.42</v>
      </c>
      <c r="G1238" s="195" t="n">
        <v>2724.86</v>
      </c>
    </row>
    <row r="1239">
      <c r="A1239" s="196" t="inlineStr">
        <is>
          <t>2026-07-19 18:00:00</t>
        </is>
      </c>
      <c r="B1239" s="196" t="inlineStr">
        <is>
          <t>SGD</t>
        </is>
      </c>
      <c r="C1239" s="196" t="inlineStr">
        <is>
          <t>SINGAPORE DOLLAR</t>
        </is>
      </c>
      <c r="D1239" s="184" t="n">
        <v>19846.14</v>
      </c>
      <c r="E1239" s="184" t="n">
        <v>20046.61</v>
      </c>
      <c r="F1239" s="184" t="n">
        <v>20730.04</v>
      </c>
      <c r="G1239" s="184" t="n">
        <v>20388.32</v>
      </c>
    </row>
    <row r="1240">
      <c r="A1240" s="194" t="inlineStr">
        <is>
          <t>2026-07-19 18:00:00</t>
        </is>
      </c>
      <c r="B1240" s="194" t="inlineStr">
        <is>
          <t>THB</t>
        </is>
      </c>
      <c r="C1240" s="194" t="inlineStr">
        <is>
          <t>THAILAND BAHT</t>
        </is>
      </c>
      <c r="D1240" s="195" t="n">
        <v>689.92</v>
      </c>
      <c r="E1240" s="195" t="n">
        <v>766.58</v>
      </c>
      <c r="F1240" s="195" t="n">
        <v>799.08</v>
      </c>
      <c r="G1240" s="195" t="n">
        <v>782.83</v>
      </c>
    </row>
    <row r="1241">
      <c r="A1241" s="196" t="inlineStr">
        <is>
          <t>2026-07-19 18:00:00</t>
        </is>
      </c>
      <c r="B1241" s="196" t="inlineStr">
        <is>
          <t>USD</t>
        </is>
      </c>
      <c r="C1241" s="196" t="inlineStr">
        <is>
          <t>US DOLLAR</t>
        </is>
      </c>
      <c r="D1241" s="184" t="n">
        <v>26080</v>
      </c>
      <c r="E1241" s="184" t="n">
        <v>26110</v>
      </c>
      <c r="F1241" s="184" t="n">
        <v>26490</v>
      </c>
      <c r="G1241" s="184" t="n">
        <v>26300</v>
      </c>
    </row>
    <row r="1242">
      <c r="A1242" s="194" t="inlineStr">
        <is>
          <t>2026-07-18 18:00:00</t>
        </is>
      </c>
      <c r="B1242" s="194" t="inlineStr">
        <is>
          <t>AUD</t>
        </is>
      </c>
      <c r="C1242" s="194" t="inlineStr">
        <is>
          <t>AUSTRALIAN DOLLAR</t>
        </is>
      </c>
      <c r="D1242" s="195" t="n">
        <v>17869.67</v>
      </c>
      <c r="E1242" s="195" t="n">
        <v>18050.17</v>
      </c>
      <c r="F1242" s="195" t="n">
        <v>18628.23</v>
      </c>
      <c r="G1242" s="195" t="n">
        <v>18339.2</v>
      </c>
    </row>
    <row r="1243">
      <c r="A1243" s="196" t="inlineStr">
        <is>
          <t>2026-07-18 18:00:00</t>
        </is>
      </c>
      <c r="B1243" s="196" t="inlineStr">
        <is>
          <t>CAD</t>
        </is>
      </c>
      <c r="C1243" s="196" t="inlineStr">
        <is>
          <t>CANADIAN DOLLAR</t>
        </is>
      </c>
      <c r="D1243" s="184" t="n">
        <v>18267.32</v>
      </c>
      <c r="E1243" s="184" t="n">
        <v>18451.84</v>
      </c>
      <c r="F1243" s="184" t="n">
        <v>19042.77</v>
      </c>
      <c r="G1243" s="184" t="n">
        <v>18747.3</v>
      </c>
    </row>
    <row r="1244">
      <c r="A1244" s="194" t="inlineStr">
        <is>
          <t>2026-07-18 18:00:00</t>
        </is>
      </c>
      <c r="B1244" s="194" t="inlineStr">
        <is>
          <t>CHF</t>
        </is>
      </c>
      <c r="C1244" s="194" t="inlineStr">
        <is>
          <t>SWISS FRANC</t>
        </is>
      </c>
      <c r="D1244" s="195" t="n">
        <v>31766.9</v>
      </c>
      <c r="E1244" s="195" t="n">
        <v>32087.77</v>
      </c>
      <c r="F1244" s="195" t="n">
        <v>33115.39</v>
      </c>
      <c r="G1244" s="195" t="n">
        <v>32601.58</v>
      </c>
    </row>
    <row r="1245">
      <c r="A1245" s="196" t="inlineStr">
        <is>
          <t>2026-07-18 18:00:00</t>
        </is>
      </c>
      <c r="B1245" s="196" t="inlineStr">
        <is>
          <t>CNY</t>
        </is>
      </c>
      <c r="C1245" s="196" t="inlineStr">
        <is>
          <t>YUAN RENMINBI</t>
        </is>
      </c>
      <c r="D1245" s="184" t="n">
        <v>3782.14</v>
      </c>
      <c r="E1245" s="184" t="n">
        <v>3820.35</v>
      </c>
      <c r="F1245" s="184" t="n">
        <v>3942.69</v>
      </c>
      <c r="G1245" s="184" t="n">
        <v>3881.52</v>
      </c>
    </row>
    <row r="1246">
      <c r="A1246" s="194" t="inlineStr">
        <is>
          <t>2026-07-18 18:00:00</t>
        </is>
      </c>
      <c r="B1246" s="194" t="inlineStr">
        <is>
          <t>DKK</t>
        </is>
      </c>
      <c r="C1246" s="194" t="inlineStr">
        <is>
          <t>DANISH KRONE</t>
        </is>
      </c>
      <c r="D1246" s="195" t="n"/>
      <c r="E1246" s="195" t="n">
        <v>3951.16</v>
      </c>
      <c r="F1246" s="195" t="n">
        <v>4102.25</v>
      </c>
      <c r="G1246" s="195" t="n">
        <v>4026.7</v>
      </c>
    </row>
    <row r="1247">
      <c r="A1247" s="196" t="inlineStr">
        <is>
          <t>2026-07-18 18:00:00</t>
        </is>
      </c>
      <c r="B1247" s="196" t="inlineStr">
        <is>
          <t>EUR</t>
        </is>
      </c>
      <c r="C1247" s="196" t="inlineStr">
        <is>
          <t>EURO</t>
        </is>
      </c>
      <c r="D1247" s="184" t="n">
        <v>29314.66</v>
      </c>
      <c r="E1247" s="184" t="n">
        <v>29610.77</v>
      </c>
      <c r="F1247" s="184" t="n">
        <v>30860.13</v>
      </c>
      <c r="G1247" s="184" t="n">
        <v>30235.45</v>
      </c>
    </row>
    <row r="1248">
      <c r="A1248" s="194" t="inlineStr">
        <is>
          <t>2026-07-18 18:00:00</t>
        </is>
      </c>
      <c r="B1248" s="194" t="inlineStr">
        <is>
          <t>GBP</t>
        </is>
      </c>
      <c r="C1248" s="194" t="inlineStr">
        <is>
          <t>POUND STERLING</t>
        </is>
      </c>
      <c r="D1248" s="195" t="n">
        <v>34452.86</v>
      </c>
      <c r="E1248" s="195" t="n">
        <v>34800.87</v>
      </c>
      <c r="F1248" s="195" t="n">
        <v>35915.38</v>
      </c>
      <c r="G1248" s="195" t="n">
        <v>35358.12</v>
      </c>
    </row>
    <row r="1249">
      <c r="A1249" s="196" t="inlineStr">
        <is>
          <t>2026-07-18 18:00:00</t>
        </is>
      </c>
      <c r="B1249" s="196" t="inlineStr">
        <is>
          <t>HKD</t>
        </is>
      </c>
      <c r="C1249" s="196" t="inlineStr">
        <is>
          <t>HONGKONG DOLLAR</t>
        </is>
      </c>
      <c r="D1249" s="184" t="n">
        <v>3259.59</v>
      </c>
      <c r="E1249" s="184" t="n">
        <v>3292.52</v>
      </c>
      <c r="F1249" s="184" t="n">
        <v>3418.42</v>
      </c>
      <c r="G1249" s="184" t="n">
        <v>3355.47</v>
      </c>
    </row>
    <row r="1250">
      <c r="A1250" s="194" t="inlineStr">
        <is>
          <t>2026-07-18 18:00:00</t>
        </is>
      </c>
      <c r="B1250" s="194" t="inlineStr">
        <is>
          <t>INR</t>
        </is>
      </c>
      <c r="C1250" s="194" t="inlineStr">
        <is>
          <t>INDIAN RUPEE</t>
        </is>
      </c>
      <c r="D1250" s="195" t="n"/>
      <c r="E1250" s="195" t="n">
        <v>271.37</v>
      </c>
      <c r="F1250" s="195" t="n">
        <v>283.05</v>
      </c>
      <c r="G1250" s="195" t="n">
        <v>277.21</v>
      </c>
    </row>
    <row r="1251">
      <c r="A1251" s="196" t="inlineStr">
        <is>
          <t>2026-07-18 18:00:00</t>
        </is>
      </c>
      <c r="B1251" s="196" t="inlineStr">
        <is>
          <t>JPY</t>
        </is>
      </c>
      <c r="C1251" s="196" t="inlineStr">
        <is>
          <t>YEN</t>
        </is>
      </c>
      <c r="D1251" s="184" t="n">
        <v>156.34</v>
      </c>
      <c r="E1251" s="184" t="n">
        <v>157.91</v>
      </c>
      <c r="F1251" s="184" t="n">
        <v>167.12</v>
      </c>
      <c r="G1251" s="184" t="n">
        <v>162.51</v>
      </c>
    </row>
    <row r="1252">
      <c r="A1252" s="194" t="inlineStr">
        <is>
          <t>2026-07-18 18:00:00</t>
        </is>
      </c>
      <c r="B1252" s="194" t="inlineStr">
        <is>
          <t>KRW</t>
        </is>
      </c>
      <c r="C1252" s="194" t="inlineStr">
        <is>
          <t>KOREAN WON</t>
        </is>
      </c>
      <c r="D1252" s="195" t="n">
        <v>15.32</v>
      </c>
      <c r="E1252" s="195" t="n">
        <v>17.02</v>
      </c>
      <c r="F1252" s="195" t="n">
        <v>18.47</v>
      </c>
      <c r="G1252" s="195" t="n">
        <v>17.74</v>
      </c>
    </row>
    <row r="1253">
      <c r="A1253" s="196" t="inlineStr">
        <is>
          <t>2026-07-18 18:00:00</t>
        </is>
      </c>
      <c r="B1253" s="196" t="inlineStr">
        <is>
          <t>KWD</t>
        </is>
      </c>
      <c r="C1253" s="196" t="inlineStr">
        <is>
          <t>KUWAITI DINAR</t>
        </is>
      </c>
      <c r="D1253" s="184" t="n"/>
      <c r="E1253" s="184" t="n">
        <v>85065.89</v>
      </c>
      <c r="F1253" s="184" t="n">
        <v>89188.89999999999</v>
      </c>
      <c r="G1253" s="184" t="n">
        <v>87127.39</v>
      </c>
    </row>
    <row r="1254">
      <c r="A1254" s="194" t="inlineStr">
        <is>
          <t>2026-07-18 18:00:00</t>
        </is>
      </c>
      <c r="B1254" s="194" t="inlineStr">
        <is>
          <t>MYR</t>
        </is>
      </c>
      <c r="C1254" s="194" t="inlineStr">
        <is>
          <t>MALAYSIAN RINGGIT</t>
        </is>
      </c>
      <c r="D1254" s="195" t="n"/>
      <c r="E1254" s="195" t="n">
        <v>6377.4</v>
      </c>
      <c r="F1254" s="195" t="n">
        <v>6516.14</v>
      </c>
      <c r="G1254" s="195" t="n">
        <v>6446.77</v>
      </c>
    </row>
    <row r="1255">
      <c r="A1255" s="196" t="inlineStr">
        <is>
          <t>2026-07-18 18:00:00</t>
        </is>
      </c>
      <c r="B1255" s="196" t="inlineStr">
        <is>
          <t>NOK</t>
        </is>
      </c>
      <c r="C1255" s="196" t="inlineStr">
        <is>
          <t>NORWEGIAN KRONER</t>
        </is>
      </c>
      <c r="D1255" s="184" t="n"/>
      <c r="E1255" s="184" t="n">
        <v>2665.28</v>
      </c>
      <c r="F1255" s="184" t="n">
        <v>2778.29</v>
      </c>
      <c r="G1255" s="184" t="n">
        <v>2721.78</v>
      </c>
    </row>
    <row r="1256">
      <c r="A1256" s="194" t="inlineStr">
        <is>
          <t>2026-07-18 18:00:00</t>
        </is>
      </c>
      <c r="B1256" s="194" t="inlineStr">
        <is>
          <t>RUB</t>
        </is>
      </c>
      <c r="C1256" s="194" t="inlineStr">
        <is>
          <t>RUSSIAN RUBLE</t>
        </is>
      </c>
      <c r="D1256" s="195" t="n"/>
      <c r="E1256" s="195" t="n">
        <v>318.84</v>
      </c>
      <c r="F1256" s="195" t="n">
        <v>352.93</v>
      </c>
      <c r="G1256" s="195" t="n">
        <v>335.88</v>
      </c>
    </row>
    <row r="1257">
      <c r="A1257" s="196" t="inlineStr">
        <is>
          <t>2026-07-18 18:00:00</t>
        </is>
      </c>
      <c r="B1257" s="196" t="inlineStr">
        <is>
          <t>SAR</t>
        </is>
      </c>
      <c r="C1257" s="196" t="inlineStr">
        <is>
          <t>SAUDI RIAL</t>
        </is>
      </c>
      <c r="D1257" s="184" t="n"/>
      <c r="E1257" s="184" t="n">
        <v>6963.48</v>
      </c>
      <c r="F1257" s="184" t="n">
        <v>7263.16</v>
      </c>
      <c r="G1257" s="184" t="n">
        <v>7113.32</v>
      </c>
    </row>
    <row r="1258">
      <c r="A1258" s="194" t="inlineStr">
        <is>
          <t>2026-07-18 18:00:00</t>
        </is>
      </c>
      <c r="B1258" s="194" t="inlineStr">
        <is>
          <t>SEK</t>
        </is>
      </c>
      <c r="C1258" s="194" t="inlineStr">
        <is>
          <t>SWEDISH KRONA</t>
        </is>
      </c>
      <c r="D1258" s="195" t="n"/>
      <c r="E1258" s="195" t="n">
        <v>2668.29</v>
      </c>
      <c r="F1258" s="195" t="n">
        <v>2781.42</v>
      </c>
      <c r="G1258" s="195" t="n">
        <v>2724.86</v>
      </c>
    </row>
    <row r="1259">
      <c r="A1259" s="196" t="inlineStr">
        <is>
          <t>2026-07-18 18:00:00</t>
        </is>
      </c>
      <c r="B1259" s="196" t="inlineStr">
        <is>
          <t>SGD</t>
        </is>
      </c>
      <c r="C1259" s="196" t="inlineStr">
        <is>
          <t>SINGAPORE DOLLAR</t>
        </is>
      </c>
      <c r="D1259" s="184" t="n">
        <v>19846.14</v>
      </c>
      <c r="E1259" s="184" t="n">
        <v>20046.61</v>
      </c>
      <c r="F1259" s="184" t="n">
        <v>20730.04</v>
      </c>
      <c r="G1259" s="184" t="n">
        <v>20388.32</v>
      </c>
    </row>
    <row r="1260">
      <c r="A1260" s="194" t="inlineStr">
        <is>
          <t>2026-07-18 18:00:00</t>
        </is>
      </c>
      <c r="B1260" s="194" t="inlineStr">
        <is>
          <t>THB</t>
        </is>
      </c>
      <c r="C1260" s="194" t="inlineStr">
        <is>
          <t>THAILAND BAHT</t>
        </is>
      </c>
      <c r="D1260" s="195" t="n">
        <v>689.92</v>
      </c>
      <c r="E1260" s="195" t="n">
        <v>766.58</v>
      </c>
      <c r="F1260" s="195" t="n">
        <v>799.08</v>
      </c>
      <c r="G1260" s="195" t="n">
        <v>782.83</v>
      </c>
    </row>
    <row r="1261">
      <c r="A1261" s="196" t="inlineStr">
        <is>
          <t>2026-07-18 18:00:00</t>
        </is>
      </c>
      <c r="B1261" s="196" t="inlineStr">
        <is>
          <t>USD</t>
        </is>
      </c>
      <c r="C1261" s="196" t="inlineStr">
        <is>
          <t>US DOLLAR</t>
        </is>
      </c>
      <c r="D1261" s="184" t="n">
        <v>26080</v>
      </c>
      <c r="E1261" s="184" t="n">
        <v>26110</v>
      </c>
      <c r="F1261" s="184" t="n">
        <v>26490</v>
      </c>
      <c r="G1261" s="184" t="n">
        <v>26300</v>
      </c>
    </row>
    <row r="1262">
      <c r="A1262" s="194" t="inlineStr">
        <is>
          <t>2026-07-17 18:00:00</t>
        </is>
      </c>
      <c r="B1262" s="194" t="inlineStr">
        <is>
          <t>AUD</t>
        </is>
      </c>
      <c r="C1262" s="194" t="inlineStr">
        <is>
          <t>AUSTRALIAN DOLLAR</t>
        </is>
      </c>
      <c r="D1262" s="195" t="n">
        <v>17869.67</v>
      </c>
      <c r="E1262" s="195" t="n">
        <v>18050.17</v>
      </c>
      <c r="F1262" s="195" t="n">
        <v>18628.23</v>
      </c>
      <c r="G1262" s="195" t="n">
        <v>18339.2</v>
      </c>
    </row>
    <row r="1263">
      <c r="A1263" s="196" t="inlineStr">
        <is>
          <t>2026-07-17 18:00:00</t>
        </is>
      </c>
      <c r="B1263" s="196" t="inlineStr">
        <is>
          <t>CAD</t>
        </is>
      </c>
      <c r="C1263" s="196" t="inlineStr">
        <is>
          <t>CANADIAN DOLLAR</t>
        </is>
      </c>
      <c r="D1263" s="184" t="n">
        <v>18267.32</v>
      </c>
      <c r="E1263" s="184" t="n">
        <v>18451.84</v>
      </c>
      <c r="F1263" s="184" t="n">
        <v>19042.77</v>
      </c>
      <c r="G1263" s="184" t="n">
        <v>18747.3</v>
      </c>
    </row>
    <row r="1264">
      <c r="A1264" s="194" t="inlineStr">
        <is>
          <t>2026-07-17 18:00:00</t>
        </is>
      </c>
      <c r="B1264" s="194" t="inlineStr">
        <is>
          <t>CHF</t>
        </is>
      </c>
      <c r="C1264" s="194" t="inlineStr">
        <is>
          <t>SWISS FRANC</t>
        </is>
      </c>
      <c r="D1264" s="195" t="n">
        <v>31766.9</v>
      </c>
      <c r="E1264" s="195" t="n">
        <v>32087.77</v>
      </c>
      <c r="F1264" s="195" t="n">
        <v>33115.39</v>
      </c>
      <c r="G1264" s="195" t="n">
        <v>32601.58</v>
      </c>
    </row>
    <row r="1265">
      <c r="A1265" s="196" t="inlineStr">
        <is>
          <t>2026-07-17 18:00:00</t>
        </is>
      </c>
      <c r="B1265" s="196" t="inlineStr">
        <is>
          <t>CNY</t>
        </is>
      </c>
      <c r="C1265" s="196" t="inlineStr">
        <is>
          <t>YUAN RENMINBI</t>
        </is>
      </c>
      <c r="D1265" s="184" t="n">
        <v>3782.14</v>
      </c>
      <c r="E1265" s="184" t="n">
        <v>3820.35</v>
      </c>
      <c r="F1265" s="184" t="n">
        <v>3942.69</v>
      </c>
      <c r="G1265" s="184" t="n">
        <v>3881.52</v>
      </c>
    </row>
    <row r="1266">
      <c r="A1266" s="194" t="inlineStr">
        <is>
          <t>2026-07-17 18:00:00</t>
        </is>
      </c>
      <c r="B1266" s="194" t="inlineStr">
        <is>
          <t>DKK</t>
        </is>
      </c>
      <c r="C1266" s="194" t="inlineStr">
        <is>
          <t>DANISH KRONE</t>
        </is>
      </c>
      <c r="D1266" s="195" t="n"/>
      <c r="E1266" s="195" t="n">
        <v>3951.16</v>
      </c>
      <c r="F1266" s="195" t="n">
        <v>4102.25</v>
      </c>
      <c r="G1266" s="195" t="n">
        <v>4026.7</v>
      </c>
    </row>
    <row r="1267">
      <c r="A1267" s="196" t="inlineStr">
        <is>
          <t>2026-07-17 18:00:00</t>
        </is>
      </c>
      <c r="B1267" s="196" t="inlineStr">
        <is>
          <t>EUR</t>
        </is>
      </c>
      <c r="C1267" s="196" t="inlineStr">
        <is>
          <t>EURO</t>
        </is>
      </c>
      <c r="D1267" s="184" t="n">
        <v>29314.66</v>
      </c>
      <c r="E1267" s="184" t="n">
        <v>29610.77</v>
      </c>
      <c r="F1267" s="184" t="n">
        <v>30860.13</v>
      </c>
      <c r="G1267" s="184" t="n">
        <v>30235.45</v>
      </c>
    </row>
    <row r="1268">
      <c r="A1268" s="194" t="inlineStr">
        <is>
          <t>2026-07-17 18:00:00</t>
        </is>
      </c>
      <c r="B1268" s="194" t="inlineStr">
        <is>
          <t>GBP</t>
        </is>
      </c>
      <c r="C1268" s="194" t="inlineStr">
        <is>
          <t>POUND STERLING</t>
        </is>
      </c>
      <c r="D1268" s="195" t="n">
        <v>34452.86</v>
      </c>
      <c r="E1268" s="195" t="n">
        <v>34800.87</v>
      </c>
      <c r="F1268" s="195" t="n">
        <v>35915.38</v>
      </c>
      <c r="G1268" s="195" t="n">
        <v>35358.12</v>
      </c>
    </row>
    <row r="1269">
      <c r="A1269" s="196" t="inlineStr">
        <is>
          <t>2026-07-17 18:00:00</t>
        </is>
      </c>
      <c r="B1269" s="196" t="inlineStr">
        <is>
          <t>HKD</t>
        </is>
      </c>
      <c r="C1269" s="196" t="inlineStr">
        <is>
          <t>HONGKONG DOLLAR</t>
        </is>
      </c>
      <c r="D1269" s="184" t="n">
        <v>3259.59</v>
      </c>
      <c r="E1269" s="184" t="n">
        <v>3292.52</v>
      </c>
      <c r="F1269" s="184" t="n">
        <v>3418.42</v>
      </c>
      <c r="G1269" s="184" t="n">
        <v>3355.47</v>
      </c>
    </row>
    <row r="1270">
      <c r="A1270" s="194" t="inlineStr">
        <is>
          <t>2026-07-17 18:00:00</t>
        </is>
      </c>
      <c r="B1270" s="194" t="inlineStr">
        <is>
          <t>INR</t>
        </is>
      </c>
      <c r="C1270" s="194" t="inlineStr">
        <is>
          <t>INDIAN RUPEE</t>
        </is>
      </c>
      <c r="D1270" s="195" t="n"/>
      <c r="E1270" s="195" t="n">
        <v>271.37</v>
      </c>
      <c r="F1270" s="195" t="n">
        <v>283.05</v>
      </c>
      <c r="G1270" s="195" t="n">
        <v>277.21</v>
      </c>
    </row>
    <row r="1271">
      <c r="A1271" s="196" t="inlineStr">
        <is>
          <t>2026-07-17 18:00:00</t>
        </is>
      </c>
      <c r="B1271" s="196" t="inlineStr">
        <is>
          <t>JPY</t>
        </is>
      </c>
      <c r="C1271" s="196" t="inlineStr">
        <is>
          <t>YEN</t>
        </is>
      </c>
      <c r="D1271" s="184" t="n">
        <v>156.34</v>
      </c>
      <c r="E1271" s="184" t="n">
        <v>157.91</v>
      </c>
      <c r="F1271" s="184" t="n">
        <v>167.12</v>
      </c>
      <c r="G1271" s="184" t="n">
        <v>162.51</v>
      </c>
    </row>
    <row r="1272">
      <c r="A1272" s="194" t="inlineStr">
        <is>
          <t>2026-07-17 18:00:00</t>
        </is>
      </c>
      <c r="B1272" s="194" t="inlineStr">
        <is>
          <t>KRW</t>
        </is>
      </c>
      <c r="C1272" s="194" t="inlineStr">
        <is>
          <t>KOREAN WON</t>
        </is>
      </c>
      <c r="D1272" s="195" t="n">
        <v>15.32</v>
      </c>
      <c r="E1272" s="195" t="n">
        <v>17.02</v>
      </c>
      <c r="F1272" s="195" t="n">
        <v>18.47</v>
      </c>
      <c r="G1272" s="195" t="n">
        <v>17.74</v>
      </c>
    </row>
    <row r="1273">
      <c r="A1273" s="196" t="inlineStr">
        <is>
          <t>2026-07-17 18:00:00</t>
        </is>
      </c>
      <c r="B1273" s="196" t="inlineStr">
        <is>
          <t>KWD</t>
        </is>
      </c>
      <c r="C1273" s="196" t="inlineStr">
        <is>
          <t>KUWAITI DINAR</t>
        </is>
      </c>
      <c r="D1273" s="184" t="n"/>
      <c r="E1273" s="184" t="n">
        <v>85065.89</v>
      </c>
      <c r="F1273" s="184" t="n">
        <v>89188.89999999999</v>
      </c>
      <c r="G1273" s="184" t="n">
        <v>87127.39</v>
      </c>
    </row>
    <row r="1274">
      <c r="A1274" s="194" t="inlineStr">
        <is>
          <t>2026-07-17 18:00:00</t>
        </is>
      </c>
      <c r="B1274" s="194" t="inlineStr">
        <is>
          <t>MYR</t>
        </is>
      </c>
      <c r="C1274" s="194" t="inlineStr">
        <is>
          <t>MALAYSIAN RINGGIT</t>
        </is>
      </c>
      <c r="D1274" s="195" t="n"/>
      <c r="E1274" s="195" t="n">
        <v>6377.4</v>
      </c>
      <c r="F1274" s="195" t="n">
        <v>6516.14</v>
      </c>
      <c r="G1274" s="195" t="n">
        <v>6446.77</v>
      </c>
    </row>
    <row r="1275">
      <c r="A1275" s="196" t="inlineStr">
        <is>
          <t>2026-07-17 18:00:00</t>
        </is>
      </c>
      <c r="B1275" s="196" t="inlineStr">
        <is>
          <t>NOK</t>
        </is>
      </c>
      <c r="C1275" s="196" t="inlineStr">
        <is>
          <t>NORWEGIAN KRONER</t>
        </is>
      </c>
      <c r="D1275" s="184" t="n"/>
      <c r="E1275" s="184" t="n">
        <v>2665.28</v>
      </c>
      <c r="F1275" s="184" t="n">
        <v>2778.29</v>
      </c>
      <c r="G1275" s="184" t="n">
        <v>2721.78</v>
      </c>
    </row>
    <row r="1276">
      <c r="A1276" s="194" t="inlineStr">
        <is>
          <t>2026-07-17 18:00:00</t>
        </is>
      </c>
      <c r="B1276" s="194" t="inlineStr">
        <is>
          <t>RUB</t>
        </is>
      </c>
      <c r="C1276" s="194" t="inlineStr">
        <is>
          <t>RUSSIAN RUBLE</t>
        </is>
      </c>
      <c r="D1276" s="195" t="n"/>
      <c r="E1276" s="195" t="n">
        <v>318.84</v>
      </c>
      <c r="F1276" s="195" t="n">
        <v>352.93</v>
      </c>
      <c r="G1276" s="195" t="n">
        <v>335.88</v>
      </c>
    </row>
    <row r="1277">
      <c r="A1277" s="196" t="inlineStr">
        <is>
          <t>2026-07-17 18:00:00</t>
        </is>
      </c>
      <c r="B1277" s="196" t="inlineStr">
        <is>
          <t>SAR</t>
        </is>
      </c>
      <c r="C1277" s="196" t="inlineStr">
        <is>
          <t>SAUDI RIAL</t>
        </is>
      </c>
      <c r="D1277" s="184" t="n"/>
      <c r="E1277" s="184" t="n">
        <v>6963.48</v>
      </c>
      <c r="F1277" s="184" t="n">
        <v>7263.16</v>
      </c>
      <c r="G1277" s="184" t="n">
        <v>7113.32</v>
      </c>
    </row>
    <row r="1278">
      <c r="A1278" s="194" t="inlineStr">
        <is>
          <t>2026-07-17 18:00:00</t>
        </is>
      </c>
      <c r="B1278" s="194" t="inlineStr">
        <is>
          <t>SEK</t>
        </is>
      </c>
      <c r="C1278" s="194" t="inlineStr">
        <is>
          <t>SWEDISH KRONA</t>
        </is>
      </c>
      <c r="D1278" s="195" t="n"/>
      <c r="E1278" s="195" t="n">
        <v>2668.29</v>
      </c>
      <c r="F1278" s="195" t="n">
        <v>2781.42</v>
      </c>
      <c r="G1278" s="195" t="n">
        <v>2724.86</v>
      </c>
    </row>
    <row r="1279">
      <c r="A1279" s="196" t="inlineStr">
        <is>
          <t>2026-07-17 18:00:00</t>
        </is>
      </c>
      <c r="B1279" s="196" t="inlineStr">
        <is>
          <t>SGD</t>
        </is>
      </c>
      <c r="C1279" s="196" t="inlineStr">
        <is>
          <t>SINGAPORE DOLLAR</t>
        </is>
      </c>
      <c r="D1279" s="184" t="n">
        <v>19846.14</v>
      </c>
      <c r="E1279" s="184" t="n">
        <v>20046.61</v>
      </c>
      <c r="F1279" s="184" t="n">
        <v>20730.04</v>
      </c>
      <c r="G1279" s="184" t="n">
        <v>20388.32</v>
      </c>
    </row>
    <row r="1280">
      <c r="A1280" s="194" t="inlineStr">
        <is>
          <t>2026-07-17 18:00:00</t>
        </is>
      </c>
      <c r="B1280" s="194" t="inlineStr">
        <is>
          <t>THB</t>
        </is>
      </c>
      <c r="C1280" s="194" t="inlineStr">
        <is>
          <t>THAILAND BAHT</t>
        </is>
      </c>
      <c r="D1280" s="195" t="n">
        <v>689.92</v>
      </c>
      <c r="E1280" s="195" t="n">
        <v>766.58</v>
      </c>
      <c r="F1280" s="195" t="n">
        <v>799.08</v>
      </c>
      <c r="G1280" s="195" t="n">
        <v>782.83</v>
      </c>
    </row>
    <row r="1281">
      <c r="A1281" s="196" t="inlineStr">
        <is>
          <t>2026-07-17 18:00:00</t>
        </is>
      </c>
      <c r="B1281" s="196" t="inlineStr">
        <is>
          <t>USD</t>
        </is>
      </c>
      <c r="C1281" s="196" t="inlineStr">
        <is>
          <t>US DOLLAR</t>
        </is>
      </c>
      <c r="D1281" s="184" t="n">
        <v>26080</v>
      </c>
      <c r="E1281" s="184" t="n">
        <v>26110</v>
      </c>
      <c r="F1281" s="184" t="n">
        <v>26490</v>
      </c>
      <c r="G1281" s="184" t="n">
        <v>26300</v>
      </c>
    </row>
    <row r="1282">
      <c r="A1282" s="194" t="inlineStr">
        <is>
          <t>2026-07-16 18:00:00</t>
        </is>
      </c>
      <c r="B1282" s="194" t="inlineStr">
        <is>
          <t>AUD</t>
        </is>
      </c>
      <c r="C1282" s="194" t="inlineStr">
        <is>
          <t>AUSTRALIAN DOLLAR</t>
        </is>
      </c>
      <c r="D1282" s="195" t="n">
        <v>17903.88</v>
      </c>
      <c r="E1282" s="195" t="n">
        <v>18084.73</v>
      </c>
      <c r="F1282" s="195" t="n">
        <v>18663.94</v>
      </c>
      <c r="G1282" s="195" t="n">
        <v>18374.34</v>
      </c>
    </row>
    <row r="1283">
      <c r="A1283" s="196" t="inlineStr">
        <is>
          <t>2026-07-16 18:00:00</t>
        </is>
      </c>
      <c r="B1283" s="196" t="inlineStr">
        <is>
          <t>CAD</t>
        </is>
      </c>
      <c r="C1283" s="196" t="inlineStr">
        <is>
          <t>CANADIAN DOLLAR</t>
        </is>
      </c>
      <c r="D1283" s="184" t="n">
        <v>18225.23</v>
      </c>
      <c r="E1283" s="184" t="n">
        <v>18409.33</v>
      </c>
      <c r="F1283" s="184" t="n">
        <v>18998.93</v>
      </c>
      <c r="G1283" s="184" t="n">
        <v>18704.13</v>
      </c>
    </row>
    <row r="1284">
      <c r="A1284" s="194" t="inlineStr">
        <is>
          <t>2026-07-16 18:00:00</t>
        </is>
      </c>
      <c r="B1284" s="194" t="inlineStr">
        <is>
          <t>CHF</t>
        </is>
      </c>
      <c r="C1284" s="194" t="inlineStr">
        <is>
          <t>SWISS FRANC</t>
        </is>
      </c>
      <c r="D1284" s="195" t="n">
        <v>31793.41</v>
      </c>
      <c r="E1284" s="195" t="n">
        <v>32114.55</v>
      </c>
      <c r="F1284" s="195" t="n">
        <v>33143.11</v>
      </c>
      <c r="G1284" s="195" t="n">
        <v>32628.83</v>
      </c>
    </row>
    <row r="1285">
      <c r="A1285" s="196" t="inlineStr">
        <is>
          <t>2026-07-16 18:00:00</t>
        </is>
      </c>
      <c r="B1285" s="196" t="inlineStr">
        <is>
          <t>CNY</t>
        </is>
      </c>
      <c r="C1285" s="196" t="inlineStr">
        <is>
          <t>YUAN RENMINBI</t>
        </is>
      </c>
      <c r="D1285" s="184" t="n">
        <v>3781.46</v>
      </c>
      <c r="E1285" s="184" t="n">
        <v>3819.66</v>
      </c>
      <c r="F1285" s="184" t="n">
        <v>3941.99</v>
      </c>
      <c r="G1285" s="184" t="n">
        <v>3880.82</v>
      </c>
    </row>
    <row r="1286">
      <c r="A1286" s="194" t="inlineStr">
        <is>
          <t>2026-07-16 18:00:00</t>
        </is>
      </c>
      <c r="B1286" s="194" t="inlineStr">
        <is>
          <t>DKK</t>
        </is>
      </c>
      <c r="C1286" s="194" t="inlineStr">
        <is>
          <t>DANISH KRONE</t>
        </is>
      </c>
      <c r="D1286" s="195" t="n"/>
      <c r="E1286" s="195" t="n">
        <v>3955.44</v>
      </c>
      <c r="F1286" s="195" t="n">
        <v>4106.7</v>
      </c>
      <c r="G1286" s="195" t="n">
        <v>4031.07</v>
      </c>
    </row>
    <row r="1287">
      <c r="A1287" s="196" t="inlineStr">
        <is>
          <t>2026-07-16 18:00:00</t>
        </is>
      </c>
      <c r="B1287" s="196" t="inlineStr">
        <is>
          <t>EUR</t>
        </is>
      </c>
      <c r="C1287" s="196" t="inlineStr">
        <is>
          <t>EURO</t>
        </is>
      </c>
      <c r="D1287" s="184" t="n">
        <v>29349.36</v>
      </c>
      <c r="E1287" s="184" t="n">
        <v>29645.82</v>
      </c>
      <c r="F1287" s="184" t="n">
        <v>30896.74</v>
      </c>
      <c r="G1287" s="184" t="n">
        <v>30271.28</v>
      </c>
    </row>
    <row r="1288">
      <c r="A1288" s="194" t="inlineStr">
        <is>
          <t>2026-07-16 18:00:00</t>
        </is>
      </c>
      <c r="B1288" s="194" t="inlineStr">
        <is>
          <t>GBP</t>
        </is>
      </c>
      <c r="C1288" s="194" t="inlineStr">
        <is>
          <t>POUND STERLING</t>
        </is>
      </c>
      <c r="D1288" s="195" t="n">
        <v>34612.8</v>
      </c>
      <c r="E1288" s="195" t="n">
        <v>34962.43</v>
      </c>
      <c r="F1288" s="195" t="n">
        <v>36082.19</v>
      </c>
      <c r="G1288" s="195" t="n">
        <v>35522.31</v>
      </c>
    </row>
    <row r="1289">
      <c r="A1289" s="196" t="inlineStr">
        <is>
          <t>2026-07-16 18:00:00</t>
        </is>
      </c>
      <c r="B1289" s="196" t="inlineStr">
        <is>
          <t>HKD</t>
        </is>
      </c>
      <c r="C1289" s="196" t="inlineStr">
        <is>
          <t>HONGKONG DOLLAR</t>
        </is>
      </c>
      <c r="D1289" s="184" t="n">
        <v>3255.75</v>
      </c>
      <c r="E1289" s="184" t="n">
        <v>3288.64</v>
      </c>
      <c r="F1289" s="184" t="n">
        <v>3414.4</v>
      </c>
      <c r="G1289" s="184" t="n">
        <v>3351.52</v>
      </c>
    </row>
    <row r="1290">
      <c r="A1290" s="194" t="inlineStr">
        <is>
          <t>2026-07-16 18:00:00</t>
        </is>
      </c>
      <c r="B1290" s="194" t="inlineStr">
        <is>
          <t>INR</t>
        </is>
      </c>
      <c r="C1290" s="194" t="inlineStr">
        <is>
          <t>INDIAN RUPEE</t>
        </is>
      </c>
      <c r="D1290" s="195" t="n"/>
      <c r="E1290" s="195" t="n">
        <v>271.27</v>
      </c>
      <c r="F1290" s="195" t="n">
        <v>282.94</v>
      </c>
      <c r="G1290" s="195" t="n">
        <v>277.1</v>
      </c>
    </row>
    <row r="1291">
      <c r="A1291" s="196" t="inlineStr">
        <is>
          <t>2026-07-16 18:00:00</t>
        </is>
      </c>
      <c r="B1291" s="196" t="inlineStr">
        <is>
          <t>JPY</t>
        </is>
      </c>
      <c r="C1291" s="196" t="inlineStr">
        <is>
          <t>YEN</t>
        </is>
      </c>
      <c r="D1291" s="184" t="n">
        <v>156.37</v>
      </c>
      <c r="E1291" s="184" t="n">
        <v>157.95</v>
      </c>
      <c r="F1291" s="184" t="n">
        <v>167.16</v>
      </c>
      <c r="G1291" s="184" t="n">
        <v>162.56</v>
      </c>
    </row>
    <row r="1292">
      <c r="A1292" s="194" t="inlineStr">
        <is>
          <t>2026-07-16 18:00:00</t>
        </is>
      </c>
      <c r="B1292" s="194" t="inlineStr">
        <is>
          <t>KRW</t>
        </is>
      </c>
      <c r="C1292" s="194" t="inlineStr">
        <is>
          <t>KOREAN WON</t>
        </is>
      </c>
      <c r="D1292" s="195" t="n">
        <v>15.28</v>
      </c>
      <c r="E1292" s="195" t="n">
        <v>16.97</v>
      </c>
      <c r="F1292" s="195" t="n">
        <v>18.42</v>
      </c>
      <c r="G1292" s="195" t="n">
        <v>17.7</v>
      </c>
    </row>
    <row r="1293">
      <c r="A1293" s="196" t="inlineStr">
        <is>
          <t>2026-07-16 18:00:00</t>
        </is>
      </c>
      <c r="B1293" s="196" t="inlineStr">
        <is>
          <t>KWD</t>
        </is>
      </c>
      <c r="C1293" s="196" t="inlineStr">
        <is>
          <t>KUWAITI DINAR</t>
        </is>
      </c>
      <c r="D1293" s="184" t="n"/>
      <c r="E1293" s="184" t="n">
        <v>84881.19</v>
      </c>
      <c r="F1293" s="184" t="n">
        <v>88995.45</v>
      </c>
      <c r="G1293" s="184" t="n">
        <v>86938.32000000001</v>
      </c>
    </row>
    <row r="1294">
      <c r="A1294" s="194" t="inlineStr">
        <is>
          <t>2026-07-16 18:00:00</t>
        </is>
      </c>
      <c r="B1294" s="194" t="inlineStr">
        <is>
          <t>MYR</t>
        </is>
      </c>
      <c r="C1294" s="194" t="inlineStr">
        <is>
          <t>MALAYSIAN RINGGIT</t>
        </is>
      </c>
      <c r="D1294" s="195" t="n"/>
      <c r="E1294" s="195" t="n">
        <v>6383.34</v>
      </c>
      <c r="F1294" s="195" t="n">
        <v>6522.22</v>
      </c>
      <c r="G1294" s="195" t="n">
        <v>6452.78</v>
      </c>
    </row>
    <row r="1295">
      <c r="A1295" s="196" t="inlineStr">
        <is>
          <t>2026-07-16 18:00:00</t>
        </is>
      </c>
      <c r="B1295" s="196" t="inlineStr">
        <is>
          <t>NOK</t>
        </is>
      </c>
      <c r="C1295" s="196" t="inlineStr">
        <is>
          <t>NORWEGIAN KRONER</t>
        </is>
      </c>
      <c r="D1295" s="184" t="n"/>
      <c r="E1295" s="184" t="n">
        <v>2662.9</v>
      </c>
      <c r="F1295" s="184" t="n">
        <v>2775.82</v>
      </c>
      <c r="G1295" s="184" t="n">
        <v>2719.36</v>
      </c>
    </row>
    <row r="1296">
      <c r="A1296" s="194" t="inlineStr">
        <is>
          <t>2026-07-16 18:00:00</t>
        </is>
      </c>
      <c r="B1296" s="194" t="inlineStr">
        <is>
          <t>RUB</t>
        </is>
      </c>
      <c r="C1296" s="194" t="inlineStr">
        <is>
          <t>RUSSIAN RUBLE</t>
        </is>
      </c>
      <c r="D1296" s="195" t="n"/>
      <c r="E1296" s="195" t="n">
        <v>322.48</v>
      </c>
      <c r="F1296" s="195" t="n">
        <v>356.96</v>
      </c>
      <c r="G1296" s="195" t="n">
        <v>339.72</v>
      </c>
    </row>
    <row r="1297">
      <c r="A1297" s="196" t="inlineStr">
        <is>
          <t>2026-07-16 18:00:00</t>
        </is>
      </c>
      <c r="B1297" s="196" t="inlineStr">
        <is>
          <t>SAR</t>
        </is>
      </c>
      <c r="C1297" s="196" t="inlineStr">
        <is>
          <t>SAUDI RIAL</t>
        </is>
      </c>
      <c r="D1297" s="184" t="n"/>
      <c r="E1297" s="184" t="n">
        <v>6953.62</v>
      </c>
      <c r="F1297" s="184" t="n">
        <v>7252.89</v>
      </c>
      <c r="G1297" s="184" t="n">
        <v>7103.26</v>
      </c>
    </row>
    <row r="1298">
      <c r="A1298" s="194" t="inlineStr">
        <is>
          <t>2026-07-16 18:00:00</t>
        </is>
      </c>
      <c r="B1298" s="194" t="inlineStr">
        <is>
          <t>SEK</t>
        </is>
      </c>
      <c r="C1298" s="194" t="inlineStr">
        <is>
          <t>SWEDISH KRONA</t>
        </is>
      </c>
      <c r="D1298" s="195" t="n"/>
      <c r="E1298" s="195" t="n">
        <v>2681.25</v>
      </c>
      <c r="F1298" s="195" t="n">
        <v>2794.94</v>
      </c>
      <c r="G1298" s="195" t="n">
        <v>2738.1</v>
      </c>
    </row>
    <row r="1299">
      <c r="A1299" s="196" t="inlineStr">
        <is>
          <t>2026-07-16 18:00:00</t>
        </is>
      </c>
      <c r="B1299" s="196" t="inlineStr">
        <is>
          <t>SGD</t>
        </is>
      </c>
      <c r="C1299" s="196" t="inlineStr">
        <is>
          <t>SINGAPORE DOLLAR</t>
        </is>
      </c>
      <c r="D1299" s="184" t="n">
        <v>19842.08</v>
      </c>
      <c r="E1299" s="184" t="n">
        <v>20042.5</v>
      </c>
      <c r="F1299" s="184" t="n">
        <v>20725.84</v>
      </c>
      <c r="G1299" s="184" t="n">
        <v>20384.17</v>
      </c>
    </row>
    <row r="1300">
      <c r="A1300" s="194" t="inlineStr">
        <is>
          <t>2026-07-16 18:00:00</t>
        </is>
      </c>
      <c r="B1300" s="194" t="inlineStr">
        <is>
          <t>THB</t>
        </is>
      </c>
      <c r="C1300" s="194" t="inlineStr">
        <is>
          <t>THAILAND BAHT</t>
        </is>
      </c>
      <c r="D1300" s="195" t="n">
        <v>689.49</v>
      </c>
      <c r="E1300" s="195" t="n">
        <v>766.1</v>
      </c>
      <c r="F1300" s="195" t="n">
        <v>798.58</v>
      </c>
      <c r="G1300" s="195" t="n">
        <v>782.34</v>
      </c>
    </row>
    <row r="1301">
      <c r="A1301" s="196" t="inlineStr">
        <is>
          <t>2026-07-16 18:00:00</t>
        </is>
      </c>
      <c r="B1301" s="196" t="inlineStr">
        <is>
          <t>USD</t>
        </is>
      </c>
      <c r="C1301" s="196" t="inlineStr">
        <is>
          <t>US DOLLAR</t>
        </is>
      </c>
      <c r="D1301" s="184" t="n">
        <v>26040</v>
      </c>
      <c r="E1301" s="184" t="n">
        <v>26070</v>
      </c>
      <c r="F1301" s="184" t="n">
        <v>26450</v>
      </c>
      <c r="G1301" s="184" t="n">
        <v>26260</v>
      </c>
    </row>
    <row r="1302">
      <c r="A1302" s="194" t="inlineStr">
        <is>
          <t>2026-07-15 18:00:00</t>
        </is>
      </c>
      <c r="B1302" s="194" t="inlineStr">
        <is>
          <t>AUD</t>
        </is>
      </c>
      <c r="C1302" s="194" t="inlineStr">
        <is>
          <t>AUSTRALIAN DOLLAR</t>
        </is>
      </c>
      <c r="D1302" s="195" t="n">
        <v>17865.5</v>
      </c>
      <c r="E1302" s="195" t="n">
        <v>18045.96</v>
      </c>
      <c r="F1302" s="195" t="n">
        <v>18623.93</v>
      </c>
      <c r="G1302" s="195" t="n">
        <v>18334.94</v>
      </c>
    </row>
    <row r="1303">
      <c r="A1303" s="196" t="inlineStr">
        <is>
          <t>2026-07-15 18:00:00</t>
        </is>
      </c>
      <c r="B1303" s="196" t="inlineStr">
        <is>
          <t>CAD</t>
        </is>
      </c>
      <c r="C1303" s="196" t="inlineStr">
        <is>
          <t>CANADIAN DOLLAR</t>
        </is>
      </c>
      <c r="D1303" s="184" t="n">
        <v>18220.04</v>
      </c>
      <c r="E1303" s="184" t="n">
        <v>18404.08</v>
      </c>
      <c r="F1303" s="184" t="n">
        <v>18993.52</v>
      </c>
      <c r="G1303" s="184" t="n">
        <v>18698.8</v>
      </c>
    </row>
    <row r="1304">
      <c r="A1304" s="194" t="inlineStr">
        <is>
          <t>2026-07-15 18:00:00</t>
        </is>
      </c>
      <c r="B1304" s="194" t="inlineStr">
        <is>
          <t>CHF</t>
        </is>
      </c>
      <c r="C1304" s="194" t="inlineStr">
        <is>
          <t>SWISS FRANC</t>
        </is>
      </c>
      <c r="D1304" s="195" t="n">
        <v>31659.69</v>
      </c>
      <c r="E1304" s="195" t="n">
        <v>31979.49</v>
      </c>
      <c r="F1304" s="195" t="n">
        <v>33003.71</v>
      </c>
      <c r="G1304" s="195" t="n">
        <v>32491.6</v>
      </c>
    </row>
    <row r="1305">
      <c r="A1305" s="196" t="inlineStr">
        <is>
          <t>2026-07-15 18:00:00</t>
        </is>
      </c>
      <c r="B1305" s="196" t="inlineStr">
        <is>
          <t>CNY</t>
        </is>
      </c>
      <c r="C1305" s="196" t="inlineStr">
        <is>
          <t>YUAN RENMINBI</t>
        </is>
      </c>
      <c r="D1305" s="184" t="n">
        <v>3780.46</v>
      </c>
      <c r="E1305" s="184" t="n">
        <v>3818.64</v>
      </c>
      <c r="F1305" s="184" t="n">
        <v>3940.95</v>
      </c>
      <c r="G1305" s="184" t="n">
        <v>3879.8</v>
      </c>
    </row>
    <row r="1306">
      <c r="A1306" s="194" t="inlineStr">
        <is>
          <t>2026-07-15 18:00:00</t>
        </is>
      </c>
      <c r="B1306" s="194" t="inlineStr">
        <is>
          <t>DKK</t>
        </is>
      </c>
      <c r="C1306" s="194" t="inlineStr">
        <is>
          <t>DANISH KRONE</t>
        </is>
      </c>
      <c r="D1306" s="195" t="n"/>
      <c r="E1306" s="195" t="n">
        <v>3942.43</v>
      </c>
      <c r="F1306" s="195" t="n">
        <v>4093.19</v>
      </c>
      <c r="G1306" s="195" t="n">
        <v>4017.81</v>
      </c>
    </row>
    <row r="1307">
      <c r="A1307" s="196" t="inlineStr">
        <is>
          <t>2026-07-15 18:00:00</t>
        </is>
      </c>
      <c r="B1307" s="196" t="inlineStr">
        <is>
          <t>EUR</t>
        </is>
      </c>
      <c r="C1307" s="196" t="inlineStr">
        <is>
          <t>EURO</t>
        </is>
      </c>
      <c r="D1307" s="184" t="n">
        <v>29254.69</v>
      </c>
      <c r="E1307" s="184" t="n">
        <v>29550.19</v>
      </c>
      <c r="F1307" s="184" t="n">
        <v>30797.07</v>
      </c>
      <c r="G1307" s="184" t="n">
        <v>30173.63</v>
      </c>
    </row>
    <row r="1308">
      <c r="A1308" s="194" t="inlineStr">
        <is>
          <t>2026-07-15 18:00:00</t>
        </is>
      </c>
      <c r="B1308" s="194" t="inlineStr">
        <is>
          <t>GBP</t>
        </is>
      </c>
      <c r="C1308" s="194" t="inlineStr">
        <is>
          <t>POUND STERLING</t>
        </is>
      </c>
      <c r="D1308" s="195" t="n">
        <v>34285.28</v>
      </c>
      <c r="E1308" s="195" t="n">
        <v>34631.59</v>
      </c>
      <c r="F1308" s="195" t="n">
        <v>35740.76</v>
      </c>
      <c r="G1308" s="195" t="n">
        <v>35186.18</v>
      </c>
    </row>
    <row r="1309">
      <c r="A1309" s="196" t="inlineStr">
        <is>
          <t>2026-07-15 18:00:00</t>
        </is>
      </c>
      <c r="B1309" s="196" t="inlineStr">
        <is>
          <t>HKD</t>
        </is>
      </c>
      <c r="C1309" s="196" t="inlineStr">
        <is>
          <t>HONGKONG DOLLAR</t>
        </is>
      </c>
      <c r="D1309" s="184" t="n">
        <v>3256</v>
      </c>
      <c r="E1309" s="184" t="n">
        <v>3288.89</v>
      </c>
      <c r="F1309" s="184" t="n">
        <v>3414.66</v>
      </c>
      <c r="G1309" s="184" t="n">
        <v>3351.77</v>
      </c>
    </row>
    <row r="1310">
      <c r="A1310" s="194" t="inlineStr">
        <is>
          <t>2026-07-15 18:00:00</t>
        </is>
      </c>
      <c r="B1310" s="194" t="inlineStr">
        <is>
          <t>INR</t>
        </is>
      </c>
      <c r="C1310" s="194" t="inlineStr">
        <is>
          <t>INDIAN RUPEE</t>
        </is>
      </c>
      <c r="D1310" s="195" t="n"/>
      <c r="E1310" s="195" t="n">
        <v>271.41</v>
      </c>
      <c r="F1310" s="195" t="n">
        <v>283.09</v>
      </c>
      <c r="G1310" s="195" t="n">
        <v>277.25</v>
      </c>
    </row>
    <row r="1311">
      <c r="A1311" s="196" t="inlineStr">
        <is>
          <t>2026-07-15 18:00:00</t>
        </is>
      </c>
      <c r="B1311" s="196" t="inlineStr">
        <is>
          <t>JPY</t>
        </is>
      </c>
      <c r="C1311" s="196" t="inlineStr">
        <is>
          <t>YEN</t>
        </is>
      </c>
      <c r="D1311" s="184" t="n">
        <v>156.37</v>
      </c>
      <c r="E1311" s="184" t="n">
        <v>157.95</v>
      </c>
      <c r="F1311" s="184" t="n">
        <v>167.16</v>
      </c>
      <c r="G1311" s="184" t="n">
        <v>162.56</v>
      </c>
    </row>
    <row r="1312">
      <c r="A1312" s="194" t="inlineStr">
        <is>
          <t>2026-07-15 18:00:00</t>
        </is>
      </c>
      <c r="B1312" s="194" t="inlineStr">
        <is>
          <t>KRW</t>
        </is>
      </c>
      <c r="C1312" s="194" t="inlineStr">
        <is>
          <t>KOREAN WON</t>
        </is>
      </c>
      <c r="D1312" s="195" t="n">
        <v>15.25</v>
      </c>
      <c r="E1312" s="195" t="n">
        <v>16.95</v>
      </c>
      <c r="F1312" s="195" t="n">
        <v>18.39</v>
      </c>
      <c r="G1312" s="195" t="n">
        <v>17.67</v>
      </c>
    </row>
    <row r="1313">
      <c r="A1313" s="196" t="inlineStr">
        <is>
          <t>2026-07-15 18:00:00</t>
        </is>
      </c>
      <c r="B1313" s="196" t="inlineStr">
        <is>
          <t>KWD</t>
        </is>
      </c>
      <c r="C1313" s="196" t="inlineStr">
        <is>
          <t>KUWAITI DINAR</t>
        </is>
      </c>
      <c r="D1313" s="184" t="n"/>
      <c r="E1313" s="184" t="n">
        <v>84853.60000000001</v>
      </c>
      <c r="F1313" s="184" t="n">
        <v>88966.53</v>
      </c>
      <c r="G1313" s="184" t="n">
        <v>86910.06</v>
      </c>
    </row>
    <row r="1314">
      <c r="A1314" s="194" t="inlineStr">
        <is>
          <t>2026-07-15 18:00:00</t>
        </is>
      </c>
      <c r="B1314" s="194" t="inlineStr">
        <is>
          <t>MYR</t>
        </is>
      </c>
      <c r="C1314" s="194" t="inlineStr">
        <is>
          <t>MALAYSIAN RINGGIT</t>
        </is>
      </c>
      <c r="D1314" s="195" t="n"/>
      <c r="E1314" s="195" t="n">
        <v>6392.77</v>
      </c>
      <c r="F1314" s="195" t="n">
        <v>6531.85</v>
      </c>
      <c r="G1314" s="195" t="n">
        <v>6462.31</v>
      </c>
    </row>
    <row r="1315">
      <c r="A1315" s="196" t="inlineStr">
        <is>
          <t>2026-07-15 18:00:00</t>
        </is>
      </c>
      <c r="B1315" s="196" t="inlineStr">
        <is>
          <t>NOK</t>
        </is>
      </c>
      <c r="C1315" s="196" t="inlineStr">
        <is>
          <t>NORWEGIAN KRONER</t>
        </is>
      </c>
      <c r="D1315" s="184" t="n"/>
      <c r="E1315" s="184" t="n">
        <v>2661.03</v>
      </c>
      <c r="F1315" s="184" t="n">
        <v>2773.86</v>
      </c>
      <c r="G1315" s="184" t="n">
        <v>2717.44</v>
      </c>
    </row>
    <row r="1316">
      <c r="A1316" s="194" t="inlineStr">
        <is>
          <t>2026-07-15 18:00:00</t>
        </is>
      </c>
      <c r="B1316" s="194" t="inlineStr">
        <is>
          <t>RUB</t>
        </is>
      </c>
      <c r="C1316" s="194" t="inlineStr">
        <is>
          <t>RUSSIAN RUBLE</t>
        </is>
      </c>
      <c r="D1316" s="195" t="n"/>
      <c r="E1316" s="195" t="n">
        <v>322.48</v>
      </c>
      <c r="F1316" s="195" t="n">
        <v>356.96</v>
      </c>
      <c r="G1316" s="195" t="n">
        <v>339.72</v>
      </c>
    </row>
    <row r="1317">
      <c r="A1317" s="196" t="inlineStr">
        <is>
          <t>2026-07-15 18:00:00</t>
        </is>
      </c>
      <c r="B1317" s="196" t="inlineStr">
        <is>
          <t>SAR</t>
        </is>
      </c>
      <c r="C1317" s="196" t="inlineStr">
        <is>
          <t>SAUDI RIAL</t>
        </is>
      </c>
      <c r="D1317" s="184" t="n"/>
      <c r="E1317" s="184" t="n">
        <v>6951.58</v>
      </c>
      <c r="F1317" s="184" t="n">
        <v>7250.77</v>
      </c>
      <c r="G1317" s="184" t="n">
        <v>7101.18</v>
      </c>
    </row>
    <row r="1318">
      <c r="A1318" s="194" t="inlineStr">
        <is>
          <t>2026-07-15 18:00:00</t>
        </is>
      </c>
      <c r="B1318" s="194" t="inlineStr">
        <is>
          <t>SEK</t>
        </is>
      </c>
      <c r="C1318" s="194" t="inlineStr">
        <is>
          <t>SWEDISH KRONA</t>
        </is>
      </c>
      <c r="D1318" s="195" t="n"/>
      <c r="E1318" s="195" t="n">
        <v>2667.93</v>
      </c>
      <c r="F1318" s="195" t="n">
        <v>2781.06</v>
      </c>
      <c r="G1318" s="195" t="n">
        <v>2724.5</v>
      </c>
    </row>
    <row r="1319">
      <c r="A1319" s="196" t="inlineStr">
        <is>
          <t>2026-07-15 18:00:00</t>
        </is>
      </c>
      <c r="B1319" s="196" t="inlineStr">
        <is>
          <t>SGD</t>
        </is>
      </c>
      <c r="C1319" s="196" t="inlineStr">
        <is>
          <t>SINGAPORE DOLLAR</t>
        </is>
      </c>
      <c r="D1319" s="184" t="n">
        <v>19823.62</v>
      </c>
      <c r="E1319" s="184" t="n">
        <v>20023.86</v>
      </c>
      <c r="F1319" s="184" t="n">
        <v>20706.56</v>
      </c>
      <c r="G1319" s="184" t="n">
        <v>20365.21</v>
      </c>
    </row>
    <row r="1320">
      <c r="A1320" s="194" t="inlineStr">
        <is>
          <t>2026-07-15 18:00:00</t>
        </is>
      </c>
      <c r="B1320" s="194" t="inlineStr">
        <is>
          <t>THB</t>
        </is>
      </c>
      <c r="C1320" s="194" t="inlineStr">
        <is>
          <t>THAILAND BAHT</t>
        </is>
      </c>
      <c r="D1320" s="195" t="n">
        <v>692.58</v>
      </c>
      <c r="E1320" s="195" t="n">
        <v>769.53</v>
      </c>
      <c r="F1320" s="195" t="n">
        <v>802.16</v>
      </c>
      <c r="G1320" s="195" t="n">
        <v>785.84</v>
      </c>
    </row>
    <row r="1321">
      <c r="A1321" s="196" t="inlineStr">
        <is>
          <t>2026-07-15 18:00:00</t>
        </is>
      </c>
      <c r="B1321" s="196" t="inlineStr">
        <is>
          <t>USD</t>
        </is>
      </c>
      <c r="C1321" s="196" t="inlineStr">
        <is>
          <t>US DOLLAR</t>
        </is>
      </c>
      <c r="D1321" s="184" t="n">
        <v>26040</v>
      </c>
      <c r="E1321" s="184" t="n">
        <v>26070</v>
      </c>
      <c r="F1321" s="184" t="n">
        <v>26450</v>
      </c>
      <c r="G1321" s="184" t="n">
        <v>26260</v>
      </c>
    </row>
    <row r="1322">
      <c r="A1322" s="194" t="inlineStr">
        <is>
          <t>2026-07-14 18:00:00</t>
        </is>
      </c>
      <c r="B1322" s="194" t="inlineStr">
        <is>
          <t>AUD</t>
        </is>
      </c>
      <c r="C1322" s="194" t="inlineStr">
        <is>
          <t>AUSTRALIAN DOLLAR</t>
        </is>
      </c>
      <c r="D1322" s="195" t="n">
        <v>17704.29</v>
      </c>
      <c r="E1322" s="195" t="n">
        <v>17883.12</v>
      </c>
      <c r="F1322" s="195" t="n">
        <v>18455.88</v>
      </c>
      <c r="G1322" s="195" t="n">
        <v>18169.5</v>
      </c>
    </row>
    <row r="1323">
      <c r="A1323" s="196" t="inlineStr">
        <is>
          <t>2026-07-14 18:00:00</t>
        </is>
      </c>
      <c r="B1323" s="196" t="inlineStr">
        <is>
          <t>CAD</t>
        </is>
      </c>
      <c r="C1323" s="196" t="inlineStr">
        <is>
          <t>CANADIAN DOLLAR</t>
        </is>
      </c>
      <c r="D1323" s="184" t="n">
        <v>18095.09</v>
      </c>
      <c r="E1323" s="184" t="n">
        <v>18277.87</v>
      </c>
      <c r="F1323" s="184" t="n">
        <v>18863.27</v>
      </c>
      <c r="G1323" s="184" t="n">
        <v>18570.57</v>
      </c>
    </row>
    <row r="1324">
      <c r="A1324" s="194" t="inlineStr">
        <is>
          <t>2026-07-14 18:00:00</t>
        </is>
      </c>
      <c r="B1324" s="194" t="inlineStr">
        <is>
          <t>CHF</t>
        </is>
      </c>
      <c r="C1324" s="194" t="inlineStr">
        <is>
          <t>SWISS FRANC</t>
        </is>
      </c>
      <c r="D1324" s="195" t="n">
        <v>31438.02</v>
      </c>
      <c r="E1324" s="195" t="n">
        <v>31755.58</v>
      </c>
      <c r="F1324" s="195" t="n">
        <v>32772.64</v>
      </c>
      <c r="G1324" s="195" t="n">
        <v>32264.11</v>
      </c>
    </row>
    <row r="1325">
      <c r="A1325" s="196" t="inlineStr">
        <is>
          <t>2026-07-14 18:00:00</t>
        </is>
      </c>
      <c r="B1325" s="196" t="inlineStr">
        <is>
          <t>CNY</t>
        </is>
      </c>
      <c r="C1325" s="196" t="inlineStr">
        <is>
          <t>YUAN RENMINBI</t>
        </is>
      </c>
      <c r="D1325" s="184" t="n">
        <v>3775.16</v>
      </c>
      <c r="E1325" s="184" t="n">
        <v>3813.29</v>
      </c>
      <c r="F1325" s="184" t="n">
        <v>3935.42</v>
      </c>
      <c r="G1325" s="184" t="n">
        <v>3874.36</v>
      </c>
    </row>
    <row r="1326">
      <c r="A1326" s="194" t="inlineStr">
        <is>
          <t>2026-07-14 18:00:00</t>
        </is>
      </c>
      <c r="B1326" s="194" t="inlineStr">
        <is>
          <t>DKK</t>
        </is>
      </c>
      <c r="C1326" s="194" t="inlineStr">
        <is>
          <t>DANISH KRONE</t>
        </is>
      </c>
      <c r="D1326" s="195" t="n"/>
      <c r="E1326" s="195" t="n">
        <v>3926.82</v>
      </c>
      <c r="F1326" s="195" t="n">
        <v>4076.98</v>
      </c>
      <c r="G1326" s="195" t="n">
        <v>4001.9</v>
      </c>
    </row>
    <row r="1327">
      <c r="A1327" s="196" t="inlineStr">
        <is>
          <t>2026-07-14 18:00:00</t>
        </is>
      </c>
      <c r="B1327" s="196" t="inlineStr">
        <is>
          <t>EUR</t>
        </is>
      </c>
      <c r="C1327" s="196" t="inlineStr">
        <is>
          <t>EURO</t>
        </is>
      </c>
      <c r="D1327" s="184" t="n">
        <v>29134.42</v>
      </c>
      <c r="E1327" s="184" t="n">
        <v>29428.71</v>
      </c>
      <c r="F1327" s="184" t="n">
        <v>30670.47</v>
      </c>
      <c r="G1327" s="184" t="n">
        <v>30049.59</v>
      </c>
    </row>
    <row r="1328">
      <c r="A1328" s="194" t="inlineStr">
        <is>
          <t>2026-07-14 18:00:00</t>
        </is>
      </c>
      <c r="B1328" s="194" t="inlineStr">
        <is>
          <t>GBP</t>
        </is>
      </c>
      <c r="C1328" s="194" t="inlineStr">
        <is>
          <t>POUND STERLING</t>
        </is>
      </c>
      <c r="D1328" s="195" t="n">
        <v>34162.45</v>
      </c>
      <c r="E1328" s="195" t="n">
        <v>34507.53</v>
      </c>
      <c r="F1328" s="195" t="n">
        <v>35612.72</v>
      </c>
      <c r="G1328" s="195" t="n">
        <v>35060.12</v>
      </c>
    </row>
    <row r="1329">
      <c r="A1329" s="196" t="inlineStr">
        <is>
          <t>2026-07-14 18:00:00</t>
        </is>
      </c>
      <c r="B1329" s="196" t="inlineStr">
        <is>
          <t>HKD</t>
        </is>
      </c>
      <c r="C1329" s="196" t="inlineStr">
        <is>
          <t>HONGKONG DOLLAR</t>
        </is>
      </c>
      <c r="D1329" s="184" t="n">
        <v>3256</v>
      </c>
      <c r="E1329" s="184" t="n">
        <v>3288.89</v>
      </c>
      <c r="F1329" s="184" t="n">
        <v>3414.66</v>
      </c>
      <c r="G1329" s="184" t="n">
        <v>3351.77</v>
      </c>
    </row>
    <row r="1330">
      <c r="A1330" s="194" t="inlineStr">
        <is>
          <t>2026-07-14 18:00:00</t>
        </is>
      </c>
      <c r="B1330" s="194" t="inlineStr">
        <is>
          <t>INR</t>
        </is>
      </c>
      <c r="C1330" s="194" t="inlineStr">
        <is>
          <t>INDIAN RUPEE</t>
        </is>
      </c>
      <c r="D1330" s="195" t="n"/>
      <c r="E1330" s="195" t="n">
        <v>273.05</v>
      </c>
      <c r="F1330" s="195" t="n">
        <v>284.81</v>
      </c>
      <c r="G1330" s="195" t="n">
        <v>278.93</v>
      </c>
    </row>
    <row r="1331">
      <c r="A1331" s="196" t="inlineStr">
        <is>
          <t>2026-07-14 18:00:00</t>
        </is>
      </c>
      <c r="B1331" s="196" t="inlineStr">
        <is>
          <t>JPY</t>
        </is>
      </c>
      <c r="C1331" s="196" t="inlineStr">
        <is>
          <t>YEN</t>
        </is>
      </c>
      <c r="D1331" s="184" t="n">
        <v>156.11</v>
      </c>
      <c r="E1331" s="184" t="n">
        <v>157.68</v>
      </c>
      <c r="F1331" s="184" t="n">
        <v>166.88</v>
      </c>
      <c r="G1331" s="184" t="n">
        <v>162.28</v>
      </c>
    </row>
    <row r="1332">
      <c r="A1332" s="194" t="inlineStr">
        <is>
          <t>2026-07-14 18:00:00</t>
        </is>
      </c>
      <c r="B1332" s="194" t="inlineStr">
        <is>
          <t>KRW</t>
        </is>
      </c>
      <c r="C1332" s="194" t="inlineStr">
        <is>
          <t>KOREAN WON</t>
        </is>
      </c>
      <c r="D1332" s="195" t="n">
        <v>15.18</v>
      </c>
      <c r="E1332" s="195" t="n">
        <v>16.87</v>
      </c>
      <c r="F1332" s="195" t="n">
        <v>18.3</v>
      </c>
      <c r="G1332" s="195" t="n">
        <v>17.58</v>
      </c>
    </row>
    <row r="1333">
      <c r="A1333" s="196" t="inlineStr">
        <is>
          <t>2026-07-14 18:00:00</t>
        </is>
      </c>
      <c r="B1333" s="196" t="inlineStr">
        <is>
          <t>KWD</t>
        </is>
      </c>
      <c r="C1333" s="196" t="inlineStr">
        <is>
          <t>KUWAITI DINAR</t>
        </is>
      </c>
      <c r="D1333" s="184" t="n"/>
      <c r="E1333" s="184" t="n">
        <v>84853.60000000001</v>
      </c>
      <c r="F1333" s="184" t="n">
        <v>88966.53</v>
      </c>
      <c r="G1333" s="184" t="n">
        <v>86910.06</v>
      </c>
    </row>
    <row r="1334">
      <c r="A1334" s="194" t="inlineStr">
        <is>
          <t>2026-07-14 18:00:00</t>
        </is>
      </c>
      <c r="B1334" s="194" t="inlineStr">
        <is>
          <t>MYR</t>
        </is>
      </c>
      <c r="C1334" s="194" t="inlineStr">
        <is>
          <t>MALAYSIAN RINGGIT</t>
        </is>
      </c>
      <c r="D1334" s="195" t="n"/>
      <c r="E1334" s="195" t="n">
        <v>6375.51</v>
      </c>
      <c r="F1334" s="195" t="n">
        <v>6514.22</v>
      </c>
      <c r="G1334" s="195" t="n">
        <v>6444.86</v>
      </c>
    </row>
    <row r="1335">
      <c r="A1335" s="196" t="inlineStr">
        <is>
          <t>2026-07-14 18:00:00</t>
        </is>
      </c>
      <c r="B1335" s="196" t="inlineStr">
        <is>
          <t>NOK</t>
        </is>
      </c>
      <c r="C1335" s="196" t="inlineStr">
        <is>
          <t>NORWEGIAN KRONER</t>
        </is>
      </c>
      <c r="D1335" s="184" t="n"/>
      <c r="E1335" s="184" t="n">
        <v>2632.54</v>
      </c>
      <c r="F1335" s="184" t="n">
        <v>2744.17</v>
      </c>
      <c r="G1335" s="184" t="n">
        <v>2688.36</v>
      </c>
    </row>
    <row r="1336">
      <c r="A1336" s="194" t="inlineStr">
        <is>
          <t>2026-07-14 18:00:00</t>
        </is>
      </c>
      <c r="B1336" s="194" t="inlineStr">
        <is>
          <t>RUB</t>
        </is>
      </c>
      <c r="C1336" s="194" t="inlineStr">
        <is>
          <t>RUSSIAN RUBLE</t>
        </is>
      </c>
      <c r="D1336" s="195" t="n"/>
      <c r="E1336" s="195" t="n">
        <v>326.05</v>
      </c>
      <c r="F1336" s="195" t="n">
        <v>360.92</v>
      </c>
      <c r="G1336" s="195" t="n">
        <v>343.48</v>
      </c>
    </row>
    <row r="1337">
      <c r="A1337" s="196" t="inlineStr">
        <is>
          <t>2026-07-14 18:00:00</t>
        </is>
      </c>
      <c r="B1337" s="196" t="inlineStr">
        <is>
          <t>SAR</t>
        </is>
      </c>
      <c r="C1337" s="196" t="inlineStr">
        <is>
          <t>SAUDI RIAL</t>
        </is>
      </c>
      <c r="D1337" s="184" t="n"/>
      <c r="E1337" s="184" t="n">
        <v>6953.62</v>
      </c>
      <c r="F1337" s="184" t="n">
        <v>7252.89</v>
      </c>
      <c r="G1337" s="184" t="n">
        <v>7103.26</v>
      </c>
    </row>
    <row r="1338">
      <c r="A1338" s="194" t="inlineStr">
        <is>
          <t>2026-07-14 18:00:00</t>
        </is>
      </c>
      <c r="B1338" s="194" t="inlineStr">
        <is>
          <t>SEK</t>
        </is>
      </c>
      <c r="C1338" s="194" t="inlineStr">
        <is>
          <t>SWEDISH KRONA</t>
        </is>
      </c>
      <c r="D1338" s="195" t="n"/>
      <c r="E1338" s="195" t="n">
        <v>2648.67</v>
      </c>
      <c r="F1338" s="195" t="n">
        <v>2760.98</v>
      </c>
      <c r="G1338" s="195" t="n">
        <v>2704.82</v>
      </c>
    </row>
    <row r="1339">
      <c r="A1339" s="196" t="inlineStr">
        <is>
          <t>2026-07-14 18:00:00</t>
        </is>
      </c>
      <c r="B1339" s="196" t="inlineStr">
        <is>
          <t>SGD</t>
        </is>
      </c>
      <c r="C1339" s="196" t="inlineStr">
        <is>
          <t>SINGAPORE DOLLAR</t>
        </is>
      </c>
      <c r="D1339" s="184" t="n">
        <v>19762.33</v>
      </c>
      <c r="E1339" s="184" t="n">
        <v>19961.95</v>
      </c>
      <c r="F1339" s="184" t="n">
        <v>20642.54</v>
      </c>
      <c r="G1339" s="184" t="n">
        <v>20302.25</v>
      </c>
    </row>
    <row r="1340">
      <c r="A1340" s="194" t="inlineStr">
        <is>
          <t>2026-07-14 18:00:00</t>
        </is>
      </c>
      <c r="B1340" s="194" t="inlineStr">
        <is>
          <t>THB</t>
        </is>
      </c>
      <c r="C1340" s="194" t="inlineStr">
        <is>
          <t>THAILAND BAHT</t>
        </is>
      </c>
      <c r="D1340" s="195" t="n">
        <v>691.55</v>
      </c>
      <c r="E1340" s="195" t="n">
        <v>768.38</v>
      </c>
      <c r="F1340" s="195" t="n">
        <v>800.97</v>
      </c>
      <c r="G1340" s="195" t="n">
        <v>784.6799999999999</v>
      </c>
    </row>
    <row r="1341">
      <c r="A1341" s="196" t="inlineStr">
        <is>
          <t>2026-07-14 18:00:00</t>
        </is>
      </c>
      <c r="B1341" s="196" t="inlineStr">
        <is>
          <t>USD</t>
        </is>
      </c>
      <c r="C1341" s="196" t="inlineStr">
        <is>
          <t>US DOLLAR</t>
        </is>
      </c>
      <c r="D1341" s="184" t="n">
        <v>26040</v>
      </c>
      <c r="E1341" s="184" t="n">
        <v>26070</v>
      </c>
      <c r="F1341" s="184" t="n">
        <v>26450</v>
      </c>
      <c r="G1341" s="184" t="n">
        <v>26260</v>
      </c>
    </row>
    <row r="1342">
      <c r="A1342" s="194" t="inlineStr">
        <is>
          <t>2026-07-13 18:00:00</t>
        </is>
      </c>
      <c r="B1342" s="194" t="inlineStr">
        <is>
          <t>AUD</t>
        </is>
      </c>
      <c r="C1342" s="194" t="inlineStr">
        <is>
          <t>AUSTRALIAN DOLLAR</t>
        </is>
      </c>
      <c r="D1342" s="195" t="n">
        <v>17728.96</v>
      </c>
      <c r="E1342" s="195" t="n">
        <v>17908.04</v>
      </c>
      <c r="F1342" s="195" t="n">
        <v>18481.58</v>
      </c>
      <c r="G1342" s="195" t="n">
        <v>18194.81</v>
      </c>
    </row>
    <row r="1343">
      <c r="A1343" s="196" t="inlineStr">
        <is>
          <t>2026-07-13 18:00:00</t>
        </is>
      </c>
      <c r="B1343" s="196" t="inlineStr">
        <is>
          <t>CAD</t>
        </is>
      </c>
      <c r="C1343" s="196" t="inlineStr">
        <is>
          <t>CANADIAN DOLLAR</t>
        </is>
      </c>
      <c r="D1343" s="184" t="n">
        <v>18080.25</v>
      </c>
      <c r="E1343" s="184" t="n">
        <v>18262.88</v>
      </c>
      <c r="F1343" s="184" t="n">
        <v>18847.79</v>
      </c>
      <c r="G1343" s="184" t="n">
        <v>18555.34</v>
      </c>
    </row>
    <row r="1344">
      <c r="A1344" s="194" t="inlineStr">
        <is>
          <t>2026-07-13 18:00:00</t>
        </is>
      </c>
      <c r="B1344" s="194" t="inlineStr">
        <is>
          <t>CHF</t>
        </is>
      </c>
      <c r="C1344" s="194" t="inlineStr">
        <is>
          <t>SWISS FRANC</t>
        </is>
      </c>
      <c r="D1344" s="195" t="n">
        <v>31620.91</v>
      </c>
      <c r="E1344" s="195" t="n">
        <v>31940.31</v>
      </c>
      <c r="F1344" s="195" t="n">
        <v>32963.26</v>
      </c>
      <c r="G1344" s="195" t="n">
        <v>32451.79</v>
      </c>
    </row>
    <row r="1345">
      <c r="A1345" s="196" t="inlineStr">
        <is>
          <t>2026-07-13 18:00:00</t>
        </is>
      </c>
      <c r="B1345" s="196" t="inlineStr">
        <is>
          <t>CNY</t>
        </is>
      </c>
      <c r="C1345" s="196" t="inlineStr">
        <is>
          <t>YUAN RENMINBI</t>
        </is>
      </c>
      <c r="D1345" s="184" t="n">
        <v>3774.2</v>
      </c>
      <c r="E1345" s="184" t="n">
        <v>3812.33</v>
      </c>
      <c r="F1345" s="184" t="n">
        <v>3934.43</v>
      </c>
      <c r="G1345" s="184" t="n">
        <v>3873.38</v>
      </c>
    </row>
    <row r="1346">
      <c r="A1346" s="194" t="inlineStr">
        <is>
          <t>2026-07-13 18:00:00</t>
        </is>
      </c>
      <c r="B1346" s="194" t="inlineStr">
        <is>
          <t>DKK</t>
        </is>
      </c>
      <c r="C1346" s="194" t="inlineStr">
        <is>
          <t>DANISH KRONE</t>
        </is>
      </c>
      <c r="D1346" s="195" t="n"/>
      <c r="E1346" s="195" t="n">
        <v>3932.27</v>
      </c>
      <c r="F1346" s="195" t="n">
        <v>4082.64</v>
      </c>
      <c r="G1346" s="195" t="n">
        <v>4007.46</v>
      </c>
    </row>
    <row r="1347">
      <c r="A1347" s="196" t="inlineStr">
        <is>
          <t>2026-07-13 18:00:00</t>
        </is>
      </c>
      <c r="B1347" s="196" t="inlineStr">
        <is>
          <t>EUR</t>
        </is>
      </c>
      <c r="C1347" s="196" t="inlineStr">
        <is>
          <t>EURO</t>
        </is>
      </c>
      <c r="D1347" s="184" t="n">
        <v>29125.05</v>
      </c>
      <c r="E1347" s="184" t="n">
        <v>29419.24</v>
      </c>
      <c r="F1347" s="184" t="n">
        <v>30660.58</v>
      </c>
      <c r="G1347" s="184" t="n">
        <v>30039.91</v>
      </c>
    </row>
    <row r="1348">
      <c r="A1348" s="194" t="inlineStr">
        <is>
          <t>2026-07-13 18:00:00</t>
        </is>
      </c>
      <c r="B1348" s="194" t="inlineStr">
        <is>
          <t>GBP</t>
        </is>
      </c>
      <c r="C1348" s="194" t="inlineStr">
        <is>
          <t>POUND STERLING</t>
        </is>
      </c>
      <c r="D1348" s="195" t="n">
        <v>34236.91</v>
      </c>
      <c r="E1348" s="195" t="n">
        <v>34582.73</v>
      </c>
      <c r="F1348" s="195" t="n">
        <v>35690.32</v>
      </c>
      <c r="G1348" s="195" t="n">
        <v>35136.52</v>
      </c>
    </row>
    <row r="1349">
      <c r="A1349" s="196" t="inlineStr">
        <is>
          <t>2026-07-13 18:00:00</t>
        </is>
      </c>
      <c r="B1349" s="196" t="inlineStr">
        <is>
          <t>HKD</t>
        </is>
      </c>
      <c r="C1349" s="196" t="inlineStr">
        <is>
          <t>HONGKONG DOLLAR</t>
        </is>
      </c>
      <c r="D1349" s="184" t="n">
        <v>3256.75</v>
      </c>
      <c r="E1349" s="184" t="n">
        <v>3289.64</v>
      </c>
      <c r="F1349" s="184" t="n">
        <v>3415.44</v>
      </c>
      <c r="G1349" s="184" t="n">
        <v>3352.54</v>
      </c>
    </row>
    <row r="1350">
      <c r="A1350" s="194" t="inlineStr">
        <is>
          <t>2026-07-13 18:00:00</t>
        </is>
      </c>
      <c r="B1350" s="194" t="inlineStr">
        <is>
          <t>INR</t>
        </is>
      </c>
      <c r="C1350" s="194" t="inlineStr">
        <is>
          <t>INDIAN RUPEE</t>
        </is>
      </c>
      <c r="D1350" s="195" t="n"/>
      <c r="E1350" s="195" t="n">
        <v>272.82</v>
      </c>
      <c r="F1350" s="195" t="n">
        <v>284.56</v>
      </c>
      <c r="G1350" s="195" t="n">
        <v>278.69</v>
      </c>
    </row>
    <row r="1351">
      <c r="A1351" s="196" t="inlineStr">
        <is>
          <t>2026-07-13 18:00:00</t>
        </is>
      </c>
      <c r="B1351" s="196" t="inlineStr">
        <is>
          <t>JPY</t>
        </is>
      </c>
      <c r="C1351" s="196" t="inlineStr">
        <is>
          <t>YEN</t>
        </is>
      </c>
      <c r="D1351" s="184" t="n">
        <v>156.45</v>
      </c>
      <c r="E1351" s="184" t="n">
        <v>158.03</v>
      </c>
      <c r="F1351" s="184" t="n">
        <v>167.24</v>
      </c>
      <c r="G1351" s="184" t="n">
        <v>162.64</v>
      </c>
    </row>
    <row r="1352">
      <c r="A1352" s="194" t="inlineStr">
        <is>
          <t>2026-07-13 18:00:00</t>
        </is>
      </c>
      <c r="B1352" s="194" t="inlineStr">
        <is>
          <t>KRW</t>
        </is>
      </c>
      <c r="C1352" s="194" t="inlineStr">
        <is>
          <t>KOREAN WON</t>
        </is>
      </c>
      <c r="D1352" s="195" t="n">
        <v>15.08</v>
      </c>
      <c r="E1352" s="195" t="n">
        <v>16.75</v>
      </c>
      <c r="F1352" s="195" t="n">
        <v>18.18</v>
      </c>
      <c r="G1352" s="195" t="n">
        <v>17.46</v>
      </c>
    </row>
    <row r="1353">
      <c r="A1353" s="196" t="inlineStr">
        <is>
          <t>2026-07-13 18:00:00</t>
        </is>
      </c>
      <c r="B1353" s="196" t="inlineStr">
        <is>
          <t>KWD</t>
        </is>
      </c>
      <c r="C1353" s="196" t="inlineStr">
        <is>
          <t>KUWAITI DINAR</t>
        </is>
      </c>
      <c r="D1353" s="184" t="n"/>
      <c r="E1353" s="184" t="n">
        <v>84885.94</v>
      </c>
      <c r="F1353" s="184" t="n">
        <v>89000.38</v>
      </c>
      <c r="G1353" s="184" t="n">
        <v>86943.16</v>
      </c>
    </row>
    <row r="1354">
      <c r="A1354" s="194" t="inlineStr">
        <is>
          <t>2026-07-13 18:00:00</t>
        </is>
      </c>
      <c r="B1354" s="194" t="inlineStr">
        <is>
          <t>MYR</t>
        </is>
      </c>
      <c r="C1354" s="194" t="inlineStr">
        <is>
          <t>MALAYSIAN RINGGIT</t>
        </is>
      </c>
      <c r="D1354" s="195" t="n"/>
      <c r="E1354" s="195" t="n">
        <v>6373.25</v>
      </c>
      <c r="F1354" s="195" t="n">
        <v>6511.91</v>
      </c>
      <c r="G1354" s="195" t="n">
        <v>6442.58</v>
      </c>
    </row>
    <row r="1355">
      <c r="A1355" s="196" t="inlineStr">
        <is>
          <t>2026-07-13 18:00:00</t>
        </is>
      </c>
      <c r="B1355" s="196" t="inlineStr">
        <is>
          <t>NOK</t>
        </is>
      </c>
      <c r="C1355" s="196" t="inlineStr">
        <is>
          <t>NORWEGIAN KRONER</t>
        </is>
      </c>
      <c r="D1355" s="184" t="n"/>
      <c r="E1355" s="184" t="n">
        <v>2629.51</v>
      </c>
      <c r="F1355" s="184" t="n">
        <v>2741.01</v>
      </c>
      <c r="G1355" s="184" t="n">
        <v>2685.26</v>
      </c>
    </row>
    <row r="1356">
      <c r="A1356" s="194" t="inlineStr">
        <is>
          <t>2026-07-13 18:00:00</t>
        </is>
      </c>
      <c r="B1356" s="194" t="inlineStr">
        <is>
          <t>RUB</t>
        </is>
      </c>
      <c r="C1356" s="194" t="inlineStr">
        <is>
          <t>RUSSIAN RUBLE</t>
        </is>
      </c>
      <c r="D1356" s="195" t="n"/>
      <c r="E1356" s="195" t="n">
        <v>324.89</v>
      </c>
      <c r="F1356" s="195" t="n">
        <v>359.63</v>
      </c>
      <c r="G1356" s="195" t="n">
        <v>342.26</v>
      </c>
    </row>
    <row r="1357">
      <c r="A1357" s="196" t="inlineStr">
        <is>
          <t>2026-07-13 18:00:00</t>
        </is>
      </c>
      <c r="B1357" s="196" t="inlineStr">
        <is>
          <t>SAR</t>
        </is>
      </c>
      <c r="C1357" s="196" t="inlineStr">
        <is>
          <t>SAUDI RIAL</t>
        </is>
      </c>
      <c r="D1357" s="184" t="n"/>
      <c r="E1357" s="184" t="n">
        <v>6957.2</v>
      </c>
      <c r="F1357" s="184" t="n">
        <v>7256.62</v>
      </c>
      <c r="G1357" s="184" t="n">
        <v>7106.91</v>
      </c>
    </row>
    <row r="1358">
      <c r="A1358" s="194" t="inlineStr">
        <is>
          <t>2026-07-13 18:00:00</t>
        </is>
      </c>
      <c r="B1358" s="194" t="inlineStr">
        <is>
          <t>SEK</t>
        </is>
      </c>
      <c r="C1358" s="194" t="inlineStr">
        <is>
          <t>SWEDISH KRONA</t>
        </is>
      </c>
      <c r="D1358" s="195" t="n"/>
      <c r="E1358" s="195" t="n">
        <v>2653.29</v>
      </c>
      <c r="F1358" s="195" t="n">
        <v>2765.79</v>
      </c>
      <c r="G1358" s="195" t="n">
        <v>2709.54</v>
      </c>
    </row>
    <row r="1359">
      <c r="A1359" s="196" t="inlineStr">
        <is>
          <t>2026-07-13 18:00:00</t>
        </is>
      </c>
      <c r="B1359" s="196" t="inlineStr">
        <is>
          <t>SGD</t>
        </is>
      </c>
      <c r="C1359" s="196" t="inlineStr">
        <is>
          <t>SINGAPORE DOLLAR</t>
        </is>
      </c>
      <c r="D1359" s="184" t="n">
        <v>19765.28</v>
      </c>
      <c r="E1359" s="184" t="n">
        <v>19964.93</v>
      </c>
      <c r="F1359" s="184" t="n">
        <v>20645.61</v>
      </c>
      <c r="G1359" s="184" t="n">
        <v>20305.27</v>
      </c>
    </row>
    <row r="1360">
      <c r="A1360" s="194" t="inlineStr">
        <is>
          <t>2026-07-13 18:00:00</t>
        </is>
      </c>
      <c r="B1360" s="194" t="inlineStr">
        <is>
          <t>THB</t>
        </is>
      </c>
      <c r="C1360" s="194" t="inlineStr">
        <is>
          <t>THAILAND BAHT</t>
        </is>
      </c>
      <c r="D1360" s="195" t="n">
        <v>693.88</v>
      </c>
      <c r="E1360" s="195" t="n">
        <v>770.98</v>
      </c>
      <c r="F1360" s="195" t="n">
        <v>803.67</v>
      </c>
      <c r="G1360" s="195" t="n">
        <v>787.3200000000001</v>
      </c>
    </row>
    <row r="1361">
      <c r="A1361" s="196" t="inlineStr">
        <is>
          <t>2026-07-13 18:00:00</t>
        </is>
      </c>
      <c r="B1361" s="196" t="inlineStr">
        <is>
          <t>USD</t>
        </is>
      </c>
      <c r="C1361" s="196" t="inlineStr">
        <is>
          <t>US DOLLAR</t>
        </is>
      </c>
      <c r="D1361" s="184" t="n">
        <v>26050</v>
      </c>
      <c r="E1361" s="184" t="n">
        <v>26080</v>
      </c>
      <c r="F1361" s="184" t="n">
        <v>26460</v>
      </c>
      <c r="G1361" s="184" t="n">
        <v>26270</v>
      </c>
    </row>
    <row r="1362">
      <c r="A1362" s="194" t="inlineStr">
        <is>
          <t>2026-07-12 18:00:00</t>
        </is>
      </c>
      <c r="B1362" s="194" t="inlineStr">
        <is>
          <t>AUD</t>
        </is>
      </c>
      <c r="C1362" s="194" t="inlineStr">
        <is>
          <t>AUSTRALIAN DOLLAR</t>
        </is>
      </c>
      <c r="D1362" s="195" t="n">
        <v>17786.93</v>
      </c>
      <c r="E1362" s="195" t="n">
        <v>17966.59</v>
      </c>
      <c r="F1362" s="195" t="n">
        <v>18542</v>
      </c>
      <c r="G1362" s="195" t="n">
        <v>18254.29</v>
      </c>
    </row>
    <row r="1363">
      <c r="A1363" s="196" t="inlineStr">
        <is>
          <t>2026-07-12 18:00:00</t>
        </is>
      </c>
      <c r="B1363" s="196" t="inlineStr">
        <is>
          <t>CAD</t>
        </is>
      </c>
      <c r="C1363" s="196" t="inlineStr">
        <is>
          <t>CANADIAN DOLLAR</t>
        </is>
      </c>
      <c r="D1363" s="184" t="n">
        <v>18084.59</v>
      </c>
      <c r="E1363" s="184" t="n">
        <v>18267.26</v>
      </c>
      <c r="F1363" s="184" t="n">
        <v>18852.3</v>
      </c>
      <c r="G1363" s="184" t="n">
        <v>18559.78</v>
      </c>
    </row>
    <row r="1364">
      <c r="A1364" s="194" t="inlineStr">
        <is>
          <t>2026-07-12 18:00:00</t>
        </is>
      </c>
      <c r="B1364" s="194" t="inlineStr">
        <is>
          <t>CHF</t>
        </is>
      </c>
      <c r="C1364" s="194" t="inlineStr">
        <is>
          <t>SWISS FRANC</t>
        </is>
      </c>
      <c r="D1364" s="195" t="n">
        <v>31825.55</v>
      </c>
      <c r="E1364" s="195" t="n">
        <v>32147.02</v>
      </c>
      <c r="F1364" s="195" t="n">
        <v>33176.58</v>
      </c>
      <c r="G1364" s="195" t="n">
        <v>32661.8</v>
      </c>
    </row>
    <row r="1365">
      <c r="A1365" s="196" t="inlineStr">
        <is>
          <t>2026-07-12 18:00:00</t>
        </is>
      </c>
      <c r="B1365" s="196" t="inlineStr">
        <is>
          <t>CNY</t>
        </is>
      </c>
      <c r="C1365" s="196" t="inlineStr">
        <is>
          <t>YUAN RENMINBI</t>
        </is>
      </c>
      <c r="D1365" s="184" t="n">
        <v>3779.15</v>
      </c>
      <c r="E1365" s="184" t="n">
        <v>3817.33</v>
      </c>
      <c r="F1365" s="184" t="n">
        <v>3939.58</v>
      </c>
      <c r="G1365" s="184" t="n">
        <v>3878.46</v>
      </c>
    </row>
    <row r="1366">
      <c r="A1366" s="194" t="inlineStr">
        <is>
          <t>2026-07-12 18:00:00</t>
        </is>
      </c>
      <c r="B1366" s="194" t="inlineStr">
        <is>
          <t>DKK</t>
        </is>
      </c>
      <c r="C1366" s="194" t="inlineStr">
        <is>
          <t>DANISH KRONE</t>
        </is>
      </c>
      <c r="D1366" s="195" t="n"/>
      <c r="E1366" s="195" t="n">
        <v>3948.94</v>
      </c>
      <c r="F1366" s="195" t="n">
        <v>4099.95</v>
      </c>
      <c r="G1366" s="195" t="n">
        <v>4024.44</v>
      </c>
    </row>
    <row r="1367">
      <c r="A1367" s="196" t="inlineStr">
        <is>
          <t>2026-07-12 18:00:00</t>
        </is>
      </c>
      <c r="B1367" s="196" t="inlineStr">
        <is>
          <t>EUR</t>
        </is>
      </c>
      <c r="C1367" s="196" t="inlineStr">
        <is>
          <t>EURO</t>
        </is>
      </c>
      <c r="D1367" s="184" t="n">
        <v>29300.03</v>
      </c>
      <c r="E1367" s="184" t="n">
        <v>29595.99</v>
      </c>
      <c r="F1367" s="184" t="n">
        <v>30844.77</v>
      </c>
      <c r="G1367" s="184" t="n">
        <v>30220.38</v>
      </c>
    </row>
    <row r="1368">
      <c r="A1368" s="194" t="inlineStr">
        <is>
          <t>2026-07-12 18:00:00</t>
        </is>
      </c>
      <c r="B1368" s="194" t="inlineStr">
        <is>
          <t>GBP</t>
        </is>
      </c>
      <c r="C1368" s="194" t="inlineStr">
        <is>
          <t>POUND STERLING</t>
        </is>
      </c>
      <c r="D1368" s="195" t="n">
        <v>34365.18</v>
      </c>
      <c r="E1368" s="195" t="n">
        <v>34712.31</v>
      </c>
      <c r="F1368" s="195" t="n">
        <v>35824.02</v>
      </c>
      <c r="G1368" s="195" t="n">
        <v>35268.16</v>
      </c>
    </row>
    <row r="1369">
      <c r="A1369" s="196" t="inlineStr">
        <is>
          <t>2026-07-12 18:00:00</t>
        </is>
      </c>
      <c r="B1369" s="196" t="inlineStr">
        <is>
          <t>HKD</t>
        </is>
      </c>
      <c r="C1369" s="196" t="inlineStr">
        <is>
          <t>HONGKONG DOLLAR</t>
        </is>
      </c>
      <c r="D1369" s="184" t="n">
        <v>3257.69</v>
      </c>
      <c r="E1369" s="184" t="n">
        <v>3290.6</v>
      </c>
      <c r="F1369" s="184" t="n">
        <v>3416.43</v>
      </c>
      <c r="G1369" s="184" t="n">
        <v>3353.52</v>
      </c>
    </row>
    <row r="1370">
      <c r="A1370" s="194" t="inlineStr">
        <is>
          <t>2026-07-12 18:00:00</t>
        </is>
      </c>
      <c r="B1370" s="194" t="inlineStr">
        <is>
          <t>INR</t>
        </is>
      </c>
      <c r="C1370" s="194" t="inlineStr">
        <is>
          <t>INDIAN RUPEE</t>
        </is>
      </c>
      <c r="D1370" s="195" t="n"/>
      <c r="E1370" s="195" t="n">
        <v>274.09</v>
      </c>
      <c r="F1370" s="195" t="n">
        <v>285.89</v>
      </c>
      <c r="G1370" s="195" t="n">
        <v>279.99</v>
      </c>
    </row>
    <row r="1371">
      <c r="A1371" s="196" t="inlineStr">
        <is>
          <t>2026-07-12 18:00:00</t>
        </is>
      </c>
      <c r="B1371" s="196" t="inlineStr">
        <is>
          <t>JPY</t>
        </is>
      </c>
      <c r="C1371" s="196" t="inlineStr">
        <is>
          <t>YEN</t>
        </is>
      </c>
      <c r="D1371" s="184" t="n">
        <v>156.96</v>
      </c>
      <c r="E1371" s="184" t="n">
        <v>158.55</v>
      </c>
      <c r="F1371" s="184" t="n">
        <v>167.79</v>
      </c>
      <c r="G1371" s="184" t="n">
        <v>163.17</v>
      </c>
    </row>
    <row r="1372">
      <c r="A1372" s="194" t="inlineStr">
        <is>
          <t>2026-07-12 18:00:00</t>
        </is>
      </c>
      <c r="B1372" s="194" t="inlineStr">
        <is>
          <t>KRW</t>
        </is>
      </c>
      <c r="C1372" s="194" t="inlineStr">
        <is>
          <t>KOREAN WON</t>
        </is>
      </c>
      <c r="D1372" s="195" t="n">
        <v>15.11</v>
      </c>
      <c r="E1372" s="195" t="n">
        <v>16.79</v>
      </c>
      <c r="F1372" s="195" t="n">
        <v>18.21</v>
      </c>
      <c r="G1372" s="195" t="n">
        <v>17.5</v>
      </c>
    </row>
    <row r="1373">
      <c r="A1373" s="196" t="inlineStr">
        <is>
          <t>2026-07-12 18:00:00</t>
        </is>
      </c>
      <c r="B1373" s="196" t="inlineStr">
        <is>
          <t>KWD</t>
        </is>
      </c>
      <c r="C1373" s="196" t="inlineStr">
        <is>
          <t>KUWAITI DINAR</t>
        </is>
      </c>
      <c r="D1373" s="184" t="n"/>
      <c r="E1373" s="184" t="n">
        <v>84918.28</v>
      </c>
      <c r="F1373" s="184" t="n">
        <v>89034.23</v>
      </c>
      <c r="G1373" s="184" t="n">
        <v>86976.25999999999</v>
      </c>
    </row>
    <row r="1374">
      <c r="A1374" s="194" t="inlineStr">
        <is>
          <t>2026-07-12 18:00:00</t>
        </is>
      </c>
      <c r="B1374" s="194" t="inlineStr">
        <is>
          <t>MYR</t>
        </is>
      </c>
      <c r="C1374" s="194" t="inlineStr">
        <is>
          <t>MALAYSIAN RINGGIT</t>
        </is>
      </c>
      <c r="D1374" s="195" t="n"/>
      <c r="E1374" s="195" t="n">
        <v>6397.64</v>
      </c>
      <c r="F1374" s="195" t="n">
        <v>6536.82</v>
      </c>
      <c r="G1374" s="195" t="n">
        <v>6467.23</v>
      </c>
    </row>
    <row r="1375">
      <c r="A1375" s="196" t="inlineStr">
        <is>
          <t>2026-07-12 18:00:00</t>
        </is>
      </c>
      <c r="B1375" s="196" t="inlineStr">
        <is>
          <t>NOK</t>
        </is>
      </c>
      <c r="C1375" s="196" t="inlineStr">
        <is>
          <t>NORWEGIAN KRONER</t>
        </is>
      </c>
      <c r="D1375" s="184" t="n"/>
      <c r="E1375" s="184" t="n">
        <v>2640.52</v>
      </c>
      <c r="F1375" s="184" t="n">
        <v>2752.49</v>
      </c>
      <c r="G1375" s="184" t="n">
        <v>2696.5</v>
      </c>
    </row>
    <row r="1376">
      <c r="A1376" s="194" t="inlineStr">
        <is>
          <t>2026-07-12 18:00:00</t>
        </is>
      </c>
      <c r="B1376" s="194" t="inlineStr">
        <is>
          <t>RUB</t>
        </is>
      </c>
      <c r="C1376" s="194" t="inlineStr">
        <is>
          <t>RUSSIAN RUBLE</t>
        </is>
      </c>
      <c r="D1376" s="195" t="n"/>
      <c r="E1376" s="195" t="n">
        <v>325.86</v>
      </c>
      <c r="F1376" s="195" t="n">
        <v>360.71</v>
      </c>
      <c r="G1376" s="195" t="n">
        <v>343.28</v>
      </c>
    </row>
    <row r="1377">
      <c r="A1377" s="196" t="inlineStr">
        <is>
          <t>2026-07-12 18:00:00</t>
        </is>
      </c>
      <c r="B1377" s="196" t="inlineStr">
        <is>
          <t>SAR</t>
        </is>
      </c>
      <c r="C1377" s="196" t="inlineStr">
        <is>
          <t>SAUDI RIAL</t>
        </is>
      </c>
      <c r="D1377" s="184" t="n"/>
      <c r="E1377" s="184" t="n">
        <v>6960.22</v>
      </c>
      <c r="F1377" s="184" t="n">
        <v>7259.77</v>
      </c>
      <c r="G1377" s="184" t="n">
        <v>7110</v>
      </c>
    </row>
    <row r="1378">
      <c r="A1378" s="194" t="inlineStr">
        <is>
          <t>2026-07-12 18:00:00</t>
        </is>
      </c>
      <c r="B1378" s="194" t="inlineStr">
        <is>
          <t>SEK</t>
        </is>
      </c>
      <c r="C1378" s="194" t="inlineStr">
        <is>
          <t>SWEDISH KRONA</t>
        </is>
      </c>
      <c r="D1378" s="195" t="n"/>
      <c r="E1378" s="195" t="n">
        <v>2667.83</v>
      </c>
      <c r="F1378" s="195" t="n">
        <v>2780.95</v>
      </c>
      <c r="G1378" s="195" t="n">
        <v>2724.39</v>
      </c>
    </row>
    <row r="1379">
      <c r="A1379" s="196" t="inlineStr">
        <is>
          <t>2026-07-12 18:00:00</t>
        </is>
      </c>
      <c r="B1379" s="196" t="inlineStr">
        <is>
          <t>SGD</t>
        </is>
      </c>
      <c r="C1379" s="196" t="inlineStr">
        <is>
          <t>SINGAPORE DOLLAR</t>
        </is>
      </c>
      <c r="D1379" s="184" t="n">
        <v>19829.5</v>
      </c>
      <c r="E1379" s="184" t="n">
        <v>20029.8</v>
      </c>
      <c r="F1379" s="184" t="n">
        <v>20712.68</v>
      </c>
      <c r="G1379" s="184" t="n">
        <v>20371.24</v>
      </c>
    </row>
    <row r="1380">
      <c r="A1380" s="194" t="inlineStr">
        <is>
          <t>2026-07-12 18:00:00</t>
        </is>
      </c>
      <c r="B1380" s="194" t="inlineStr">
        <is>
          <t>THB</t>
        </is>
      </c>
      <c r="C1380" s="194" t="inlineStr">
        <is>
          <t>THAILAND BAHT</t>
        </is>
      </c>
      <c r="D1380" s="195" t="n">
        <v>695.4</v>
      </c>
      <c r="E1380" s="195" t="n">
        <v>772.66</v>
      </c>
      <c r="F1380" s="195" t="n">
        <v>805.42</v>
      </c>
      <c r="G1380" s="195" t="n">
        <v>789.04</v>
      </c>
    </row>
    <row r="1381">
      <c r="A1381" s="196" t="inlineStr">
        <is>
          <t>2026-07-12 18:00:00</t>
        </is>
      </c>
      <c r="B1381" s="196" t="inlineStr">
        <is>
          <t>USD</t>
        </is>
      </c>
      <c r="C1381" s="196" t="inlineStr">
        <is>
          <t>US DOLLAR</t>
        </is>
      </c>
      <c r="D1381" s="184" t="n">
        <v>26060</v>
      </c>
      <c r="E1381" s="184" t="n">
        <v>26090</v>
      </c>
      <c r="F1381" s="184" t="n">
        <v>26470</v>
      </c>
      <c r="G1381" s="184" t="n">
        <v>26280</v>
      </c>
    </row>
    <row r="1382">
      <c r="A1382" s="194" t="inlineStr">
        <is>
          <t>2026-07-11 18:00:00</t>
        </is>
      </c>
      <c r="B1382" s="194" t="inlineStr">
        <is>
          <t>AUD</t>
        </is>
      </c>
      <c r="C1382" s="194" t="inlineStr">
        <is>
          <t>AUSTRALIAN DOLLAR</t>
        </is>
      </c>
      <c r="D1382" s="195" t="n">
        <v>17786.93</v>
      </c>
      <c r="E1382" s="195" t="n">
        <v>17966.59</v>
      </c>
      <c r="F1382" s="195" t="n">
        <v>18542</v>
      </c>
      <c r="G1382" s="195" t="n">
        <v>18254.29</v>
      </c>
    </row>
    <row r="1383">
      <c r="A1383" s="196" t="inlineStr">
        <is>
          <t>2026-07-11 18:00:00</t>
        </is>
      </c>
      <c r="B1383" s="196" t="inlineStr">
        <is>
          <t>CAD</t>
        </is>
      </c>
      <c r="C1383" s="196" t="inlineStr">
        <is>
          <t>CANADIAN DOLLAR</t>
        </is>
      </c>
      <c r="D1383" s="184" t="n">
        <v>18084.59</v>
      </c>
      <c r="E1383" s="184" t="n">
        <v>18267.26</v>
      </c>
      <c r="F1383" s="184" t="n">
        <v>18852.3</v>
      </c>
      <c r="G1383" s="184" t="n">
        <v>18559.78</v>
      </c>
    </row>
    <row r="1384">
      <c r="A1384" s="194" t="inlineStr">
        <is>
          <t>2026-07-11 18:00:00</t>
        </is>
      </c>
      <c r="B1384" s="194" t="inlineStr">
        <is>
          <t>CHF</t>
        </is>
      </c>
      <c r="C1384" s="194" t="inlineStr">
        <is>
          <t>SWISS FRANC</t>
        </is>
      </c>
      <c r="D1384" s="195" t="n">
        <v>31825.55</v>
      </c>
      <c r="E1384" s="195" t="n">
        <v>32147.02</v>
      </c>
      <c r="F1384" s="195" t="n">
        <v>33176.58</v>
      </c>
      <c r="G1384" s="195" t="n">
        <v>32661.8</v>
      </c>
    </row>
    <row r="1385">
      <c r="A1385" s="196" t="inlineStr">
        <is>
          <t>2026-07-11 18:00:00</t>
        </is>
      </c>
      <c r="B1385" s="196" t="inlineStr">
        <is>
          <t>CNY</t>
        </is>
      </c>
      <c r="C1385" s="196" t="inlineStr">
        <is>
          <t>YUAN RENMINBI</t>
        </is>
      </c>
      <c r="D1385" s="184" t="n">
        <v>3779.15</v>
      </c>
      <c r="E1385" s="184" t="n">
        <v>3817.33</v>
      </c>
      <c r="F1385" s="184" t="n">
        <v>3939.58</v>
      </c>
      <c r="G1385" s="184" t="n">
        <v>3878.46</v>
      </c>
    </row>
    <row r="1386">
      <c r="A1386" s="194" t="inlineStr">
        <is>
          <t>2026-07-11 18:00:00</t>
        </is>
      </c>
      <c r="B1386" s="194" t="inlineStr">
        <is>
          <t>DKK</t>
        </is>
      </c>
      <c r="C1386" s="194" t="inlineStr">
        <is>
          <t>DANISH KRONE</t>
        </is>
      </c>
      <c r="D1386" s="195" t="n"/>
      <c r="E1386" s="195" t="n">
        <v>3948.94</v>
      </c>
      <c r="F1386" s="195" t="n">
        <v>4099.95</v>
      </c>
      <c r="G1386" s="195" t="n">
        <v>4024.44</v>
      </c>
    </row>
    <row r="1387">
      <c r="A1387" s="196" t="inlineStr">
        <is>
          <t>2026-07-11 18:00:00</t>
        </is>
      </c>
      <c r="B1387" s="196" t="inlineStr">
        <is>
          <t>EUR</t>
        </is>
      </c>
      <c r="C1387" s="196" t="inlineStr">
        <is>
          <t>EURO</t>
        </is>
      </c>
      <c r="D1387" s="184" t="n">
        <v>29300.03</v>
      </c>
      <c r="E1387" s="184" t="n">
        <v>29595.99</v>
      </c>
      <c r="F1387" s="184" t="n">
        <v>30844.77</v>
      </c>
      <c r="G1387" s="184" t="n">
        <v>30220.38</v>
      </c>
    </row>
    <row r="1388">
      <c r="A1388" s="194" t="inlineStr">
        <is>
          <t>2026-07-11 18:00:00</t>
        </is>
      </c>
      <c r="B1388" s="194" t="inlineStr">
        <is>
          <t>GBP</t>
        </is>
      </c>
      <c r="C1388" s="194" t="inlineStr">
        <is>
          <t>POUND STERLING</t>
        </is>
      </c>
      <c r="D1388" s="195" t="n">
        <v>34365.18</v>
      </c>
      <c r="E1388" s="195" t="n">
        <v>34712.31</v>
      </c>
      <c r="F1388" s="195" t="n">
        <v>35824.02</v>
      </c>
      <c r="G1388" s="195" t="n">
        <v>35268.16</v>
      </c>
    </row>
    <row r="1389">
      <c r="A1389" s="196" t="inlineStr">
        <is>
          <t>2026-07-11 18:00:00</t>
        </is>
      </c>
      <c r="B1389" s="196" t="inlineStr">
        <is>
          <t>HKD</t>
        </is>
      </c>
      <c r="C1389" s="196" t="inlineStr">
        <is>
          <t>HONGKONG DOLLAR</t>
        </is>
      </c>
      <c r="D1389" s="184" t="n">
        <v>3257.69</v>
      </c>
      <c r="E1389" s="184" t="n">
        <v>3290.6</v>
      </c>
      <c r="F1389" s="184" t="n">
        <v>3416.43</v>
      </c>
      <c r="G1389" s="184" t="n">
        <v>3353.52</v>
      </c>
    </row>
    <row r="1390">
      <c r="A1390" s="194" t="inlineStr">
        <is>
          <t>2026-07-11 18:00:00</t>
        </is>
      </c>
      <c r="B1390" s="194" t="inlineStr">
        <is>
          <t>INR</t>
        </is>
      </c>
      <c r="C1390" s="194" t="inlineStr">
        <is>
          <t>INDIAN RUPEE</t>
        </is>
      </c>
      <c r="D1390" s="195" t="n"/>
      <c r="E1390" s="195" t="n">
        <v>274.09</v>
      </c>
      <c r="F1390" s="195" t="n">
        <v>285.89</v>
      </c>
      <c r="G1390" s="195" t="n">
        <v>279.99</v>
      </c>
    </row>
    <row r="1391">
      <c r="A1391" s="196" t="inlineStr">
        <is>
          <t>2026-07-11 18:00:00</t>
        </is>
      </c>
      <c r="B1391" s="196" t="inlineStr">
        <is>
          <t>JPY</t>
        </is>
      </c>
      <c r="C1391" s="196" t="inlineStr">
        <is>
          <t>YEN</t>
        </is>
      </c>
      <c r="D1391" s="184" t="n">
        <v>156.96</v>
      </c>
      <c r="E1391" s="184" t="n">
        <v>158.55</v>
      </c>
      <c r="F1391" s="184" t="n">
        <v>167.79</v>
      </c>
      <c r="G1391" s="184" t="n">
        <v>163.17</v>
      </c>
    </row>
    <row r="1392">
      <c r="A1392" s="194" t="inlineStr">
        <is>
          <t>2026-07-11 18:00:00</t>
        </is>
      </c>
      <c r="B1392" s="194" t="inlineStr">
        <is>
          <t>KRW</t>
        </is>
      </c>
      <c r="C1392" s="194" t="inlineStr">
        <is>
          <t>KOREAN WON</t>
        </is>
      </c>
      <c r="D1392" s="195" t="n">
        <v>15.11</v>
      </c>
      <c r="E1392" s="195" t="n">
        <v>16.79</v>
      </c>
      <c r="F1392" s="195" t="n">
        <v>18.21</v>
      </c>
      <c r="G1392" s="195" t="n">
        <v>17.5</v>
      </c>
    </row>
    <row r="1393">
      <c r="A1393" s="196" t="inlineStr">
        <is>
          <t>2026-07-11 18:00:00</t>
        </is>
      </c>
      <c r="B1393" s="196" t="inlineStr">
        <is>
          <t>KWD</t>
        </is>
      </c>
      <c r="C1393" s="196" t="inlineStr">
        <is>
          <t>KUWAITI DINAR</t>
        </is>
      </c>
      <c r="D1393" s="184" t="n"/>
      <c r="E1393" s="184" t="n">
        <v>84918.28</v>
      </c>
      <c r="F1393" s="184" t="n">
        <v>89034.23</v>
      </c>
      <c r="G1393" s="184" t="n">
        <v>86976.25999999999</v>
      </c>
    </row>
    <row r="1394">
      <c r="A1394" s="194" t="inlineStr">
        <is>
          <t>2026-07-11 18:00:00</t>
        </is>
      </c>
      <c r="B1394" s="194" t="inlineStr">
        <is>
          <t>MYR</t>
        </is>
      </c>
      <c r="C1394" s="194" t="inlineStr">
        <is>
          <t>MALAYSIAN RINGGIT</t>
        </is>
      </c>
      <c r="D1394" s="195" t="n"/>
      <c r="E1394" s="195" t="n">
        <v>6397.64</v>
      </c>
      <c r="F1394" s="195" t="n">
        <v>6536.82</v>
      </c>
      <c r="G1394" s="195" t="n">
        <v>6467.23</v>
      </c>
    </row>
    <row r="1395">
      <c r="A1395" s="196" t="inlineStr">
        <is>
          <t>2026-07-11 18:00:00</t>
        </is>
      </c>
      <c r="B1395" s="196" t="inlineStr">
        <is>
          <t>NOK</t>
        </is>
      </c>
      <c r="C1395" s="196" t="inlineStr">
        <is>
          <t>NORWEGIAN KRONER</t>
        </is>
      </c>
      <c r="D1395" s="184" t="n"/>
      <c r="E1395" s="184" t="n">
        <v>2640.52</v>
      </c>
      <c r="F1395" s="184" t="n">
        <v>2752.49</v>
      </c>
      <c r="G1395" s="184" t="n">
        <v>2696.5</v>
      </c>
    </row>
    <row r="1396">
      <c r="A1396" s="194" t="inlineStr">
        <is>
          <t>2026-07-11 18:00:00</t>
        </is>
      </c>
      <c r="B1396" s="194" t="inlineStr">
        <is>
          <t>RUB</t>
        </is>
      </c>
      <c r="C1396" s="194" t="inlineStr">
        <is>
          <t>RUSSIAN RUBLE</t>
        </is>
      </c>
      <c r="D1396" s="195" t="n"/>
      <c r="E1396" s="195" t="n">
        <v>325.86</v>
      </c>
      <c r="F1396" s="195" t="n">
        <v>360.71</v>
      </c>
      <c r="G1396" s="195" t="n">
        <v>343.28</v>
      </c>
    </row>
    <row r="1397">
      <c r="A1397" s="196" t="inlineStr">
        <is>
          <t>2026-07-11 18:00:00</t>
        </is>
      </c>
      <c r="B1397" s="196" t="inlineStr">
        <is>
          <t>SAR</t>
        </is>
      </c>
      <c r="C1397" s="196" t="inlineStr">
        <is>
          <t>SAUDI RIAL</t>
        </is>
      </c>
      <c r="D1397" s="184" t="n"/>
      <c r="E1397" s="184" t="n">
        <v>6960.22</v>
      </c>
      <c r="F1397" s="184" t="n">
        <v>7259.77</v>
      </c>
      <c r="G1397" s="184" t="n">
        <v>7110</v>
      </c>
    </row>
    <row r="1398">
      <c r="A1398" s="194" t="inlineStr">
        <is>
          <t>2026-07-11 18:00:00</t>
        </is>
      </c>
      <c r="B1398" s="194" t="inlineStr">
        <is>
          <t>SEK</t>
        </is>
      </c>
      <c r="C1398" s="194" t="inlineStr">
        <is>
          <t>SWEDISH KRONA</t>
        </is>
      </c>
      <c r="D1398" s="195" t="n"/>
      <c r="E1398" s="195" t="n">
        <v>2667.83</v>
      </c>
      <c r="F1398" s="195" t="n">
        <v>2780.95</v>
      </c>
      <c r="G1398" s="195" t="n">
        <v>2724.39</v>
      </c>
    </row>
    <row r="1399">
      <c r="A1399" s="196" t="inlineStr">
        <is>
          <t>2026-07-11 18:00:00</t>
        </is>
      </c>
      <c r="B1399" s="196" t="inlineStr">
        <is>
          <t>SGD</t>
        </is>
      </c>
      <c r="C1399" s="196" t="inlineStr">
        <is>
          <t>SINGAPORE DOLLAR</t>
        </is>
      </c>
      <c r="D1399" s="184" t="n">
        <v>19829.5</v>
      </c>
      <c r="E1399" s="184" t="n">
        <v>20029.8</v>
      </c>
      <c r="F1399" s="184" t="n">
        <v>20712.68</v>
      </c>
      <c r="G1399" s="184" t="n">
        <v>20371.24</v>
      </c>
    </row>
    <row r="1400">
      <c r="A1400" s="194" t="inlineStr">
        <is>
          <t>2026-07-11 18:00:00</t>
        </is>
      </c>
      <c r="B1400" s="194" t="inlineStr">
        <is>
          <t>THB</t>
        </is>
      </c>
      <c r="C1400" s="194" t="inlineStr">
        <is>
          <t>THAILAND BAHT</t>
        </is>
      </c>
      <c r="D1400" s="195" t="n">
        <v>695.4</v>
      </c>
      <c r="E1400" s="195" t="n">
        <v>772.66</v>
      </c>
      <c r="F1400" s="195" t="n">
        <v>805.42</v>
      </c>
      <c r="G1400" s="195" t="n">
        <v>789.04</v>
      </c>
    </row>
    <row r="1401">
      <c r="A1401" s="196" t="inlineStr">
        <is>
          <t>2026-07-11 18:00:00</t>
        </is>
      </c>
      <c r="B1401" s="196" t="inlineStr">
        <is>
          <t>USD</t>
        </is>
      </c>
      <c r="C1401" s="196" t="inlineStr">
        <is>
          <t>US DOLLAR</t>
        </is>
      </c>
      <c r="D1401" s="184" t="n">
        <v>26060</v>
      </c>
      <c r="E1401" s="184" t="n">
        <v>26090</v>
      </c>
      <c r="F1401" s="184" t="n">
        <v>26470</v>
      </c>
      <c r="G1401" s="184" t="n">
        <v>26280</v>
      </c>
    </row>
    <row r="1402">
      <c r="A1402" s="194" t="inlineStr">
        <is>
          <t>2026-07-10 18:00:00</t>
        </is>
      </c>
      <c r="B1402" s="194" t="inlineStr">
        <is>
          <t>AUD</t>
        </is>
      </c>
      <c r="C1402" s="194" t="inlineStr">
        <is>
          <t>AUSTRALIAN DOLLAR</t>
        </is>
      </c>
      <c r="D1402" s="195" t="n">
        <v>17786.93</v>
      </c>
      <c r="E1402" s="195" t="n">
        <v>17966.59</v>
      </c>
      <c r="F1402" s="195" t="n">
        <v>18542</v>
      </c>
      <c r="G1402" s="195" t="n">
        <v>18254.29</v>
      </c>
    </row>
    <row r="1403">
      <c r="A1403" s="196" t="inlineStr">
        <is>
          <t>2026-07-10 18:00:00</t>
        </is>
      </c>
      <c r="B1403" s="196" t="inlineStr">
        <is>
          <t>CAD</t>
        </is>
      </c>
      <c r="C1403" s="196" t="inlineStr">
        <is>
          <t>CANADIAN DOLLAR</t>
        </is>
      </c>
      <c r="D1403" s="184" t="n">
        <v>18084.59</v>
      </c>
      <c r="E1403" s="184" t="n">
        <v>18267.26</v>
      </c>
      <c r="F1403" s="184" t="n">
        <v>18852.3</v>
      </c>
      <c r="G1403" s="184" t="n">
        <v>18559.78</v>
      </c>
    </row>
    <row r="1404">
      <c r="A1404" s="194" t="inlineStr">
        <is>
          <t>2026-07-10 18:00:00</t>
        </is>
      </c>
      <c r="B1404" s="194" t="inlineStr">
        <is>
          <t>CHF</t>
        </is>
      </c>
      <c r="C1404" s="194" t="inlineStr">
        <is>
          <t>SWISS FRANC</t>
        </is>
      </c>
      <c r="D1404" s="195" t="n">
        <v>31825.55</v>
      </c>
      <c r="E1404" s="195" t="n">
        <v>32147.02</v>
      </c>
      <c r="F1404" s="195" t="n">
        <v>33176.58</v>
      </c>
      <c r="G1404" s="195" t="n">
        <v>32661.8</v>
      </c>
    </row>
    <row r="1405">
      <c r="A1405" s="196" t="inlineStr">
        <is>
          <t>2026-07-10 18:00:00</t>
        </is>
      </c>
      <c r="B1405" s="196" t="inlineStr">
        <is>
          <t>CNY</t>
        </is>
      </c>
      <c r="C1405" s="196" t="inlineStr">
        <is>
          <t>YUAN RENMINBI</t>
        </is>
      </c>
      <c r="D1405" s="184" t="n">
        <v>3779.15</v>
      </c>
      <c r="E1405" s="184" t="n">
        <v>3817.33</v>
      </c>
      <c r="F1405" s="184" t="n">
        <v>3939.58</v>
      </c>
      <c r="G1405" s="184" t="n">
        <v>3878.46</v>
      </c>
    </row>
    <row r="1406">
      <c r="A1406" s="194" t="inlineStr">
        <is>
          <t>2026-07-10 18:00:00</t>
        </is>
      </c>
      <c r="B1406" s="194" t="inlineStr">
        <is>
          <t>DKK</t>
        </is>
      </c>
      <c r="C1406" s="194" t="inlineStr">
        <is>
          <t>DANISH KRONE</t>
        </is>
      </c>
      <c r="D1406" s="195" t="n"/>
      <c r="E1406" s="195" t="n">
        <v>3948.94</v>
      </c>
      <c r="F1406" s="195" t="n">
        <v>4099.95</v>
      </c>
      <c r="G1406" s="195" t="n">
        <v>4024.44</v>
      </c>
    </row>
    <row r="1407">
      <c r="A1407" s="196" t="inlineStr">
        <is>
          <t>2026-07-10 18:00:00</t>
        </is>
      </c>
      <c r="B1407" s="196" t="inlineStr">
        <is>
          <t>EUR</t>
        </is>
      </c>
      <c r="C1407" s="196" t="inlineStr">
        <is>
          <t>EURO</t>
        </is>
      </c>
      <c r="D1407" s="184" t="n">
        <v>29300.03</v>
      </c>
      <c r="E1407" s="184" t="n">
        <v>29595.99</v>
      </c>
      <c r="F1407" s="184" t="n">
        <v>30844.77</v>
      </c>
      <c r="G1407" s="184" t="n">
        <v>30220.38</v>
      </c>
    </row>
    <row r="1408">
      <c r="A1408" s="194" t="inlineStr">
        <is>
          <t>2026-07-10 18:00:00</t>
        </is>
      </c>
      <c r="B1408" s="194" t="inlineStr">
        <is>
          <t>GBP</t>
        </is>
      </c>
      <c r="C1408" s="194" t="inlineStr">
        <is>
          <t>POUND STERLING</t>
        </is>
      </c>
      <c r="D1408" s="195" t="n">
        <v>34365.18</v>
      </c>
      <c r="E1408" s="195" t="n">
        <v>34712.31</v>
      </c>
      <c r="F1408" s="195" t="n">
        <v>35824.02</v>
      </c>
      <c r="G1408" s="195" t="n">
        <v>35268.16</v>
      </c>
    </row>
    <row r="1409">
      <c r="A1409" s="196" t="inlineStr">
        <is>
          <t>2026-07-10 18:00:00</t>
        </is>
      </c>
      <c r="B1409" s="196" t="inlineStr">
        <is>
          <t>HKD</t>
        </is>
      </c>
      <c r="C1409" s="196" t="inlineStr">
        <is>
          <t>HONGKONG DOLLAR</t>
        </is>
      </c>
      <c r="D1409" s="184" t="n">
        <v>3257.69</v>
      </c>
      <c r="E1409" s="184" t="n">
        <v>3290.6</v>
      </c>
      <c r="F1409" s="184" t="n">
        <v>3416.43</v>
      </c>
      <c r="G1409" s="184" t="n">
        <v>3353.52</v>
      </c>
    </row>
    <row r="1410">
      <c r="A1410" s="194" t="inlineStr">
        <is>
          <t>2026-07-10 18:00:00</t>
        </is>
      </c>
      <c r="B1410" s="194" t="inlineStr">
        <is>
          <t>INR</t>
        </is>
      </c>
      <c r="C1410" s="194" t="inlineStr">
        <is>
          <t>INDIAN RUPEE</t>
        </is>
      </c>
      <c r="D1410" s="195" t="n"/>
      <c r="E1410" s="195" t="n">
        <v>274.09</v>
      </c>
      <c r="F1410" s="195" t="n">
        <v>285.89</v>
      </c>
      <c r="G1410" s="195" t="n">
        <v>279.99</v>
      </c>
    </row>
    <row r="1411">
      <c r="A1411" s="196" t="inlineStr">
        <is>
          <t>2026-07-10 18:00:00</t>
        </is>
      </c>
      <c r="B1411" s="196" t="inlineStr">
        <is>
          <t>JPY</t>
        </is>
      </c>
      <c r="C1411" s="196" t="inlineStr">
        <is>
          <t>YEN</t>
        </is>
      </c>
      <c r="D1411" s="184" t="n">
        <v>156.96</v>
      </c>
      <c r="E1411" s="184" t="n">
        <v>158.55</v>
      </c>
      <c r="F1411" s="184" t="n">
        <v>167.79</v>
      </c>
      <c r="G1411" s="184" t="n">
        <v>163.17</v>
      </c>
    </row>
    <row r="1412">
      <c r="A1412" s="194" t="inlineStr">
        <is>
          <t>2026-07-10 18:00:00</t>
        </is>
      </c>
      <c r="B1412" s="194" t="inlineStr">
        <is>
          <t>KRW</t>
        </is>
      </c>
      <c r="C1412" s="194" t="inlineStr">
        <is>
          <t>KOREAN WON</t>
        </is>
      </c>
      <c r="D1412" s="195" t="n">
        <v>15.11</v>
      </c>
      <c r="E1412" s="195" t="n">
        <v>16.79</v>
      </c>
      <c r="F1412" s="195" t="n">
        <v>18.21</v>
      </c>
      <c r="G1412" s="195" t="n">
        <v>17.5</v>
      </c>
    </row>
    <row r="1413">
      <c r="A1413" s="196" t="inlineStr">
        <is>
          <t>2026-07-10 18:00:00</t>
        </is>
      </c>
      <c r="B1413" s="196" t="inlineStr">
        <is>
          <t>KWD</t>
        </is>
      </c>
      <c r="C1413" s="196" t="inlineStr">
        <is>
          <t>KUWAITI DINAR</t>
        </is>
      </c>
      <c r="D1413" s="184" t="n"/>
      <c r="E1413" s="184" t="n">
        <v>84918.28</v>
      </c>
      <c r="F1413" s="184" t="n">
        <v>89034.23</v>
      </c>
      <c r="G1413" s="184" t="n">
        <v>86976.25999999999</v>
      </c>
    </row>
    <row r="1414">
      <c r="A1414" s="194" t="inlineStr">
        <is>
          <t>2026-07-10 18:00:00</t>
        </is>
      </c>
      <c r="B1414" s="194" t="inlineStr">
        <is>
          <t>MYR</t>
        </is>
      </c>
      <c r="C1414" s="194" t="inlineStr">
        <is>
          <t>MALAYSIAN RINGGIT</t>
        </is>
      </c>
      <c r="D1414" s="195" t="n"/>
      <c r="E1414" s="195" t="n">
        <v>6397.64</v>
      </c>
      <c r="F1414" s="195" t="n">
        <v>6536.82</v>
      </c>
      <c r="G1414" s="195" t="n">
        <v>6467.23</v>
      </c>
    </row>
    <row r="1415">
      <c r="A1415" s="196" t="inlineStr">
        <is>
          <t>2026-07-10 18:00:00</t>
        </is>
      </c>
      <c r="B1415" s="196" t="inlineStr">
        <is>
          <t>NOK</t>
        </is>
      </c>
      <c r="C1415" s="196" t="inlineStr">
        <is>
          <t>NORWEGIAN KRONER</t>
        </is>
      </c>
      <c r="D1415" s="184" t="n"/>
      <c r="E1415" s="184" t="n">
        <v>2640.52</v>
      </c>
      <c r="F1415" s="184" t="n">
        <v>2752.49</v>
      </c>
      <c r="G1415" s="184" t="n">
        <v>2696.5</v>
      </c>
    </row>
    <row r="1416">
      <c r="A1416" s="194" t="inlineStr">
        <is>
          <t>2026-07-10 18:00:00</t>
        </is>
      </c>
      <c r="B1416" s="194" t="inlineStr">
        <is>
          <t>RUB</t>
        </is>
      </c>
      <c r="C1416" s="194" t="inlineStr">
        <is>
          <t>RUSSIAN RUBLE</t>
        </is>
      </c>
      <c r="D1416" s="195" t="n"/>
      <c r="E1416" s="195" t="n">
        <v>325.86</v>
      </c>
      <c r="F1416" s="195" t="n">
        <v>360.71</v>
      </c>
      <c r="G1416" s="195" t="n">
        <v>343.28</v>
      </c>
    </row>
    <row r="1417">
      <c r="A1417" s="196" t="inlineStr">
        <is>
          <t>2026-07-10 18:00:00</t>
        </is>
      </c>
      <c r="B1417" s="196" t="inlineStr">
        <is>
          <t>SAR</t>
        </is>
      </c>
      <c r="C1417" s="196" t="inlineStr">
        <is>
          <t>SAUDI RIAL</t>
        </is>
      </c>
      <c r="D1417" s="184" t="n"/>
      <c r="E1417" s="184" t="n">
        <v>6960.22</v>
      </c>
      <c r="F1417" s="184" t="n">
        <v>7259.77</v>
      </c>
      <c r="G1417" s="184" t="n">
        <v>7110</v>
      </c>
    </row>
    <row r="1418">
      <c r="A1418" s="194" t="inlineStr">
        <is>
          <t>2026-07-10 18:00:00</t>
        </is>
      </c>
      <c r="B1418" s="194" t="inlineStr">
        <is>
          <t>SEK</t>
        </is>
      </c>
      <c r="C1418" s="194" t="inlineStr">
        <is>
          <t>SWEDISH KRONA</t>
        </is>
      </c>
      <c r="D1418" s="195" t="n"/>
      <c r="E1418" s="195" t="n">
        <v>2667.83</v>
      </c>
      <c r="F1418" s="195" t="n">
        <v>2780.95</v>
      </c>
      <c r="G1418" s="195" t="n">
        <v>2724.39</v>
      </c>
    </row>
    <row r="1419">
      <c r="A1419" s="196" t="inlineStr">
        <is>
          <t>2026-07-10 18:00:00</t>
        </is>
      </c>
      <c r="B1419" s="196" t="inlineStr">
        <is>
          <t>SGD</t>
        </is>
      </c>
      <c r="C1419" s="196" t="inlineStr">
        <is>
          <t>SINGAPORE DOLLAR</t>
        </is>
      </c>
      <c r="D1419" s="184" t="n">
        <v>19829.5</v>
      </c>
      <c r="E1419" s="184" t="n">
        <v>20029.8</v>
      </c>
      <c r="F1419" s="184" t="n">
        <v>20712.68</v>
      </c>
      <c r="G1419" s="184" t="n">
        <v>20371.24</v>
      </c>
    </row>
    <row r="1420">
      <c r="A1420" s="194" t="inlineStr">
        <is>
          <t>2026-07-10 18:00:00</t>
        </is>
      </c>
      <c r="B1420" s="194" t="inlineStr">
        <is>
          <t>THB</t>
        </is>
      </c>
      <c r="C1420" s="194" t="inlineStr">
        <is>
          <t>THAILAND BAHT</t>
        </is>
      </c>
      <c r="D1420" s="195" t="n">
        <v>695.4</v>
      </c>
      <c r="E1420" s="195" t="n">
        <v>772.66</v>
      </c>
      <c r="F1420" s="195" t="n">
        <v>805.42</v>
      </c>
      <c r="G1420" s="195" t="n">
        <v>789.04</v>
      </c>
    </row>
    <row r="1421">
      <c r="A1421" s="196" t="inlineStr">
        <is>
          <t>2026-07-10 18:00:00</t>
        </is>
      </c>
      <c r="B1421" s="196" t="inlineStr">
        <is>
          <t>USD</t>
        </is>
      </c>
      <c r="C1421" s="196" t="inlineStr">
        <is>
          <t>US DOLLAR</t>
        </is>
      </c>
      <c r="D1421" s="184" t="n">
        <v>26060</v>
      </c>
      <c r="E1421" s="184" t="n">
        <v>26090</v>
      </c>
      <c r="F1421" s="184" t="n">
        <v>26470</v>
      </c>
      <c r="G1421" s="184" t="n">
        <v>26280</v>
      </c>
    </row>
    <row r="1422">
      <c r="A1422" s="194" t="inlineStr">
        <is>
          <t>2026-07-09 18:00:00</t>
        </is>
      </c>
      <c r="B1422" s="194" t="inlineStr">
        <is>
          <t>AUD</t>
        </is>
      </c>
      <c r="C1422" s="194" t="inlineStr">
        <is>
          <t>AUSTRALIAN DOLLAR</t>
        </is>
      </c>
      <c r="D1422" s="195" t="n">
        <v>17758.65</v>
      </c>
      <c r="E1422" s="195" t="n">
        <v>17938.03</v>
      </c>
      <c r="F1422" s="195" t="n">
        <v>18512.51</v>
      </c>
      <c r="G1422" s="195" t="n">
        <v>18225.27</v>
      </c>
    </row>
    <row r="1423">
      <c r="A1423" s="196" t="inlineStr">
        <is>
          <t>2026-07-09 18:00:00</t>
        </is>
      </c>
      <c r="B1423" s="196" t="inlineStr">
        <is>
          <t>CAD</t>
        </is>
      </c>
      <c r="C1423" s="196" t="inlineStr">
        <is>
          <t>CANADIAN DOLLAR</t>
        </is>
      </c>
      <c r="D1423" s="184" t="n">
        <v>18096.2</v>
      </c>
      <c r="E1423" s="184" t="n">
        <v>18278.99</v>
      </c>
      <c r="F1423" s="184" t="n">
        <v>18864.38</v>
      </c>
      <c r="G1423" s="184" t="n">
        <v>18571.69</v>
      </c>
    </row>
    <row r="1424">
      <c r="A1424" s="194" t="inlineStr">
        <is>
          <t>2026-07-09 18:00:00</t>
        </is>
      </c>
      <c r="B1424" s="194" t="inlineStr">
        <is>
          <t>CHF</t>
        </is>
      </c>
      <c r="C1424" s="194" t="inlineStr">
        <is>
          <t>SWISS FRANC</t>
        </is>
      </c>
      <c r="D1424" s="195" t="n">
        <v>31741.18</v>
      </c>
      <c r="E1424" s="195" t="n">
        <v>32061.8</v>
      </c>
      <c r="F1424" s="195" t="n">
        <v>33088.6</v>
      </c>
      <c r="G1424" s="195" t="n">
        <v>32575.2</v>
      </c>
    </row>
    <row r="1425">
      <c r="A1425" s="196" t="inlineStr">
        <is>
          <t>2026-07-09 18:00:00</t>
        </is>
      </c>
      <c r="B1425" s="196" t="inlineStr">
        <is>
          <t>CNY</t>
        </is>
      </c>
      <c r="C1425" s="196" t="inlineStr">
        <is>
          <t>YUAN RENMINBI</t>
        </is>
      </c>
      <c r="D1425" s="184" t="n">
        <v>3767.41</v>
      </c>
      <c r="E1425" s="184" t="n">
        <v>3805.47</v>
      </c>
      <c r="F1425" s="184" t="n">
        <v>3927.34</v>
      </c>
      <c r="G1425" s="184" t="n">
        <v>3866.4</v>
      </c>
    </row>
    <row r="1426">
      <c r="A1426" s="194" t="inlineStr">
        <is>
          <t>2026-07-09 18:00:00</t>
        </is>
      </c>
      <c r="B1426" s="194" t="inlineStr">
        <is>
          <t>DKK</t>
        </is>
      </c>
      <c r="C1426" s="194" t="inlineStr">
        <is>
          <t>DANISH KRONE</t>
        </is>
      </c>
      <c r="D1426" s="195" t="n"/>
      <c r="E1426" s="195" t="n">
        <v>3945.4</v>
      </c>
      <c r="F1426" s="195" t="n">
        <v>4096.26</v>
      </c>
      <c r="G1426" s="195" t="n">
        <v>4020.83</v>
      </c>
    </row>
    <row r="1427">
      <c r="A1427" s="196" t="inlineStr">
        <is>
          <t>2026-07-09 18:00:00</t>
        </is>
      </c>
      <c r="B1427" s="196" t="inlineStr">
        <is>
          <t>EUR</t>
        </is>
      </c>
      <c r="C1427" s="196" t="inlineStr">
        <is>
          <t>EURO</t>
        </is>
      </c>
      <c r="D1427" s="184" t="n">
        <v>29273.21</v>
      </c>
      <c r="E1427" s="184" t="n">
        <v>29568.9</v>
      </c>
      <c r="F1427" s="184" t="n">
        <v>30816.51</v>
      </c>
      <c r="G1427" s="184" t="n">
        <v>30192.7</v>
      </c>
    </row>
    <row r="1428">
      <c r="A1428" s="194" t="inlineStr">
        <is>
          <t>2026-07-09 18:00:00</t>
        </is>
      </c>
      <c r="B1428" s="194" t="inlineStr">
        <is>
          <t>GBP</t>
        </is>
      </c>
      <c r="C1428" s="194" t="inlineStr">
        <is>
          <t>POUND STERLING</t>
        </is>
      </c>
      <c r="D1428" s="195" t="n">
        <v>34315.63</v>
      </c>
      <c r="E1428" s="195" t="n">
        <v>34662.26</v>
      </c>
      <c r="F1428" s="195" t="n">
        <v>35772.33</v>
      </c>
      <c r="G1428" s="195" t="n">
        <v>35217.3</v>
      </c>
    </row>
    <row r="1429">
      <c r="A1429" s="196" t="inlineStr">
        <is>
          <t>2026-07-09 18:00:00</t>
        </is>
      </c>
      <c r="B1429" s="196" t="inlineStr">
        <is>
          <t>HKD</t>
        </is>
      </c>
      <c r="C1429" s="196" t="inlineStr">
        <is>
          <t>HONGKONG DOLLAR</t>
        </is>
      </c>
      <c r="D1429" s="184" t="n">
        <v>3259.64</v>
      </c>
      <c r="E1429" s="184" t="n">
        <v>3292.56</v>
      </c>
      <c r="F1429" s="184" t="n">
        <v>3418.47</v>
      </c>
      <c r="G1429" s="184" t="n">
        <v>3355.52</v>
      </c>
    </row>
    <row r="1430">
      <c r="A1430" s="194" t="inlineStr">
        <is>
          <t>2026-07-09 18:00:00</t>
        </is>
      </c>
      <c r="B1430" s="194" t="inlineStr">
        <is>
          <t>INR</t>
        </is>
      </c>
      <c r="C1430" s="194" t="inlineStr">
        <is>
          <t>INDIAN RUPEE</t>
        </is>
      </c>
      <c r="D1430" s="195" t="n"/>
      <c r="E1430" s="195" t="n">
        <v>273.62</v>
      </c>
      <c r="F1430" s="195" t="n">
        <v>285.39</v>
      </c>
      <c r="G1430" s="195" t="n">
        <v>279.5</v>
      </c>
    </row>
    <row r="1431">
      <c r="A1431" s="196" t="inlineStr">
        <is>
          <t>2026-07-09 18:00:00</t>
        </is>
      </c>
      <c r="B1431" s="196" t="inlineStr">
        <is>
          <t>JPY</t>
        </is>
      </c>
      <c r="C1431" s="196" t="inlineStr">
        <is>
          <t>YEN</t>
        </is>
      </c>
      <c r="D1431" s="184" t="n">
        <v>156.23</v>
      </c>
      <c r="E1431" s="184" t="n">
        <v>157.81</v>
      </c>
      <c r="F1431" s="184" t="n">
        <v>167.01</v>
      </c>
      <c r="G1431" s="184" t="n">
        <v>162.41</v>
      </c>
    </row>
    <row r="1432">
      <c r="A1432" s="194" t="inlineStr">
        <is>
          <t>2026-07-09 18:00:00</t>
        </is>
      </c>
      <c r="B1432" s="194" t="inlineStr">
        <is>
          <t>KRW</t>
        </is>
      </c>
      <c r="C1432" s="194" t="inlineStr">
        <is>
          <t>KOREAN WON</t>
        </is>
      </c>
      <c r="D1432" s="195" t="n">
        <v>15.13</v>
      </c>
      <c r="E1432" s="195" t="n">
        <v>16.81</v>
      </c>
      <c r="F1432" s="195" t="n">
        <v>18.24</v>
      </c>
      <c r="G1432" s="195" t="n">
        <v>17.52</v>
      </c>
    </row>
    <row r="1433">
      <c r="A1433" s="196" t="inlineStr">
        <is>
          <t>2026-07-09 18:00:00</t>
        </is>
      </c>
      <c r="B1433" s="196" t="inlineStr">
        <is>
          <t>KWD</t>
        </is>
      </c>
      <c r="C1433" s="196" t="inlineStr">
        <is>
          <t>KUWAITI DINAR</t>
        </is>
      </c>
      <c r="D1433" s="184" t="n"/>
      <c r="E1433" s="184" t="n">
        <v>84966.78</v>
      </c>
      <c r="F1433" s="184" t="n">
        <v>89085.00999999999</v>
      </c>
      <c r="G1433" s="184" t="n">
        <v>87025.89</v>
      </c>
    </row>
    <row r="1434">
      <c r="A1434" s="194" t="inlineStr">
        <is>
          <t>2026-07-09 18:00:00</t>
        </is>
      </c>
      <c r="B1434" s="194" t="inlineStr">
        <is>
          <t>MYR</t>
        </is>
      </c>
      <c r="C1434" s="194" t="inlineStr">
        <is>
          <t>MALAYSIAN RINGGIT</t>
        </is>
      </c>
      <c r="D1434" s="195" t="n"/>
      <c r="E1434" s="195" t="n">
        <v>6388.72</v>
      </c>
      <c r="F1434" s="195" t="n">
        <v>6527.7</v>
      </c>
      <c r="G1434" s="195" t="n">
        <v>6458.21</v>
      </c>
    </row>
    <row r="1435">
      <c r="A1435" s="196" t="inlineStr">
        <is>
          <t>2026-07-09 18:00:00</t>
        </is>
      </c>
      <c r="B1435" s="196" t="inlineStr">
        <is>
          <t>NOK</t>
        </is>
      </c>
      <c r="C1435" s="196" t="inlineStr">
        <is>
          <t>NORWEGIAN KRONER</t>
        </is>
      </c>
      <c r="D1435" s="184" t="n"/>
      <c r="E1435" s="184" t="n">
        <v>2641.57</v>
      </c>
      <c r="F1435" s="184" t="n">
        <v>2753.58</v>
      </c>
      <c r="G1435" s="184" t="n">
        <v>2697.58</v>
      </c>
    </row>
    <row r="1436">
      <c r="A1436" s="194" t="inlineStr">
        <is>
          <t>2026-07-09 18:00:00</t>
        </is>
      </c>
      <c r="B1436" s="194" t="inlineStr">
        <is>
          <t>RUB</t>
        </is>
      </c>
      <c r="C1436" s="194" t="inlineStr">
        <is>
          <t>RUSSIAN RUBLE</t>
        </is>
      </c>
      <c r="D1436" s="195" t="n"/>
      <c r="E1436" s="195" t="n">
        <v>325.85</v>
      </c>
      <c r="F1436" s="195" t="n">
        <v>360.7</v>
      </c>
      <c r="G1436" s="195" t="n">
        <v>343.28</v>
      </c>
    </row>
    <row r="1437">
      <c r="A1437" s="196" t="inlineStr">
        <is>
          <t>2026-07-09 18:00:00</t>
        </is>
      </c>
      <c r="B1437" s="196" t="inlineStr">
        <is>
          <t>SAR</t>
        </is>
      </c>
      <c r="C1437" s="196" t="inlineStr">
        <is>
          <t>SAUDI RIAL</t>
        </is>
      </c>
      <c r="D1437" s="184" t="n"/>
      <c r="E1437" s="184" t="n">
        <v>6965.68</v>
      </c>
      <c r="F1437" s="184" t="n">
        <v>7265.45</v>
      </c>
      <c r="G1437" s="184" t="n">
        <v>7115.56</v>
      </c>
    </row>
    <row r="1438">
      <c r="A1438" s="194" t="inlineStr">
        <is>
          <t>2026-07-09 18:00:00</t>
        </is>
      </c>
      <c r="B1438" s="194" t="inlineStr">
        <is>
          <t>SEK</t>
        </is>
      </c>
      <c r="C1438" s="194" t="inlineStr">
        <is>
          <t>SWEDISH KRONA</t>
        </is>
      </c>
      <c r="D1438" s="195" t="n"/>
      <c r="E1438" s="195" t="n">
        <v>2660.34</v>
      </c>
      <c r="F1438" s="195" t="n">
        <v>2773.14</v>
      </c>
      <c r="G1438" s="195" t="n">
        <v>2716.74</v>
      </c>
    </row>
    <row r="1439">
      <c r="A1439" s="196" t="inlineStr">
        <is>
          <t>2026-07-09 18:00:00</t>
        </is>
      </c>
      <c r="B1439" s="196" t="inlineStr">
        <is>
          <t>SGD</t>
        </is>
      </c>
      <c r="C1439" s="196" t="inlineStr">
        <is>
          <t>SINGAPORE DOLLAR</t>
        </is>
      </c>
      <c r="D1439" s="184" t="n">
        <v>19807.06</v>
      </c>
      <c r="E1439" s="184" t="n">
        <v>20007.13</v>
      </c>
      <c r="F1439" s="184" t="n">
        <v>20689.22</v>
      </c>
      <c r="G1439" s="184" t="n">
        <v>20348.18</v>
      </c>
    </row>
    <row r="1440">
      <c r="A1440" s="194" t="inlineStr">
        <is>
          <t>2026-07-09 18:00:00</t>
        </is>
      </c>
      <c r="B1440" s="194" t="inlineStr">
        <is>
          <t>THB</t>
        </is>
      </c>
      <c r="C1440" s="194" t="inlineStr">
        <is>
          <t>THAILAND BAHT</t>
        </is>
      </c>
      <c r="D1440" s="195" t="n">
        <v>693.09</v>
      </c>
      <c r="E1440" s="195" t="n">
        <v>770.1</v>
      </c>
      <c r="F1440" s="195" t="n">
        <v>802.75</v>
      </c>
      <c r="G1440" s="195" t="n">
        <v>786.42</v>
      </c>
    </row>
    <row r="1441">
      <c r="A1441" s="196" t="inlineStr">
        <is>
          <t>2026-07-09 18:00:00</t>
        </is>
      </c>
      <c r="B1441" s="196" t="inlineStr">
        <is>
          <t>USD</t>
        </is>
      </c>
      <c r="C1441" s="196" t="inlineStr">
        <is>
          <t>US DOLLAR</t>
        </is>
      </c>
      <c r="D1441" s="184" t="n">
        <v>26081</v>
      </c>
      <c r="E1441" s="184" t="n">
        <v>26111</v>
      </c>
      <c r="F1441" s="184" t="n">
        <v>26471</v>
      </c>
      <c r="G1441" s="184" t="n">
        <v>26291</v>
      </c>
    </row>
    <row r="1442">
      <c r="A1442" s="194" t="inlineStr">
        <is>
          <t>2026-07-08 18:00:00</t>
        </is>
      </c>
      <c r="B1442" s="194" t="inlineStr">
        <is>
          <t>AUD</t>
        </is>
      </c>
      <c r="C1442" s="194" t="inlineStr">
        <is>
          <t>AUSTRALIAN DOLLAR</t>
        </is>
      </c>
      <c r="D1442" s="195" t="n">
        <v>17760.4</v>
      </c>
      <c r="E1442" s="195" t="n">
        <v>17939.8</v>
      </c>
      <c r="F1442" s="195" t="n">
        <v>18514.33</v>
      </c>
      <c r="G1442" s="195" t="n">
        <v>18227.07</v>
      </c>
    </row>
    <row r="1443">
      <c r="A1443" s="196" t="inlineStr">
        <is>
          <t>2026-07-08 18:00:00</t>
        </is>
      </c>
      <c r="B1443" s="196" t="inlineStr">
        <is>
          <t>CAD</t>
        </is>
      </c>
      <c r="C1443" s="196" t="inlineStr">
        <is>
          <t>CANADIAN DOLLAR</t>
        </is>
      </c>
      <c r="D1443" s="184" t="n">
        <v>18044.33</v>
      </c>
      <c r="E1443" s="184" t="n">
        <v>18226.6</v>
      </c>
      <c r="F1443" s="184" t="n">
        <v>18810.32</v>
      </c>
      <c r="G1443" s="184" t="n">
        <v>18518.46</v>
      </c>
    </row>
    <row r="1444">
      <c r="A1444" s="194" t="inlineStr">
        <is>
          <t>2026-07-08 18:00:00</t>
        </is>
      </c>
      <c r="B1444" s="194" t="inlineStr">
        <is>
          <t>CHF</t>
        </is>
      </c>
      <c r="C1444" s="194" t="inlineStr">
        <is>
          <t>SWISS FRANC</t>
        </is>
      </c>
      <c r="D1444" s="195" t="n">
        <v>31684.13</v>
      </c>
      <c r="E1444" s="195" t="n">
        <v>32004.17</v>
      </c>
      <c r="F1444" s="195" t="n">
        <v>33029.13</v>
      </c>
      <c r="G1444" s="195" t="n">
        <v>32516.65</v>
      </c>
    </row>
    <row r="1445">
      <c r="A1445" s="196" t="inlineStr">
        <is>
          <t>2026-07-08 18:00:00</t>
        </is>
      </c>
      <c r="B1445" s="196" t="inlineStr">
        <is>
          <t>CNY</t>
        </is>
      </c>
      <c r="C1445" s="196" t="inlineStr">
        <is>
          <t>YUAN RENMINBI</t>
        </is>
      </c>
      <c r="D1445" s="184" t="n">
        <v>3771.74</v>
      </c>
      <c r="E1445" s="184" t="n">
        <v>3809.84</v>
      </c>
      <c r="F1445" s="184" t="n">
        <v>3931.85</v>
      </c>
      <c r="G1445" s="184" t="n">
        <v>3870.84</v>
      </c>
    </row>
    <row r="1446">
      <c r="A1446" s="194" t="inlineStr">
        <is>
          <t>2026-07-08 18:00:00</t>
        </is>
      </c>
      <c r="B1446" s="194" t="inlineStr">
        <is>
          <t>DKK</t>
        </is>
      </c>
      <c r="C1446" s="194" t="inlineStr">
        <is>
          <t>DANISH KRONE</t>
        </is>
      </c>
      <c r="D1446" s="195" t="n"/>
      <c r="E1446" s="195" t="n">
        <v>3938.63</v>
      </c>
      <c r="F1446" s="195" t="n">
        <v>4089.24</v>
      </c>
      <c r="G1446" s="195" t="n">
        <v>4013.94</v>
      </c>
    </row>
    <row r="1447">
      <c r="A1447" s="196" t="inlineStr">
        <is>
          <t>2026-07-08 18:00:00</t>
        </is>
      </c>
      <c r="B1447" s="196" t="inlineStr">
        <is>
          <t>EUR</t>
        </is>
      </c>
      <c r="C1447" s="196" t="inlineStr">
        <is>
          <t>EURO</t>
        </is>
      </c>
      <c r="D1447" s="184" t="n">
        <v>29221.53</v>
      </c>
      <c r="E1447" s="184" t="n">
        <v>29516.7</v>
      </c>
      <c r="F1447" s="184" t="n">
        <v>30762.11</v>
      </c>
      <c r="G1447" s="184" t="n">
        <v>30139.4</v>
      </c>
    </row>
    <row r="1448">
      <c r="A1448" s="194" t="inlineStr">
        <is>
          <t>2026-07-08 18:00:00</t>
        </is>
      </c>
      <c r="B1448" s="194" t="inlineStr">
        <is>
          <t>GBP</t>
        </is>
      </c>
      <c r="C1448" s="194" t="inlineStr">
        <is>
          <t>POUND STERLING</t>
        </is>
      </c>
      <c r="D1448" s="195" t="n">
        <v>34198.95</v>
      </c>
      <c r="E1448" s="195" t="n">
        <v>34544.39</v>
      </c>
      <c r="F1448" s="195" t="n">
        <v>35650.71</v>
      </c>
      <c r="G1448" s="195" t="n">
        <v>35097.55</v>
      </c>
    </row>
    <row r="1449">
      <c r="A1449" s="196" t="inlineStr">
        <is>
          <t>2026-07-08 18:00:00</t>
        </is>
      </c>
      <c r="B1449" s="196" t="inlineStr">
        <is>
          <t>HKD</t>
        </is>
      </c>
      <c r="C1449" s="196" t="inlineStr">
        <is>
          <t>HONGKONG DOLLAR</t>
        </is>
      </c>
      <c r="D1449" s="184" t="n">
        <v>3257.44</v>
      </c>
      <c r="E1449" s="184" t="n">
        <v>3290.34</v>
      </c>
      <c r="F1449" s="184" t="n">
        <v>3416.16</v>
      </c>
      <c r="G1449" s="184" t="n">
        <v>3353.25</v>
      </c>
    </row>
    <row r="1450">
      <c r="A1450" s="194" t="inlineStr">
        <is>
          <t>2026-07-08 18:00:00</t>
        </is>
      </c>
      <c r="B1450" s="194" t="inlineStr">
        <is>
          <t>INR</t>
        </is>
      </c>
      <c r="C1450" s="194" t="inlineStr">
        <is>
          <t>INDIAN RUPEE</t>
        </is>
      </c>
      <c r="D1450" s="195" t="n"/>
      <c r="E1450" s="195" t="n">
        <v>275.27</v>
      </c>
      <c r="F1450" s="195" t="n">
        <v>287.11</v>
      </c>
      <c r="G1450" s="195" t="n">
        <v>281.19</v>
      </c>
    </row>
    <row r="1451">
      <c r="A1451" s="196" t="inlineStr">
        <is>
          <t>2026-07-08 18:00:00</t>
        </is>
      </c>
      <c r="B1451" s="196" t="inlineStr">
        <is>
          <t>JPY</t>
        </is>
      </c>
      <c r="C1451" s="196" t="inlineStr">
        <is>
          <t>YEN</t>
        </is>
      </c>
      <c r="D1451" s="184" t="n">
        <v>156.3</v>
      </c>
      <c r="E1451" s="184" t="n">
        <v>157.88</v>
      </c>
      <c r="F1451" s="184" t="n">
        <v>167.09</v>
      </c>
      <c r="G1451" s="184" t="n">
        <v>162.49</v>
      </c>
    </row>
    <row r="1452">
      <c r="A1452" s="194" t="inlineStr">
        <is>
          <t>2026-07-08 18:00:00</t>
        </is>
      </c>
      <c r="B1452" s="194" t="inlineStr">
        <is>
          <t>KRW</t>
        </is>
      </c>
      <c r="C1452" s="194" t="inlineStr">
        <is>
          <t>KOREAN WON</t>
        </is>
      </c>
      <c r="D1452" s="195" t="n">
        <v>14.99</v>
      </c>
      <c r="E1452" s="195" t="n">
        <v>16.65</v>
      </c>
      <c r="F1452" s="195" t="n">
        <v>18.07</v>
      </c>
      <c r="G1452" s="195" t="n">
        <v>17.36</v>
      </c>
    </row>
    <row r="1453">
      <c r="A1453" s="196" t="inlineStr">
        <is>
          <t>2026-07-08 18:00:00</t>
        </is>
      </c>
      <c r="B1453" s="196" t="inlineStr">
        <is>
          <t>KWD</t>
        </is>
      </c>
      <c r="C1453" s="196" t="inlineStr">
        <is>
          <t>KUWAITI DINAR</t>
        </is>
      </c>
      <c r="D1453" s="184" t="n"/>
      <c r="E1453" s="184" t="n">
        <v>84978.23</v>
      </c>
      <c r="F1453" s="184" t="n">
        <v>89097.03999999999</v>
      </c>
      <c r="G1453" s="184" t="n">
        <v>87037.64</v>
      </c>
    </row>
    <row r="1454">
      <c r="A1454" s="194" t="inlineStr">
        <is>
          <t>2026-07-08 18:00:00</t>
        </is>
      </c>
      <c r="B1454" s="194" t="inlineStr">
        <is>
          <t>MYR</t>
        </is>
      </c>
      <c r="C1454" s="194" t="inlineStr">
        <is>
          <t>MALAYSIAN RINGGIT</t>
        </is>
      </c>
      <c r="D1454" s="195" t="n"/>
      <c r="E1454" s="195" t="n">
        <v>6379.67</v>
      </c>
      <c r="F1454" s="195" t="n">
        <v>6518.46</v>
      </c>
      <c r="G1454" s="195" t="n">
        <v>6449.06</v>
      </c>
    </row>
    <row r="1455">
      <c r="A1455" s="196" t="inlineStr">
        <is>
          <t>2026-07-08 18:00:00</t>
        </is>
      </c>
      <c r="B1455" s="196" t="inlineStr">
        <is>
          <t>NOK</t>
        </is>
      </c>
      <c r="C1455" s="196" t="inlineStr">
        <is>
          <t>NORWEGIAN KRONER</t>
        </is>
      </c>
      <c r="D1455" s="184" t="n"/>
      <c r="E1455" s="184" t="n">
        <v>2630.63</v>
      </c>
      <c r="F1455" s="184" t="n">
        <v>2742.17</v>
      </c>
      <c r="G1455" s="184" t="n">
        <v>2686.4</v>
      </c>
    </row>
    <row r="1456">
      <c r="A1456" s="194" t="inlineStr">
        <is>
          <t>2026-07-08 18:00:00</t>
        </is>
      </c>
      <c r="B1456" s="194" t="inlineStr">
        <is>
          <t>RUB</t>
        </is>
      </c>
      <c r="C1456" s="194" t="inlineStr">
        <is>
          <t>RUSSIAN RUBLE</t>
        </is>
      </c>
      <c r="D1456" s="195" t="n"/>
      <c r="E1456" s="195" t="n">
        <v>327.26</v>
      </c>
      <c r="F1456" s="195" t="n">
        <v>362.26</v>
      </c>
      <c r="G1456" s="195" t="n">
        <v>344.76</v>
      </c>
    </row>
    <row r="1457">
      <c r="A1457" s="196" t="inlineStr">
        <is>
          <t>2026-07-08 18:00:00</t>
        </is>
      </c>
      <c r="B1457" s="196" t="inlineStr">
        <is>
          <t>SAR</t>
        </is>
      </c>
      <c r="C1457" s="196" t="inlineStr">
        <is>
          <t>SAUDI RIAL</t>
        </is>
      </c>
      <c r="D1457" s="184" t="n"/>
      <c r="E1457" s="184" t="n">
        <v>6962.68</v>
      </c>
      <c r="F1457" s="184" t="n">
        <v>7262.33</v>
      </c>
      <c r="G1457" s="184" t="n">
        <v>7112.5</v>
      </c>
    </row>
    <row r="1458">
      <c r="A1458" s="194" t="inlineStr">
        <is>
          <t>2026-07-08 18:00:00</t>
        </is>
      </c>
      <c r="B1458" s="194" t="inlineStr">
        <is>
          <t>SEK</t>
        </is>
      </c>
      <c r="C1458" s="194" t="inlineStr">
        <is>
          <t>SWEDISH KRONA</t>
        </is>
      </c>
      <c r="D1458" s="195" t="n"/>
      <c r="E1458" s="195" t="n">
        <v>2657.75</v>
      </c>
      <c r="F1458" s="195" t="n">
        <v>2770.44</v>
      </c>
      <c r="G1458" s="195" t="n">
        <v>2714.1</v>
      </c>
    </row>
    <row r="1459">
      <c r="A1459" s="196" t="inlineStr">
        <is>
          <t>2026-07-08 18:00:00</t>
        </is>
      </c>
      <c r="B1459" s="196" t="inlineStr">
        <is>
          <t>SGD</t>
        </is>
      </c>
      <c r="C1459" s="196" t="inlineStr">
        <is>
          <t>SINGAPORE DOLLAR</t>
        </is>
      </c>
      <c r="D1459" s="184" t="n">
        <v>19797.17</v>
      </c>
      <c r="E1459" s="184" t="n">
        <v>19997.14</v>
      </c>
      <c r="F1459" s="184" t="n">
        <v>20678.89</v>
      </c>
      <c r="G1459" s="184" t="n">
        <v>20338.02</v>
      </c>
    </row>
    <row r="1460">
      <c r="A1460" s="194" t="inlineStr">
        <is>
          <t>2026-07-08 18:00:00</t>
        </is>
      </c>
      <c r="B1460" s="194" t="inlineStr">
        <is>
          <t>THB</t>
        </is>
      </c>
      <c r="C1460" s="194" t="inlineStr">
        <is>
          <t>THAILAND BAHT</t>
        </is>
      </c>
      <c r="D1460" s="195" t="n">
        <v>694.62</v>
      </c>
      <c r="E1460" s="195" t="n">
        <v>771.8</v>
      </c>
      <c r="F1460" s="195" t="n">
        <v>804.52</v>
      </c>
      <c r="G1460" s="195" t="n">
        <v>788.16</v>
      </c>
    </row>
    <row r="1461">
      <c r="A1461" s="196" t="inlineStr">
        <is>
          <t>2026-07-08 18:00:00</t>
        </is>
      </c>
      <c r="B1461" s="196" t="inlineStr">
        <is>
          <t>USD</t>
        </is>
      </c>
      <c r="C1461" s="196" t="inlineStr">
        <is>
          <t>US DOLLAR</t>
        </is>
      </c>
      <c r="D1461" s="184" t="n">
        <v>26076</v>
      </c>
      <c r="E1461" s="184" t="n">
        <v>26106</v>
      </c>
      <c r="F1461" s="184" t="n">
        <v>26466</v>
      </c>
      <c r="G1461" s="184" t="n">
        <v>26286</v>
      </c>
    </row>
    <row r="1462">
      <c r="A1462" s="194" t="inlineStr">
        <is>
          <t>2026-07-07 18:00:00</t>
        </is>
      </c>
      <c r="B1462" s="194" t="inlineStr">
        <is>
          <t>AUD</t>
        </is>
      </c>
      <c r="C1462" s="194" t="inlineStr">
        <is>
          <t>AUSTRALIAN DOLLAR</t>
        </is>
      </c>
      <c r="D1462" s="195" t="n">
        <v>17815.85</v>
      </c>
      <c r="E1462" s="195" t="n">
        <v>17995.81</v>
      </c>
      <c r="F1462" s="195" t="n">
        <v>18572.13</v>
      </c>
      <c r="G1462" s="195" t="n">
        <v>18283.97</v>
      </c>
    </row>
    <row r="1463">
      <c r="A1463" s="196" t="inlineStr">
        <is>
          <t>2026-07-07 18:00:00</t>
        </is>
      </c>
      <c r="B1463" s="196" t="inlineStr">
        <is>
          <t>CAD</t>
        </is>
      </c>
      <c r="C1463" s="196" t="inlineStr">
        <is>
          <t>CANADIAN DOLLAR</t>
        </is>
      </c>
      <c r="D1463" s="184" t="n">
        <v>18039.77</v>
      </c>
      <c r="E1463" s="184" t="n">
        <v>18221.99</v>
      </c>
      <c r="F1463" s="184" t="n">
        <v>18805.55</v>
      </c>
      <c r="G1463" s="184" t="n">
        <v>18513.77</v>
      </c>
    </row>
    <row r="1464">
      <c r="A1464" s="194" t="inlineStr">
        <is>
          <t>2026-07-07 18:00:00</t>
        </is>
      </c>
      <c r="B1464" s="194" t="inlineStr">
        <is>
          <t>CHF</t>
        </is>
      </c>
      <c r="C1464" s="194" t="inlineStr">
        <is>
          <t>SWISS FRANC</t>
        </is>
      </c>
      <c r="D1464" s="195" t="n">
        <v>31826.06</v>
      </c>
      <c r="E1464" s="195" t="n">
        <v>32147.54</v>
      </c>
      <c r="F1464" s="195" t="n">
        <v>33177.07</v>
      </c>
      <c r="G1464" s="195" t="n">
        <v>32662.3</v>
      </c>
    </row>
    <row r="1465">
      <c r="A1465" s="196" t="inlineStr">
        <is>
          <t>2026-07-07 18:00:00</t>
        </is>
      </c>
      <c r="B1465" s="196" t="inlineStr">
        <is>
          <t>CNY</t>
        </is>
      </c>
      <c r="C1465" s="196" t="inlineStr">
        <is>
          <t>YUAN RENMINBI</t>
        </is>
      </c>
      <c r="D1465" s="184" t="n">
        <v>3771.85</v>
      </c>
      <c r="E1465" s="184" t="n">
        <v>3809.95</v>
      </c>
      <c r="F1465" s="184" t="n">
        <v>3931.96</v>
      </c>
      <c r="G1465" s="184" t="n">
        <v>3870.96</v>
      </c>
    </row>
    <row r="1466">
      <c r="A1466" s="194" t="inlineStr">
        <is>
          <t>2026-07-07 18:00:00</t>
        </is>
      </c>
      <c r="B1466" s="194" t="inlineStr">
        <is>
          <t>DKK</t>
        </is>
      </c>
      <c r="C1466" s="194" t="inlineStr">
        <is>
          <t>DANISH KRONE</t>
        </is>
      </c>
      <c r="D1466" s="195" t="n"/>
      <c r="E1466" s="195" t="n">
        <v>3951.28</v>
      </c>
      <c r="F1466" s="195" t="n">
        <v>4102.37</v>
      </c>
      <c r="G1466" s="195" t="n">
        <v>4026.82</v>
      </c>
    </row>
    <row r="1467">
      <c r="A1467" s="196" t="inlineStr">
        <is>
          <t>2026-07-07 18:00:00</t>
        </is>
      </c>
      <c r="B1467" s="196" t="inlineStr">
        <is>
          <t>EUR</t>
        </is>
      </c>
      <c r="C1467" s="196" t="inlineStr">
        <is>
          <t>EURO</t>
        </is>
      </c>
      <c r="D1467" s="184" t="n">
        <v>29314.66</v>
      </c>
      <c r="E1467" s="184" t="n">
        <v>29610.77</v>
      </c>
      <c r="F1467" s="184" t="n">
        <v>30860.13</v>
      </c>
      <c r="G1467" s="184" t="n">
        <v>30235.45</v>
      </c>
    </row>
    <row r="1468">
      <c r="A1468" s="194" t="inlineStr">
        <is>
          <t>2026-07-07 18:00:00</t>
        </is>
      </c>
      <c r="B1468" s="194" t="inlineStr">
        <is>
          <t>GBP</t>
        </is>
      </c>
      <c r="C1468" s="194" t="inlineStr">
        <is>
          <t>POUND STERLING</t>
        </is>
      </c>
      <c r="D1468" s="195" t="n">
        <v>34309.35</v>
      </c>
      <c r="E1468" s="195" t="n">
        <v>34655.91</v>
      </c>
      <c r="F1468" s="195" t="n">
        <v>35765.77</v>
      </c>
      <c r="G1468" s="195" t="n">
        <v>35210.84</v>
      </c>
    </row>
    <row r="1469">
      <c r="A1469" s="196" t="inlineStr">
        <is>
          <t>2026-07-07 18:00:00</t>
        </is>
      </c>
      <c r="B1469" s="196" t="inlineStr">
        <is>
          <t>HKD</t>
        </is>
      </c>
      <c r="C1469" s="196" t="inlineStr">
        <is>
          <t>HONGKONG DOLLAR</t>
        </is>
      </c>
      <c r="D1469" s="184" t="n">
        <v>3258.89</v>
      </c>
      <c r="E1469" s="184" t="n">
        <v>3291.81</v>
      </c>
      <c r="F1469" s="184" t="n">
        <v>3417.68</v>
      </c>
      <c r="G1469" s="184" t="n">
        <v>3354.74</v>
      </c>
    </row>
    <row r="1470">
      <c r="A1470" s="194" t="inlineStr">
        <is>
          <t>2026-07-07 18:00:00</t>
        </is>
      </c>
      <c r="B1470" s="194" t="inlineStr">
        <is>
          <t>INR</t>
        </is>
      </c>
      <c r="C1470" s="194" t="inlineStr">
        <is>
          <t>INDIAN RUPEE</t>
        </is>
      </c>
      <c r="D1470" s="195" t="n"/>
      <c r="E1470" s="195" t="n">
        <v>274.13</v>
      </c>
      <c r="F1470" s="195" t="n">
        <v>285.93</v>
      </c>
      <c r="G1470" s="195" t="n">
        <v>280.03</v>
      </c>
    </row>
    <row r="1471">
      <c r="A1471" s="196" t="inlineStr">
        <is>
          <t>2026-07-07 18:00:00</t>
        </is>
      </c>
      <c r="B1471" s="196" t="inlineStr">
        <is>
          <t>JPY</t>
        </is>
      </c>
      <c r="C1471" s="196" t="inlineStr">
        <is>
          <t>YEN</t>
        </is>
      </c>
      <c r="D1471" s="184" t="n">
        <v>156.55</v>
      </c>
      <c r="E1471" s="184" t="n">
        <v>158.13</v>
      </c>
      <c r="F1471" s="184" t="n">
        <v>167.35</v>
      </c>
      <c r="G1471" s="184" t="n">
        <v>162.74</v>
      </c>
    </row>
    <row r="1472">
      <c r="A1472" s="194" t="inlineStr">
        <is>
          <t>2026-07-07 18:00:00</t>
        </is>
      </c>
      <c r="B1472" s="194" t="inlineStr">
        <is>
          <t>KRW</t>
        </is>
      </c>
      <c r="C1472" s="194" t="inlineStr">
        <is>
          <t>KOREAN WON</t>
        </is>
      </c>
      <c r="D1472" s="195" t="n">
        <v>14.88</v>
      </c>
      <c r="E1472" s="195" t="n">
        <v>16.53</v>
      </c>
      <c r="F1472" s="195" t="n">
        <v>17.94</v>
      </c>
      <c r="G1472" s="195" t="n">
        <v>17.24</v>
      </c>
    </row>
    <row r="1473">
      <c r="A1473" s="196" t="inlineStr">
        <is>
          <t>2026-07-07 18:00:00</t>
        </is>
      </c>
      <c r="B1473" s="196" t="inlineStr">
        <is>
          <t>KWD</t>
        </is>
      </c>
      <c r="C1473" s="196" t="inlineStr">
        <is>
          <t>KUWAITI DINAR</t>
        </is>
      </c>
      <c r="D1473" s="184" t="n"/>
      <c r="E1473" s="184" t="n">
        <v>85010.58</v>
      </c>
      <c r="F1473" s="184" t="n">
        <v>89130.91</v>
      </c>
      <c r="G1473" s="184" t="n">
        <v>87070.74000000001</v>
      </c>
    </row>
    <row r="1474">
      <c r="A1474" s="194" t="inlineStr">
        <is>
          <t>2026-07-07 18:00:00</t>
        </is>
      </c>
      <c r="B1474" s="194" t="inlineStr">
        <is>
          <t>MYR</t>
        </is>
      </c>
      <c r="C1474" s="194" t="inlineStr">
        <is>
          <t>MALAYSIAN RINGGIT</t>
        </is>
      </c>
      <c r="D1474" s="195" t="n"/>
      <c r="E1474" s="195" t="n">
        <v>6377.4</v>
      </c>
      <c r="F1474" s="195" t="n">
        <v>6516.14</v>
      </c>
      <c r="G1474" s="195" t="n">
        <v>6446.77</v>
      </c>
    </row>
    <row r="1475">
      <c r="A1475" s="196" t="inlineStr">
        <is>
          <t>2026-07-07 18:00:00</t>
        </is>
      </c>
      <c r="B1475" s="196" t="inlineStr">
        <is>
          <t>NOK</t>
        </is>
      </c>
      <c r="C1475" s="196" t="inlineStr">
        <is>
          <t>NORWEGIAN KRONER</t>
        </is>
      </c>
      <c r="D1475" s="184" t="n"/>
      <c r="E1475" s="184" t="n">
        <v>2632.11</v>
      </c>
      <c r="F1475" s="184" t="n">
        <v>2743.72</v>
      </c>
      <c r="G1475" s="184" t="n">
        <v>2687.92</v>
      </c>
    </row>
    <row r="1476">
      <c r="A1476" s="194" t="inlineStr">
        <is>
          <t>2026-07-07 18:00:00</t>
        </is>
      </c>
      <c r="B1476" s="194" t="inlineStr">
        <is>
          <t>RUB</t>
        </is>
      </c>
      <c r="C1476" s="194" t="inlineStr">
        <is>
          <t>RUSSIAN RUBLE</t>
        </is>
      </c>
      <c r="D1476" s="195" t="n"/>
      <c r="E1476" s="195" t="n">
        <v>324.64</v>
      </c>
      <c r="F1476" s="195" t="n">
        <v>359.36</v>
      </c>
      <c r="G1476" s="195" t="n">
        <v>342</v>
      </c>
    </row>
    <row r="1477">
      <c r="A1477" s="196" t="inlineStr">
        <is>
          <t>2026-07-07 18:00:00</t>
        </is>
      </c>
      <c r="B1477" s="196" t="inlineStr">
        <is>
          <t>SAR</t>
        </is>
      </c>
      <c r="C1477" s="196" t="inlineStr">
        <is>
          <t>SAUDI RIAL</t>
        </is>
      </c>
      <c r="D1477" s="184" t="n"/>
      <c r="E1477" s="184" t="n">
        <v>6964.03</v>
      </c>
      <c r="F1477" s="184" t="n">
        <v>7263.74</v>
      </c>
      <c r="G1477" s="184" t="n">
        <v>7113.88</v>
      </c>
    </row>
    <row r="1478">
      <c r="A1478" s="194" t="inlineStr">
        <is>
          <t>2026-07-07 18:00:00</t>
        </is>
      </c>
      <c r="B1478" s="194" t="inlineStr">
        <is>
          <t>SEK</t>
        </is>
      </c>
      <c r="C1478" s="194" t="inlineStr">
        <is>
          <t>SWEDISH KRONA</t>
        </is>
      </c>
      <c r="D1478" s="195" t="n"/>
      <c r="E1478" s="195" t="n">
        <v>2675.82</v>
      </c>
      <c r="F1478" s="195" t="n">
        <v>2789.28</v>
      </c>
      <c r="G1478" s="195" t="n">
        <v>2732.55</v>
      </c>
    </row>
    <row r="1479">
      <c r="A1479" s="196" t="inlineStr">
        <is>
          <t>2026-07-07 18:00:00</t>
        </is>
      </c>
      <c r="B1479" s="196" t="inlineStr">
        <is>
          <t>SGD</t>
        </is>
      </c>
      <c r="C1479" s="196" t="inlineStr">
        <is>
          <t>SINGAPORE DOLLAR</t>
        </is>
      </c>
      <c r="D1479" s="184" t="n">
        <v>19821.57</v>
      </c>
      <c r="E1479" s="184" t="n">
        <v>20021.78</v>
      </c>
      <c r="F1479" s="184" t="n">
        <v>20704.36</v>
      </c>
      <c r="G1479" s="184" t="n">
        <v>20363.07</v>
      </c>
    </row>
    <row r="1480">
      <c r="A1480" s="194" t="inlineStr">
        <is>
          <t>2026-07-07 18:00:00</t>
        </is>
      </c>
      <c r="B1480" s="194" t="inlineStr">
        <is>
          <t>THB</t>
        </is>
      </c>
      <c r="C1480" s="194" t="inlineStr">
        <is>
          <t>THAILAND BAHT</t>
        </is>
      </c>
      <c r="D1480" s="195" t="n">
        <v>696.55</v>
      </c>
      <c r="E1480" s="195" t="n">
        <v>773.95</v>
      </c>
      <c r="F1480" s="195" t="n">
        <v>806.76</v>
      </c>
      <c r="G1480" s="195" t="n">
        <v>790.36</v>
      </c>
    </row>
    <row r="1481">
      <c r="A1481" s="196" t="inlineStr">
        <is>
          <t>2026-07-07 18:00:00</t>
        </is>
      </c>
      <c r="B1481" s="196" t="inlineStr">
        <is>
          <t>USD</t>
        </is>
      </c>
      <c r="C1481" s="196" t="inlineStr">
        <is>
          <t>US DOLLAR</t>
        </is>
      </c>
      <c r="D1481" s="184" t="n">
        <v>26072</v>
      </c>
      <c r="E1481" s="184" t="n">
        <v>26102</v>
      </c>
      <c r="F1481" s="184" t="n">
        <v>26462</v>
      </c>
      <c r="G1481" s="184" t="n">
        <v>26282</v>
      </c>
    </row>
    <row r="1482">
      <c r="A1482" s="194" t="inlineStr">
        <is>
          <t>2026-07-06 18:00:00</t>
        </is>
      </c>
      <c r="B1482" s="194" t="inlineStr">
        <is>
          <t>AUD</t>
        </is>
      </c>
      <c r="C1482" s="194" t="inlineStr">
        <is>
          <t>AUSTRALIAN DOLLAR</t>
        </is>
      </c>
      <c r="D1482" s="195" t="n">
        <v>17769.72</v>
      </c>
      <c r="E1482" s="195" t="n">
        <v>17949.21</v>
      </c>
      <c r="F1482" s="195" t="n">
        <v>18524.04</v>
      </c>
      <c r="G1482" s="195" t="n">
        <v>18236.62</v>
      </c>
    </row>
    <row r="1483">
      <c r="A1483" s="196" t="inlineStr">
        <is>
          <t>2026-07-06 18:00:00</t>
        </is>
      </c>
      <c r="B1483" s="196" t="inlineStr">
        <is>
          <t>CAD</t>
        </is>
      </c>
      <c r="C1483" s="196" t="inlineStr">
        <is>
          <t>CANADIAN DOLLAR</t>
        </is>
      </c>
      <c r="D1483" s="184" t="n">
        <v>18044.85</v>
      </c>
      <c r="E1483" s="184" t="n">
        <v>18227.12</v>
      </c>
      <c r="F1483" s="184" t="n">
        <v>18810.85</v>
      </c>
      <c r="G1483" s="184" t="n">
        <v>18518.98</v>
      </c>
    </row>
    <row r="1484">
      <c r="A1484" s="194" t="inlineStr">
        <is>
          <t>2026-07-06 18:00:00</t>
        </is>
      </c>
      <c r="B1484" s="194" t="inlineStr">
        <is>
          <t>CHF</t>
        </is>
      </c>
      <c r="C1484" s="194" t="inlineStr">
        <is>
          <t>SWISS FRANC</t>
        </is>
      </c>
      <c r="D1484" s="195" t="n">
        <v>31893.38</v>
      </c>
      <c r="E1484" s="195" t="n">
        <v>32215.54</v>
      </c>
      <c r="F1484" s="195" t="n">
        <v>33247.25</v>
      </c>
      <c r="G1484" s="195" t="n">
        <v>32731.4</v>
      </c>
    </row>
    <row r="1485">
      <c r="A1485" s="196" t="inlineStr">
        <is>
          <t>2026-07-06 18:00:00</t>
        </is>
      </c>
      <c r="B1485" s="196" t="inlineStr">
        <is>
          <t>CNY</t>
        </is>
      </c>
      <c r="C1485" s="196" t="inlineStr">
        <is>
          <t>YUAN RENMINBI</t>
        </is>
      </c>
      <c r="D1485" s="184" t="n">
        <v>3780.8</v>
      </c>
      <c r="E1485" s="184" t="n">
        <v>3818.99</v>
      </c>
      <c r="F1485" s="184" t="n">
        <v>3941.3</v>
      </c>
      <c r="G1485" s="184" t="n">
        <v>3880.14</v>
      </c>
    </row>
    <row r="1486">
      <c r="A1486" s="194" t="inlineStr">
        <is>
          <t>2026-07-06 18:00:00</t>
        </is>
      </c>
      <c r="B1486" s="194" t="inlineStr">
        <is>
          <t>DKK</t>
        </is>
      </c>
      <c r="C1486" s="194" t="inlineStr">
        <is>
          <t>DANISH KRONE</t>
        </is>
      </c>
      <c r="D1486" s="195" t="n"/>
      <c r="E1486" s="195" t="n">
        <v>3949.65</v>
      </c>
      <c r="F1486" s="195" t="n">
        <v>4100.68</v>
      </c>
      <c r="G1486" s="195" t="n">
        <v>4025.16</v>
      </c>
    </row>
    <row r="1487">
      <c r="A1487" s="196" t="inlineStr">
        <is>
          <t>2026-07-06 18:00:00</t>
        </is>
      </c>
      <c r="B1487" s="196" t="inlineStr">
        <is>
          <t>EUR</t>
        </is>
      </c>
      <c r="C1487" s="196" t="inlineStr">
        <is>
          <t>EURO</t>
        </is>
      </c>
      <c r="D1487" s="184" t="n">
        <v>29304.41</v>
      </c>
      <c r="E1487" s="184" t="n">
        <v>29600.41</v>
      </c>
      <c r="F1487" s="184" t="n">
        <v>30849.34</v>
      </c>
      <c r="G1487" s="184" t="n">
        <v>30224.88</v>
      </c>
    </row>
    <row r="1488">
      <c r="A1488" s="194" t="inlineStr">
        <is>
          <t>2026-07-06 18:00:00</t>
        </is>
      </c>
      <c r="B1488" s="194" t="inlineStr">
        <is>
          <t>GBP</t>
        </is>
      </c>
      <c r="C1488" s="194" t="inlineStr">
        <is>
          <t>POUND STERLING</t>
        </is>
      </c>
      <c r="D1488" s="195" t="n">
        <v>34199.15</v>
      </c>
      <c r="E1488" s="195" t="n">
        <v>34544.6</v>
      </c>
      <c r="F1488" s="195" t="n">
        <v>35650.9</v>
      </c>
      <c r="G1488" s="195" t="n">
        <v>35097.75</v>
      </c>
    </row>
    <row r="1489">
      <c r="A1489" s="196" t="inlineStr">
        <is>
          <t>2026-07-06 18:00:00</t>
        </is>
      </c>
      <c r="B1489" s="196" t="inlineStr">
        <is>
          <t>HKD</t>
        </is>
      </c>
      <c r="C1489" s="196" t="inlineStr">
        <is>
          <t>HONGKONG DOLLAR</t>
        </is>
      </c>
      <c r="D1489" s="184" t="n">
        <v>3258.8</v>
      </c>
      <c r="E1489" s="184" t="n">
        <v>3291.72</v>
      </c>
      <c r="F1489" s="184" t="n">
        <v>3417.59</v>
      </c>
      <c r="G1489" s="184" t="n">
        <v>3354.66</v>
      </c>
    </row>
    <row r="1490">
      <c r="A1490" s="194" t="inlineStr">
        <is>
          <t>2026-07-06 18:00:00</t>
        </is>
      </c>
      <c r="B1490" s="194" t="inlineStr">
        <is>
          <t>INR</t>
        </is>
      </c>
      <c r="C1490" s="194" t="inlineStr">
        <is>
          <t>INDIAN RUPEE</t>
        </is>
      </c>
      <c r="D1490" s="195" t="n"/>
      <c r="E1490" s="195" t="n">
        <v>274.65</v>
      </c>
      <c r="F1490" s="195" t="n">
        <v>286.47</v>
      </c>
      <c r="G1490" s="195" t="n">
        <v>280.56</v>
      </c>
    </row>
    <row r="1491">
      <c r="A1491" s="196" t="inlineStr">
        <is>
          <t>2026-07-06 18:00:00</t>
        </is>
      </c>
      <c r="B1491" s="196" t="inlineStr">
        <is>
          <t>JPY</t>
        </is>
      </c>
      <c r="C1491" s="196" t="inlineStr">
        <is>
          <t>YEN</t>
        </is>
      </c>
      <c r="D1491" s="184" t="n">
        <v>157.03</v>
      </c>
      <c r="E1491" s="184" t="n">
        <v>158.62</v>
      </c>
      <c r="F1491" s="184" t="n">
        <v>167.87</v>
      </c>
      <c r="G1491" s="184" t="n">
        <v>163.24</v>
      </c>
    </row>
    <row r="1492">
      <c r="A1492" s="194" t="inlineStr">
        <is>
          <t>2026-07-06 18:00:00</t>
        </is>
      </c>
      <c r="B1492" s="194" t="inlineStr">
        <is>
          <t>KRW</t>
        </is>
      </c>
      <c r="C1492" s="194" t="inlineStr">
        <is>
          <t>KOREAN WON</t>
        </is>
      </c>
      <c r="D1492" s="195" t="n">
        <v>14.88</v>
      </c>
      <c r="E1492" s="195" t="n">
        <v>16.54</v>
      </c>
      <c r="F1492" s="195" t="n">
        <v>17.94</v>
      </c>
      <c r="G1492" s="195" t="n">
        <v>17.24</v>
      </c>
    </row>
    <row r="1493">
      <c r="A1493" s="196" t="inlineStr">
        <is>
          <t>2026-07-06 18:00:00</t>
        </is>
      </c>
      <c r="B1493" s="196" t="inlineStr">
        <is>
          <t>KWD</t>
        </is>
      </c>
      <c r="C1493" s="196" t="inlineStr">
        <is>
          <t>KUWAITI DINAR</t>
        </is>
      </c>
      <c r="D1493" s="184" t="n"/>
      <c r="E1493" s="184" t="n">
        <v>85010.58</v>
      </c>
      <c r="F1493" s="184" t="n">
        <v>89130.91</v>
      </c>
      <c r="G1493" s="184" t="n">
        <v>87070.74000000001</v>
      </c>
    </row>
    <row r="1494">
      <c r="A1494" s="194" t="inlineStr">
        <is>
          <t>2026-07-06 18:00:00</t>
        </is>
      </c>
      <c r="B1494" s="194" t="inlineStr">
        <is>
          <t>MYR</t>
        </is>
      </c>
      <c r="C1494" s="194" t="inlineStr">
        <is>
          <t>MALAYSIAN RINGGIT</t>
        </is>
      </c>
      <c r="D1494" s="195" t="n"/>
      <c r="E1494" s="195" t="n">
        <v>6397.79</v>
      </c>
      <c r="F1494" s="195" t="n">
        <v>6536.97</v>
      </c>
      <c r="G1494" s="195" t="n">
        <v>6467.38</v>
      </c>
    </row>
    <row r="1495">
      <c r="A1495" s="196" t="inlineStr">
        <is>
          <t>2026-07-06 18:00:00</t>
        </is>
      </c>
      <c r="B1495" s="196" t="inlineStr">
        <is>
          <t>NOK</t>
        </is>
      </c>
      <c r="C1495" s="196" t="inlineStr">
        <is>
          <t>NORWEGIAN KRONER</t>
        </is>
      </c>
      <c r="D1495" s="184" t="n"/>
      <c r="E1495" s="184" t="n">
        <v>2621.16</v>
      </c>
      <c r="F1495" s="184" t="n">
        <v>2732.3</v>
      </c>
      <c r="G1495" s="184" t="n">
        <v>2676.73</v>
      </c>
    </row>
    <row r="1496">
      <c r="A1496" s="194" t="inlineStr">
        <is>
          <t>2026-07-06 18:00:00</t>
        </is>
      </c>
      <c r="B1496" s="194" t="inlineStr">
        <is>
          <t>RUB</t>
        </is>
      </c>
      <c r="C1496" s="194" t="inlineStr">
        <is>
          <t>RUSSIAN RUBLE</t>
        </is>
      </c>
      <c r="D1496" s="195" t="n"/>
      <c r="E1496" s="195" t="n">
        <v>323.78</v>
      </c>
      <c r="F1496" s="195" t="n">
        <v>358.41</v>
      </c>
      <c r="G1496" s="195" t="n">
        <v>341.1</v>
      </c>
    </row>
    <row r="1497">
      <c r="A1497" s="196" t="inlineStr">
        <is>
          <t>2026-07-06 18:00:00</t>
        </is>
      </c>
      <c r="B1497" s="196" t="inlineStr">
        <is>
          <t>SAR</t>
        </is>
      </c>
      <c r="C1497" s="196" t="inlineStr">
        <is>
          <t>SAUDI RIAL</t>
        </is>
      </c>
      <c r="D1497" s="184" t="n"/>
      <c r="E1497" s="184" t="n">
        <v>6967</v>
      </c>
      <c r="F1497" s="184" t="n">
        <v>7266.83</v>
      </c>
      <c r="G1497" s="184" t="n">
        <v>7116.92</v>
      </c>
    </row>
    <row r="1498">
      <c r="A1498" s="194" t="inlineStr">
        <is>
          <t>2026-07-06 18:00:00</t>
        </is>
      </c>
      <c r="B1498" s="194" t="inlineStr">
        <is>
          <t>SEK</t>
        </is>
      </c>
      <c r="C1498" s="194" t="inlineStr">
        <is>
          <t>SWEDISH KRONA</t>
        </is>
      </c>
      <c r="D1498" s="195" t="n"/>
      <c r="E1498" s="195" t="n">
        <v>2671.77</v>
      </c>
      <c r="F1498" s="195" t="n">
        <v>2785.06</v>
      </c>
      <c r="G1498" s="195" t="n">
        <v>2728.42</v>
      </c>
    </row>
    <row r="1499">
      <c r="A1499" s="196" t="inlineStr">
        <is>
          <t>2026-07-06 18:00:00</t>
        </is>
      </c>
      <c r="B1499" s="196" t="inlineStr">
        <is>
          <t>SGD</t>
        </is>
      </c>
      <c r="C1499" s="196" t="inlineStr">
        <is>
          <t>SINGAPORE DOLLAR</t>
        </is>
      </c>
      <c r="D1499" s="184" t="n">
        <v>19830.78</v>
      </c>
      <c r="E1499" s="184" t="n">
        <v>20031.09</v>
      </c>
      <c r="F1499" s="184" t="n">
        <v>20713.98</v>
      </c>
      <c r="G1499" s="184" t="n">
        <v>20372.54</v>
      </c>
    </row>
    <row r="1500">
      <c r="A1500" s="194" t="inlineStr">
        <is>
          <t>2026-07-06 18:00:00</t>
        </is>
      </c>
      <c r="B1500" s="194" t="inlineStr">
        <is>
          <t>THB</t>
        </is>
      </c>
      <c r="C1500" s="194" t="inlineStr">
        <is>
          <t>THAILAND BAHT</t>
        </is>
      </c>
      <c r="D1500" s="195" t="n">
        <v>699.28</v>
      </c>
      <c r="E1500" s="195" t="n">
        <v>776.98</v>
      </c>
      <c r="F1500" s="195" t="n">
        <v>809.9299999999999</v>
      </c>
      <c r="G1500" s="195" t="n">
        <v>793.46</v>
      </c>
    </row>
    <row r="1501">
      <c r="A1501" s="196" t="inlineStr">
        <is>
          <t>2026-07-06 18:00:00</t>
        </is>
      </c>
      <c r="B1501" s="196" t="inlineStr">
        <is>
          <t>USD</t>
        </is>
      </c>
      <c r="C1501" s="196" t="inlineStr">
        <is>
          <t>US DOLLAR</t>
        </is>
      </c>
      <c r="D1501" s="184" t="n">
        <v>26072</v>
      </c>
      <c r="E1501" s="184" t="n">
        <v>26102</v>
      </c>
      <c r="F1501" s="184" t="n">
        <v>26462</v>
      </c>
      <c r="G1501" s="184" t="n">
        <v>26282</v>
      </c>
    </row>
    <row r="1502">
      <c r="A1502" s="194" t="inlineStr">
        <is>
          <t>2026-07-05 18:00:00</t>
        </is>
      </c>
      <c r="B1502" s="194" t="inlineStr">
        <is>
          <t>AUD</t>
        </is>
      </c>
      <c r="C1502" s="194" t="inlineStr">
        <is>
          <t>AUSTRALIAN DOLLAR</t>
        </is>
      </c>
      <c r="D1502" s="195" t="n">
        <v>17751.78</v>
      </c>
      <c r="E1502" s="195" t="n">
        <v>17931.09</v>
      </c>
      <c r="F1502" s="195" t="n">
        <v>18505.34</v>
      </c>
      <c r="G1502" s="195" t="n">
        <v>18218.22</v>
      </c>
    </row>
    <row r="1503">
      <c r="A1503" s="196" t="inlineStr">
        <is>
          <t>2026-07-05 18:00:00</t>
        </is>
      </c>
      <c r="B1503" s="196" t="inlineStr">
        <is>
          <t>CAD</t>
        </is>
      </c>
      <c r="C1503" s="196" t="inlineStr">
        <is>
          <t>CANADIAN DOLLAR</t>
        </is>
      </c>
      <c r="D1503" s="184" t="n">
        <v>18077.94</v>
      </c>
      <c r="E1503" s="184" t="n">
        <v>18260.54</v>
      </c>
      <c r="F1503" s="184" t="n">
        <v>18845.34</v>
      </c>
      <c r="G1503" s="184" t="n">
        <v>18552.94</v>
      </c>
    </row>
    <row r="1504">
      <c r="A1504" s="194" t="inlineStr">
        <is>
          <t>2026-07-05 18:00:00</t>
        </is>
      </c>
      <c r="B1504" s="194" t="inlineStr">
        <is>
          <t>CHF</t>
        </is>
      </c>
      <c r="C1504" s="194" t="inlineStr">
        <is>
          <t>SWISS FRANC</t>
        </is>
      </c>
      <c r="D1504" s="195" t="n">
        <v>31917.21</v>
      </c>
      <c r="E1504" s="195" t="n">
        <v>32239.6</v>
      </c>
      <c r="F1504" s="195" t="n">
        <v>33272.09</v>
      </c>
      <c r="G1504" s="195" t="n">
        <v>32755.84</v>
      </c>
    </row>
    <row r="1505">
      <c r="A1505" s="196" t="inlineStr">
        <is>
          <t>2026-07-05 18:00:00</t>
        </is>
      </c>
      <c r="B1505" s="196" t="inlineStr">
        <is>
          <t>CNY</t>
        </is>
      </c>
      <c r="C1505" s="196" t="inlineStr">
        <is>
          <t>YUAN RENMINBI</t>
        </is>
      </c>
      <c r="D1505" s="184" t="n">
        <v>3780.36</v>
      </c>
      <c r="E1505" s="184" t="n">
        <v>3818.54</v>
      </c>
      <c r="F1505" s="184" t="n">
        <v>3940.83</v>
      </c>
      <c r="G1505" s="184" t="n">
        <v>3879.68</v>
      </c>
    </row>
    <row r="1506">
      <c r="A1506" s="194" t="inlineStr">
        <is>
          <t>2026-07-05 18:00:00</t>
        </is>
      </c>
      <c r="B1506" s="194" t="inlineStr">
        <is>
          <t>DKK</t>
        </is>
      </c>
      <c r="C1506" s="194" t="inlineStr">
        <is>
          <t>DANISH KRONE</t>
        </is>
      </c>
      <c r="D1506" s="195" t="n"/>
      <c r="E1506" s="195" t="n">
        <v>3950.14</v>
      </c>
      <c r="F1506" s="195" t="n">
        <v>4101.18</v>
      </c>
      <c r="G1506" s="195" t="n">
        <v>4025.66</v>
      </c>
    </row>
    <row r="1507">
      <c r="A1507" s="196" t="inlineStr">
        <is>
          <t>2026-07-05 18:00:00</t>
        </is>
      </c>
      <c r="B1507" s="196" t="inlineStr">
        <is>
          <t>EUR</t>
        </is>
      </c>
      <c r="C1507" s="196" t="inlineStr">
        <is>
          <t>EURO</t>
        </is>
      </c>
      <c r="D1507" s="184" t="n">
        <v>29304.41</v>
      </c>
      <c r="E1507" s="184" t="n">
        <v>29600.41</v>
      </c>
      <c r="F1507" s="184" t="n">
        <v>30849.34</v>
      </c>
      <c r="G1507" s="184" t="n">
        <v>30224.88</v>
      </c>
    </row>
    <row r="1508">
      <c r="A1508" s="194" t="inlineStr">
        <is>
          <t>2026-07-05 18:00:00</t>
        </is>
      </c>
      <c r="B1508" s="194" t="inlineStr">
        <is>
          <t>GBP</t>
        </is>
      </c>
      <c r="C1508" s="194" t="inlineStr">
        <is>
          <t>POUND STERLING</t>
        </is>
      </c>
      <c r="D1508" s="195" t="n">
        <v>34219.66</v>
      </c>
      <c r="E1508" s="195" t="n">
        <v>34565.31</v>
      </c>
      <c r="F1508" s="195" t="n">
        <v>35672.27</v>
      </c>
      <c r="G1508" s="195" t="n">
        <v>35118.79</v>
      </c>
    </row>
    <row r="1509">
      <c r="A1509" s="196" t="inlineStr">
        <is>
          <t>2026-07-05 18:00:00</t>
        </is>
      </c>
      <c r="B1509" s="196" t="inlineStr">
        <is>
          <t>HKD</t>
        </is>
      </c>
      <c r="C1509" s="196" t="inlineStr">
        <is>
          <t>HONGKONG DOLLAR</t>
        </is>
      </c>
      <c r="D1509" s="184" t="n">
        <v>3259.14</v>
      </c>
      <c r="E1509" s="184" t="n">
        <v>3292.06</v>
      </c>
      <c r="F1509" s="184" t="n">
        <v>3417.94</v>
      </c>
      <c r="G1509" s="184" t="n">
        <v>3355</v>
      </c>
    </row>
    <row r="1510">
      <c r="A1510" s="194" t="inlineStr">
        <is>
          <t>2026-07-05 18:00:00</t>
        </is>
      </c>
      <c r="B1510" s="194" t="inlineStr">
        <is>
          <t>INR</t>
        </is>
      </c>
      <c r="C1510" s="194" t="inlineStr">
        <is>
          <t>INDIAN RUPEE</t>
        </is>
      </c>
      <c r="D1510" s="195" t="n"/>
      <c r="E1510" s="195" t="n">
        <v>274.13</v>
      </c>
      <c r="F1510" s="195" t="n">
        <v>285.93</v>
      </c>
      <c r="G1510" s="195" t="n">
        <v>280.03</v>
      </c>
    </row>
    <row r="1511">
      <c r="A1511" s="196" t="inlineStr">
        <is>
          <t>2026-07-05 18:00:00</t>
        </is>
      </c>
      <c r="B1511" s="196" t="inlineStr">
        <is>
          <t>JPY</t>
        </is>
      </c>
      <c r="C1511" s="196" t="inlineStr">
        <is>
          <t>YEN</t>
        </is>
      </c>
      <c r="D1511" s="184" t="n">
        <v>158.04</v>
      </c>
      <c r="E1511" s="184" t="n">
        <v>159.63</v>
      </c>
      <c r="F1511" s="184" t="n">
        <v>169.87</v>
      </c>
      <c r="G1511" s="184" t="n">
        <v>164.75</v>
      </c>
    </row>
    <row r="1512">
      <c r="A1512" s="194" t="inlineStr">
        <is>
          <t>2026-07-05 18:00:00</t>
        </is>
      </c>
      <c r="B1512" s="194" t="inlineStr">
        <is>
          <t>KRW</t>
        </is>
      </c>
      <c r="C1512" s="194" t="inlineStr">
        <is>
          <t>KOREAN WON</t>
        </is>
      </c>
      <c r="D1512" s="195" t="n">
        <v>14.77</v>
      </c>
      <c r="E1512" s="195" t="n">
        <v>16.41</v>
      </c>
      <c r="F1512" s="195" t="n">
        <v>17.81</v>
      </c>
      <c r="G1512" s="195" t="n">
        <v>17.11</v>
      </c>
    </row>
    <row r="1513">
      <c r="A1513" s="196" t="inlineStr">
        <is>
          <t>2026-07-05 18:00:00</t>
        </is>
      </c>
      <c r="B1513" s="196" t="inlineStr">
        <is>
          <t>KWD</t>
        </is>
      </c>
      <c r="C1513" s="196" t="inlineStr">
        <is>
          <t>KUWAITI DINAR</t>
        </is>
      </c>
      <c r="D1513" s="184" t="n"/>
      <c r="E1513" s="184" t="n">
        <v>84955.34</v>
      </c>
      <c r="F1513" s="184" t="n">
        <v>89072.99000000001</v>
      </c>
      <c r="G1513" s="184" t="n">
        <v>87014.16</v>
      </c>
    </row>
    <row r="1514">
      <c r="A1514" s="194" t="inlineStr">
        <is>
          <t>2026-07-05 18:00:00</t>
        </is>
      </c>
      <c r="B1514" s="194" t="inlineStr">
        <is>
          <t>MYR</t>
        </is>
      </c>
      <c r="C1514" s="194" t="inlineStr">
        <is>
          <t>MALAYSIAN RINGGIT</t>
        </is>
      </c>
      <c r="D1514" s="195" t="n"/>
      <c r="E1514" s="195" t="n">
        <v>6404.09</v>
      </c>
      <c r="F1514" s="195" t="n">
        <v>6543.41</v>
      </c>
      <c r="G1514" s="195" t="n">
        <v>6473.75</v>
      </c>
    </row>
    <row r="1515">
      <c r="A1515" s="196" t="inlineStr">
        <is>
          <t>2026-07-05 18:00:00</t>
        </is>
      </c>
      <c r="B1515" s="196" t="inlineStr">
        <is>
          <t>NOK</t>
        </is>
      </c>
      <c r="C1515" s="196" t="inlineStr">
        <is>
          <t>NORWEGIAN KRONER</t>
        </is>
      </c>
      <c r="D1515" s="184" t="n"/>
      <c r="E1515" s="184" t="n">
        <v>2623.35</v>
      </c>
      <c r="F1515" s="184" t="n">
        <v>2734.58</v>
      </c>
      <c r="G1515" s="184" t="n">
        <v>2678.96</v>
      </c>
    </row>
    <row r="1516">
      <c r="A1516" s="194" t="inlineStr">
        <is>
          <t>2026-07-05 18:00:00</t>
        </is>
      </c>
      <c r="B1516" s="194" t="inlineStr">
        <is>
          <t>RUB</t>
        </is>
      </c>
      <c r="C1516" s="194" t="inlineStr">
        <is>
          <t>RUSSIAN RUBLE</t>
        </is>
      </c>
      <c r="D1516" s="195" t="n"/>
      <c r="E1516" s="195" t="n">
        <v>322.97</v>
      </c>
      <c r="F1516" s="195" t="n">
        <v>357.51</v>
      </c>
      <c r="G1516" s="195" t="n">
        <v>340.24</v>
      </c>
    </row>
    <row r="1517">
      <c r="A1517" s="196" t="inlineStr">
        <is>
          <t>2026-07-05 18:00:00</t>
        </is>
      </c>
      <c r="B1517" s="196" t="inlineStr">
        <is>
          <t>SAR</t>
        </is>
      </c>
      <c r="C1517" s="196" t="inlineStr">
        <is>
          <t>SAUDI RIAL</t>
        </is>
      </c>
      <c r="D1517" s="184" t="n"/>
      <c r="E1517" s="184" t="n">
        <v>6964.59</v>
      </c>
      <c r="F1517" s="184" t="n">
        <v>7264.32</v>
      </c>
      <c r="G1517" s="184" t="n">
        <v>7114.46</v>
      </c>
    </row>
    <row r="1518">
      <c r="A1518" s="194" t="inlineStr">
        <is>
          <t>2026-07-05 18:00:00</t>
        </is>
      </c>
      <c r="B1518" s="194" t="inlineStr">
        <is>
          <t>SEK</t>
        </is>
      </c>
      <c r="C1518" s="194" t="inlineStr">
        <is>
          <t>SWEDISH KRONA</t>
        </is>
      </c>
      <c r="D1518" s="195" t="n"/>
      <c r="E1518" s="195" t="n">
        <v>2667.4</v>
      </c>
      <c r="F1518" s="195" t="n">
        <v>2780.5</v>
      </c>
      <c r="G1518" s="195" t="n">
        <v>2723.95</v>
      </c>
    </row>
    <row r="1519">
      <c r="A1519" s="196" t="inlineStr">
        <is>
          <t>2026-07-05 18:00:00</t>
        </is>
      </c>
      <c r="B1519" s="196" t="inlineStr">
        <is>
          <t>SGD</t>
        </is>
      </c>
      <c r="C1519" s="196" t="inlineStr">
        <is>
          <t>SINGAPORE DOLLAR</t>
        </is>
      </c>
      <c r="D1519" s="184" t="n">
        <v>19830.78</v>
      </c>
      <c r="E1519" s="184" t="n">
        <v>20031.09</v>
      </c>
      <c r="F1519" s="184" t="n">
        <v>20713.98</v>
      </c>
      <c r="G1519" s="184" t="n">
        <v>20372.54</v>
      </c>
    </row>
    <row r="1520">
      <c r="A1520" s="194" t="inlineStr">
        <is>
          <t>2026-07-05 18:00:00</t>
        </is>
      </c>
      <c r="B1520" s="194" t="inlineStr">
        <is>
          <t>THB</t>
        </is>
      </c>
      <c r="C1520" s="194" t="inlineStr">
        <is>
          <t>THAILAND BAHT</t>
        </is>
      </c>
      <c r="D1520" s="195" t="n">
        <v>699.28</v>
      </c>
      <c r="E1520" s="195" t="n">
        <v>776.98</v>
      </c>
      <c r="F1520" s="195" t="n">
        <v>809.9299999999999</v>
      </c>
      <c r="G1520" s="195" t="n">
        <v>793.46</v>
      </c>
    </row>
    <row r="1521">
      <c r="A1521" s="196" t="inlineStr">
        <is>
          <t>2026-07-05 18:00:00</t>
        </is>
      </c>
      <c r="B1521" s="196" t="inlineStr">
        <is>
          <t>USD</t>
        </is>
      </c>
      <c r="C1521" s="196" t="inlineStr">
        <is>
          <t>US DOLLAR</t>
        </is>
      </c>
      <c r="D1521" s="184" t="n">
        <v>26073</v>
      </c>
      <c r="E1521" s="184" t="n">
        <v>26103</v>
      </c>
      <c r="F1521" s="184" t="n">
        <v>26463</v>
      </c>
      <c r="G1521" s="184" t="n">
        <v>26283</v>
      </c>
    </row>
    <row r="1522">
      <c r="A1522" s="194" t="inlineStr">
        <is>
          <t>2026-07-04 18:00:00</t>
        </is>
      </c>
      <c r="B1522" s="194" t="inlineStr">
        <is>
          <t>AUD</t>
        </is>
      </c>
      <c r="C1522" s="194" t="inlineStr">
        <is>
          <t>AUSTRALIAN DOLLAR</t>
        </is>
      </c>
      <c r="D1522" s="195" t="n">
        <v>17751.78</v>
      </c>
      <c r="E1522" s="195" t="n">
        <v>17931.09</v>
      </c>
      <c r="F1522" s="195" t="n">
        <v>18505.34</v>
      </c>
      <c r="G1522" s="195" t="n">
        <v>18218.22</v>
      </c>
    </row>
    <row r="1523">
      <c r="A1523" s="196" t="inlineStr">
        <is>
          <t>2026-07-04 18:00:00</t>
        </is>
      </c>
      <c r="B1523" s="196" t="inlineStr">
        <is>
          <t>CAD</t>
        </is>
      </c>
      <c r="C1523" s="196" t="inlineStr">
        <is>
          <t>CANADIAN DOLLAR</t>
        </is>
      </c>
      <c r="D1523" s="184" t="n">
        <v>18077.94</v>
      </c>
      <c r="E1523" s="184" t="n">
        <v>18260.54</v>
      </c>
      <c r="F1523" s="184" t="n">
        <v>18845.34</v>
      </c>
      <c r="G1523" s="184" t="n">
        <v>18552.94</v>
      </c>
    </row>
    <row r="1524">
      <c r="A1524" s="194" t="inlineStr">
        <is>
          <t>2026-07-04 18:00:00</t>
        </is>
      </c>
      <c r="B1524" s="194" t="inlineStr">
        <is>
          <t>CHF</t>
        </is>
      </c>
      <c r="C1524" s="194" t="inlineStr">
        <is>
          <t>SWISS FRANC</t>
        </is>
      </c>
      <c r="D1524" s="195" t="n">
        <v>31917.21</v>
      </c>
      <c r="E1524" s="195" t="n">
        <v>32239.6</v>
      </c>
      <c r="F1524" s="195" t="n">
        <v>33272.09</v>
      </c>
      <c r="G1524" s="195" t="n">
        <v>32755.84</v>
      </c>
    </row>
    <row r="1525">
      <c r="A1525" s="196" t="inlineStr">
        <is>
          <t>2026-07-04 18:00:00</t>
        </is>
      </c>
      <c r="B1525" s="196" t="inlineStr">
        <is>
          <t>CNY</t>
        </is>
      </c>
      <c r="C1525" s="196" t="inlineStr">
        <is>
          <t>YUAN RENMINBI</t>
        </is>
      </c>
      <c r="D1525" s="184" t="n">
        <v>3780.36</v>
      </c>
      <c r="E1525" s="184" t="n">
        <v>3818.54</v>
      </c>
      <c r="F1525" s="184" t="n">
        <v>3940.83</v>
      </c>
      <c r="G1525" s="184" t="n">
        <v>3879.68</v>
      </c>
    </row>
    <row r="1526">
      <c r="A1526" s="194" t="inlineStr">
        <is>
          <t>2026-07-04 18:00:00</t>
        </is>
      </c>
      <c r="B1526" s="194" t="inlineStr">
        <is>
          <t>DKK</t>
        </is>
      </c>
      <c r="C1526" s="194" t="inlineStr">
        <is>
          <t>DANISH KRONE</t>
        </is>
      </c>
      <c r="D1526" s="195" t="n"/>
      <c r="E1526" s="195" t="n">
        <v>3950.14</v>
      </c>
      <c r="F1526" s="195" t="n">
        <v>4101.18</v>
      </c>
      <c r="G1526" s="195" t="n">
        <v>4025.66</v>
      </c>
    </row>
    <row r="1527">
      <c r="A1527" s="196" t="inlineStr">
        <is>
          <t>2026-07-04 18:00:00</t>
        </is>
      </c>
      <c r="B1527" s="196" t="inlineStr">
        <is>
          <t>EUR</t>
        </is>
      </c>
      <c r="C1527" s="196" t="inlineStr">
        <is>
          <t>EURO</t>
        </is>
      </c>
      <c r="D1527" s="184" t="n">
        <v>29304.41</v>
      </c>
      <c r="E1527" s="184" t="n">
        <v>29600.41</v>
      </c>
      <c r="F1527" s="184" t="n">
        <v>30849.34</v>
      </c>
      <c r="G1527" s="184" t="n">
        <v>30224.88</v>
      </c>
    </row>
    <row r="1528">
      <c r="A1528" s="194" t="inlineStr">
        <is>
          <t>2026-07-04 18:00:00</t>
        </is>
      </c>
      <c r="B1528" s="194" t="inlineStr">
        <is>
          <t>GBP</t>
        </is>
      </c>
      <c r="C1528" s="194" t="inlineStr">
        <is>
          <t>POUND STERLING</t>
        </is>
      </c>
      <c r="D1528" s="195" t="n">
        <v>34219.66</v>
      </c>
      <c r="E1528" s="195" t="n">
        <v>34565.31</v>
      </c>
      <c r="F1528" s="195" t="n">
        <v>35672.27</v>
      </c>
      <c r="G1528" s="195" t="n">
        <v>35118.79</v>
      </c>
    </row>
    <row r="1529">
      <c r="A1529" s="196" t="inlineStr">
        <is>
          <t>2026-07-04 18:00:00</t>
        </is>
      </c>
      <c r="B1529" s="196" t="inlineStr">
        <is>
          <t>HKD</t>
        </is>
      </c>
      <c r="C1529" s="196" t="inlineStr">
        <is>
          <t>HONGKONG DOLLAR</t>
        </is>
      </c>
      <c r="D1529" s="184" t="n">
        <v>3259.14</v>
      </c>
      <c r="E1529" s="184" t="n">
        <v>3292.06</v>
      </c>
      <c r="F1529" s="184" t="n">
        <v>3417.94</v>
      </c>
      <c r="G1529" s="184" t="n">
        <v>3355</v>
      </c>
    </row>
    <row r="1530">
      <c r="A1530" s="194" t="inlineStr">
        <is>
          <t>2026-07-04 18:00:00</t>
        </is>
      </c>
      <c r="B1530" s="194" t="inlineStr">
        <is>
          <t>INR</t>
        </is>
      </c>
      <c r="C1530" s="194" t="inlineStr">
        <is>
          <t>INDIAN RUPEE</t>
        </is>
      </c>
      <c r="D1530" s="195" t="n"/>
      <c r="E1530" s="195" t="n">
        <v>274.13</v>
      </c>
      <c r="F1530" s="195" t="n">
        <v>285.93</v>
      </c>
      <c r="G1530" s="195" t="n">
        <v>280.03</v>
      </c>
    </row>
    <row r="1531">
      <c r="A1531" s="196" t="inlineStr">
        <is>
          <t>2026-07-04 18:00:00</t>
        </is>
      </c>
      <c r="B1531" s="196" t="inlineStr">
        <is>
          <t>JPY</t>
        </is>
      </c>
      <c r="C1531" s="196" t="inlineStr">
        <is>
          <t>YEN</t>
        </is>
      </c>
      <c r="D1531" s="184" t="n">
        <v>158.04</v>
      </c>
      <c r="E1531" s="184" t="n">
        <v>159.63</v>
      </c>
      <c r="F1531" s="184" t="n">
        <v>169.87</v>
      </c>
      <c r="G1531" s="184" t="n">
        <v>164.75</v>
      </c>
    </row>
    <row r="1532">
      <c r="A1532" s="194" t="inlineStr">
        <is>
          <t>2026-07-04 18:00:00</t>
        </is>
      </c>
      <c r="B1532" s="194" t="inlineStr">
        <is>
          <t>KRW</t>
        </is>
      </c>
      <c r="C1532" s="194" t="inlineStr">
        <is>
          <t>KOREAN WON</t>
        </is>
      </c>
      <c r="D1532" s="195" t="n">
        <v>14.77</v>
      </c>
      <c r="E1532" s="195" t="n">
        <v>16.41</v>
      </c>
      <c r="F1532" s="195" t="n">
        <v>17.81</v>
      </c>
      <c r="G1532" s="195" t="n">
        <v>17.11</v>
      </c>
    </row>
    <row r="1533">
      <c r="A1533" s="196" t="inlineStr">
        <is>
          <t>2026-07-04 18:00:00</t>
        </is>
      </c>
      <c r="B1533" s="196" t="inlineStr">
        <is>
          <t>KWD</t>
        </is>
      </c>
      <c r="C1533" s="196" t="inlineStr">
        <is>
          <t>KUWAITI DINAR</t>
        </is>
      </c>
      <c r="D1533" s="184" t="n"/>
      <c r="E1533" s="184" t="n">
        <v>84955.34</v>
      </c>
      <c r="F1533" s="184" t="n">
        <v>89072.99000000001</v>
      </c>
      <c r="G1533" s="184" t="n">
        <v>87014.16</v>
      </c>
    </row>
    <row r="1534">
      <c r="A1534" s="194" t="inlineStr">
        <is>
          <t>2026-07-04 18:00:00</t>
        </is>
      </c>
      <c r="B1534" s="194" t="inlineStr">
        <is>
          <t>MYR</t>
        </is>
      </c>
      <c r="C1534" s="194" t="inlineStr">
        <is>
          <t>MALAYSIAN RINGGIT</t>
        </is>
      </c>
      <c r="D1534" s="195" t="n"/>
      <c r="E1534" s="195" t="n">
        <v>6404.09</v>
      </c>
      <c r="F1534" s="195" t="n">
        <v>6543.41</v>
      </c>
      <c r="G1534" s="195" t="n">
        <v>6473.75</v>
      </c>
    </row>
    <row r="1535">
      <c r="A1535" s="196" t="inlineStr">
        <is>
          <t>2026-07-04 18:00:00</t>
        </is>
      </c>
      <c r="B1535" s="196" t="inlineStr">
        <is>
          <t>NOK</t>
        </is>
      </c>
      <c r="C1535" s="196" t="inlineStr">
        <is>
          <t>NORWEGIAN KRONER</t>
        </is>
      </c>
      <c r="D1535" s="184" t="n"/>
      <c r="E1535" s="184" t="n">
        <v>2623.35</v>
      </c>
      <c r="F1535" s="184" t="n">
        <v>2734.58</v>
      </c>
      <c r="G1535" s="184" t="n">
        <v>2678.96</v>
      </c>
    </row>
    <row r="1536">
      <c r="A1536" s="194" t="inlineStr">
        <is>
          <t>2026-07-04 18:00:00</t>
        </is>
      </c>
      <c r="B1536" s="194" t="inlineStr">
        <is>
          <t>RUB</t>
        </is>
      </c>
      <c r="C1536" s="194" t="inlineStr">
        <is>
          <t>RUSSIAN RUBLE</t>
        </is>
      </c>
      <c r="D1536" s="195" t="n"/>
      <c r="E1536" s="195" t="n">
        <v>322.97</v>
      </c>
      <c r="F1536" s="195" t="n">
        <v>357.51</v>
      </c>
      <c r="G1536" s="195" t="n">
        <v>340.24</v>
      </c>
    </row>
    <row r="1537">
      <c r="A1537" s="196" t="inlineStr">
        <is>
          <t>2026-07-04 18:00:00</t>
        </is>
      </c>
      <c r="B1537" s="196" t="inlineStr">
        <is>
          <t>SAR</t>
        </is>
      </c>
      <c r="C1537" s="196" t="inlineStr">
        <is>
          <t>SAUDI RIAL</t>
        </is>
      </c>
      <c r="D1537" s="184" t="n"/>
      <c r="E1537" s="184" t="n">
        <v>6964.59</v>
      </c>
      <c r="F1537" s="184" t="n">
        <v>7264.32</v>
      </c>
      <c r="G1537" s="184" t="n">
        <v>7114.46</v>
      </c>
    </row>
    <row r="1538">
      <c r="A1538" s="194" t="inlineStr">
        <is>
          <t>2026-07-04 18:00:00</t>
        </is>
      </c>
      <c r="B1538" s="194" t="inlineStr">
        <is>
          <t>SEK</t>
        </is>
      </c>
      <c r="C1538" s="194" t="inlineStr">
        <is>
          <t>SWEDISH KRONA</t>
        </is>
      </c>
      <c r="D1538" s="195" t="n"/>
      <c r="E1538" s="195" t="n">
        <v>2667.4</v>
      </c>
      <c r="F1538" s="195" t="n">
        <v>2780.5</v>
      </c>
      <c r="G1538" s="195" t="n">
        <v>2723.95</v>
      </c>
    </row>
    <row r="1539">
      <c r="A1539" s="196" t="inlineStr">
        <is>
          <t>2026-07-04 18:00:00</t>
        </is>
      </c>
      <c r="B1539" s="196" t="inlineStr">
        <is>
          <t>SGD</t>
        </is>
      </c>
      <c r="C1539" s="196" t="inlineStr">
        <is>
          <t>SINGAPORE DOLLAR</t>
        </is>
      </c>
      <c r="D1539" s="184" t="n">
        <v>19830.78</v>
      </c>
      <c r="E1539" s="184" t="n">
        <v>20031.09</v>
      </c>
      <c r="F1539" s="184" t="n">
        <v>20713.98</v>
      </c>
      <c r="G1539" s="184" t="n">
        <v>20372.54</v>
      </c>
    </row>
    <row r="1540">
      <c r="A1540" s="194" t="inlineStr">
        <is>
          <t>2026-07-04 18:00:00</t>
        </is>
      </c>
      <c r="B1540" s="194" t="inlineStr">
        <is>
          <t>THB</t>
        </is>
      </c>
      <c r="C1540" s="194" t="inlineStr">
        <is>
          <t>THAILAND BAHT</t>
        </is>
      </c>
      <c r="D1540" s="195" t="n">
        <v>699.28</v>
      </c>
      <c r="E1540" s="195" t="n">
        <v>776.98</v>
      </c>
      <c r="F1540" s="195" t="n">
        <v>809.9299999999999</v>
      </c>
      <c r="G1540" s="195" t="n">
        <v>793.46</v>
      </c>
    </row>
    <row r="1541">
      <c r="A1541" s="196" t="inlineStr">
        <is>
          <t>2026-07-04 18:00:00</t>
        </is>
      </c>
      <c r="B1541" s="196" t="inlineStr">
        <is>
          <t>USD</t>
        </is>
      </c>
      <c r="C1541" s="196" t="inlineStr">
        <is>
          <t>US DOLLAR</t>
        </is>
      </c>
      <c r="D1541" s="184" t="n">
        <v>26073</v>
      </c>
      <c r="E1541" s="184" t="n">
        <v>26103</v>
      </c>
      <c r="F1541" s="184" t="n">
        <v>26463</v>
      </c>
      <c r="G1541" s="184" t="n">
        <v>26283</v>
      </c>
    </row>
    <row r="1542">
      <c r="A1542" s="194" t="inlineStr">
        <is>
          <t>2026-07-03 18:00:00</t>
        </is>
      </c>
      <c r="B1542" s="194" t="inlineStr">
        <is>
          <t>AUD</t>
        </is>
      </c>
      <c r="C1542" s="194" t="inlineStr">
        <is>
          <t>AUSTRALIAN DOLLAR</t>
        </is>
      </c>
      <c r="D1542" s="195" t="n">
        <v>17751.78</v>
      </c>
      <c r="E1542" s="195" t="n">
        <v>17931.09</v>
      </c>
      <c r="F1542" s="195" t="n">
        <v>18505.34</v>
      </c>
      <c r="G1542" s="195" t="n">
        <v>18218.22</v>
      </c>
    </row>
    <row r="1543">
      <c r="A1543" s="196" t="inlineStr">
        <is>
          <t>2026-07-03 18:00:00</t>
        </is>
      </c>
      <c r="B1543" s="196" t="inlineStr">
        <is>
          <t>CAD</t>
        </is>
      </c>
      <c r="C1543" s="196" t="inlineStr">
        <is>
          <t>CANADIAN DOLLAR</t>
        </is>
      </c>
      <c r="D1543" s="184" t="n">
        <v>18077.94</v>
      </c>
      <c r="E1543" s="184" t="n">
        <v>18260.54</v>
      </c>
      <c r="F1543" s="184" t="n">
        <v>18845.34</v>
      </c>
      <c r="G1543" s="184" t="n">
        <v>18552.94</v>
      </c>
    </row>
    <row r="1544">
      <c r="A1544" s="194" t="inlineStr">
        <is>
          <t>2026-07-03 18:00:00</t>
        </is>
      </c>
      <c r="B1544" s="194" t="inlineStr">
        <is>
          <t>CHF</t>
        </is>
      </c>
      <c r="C1544" s="194" t="inlineStr">
        <is>
          <t>SWISS FRANC</t>
        </is>
      </c>
      <c r="D1544" s="195" t="n">
        <v>31917.21</v>
      </c>
      <c r="E1544" s="195" t="n">
        <v>32239.6</v>
      </c>
      <c r="F1544" s="195" t="n">
        <v>33272.09</v>
      </c>
      <c r="G1544" s="195" t="n">
        <v>32755.84</v>
      </c>
    </row>
    <row r="1545">
      <c r="A1545" s="196" t="inlineStr">
        <is>
          <t>2026-07-03 18:00:00</t>
        </is>
      </c>
      <c r="B1545" s="196" t="inlineStr">
        <is>
          <t>CNY</t>
        </is>
      </c>
      <c r="C1545" s="196" t="inlineStr">
        <is>
          <t>YUAN RENMINBI</t>
        </is>
      </c>
      <c r="D1545" s="184" t="n">
        <v>3780.36</v>
      </c>
      <c r="E1545" s="184" t="n">
        <v>3818.54</v>
      </c>
      <c r="F1545" s="184" t="n">
        <v>3940.83</v>
      </c>
      <c r="G1545" s="184" t="n">
        <v>3879.68</v>
      </c>
    </row>
    <row r="1546">
      <c r="A1546" s="194" t="inlineStr">
        <is>
          <t>2026-07-03 18:00:00</t>
        </is>
      </c>
      <c r="B1546" s="194" t="inlineStr">
        <is>
          <t>DKK</t>
        </is>
      </c>
      <c r="C1546" s="194" t="inlineStr">
        <is>
          <t>DANISH KRONE</t>
        </is>
      </c>
      <c r="D1546" s="195" t="n"/>
      <c r="E1546" s="195" t="n">
        <v>3950.14</v>
      </c>
      <c r="F1546" s="195" t="n">
        <v>4101.18</v>
      </c>
      <c r="G1546" s="195" t="n">
        <v>4025.66</v>
      </c>
    </row>
    <row r="1547">
      <c r="A1547" s="196" t="inlineStr">
        <is>
          <t>2026-07-03 18:00:00</t>
        </is>
      </c>
      <c r="B1547" s="196" t="inlineStr">
        <is>
          <t>EUR</t>
        </is>
      </c>
      <c r="C1547" s="196" t="inlineStr">
        <is>
          <t>EURO</t>
        </is>
      </c>
      <c r="D1547" s="184" t="n">
        <v>29304.41</v>
      </c>
      <c r="E1547" s="184" t="n">
        <v>29600.41</v>
      </c>
      <c r="F1547" s="184" t="n">
        <v>30849.34</v>
      </c>
      <c r="G1547" s="184" t="n">
        <v>30224.88</v>
      </c>
    </row>
    <row r="1548">
      <c r="A1548" s="194" t="inlineStr">
        <is>
          <t>2026-07-03 18:00:00</t>
        </is>
      </c>
      <c r="B1548" s="194" t="inlineStr">
        <is>
          <t>GBP</t>
        </is>
      </c>
      <c r="C1548" s="194" t="inlineStr">
        <is>
          <t>POUND STERLING</t>
        </is>
      </c>
      <c r="D1548" s="195" t="n">
        <v>34219.66</v>
      </c>
      <c r="E1548" s="195" t="n">
        <v>34565.31</v>
      </c>
      <c r="F1548" s="195" t="n">
        <v>35672.27</v>
      </c>
      <c r="G1548" s="195" t="n">
        <v>35118.79</v>
      </c>
    </row>
    <row r="1549">
      <c r="A1549" s="196" t="inlineStr">
        <is>
          <t>2026-07-03 18:00:00</t>
        </is>
      </c>
      <c r="B1549" s="196" t="inlineStr">
        <is>
          <t>HKD</t>
        </is>
      </c>
      <c r="C1549" s="196" t="inlineStr">
        <is>
          <t>HONGKONG DOLLAR</t>
        </is>
      </c>
      <c r="D1549" s="184" t="n">
        <v>3259.14</v>
      </c>
      <c r="E1549" s="184" t="n">
        <v>3292.06</v>
      </c>
      <c r="F1549" s="184" t="n">
        <v>3417.94</v>
      </c>
      <c r="G1549" s="184" t="n">
        <v>3355</v>
      </c>
    </row>
    <row r="1550">
      <c r="A1550" s="194" t="inlineStr">
        <is>
          <t>2026-07-03 18:00:00</t>
        </is>
      </c>
      <c r="B1550" s="194" t="inlineStr">
        <is>
          <t>INR</t>
        </is>
      </c>
      <c r="C1550" s="194" t="inlineStr">
        <is>
          <t>INDIAN RUPEE</t>
        </is>
      </c>
      <c r="D1550" s="195" t="n"/>
      <c r="E1550" s="195" t="n">
        <v>274.13</v>
      </c>
      <c r="F1550" s="195" t="n">
        <v>285.93</v>
      </c>
      <c r="G1550" s="195" t="n">
        <v>280.03</v>
      </c>
    </row>
    <row r="1551">
      <c r="A1551" s="196" t="inlineStr">
        <is>
          <t>2026-07-03 18:00:00</t>
        </is>
      </c>
      <c r="B1551" s="196" t="inlineStr">
        <is>
          <t>JPY</t>
        </is>
      </c>
      <c r="C1551" s="196" t="inlineStr">
        <is>
          <t>YEN</t>
        </is>
      </c>
      <c r="D1551" s="184" t="n">
        <v>158.04</v>
      </c>
      <c r="E1551" s="184" t="n">
        <v>159.63</v>
      </c>
      <c r="F1551" s="184" t="n">
        <v>169.87</v>
      </c>
      <c r="G1551" s="184" t="n">
        <v>164.75</v>
      </c>
    </row>
    <row r="1552">
      <c r="A1552" s="194" t="inlineStr">
        <is>
          <t>2026-07-03 18:00:00</t>
        </is>
      </c>
      <c r="B1552" s="194" t="inlineStr">
        <is>
          <t>KRW</t>
        </is>
      </c>
      <c r="C1552" s="194" t="inlineStr">
        <is>
          <t>KOREAN WON</t>
        </is>
      </c>
      <c r="D1552" s="195" t="n">
        <v>14.77</v>
      </c>
      <c r="E1552" s="195" t="n">
        <v>16.41</v>
      </c>
      <c r="F1552" s="195" t="n">
        <v>17.81</v>
      </c>
      <c r="G1552" s="195" t="n">
        <v>17.11</v>
      </c>
    </row>
    <row r="1553">
      <c r="A1553" s="196" t="inlineStr">
        <is>
          <t>2026-07-03 18:00:00</t>
        </is>
      </c>
      <c r="B1553" s="196" t="inlineStr">
        <is>
          <t>KWD</t>
        </is>
      </c>
      <c r="C1553" s="196" t="inlineStr">
        <is>
          <t>KUWAITI DINAR</t>
        </is>
      </c>
      <c r="D1553" s="184" t="n"/>
      <c r="E1553" s="184" t="n">
        <v>84955.34</v>
      </c>
      <c r="F1553" s="184" t="n">
        <v>89072.99000000001</v>
      </c>
      <c r="G1553" s="184" t="n">
        <v>87014.16</v>
      </c>
    </row>
    <row r="1554">
      <c r="A1554" s="194" t="inlineStr">
        <is>
          <t>2026-07-03 18:00:00</t>
        </is>
      </c>
      <c r="B1554" s="194" t="inlineStr">
        <is>
          <t>MYR</t>
        </is>
      </c>
      <c r="C1554" s="194" t="inlineStr">
        <is>
          <t>MALAYSIAN RINGGIT</t>
        </is>
      </c>
      <c r="D1554" s="195" t="n"/>
      <c r="E1554" s="195" t="n">
        <v>6404.09</v>
      </c>
      <c r="F1554" s="195" t="n">
        <v>6543.41</v>
      </c>
      <c r="G1554" s="195" t="n">
        <v>6473.75</v>
      </c>
    </row>
    <row r="1555">
      <c r="A1555" s="196" t="inlineStr">
        <is>
          <t>2026-07-03 18:00:00</t>
        </is>
      </c>
      <c r="B1555" s="196" t="inlineStr">
        <is>
          <t>NOK</t>
        </is>
      </c>
      <c r="C1555" s="196" t="inlineStr">
        <is>
          <t>NORWEGIAN KRONER</t>
        </is>
      </c>
      <c r="D1555" s="184" t="n"/>
      <c r="E1555" s="184" t="n">
        <v>2623.35</v>
      </c>
      <c r="F1555" s="184" t="n">
        <v>2734.58</v>
      </c>
      <c r="G1555" s="184" t="n">
        <v>2678.96</v>
      </c>
    </row>
    <row r="1556">
      <c r="A1556" s="194" t="inlineStr">
        <is>
          <t>2026-07-03 18:00:00</t>
        </is>
      </c>
      <c r="B1556" s="194" t="inlineStr">
        <is>
          <t>RUB</t>
        </is>
      </c>
      <c r="C1556" s="194" t="inlineStr">
        <is>
          <t>RUSSIAN RUBLE</t>
        </is>
      </c>
      <c r="D1556" s="195" t="n"/>
      <c r="E1556" s="195" t="n">
        <v>322.97</v>
      </c>
      <c r="F1556" s="195" t="n">
        <v>357.51</v>
      </c>
      <c r="G1556" s="195" t="n">
        <v>340.24</v>
      </c>
    </row>
    <row r="1557">
      <c r="A1557" s="196" t="inlineStr">
        <is>
          <t>2026-07-03 18:00:00</t>
        </is>
      </c>
      <c r="B1557" s="196" t="inlineStr">
        <is>
          <t>SAR</t>
        </is>
      </c>
      <c r="C1557" s="196" t="inlineStr">
        <is>
          <t>SAUDI RIAL</t>
        </is>
      </c>
      <c r="D1557" s="184" t="n"/>
      <c r="E1557" s="184" t="n">
        <v>6964.59</v>
      </c>
      <c r="F1557" s="184" t="n">
        <v>7264.32</v>
      </c>
      <c r="G1557" s="184" t="n">
        <v>7114.46</v>
      </c>
    </row>
    <row r="1558">
      <c r="A1558" s="194" t="inlineStr">
        <is>
          <t>2026-07-03 18:00:00</t>
        </is>
      </c>
      <c r="B1558" s="194" t="inlineStr">
        <is>
          <t>SEK</t>
        </is>
      </c>
      <c r="C1558" s="194" t="inlineStr">
        <is>
          <t>SWEDISH KRONA</t>
        </is>
      </c>
      <c r="D1558" s="195" t="n"/>
      <c r="E1558" s="195" t="n">
        <v>2667.4</v>
      </c>
      <c r="F1558" s="195" t="n">
        <v>2780.5</v>
      </c>
      <c r="G1558" s="195" t="n">
        <v>2723.95</v>
      </c>
    </row>
    <row r="1559">
      <c r="A1559" s="196" t="inlineStr">
        <is>
          <t>2026-07-03 18:00:00</t>
        </is>
      </c>
      <c r="B1559" s="196" t="inlineStr">
        <is>
          <t>SGD</t>
        </is>
      </c>
      <c r="C1559" s="196" t="inlineStr">
        <is>
          <t>SINGAPORE DOLLAR</t>
        </is>
      </c>
      <c r="D1559" s="184" t="n">
        <v>19830.78</v>
      </c>
      <c r="E1559" s="184" t="n">
        <v>20031.09</v>
      </c>
      <c r="F1559" s="184" t="n">
        <v>20713.98</v>
      </c>
      <c r="G1559" s="184" t="n">
        <v>20372.54</v>
      </c>
    </row>
    <row r="1560">
      <c r="A1560" s="194" t="inlineStr">
        <is>
          <t>2026-07-03 18:00:00</t>
        </is>
      </c>
      <c r="B1560" s="194" t="inlineStr">
        <is>
          <t>THB</t>
        </is>
      </c>
      <c r="C1560" s="194" t="inlineStr">
        <is>
          <t>THAILAND BAHT</t>
        </is>
      </c>
      <c r="D1560" s="195" t="n">
        <v>699.28</v>
      </c>
      <c r="E1560" s="195" t="n">
        <v>776.98</v>
      </c>
      <c r="F1560" s="195" t="n">
        <v>809.9299999999999</v>
      </c>
      <c r="G1560" s="195" t="n">
        <v>793.46</v>
      </c>
    </row>
    <row r="1561">
      <c r="A1561" s="196" t="inlineStr">
        <is>
          <t>2026-07-03 18:00:00</t>
        </is>
      </c>
      <c r="B1561" s="196" t="inlineStr">
        <is>
          <t>USD</t>
        </is>
      </c>
      <c r="C1561" s="196" t="inlineStr">
        <is>
          <t>US DOLLAR</t>
        </is>
      </c>
      <c r="D1561" s="184" t="n">
        <v>26073</v>
      </c>
      <c r="E1561" s="184" t="n">
        <v>26103</v>
      </c>
      <c r="F1561" s="184" t="n">
        <v>26463</v>
      </c>
      <c r="G1561" s="184" t="n">
        <v>26283</v>
      </c>
    </row>
    <row r="1562">
      <c r="A1562" s="194" t="inlineStr">
        <is>
          <t>2026-07-02 18:00:00</t>
        </is>
      </c>
      <c r="B1562" s="194" t="inlineStr">
        <is>
          <t>AUD</t>
        </is>
      </c>
      <c r="C1562" s="194" t="inlineStr">
        <is>
          <t>AUSTRALIAN DOLLAR</t>
        </is>
      </c>
      <c r="D1562" s="195" t="n">
        <v>17663.05</v>
      </c>
      <c r="E1562" s="195" t="n">
        <v>17841.47</v>
      </c>
      <c r="F1562" s="195" t="n">
        <v>18412.86</v>
      </c>
      <c r="G1562" s="195" t="n">
        <v>18127.16</v>
      </c>
    </row>
    <row r="1563">
      <c r="A1563" s="196" t="inlineStr">
        <is>
          <t>2026-07-02 18:00:00</t>
        </is>
      </c>
      <c r="B1563" s="196" t="inlineStr">
        <is>
          <t>CAD</t>
        </is>
      </c>
      <c r="C1563" s="196" t="inlineStr">
        <is>
          <t>CANADIAN DOLLAR</t>
        </is>
      </c>
      <c r="D1563" s="184" t="n">
        <v>18050.69</v>
      </c>
      <c r="E1563" s="184" t="n">
        <v>18233.02</v>
      </c>
      <c r="F1563" s="184" t="n">
        <v>18816.95</v>
      </c>
      <c r="G1563" s="184" t="n">
        <v>18524.98</v>
      </c>
    </row>
    <row r="1564">
      <c r="A1564" s="194" t="inlineStr">
        <is>
          <t>2026-07-02 18:00:00</t>
        </is>
      </c>
      <c r="B1564" s="194" t="inlineStr">
        <is>
          <t>CHF</t>
        </is>
      </c>
      <c r="C1564" s="194" t="inlineStr">
        <is>
          <t>SWISS FRANC</t>
        </is>
      </c>
      <c r="D1564" s="195" t="n">
        <v>31821.85</v>
      </c>
      <c r="E1564" s="195" t="n">
        <v>32143.29</v>
      </c>
      <c r="F1564" s="195" t="n">
        <v>33172.7</v>
      </c>
      <c r="G1564" s="195" t="n">
        <v>32658</v>
      </c>
    </row>
    <row r="1565">
      <c r="A1565" s="196" t="inlineStr">
        <is>
          <t>2026-07-02 18:00:00</t>
        </is>
      </c>
      <c r="B1565" s="196" t="inlineStr">
        <is>
          <t>CNY</t>
        </is>
      </c>
      <c r="C1565" s="196" t="inlineStr">
        <is>
          <t>YUAN RENMINBI</t>
        </is>
      </c>
      <c r="D1565" s="184" t="n">
        <v>3775.69</v>
      </c>
      <c r="E1565" s="184" t="n">
        <v>3813.83</v>
      </c>
      <c r="F1565" s="184" t="n">
        <v>3935.97</v>
      </c>
      <c r="G1565" s="184" t="n">
        <v>3874.9</v>
      </c>
    </row>
    <row r="1566">
      <c r="A1566" s="194" t="inlineStr">
        <is>
          <t>2026-07-02 18:00:00</t>
        </is>
      </c>
      <c r="B1566" s="194" t="inlineStr">
        <is>
          <t>DKK</t>
        </is>
      </c>
      <c r="C1566" s="194" t="inlineStr">
        <is>
          <t>DANISH KRONE</t>
        </is>
      </c>
      <c r="D1566" s="195" t="n"/>
      <c r="E1566" s="195" t="n">
        <v>3941.52</v>
      </c>
      <c r="F1566" s="195" t="n">
        <v>4092.23</v>
      </c>
      <c r="G1566" s="195" t="n">
        <v>4016.88</v>
      </c>
    </row>
    <row r="1567">
      <c r="A1567" s="196" t="inlineStr">
        <is>
          <t>2026-07-02 18:00:00</t>
        </is>
      </c>
      <c r="B1567" s="196" t="inlineStr">
        <is>
          <t>EUR</t>
        </is>
      </c>
      <c r="C1567" s="196" t="inlineStr">
        <is>
          <t>EURO</t>
        </is>
      </c>
      <c r="D1567" s="184" t="n">
        <v>29244.58</v>
      </c>
      <c r="E1567" s="184" t="n">
        <v>29539.98</v>
      </c>
      <c r="F1567" s="184" t="n">
        <v>30786.38</v>
      </c>
      <c r="G1567" s="184" t="n">
        <v>30163.18</v>
      </c>
    </row>
    <row r="1568">
      <c r="A1568" s="194" t="inlineStr">
        <is>
          <t>2026-07-02 18:00:00</t>
        </is>
      </c>
      <c r="B1568" s="194" t="inlineStr">
        <is>
          <t>GBP</t>
        </is>
      </c>
      <c r="C1568" s="194" t="inlineStr">
        <is>
          <t>POUND STERLING</t>
        </is>
      </c>
      <c r="D1568" s="195" t="n">
        <v>34196.39</v>
      </c>
      <c r="E1568" s="195" t="n">
        <v>34541.81</v>
      </c>
      <c r="F1568" s="195" t="n">
        <v>35648.04</v>
      </c>
      <c r="G1568" s="195" t="n">
        <v>35094.93</v>
      </c>
    </row>
    <row r="1569">
      <c r="A1569" s="196" t="inlineStr">
        <is>
          <t>2026-07-02 18:00:00</t>
        </is>
      </c>
      <c r="B1569" s="196" t="inlineStr">
        <is>
          <t>HKD</t>
        </is>
      </c>
      <c r="C1569" s="196" t="inlineStr">
        <is>
          <t>HONGKONG DOLLAR</t>
        </is>
      </c>
      <c r="D1569" s="184" t="n">
        <v>3256.82</v>
      </c>
      <c r="E1569" s="184" t="n">
        <v>3289.71</v>
      </c>
      <c r="F1569" s="184" t="n">
        <v>3415.51</v>
      </c>
      <c r="G1569" s="184" t="n">
        <v>3352.61</v>
      </c>
    </row>
    <row r="1570">
      <c r="A1570" s="194" t="inlineStr">
        <is>
          <t>2026-07-02 18:00:00</t>
        </is>
      </c>
      <c r="B1570" s="194" t="inlineStr">
        <is>
          <t>INR</t>
        </is>
      </c>
      <c r="C1570" s="194" t="inlineStr">
        <is>
          <t>INDIAN RUPEE</t>
        </is>
      </c>
      <c r="D1570" s="195" t="n"/>
      <c r="E1570" s="195" t="n">
        <v>274.46</v>
      </c>
      <c r="F1570" s="195" t="n">
        <v>286.27</v>
      </c>
      <c r="G1570" s="195" t="n">
        <v>280.36</v>
      </c>
    </row>
    <row r="1571">
      <c r="A1571" s="196" t="inlineStr">
        <is>
          <t>2026-07-02 18:00:00</t>
        </is>
      </c>
      <c r="B1571" s="196" t="inlineStr">
        <is>
          <t>JPY</t>
        </is>
      </c>
      <c r="C1571" s="196" t="inlineStr">
        <is>
          <t>YEN</t>
        </is>
      </c>
      <c r="D1571" s="184" t="n">
        <v>158.16</v>
      </c>
      <c r="E1571" s="184" t="n">
        <v>159.75</v>
      </c>
      <c r="F1571" s="184" t="n">
        <v>168.2</v>
      </c>
      <c r="G1571" s="184" t="n">
        <v>163.98</v>
      </c>
    </row>
    <row r="1572">
      <c r="A1572" s="194" t="inlineStr">
        <is>
          <t>2026-07-02 18:00:00</t>
        </is>
      </c>
      <c r="B1572" s="194" t="inlineStr">
        <is>
          <t>KRW</t>
        </is>
      </c>
      <c r="C1572" s="194" t="inlineStr">
        <is>
          <t>KOREAN WON</t>
        </is>
      </c>
      <c r="D1572" s="195" t="n">
        <v>14.69</v>
      </c>
      <c r="E1572" s="195" t="n">
        <v>16.32</v>
      </c>
      <c r="F1572" s="195" t="n">
        <v>17.71</v>
      </c>
      <c r="G1572" s="195" t="n">
        <v>17.02</v>
      </c>
    </row>
    <row r="1573">
      <c r="A1573" s="196" t="inlineStr">
        <is>
          <t>2026-07-02 18:00:00</t>
        </is>
      </c>
      <c r="B1573" s="196" t="inlineStr">
        <is>
          <t>KWD</t>
        </is>
      </c>
      <c r="C1573" s="196" t="inlineStr">
        <is>
          <t>KUWAITI DINAR</t>
        </is>
      </c>
      <c r="D1573" s="184" t="n"/>
      <c r="E1573" s="184" t="n">
        <v>84923.00999999999</v>
      </c>
      <c r="F1573" s="184" t="n">
        <v>89039.14999999999</v>
      </c>
      <c r="G1573" s="184" t="n">
        <v>86981.08</v>
      </c>
    </row>
    <row r="1574">
      <c r="A1574" s="194" t="inlineStr">
        <is>
          <t>2026-07-02 18:00:00</t>
        </is>
      </c>
      <c r="B1574" s="194" t="inlineStr">
        <is>
          <t>MYR</t>
        </is>
      </c>
      <c r="C1574" s="194" t="inlineStr">
        <is>
          <t>MALAYSIAN RINGGIT</t>
        </is>
      </c>
      <c r="D1574" s="195" t="n"/>
      <c r="E1574" s="195" t="n">
        <v>6387.5</v>
      </c>
      <c r="F1574" s="195" t="n">
        <v>6526.46</v>
      </c>
      <c r="G1574" s="195" t="n">
        <v>6456.98</v>
      </c>
    </row>
    <row r="1575">
      <c r="A1575" s="196" t="inlineStr">
        <is>
          <t>2026-07-02 18:00:00</t>
        </is>
      </c>
      <c r="B1575" s="196" t="inlineStr">
        <is>
          <t>NOK</t>
        </is>
      </c>
      <c r="C1575" s="196" t="inlineStr">
        <is>
          <t>NORWEGIAN KRONER</t>
        </is>
      </c>
      <c r="D1575" s="184" t="n"/>
      <c r="E1575" s="184" t="n">
        <v>2608.04</v>
      </c>
      <c r="F1575" s="184" t="n">
        <v>2718.62</v>
      </c>
      <c r="G1575" s="184" t="n">
        <v>2663.33</v>
      </c>
    </row>
    <row r="1576">
      <c r="A1576" s="194" t="inlineStr">
        <is>
          <t>2026-07-02 18:00:00</t>
        </is>
      </c>
      <c r="B1576" s="194" t="inlineStr">
        <is>
          <t>RUB</t>
        </is>
      </c>
      <c r="C1576" s="194" t="inlineStr">
        <is>
          <t>RUSSIAN RUBLE</t>
        </is>
      </c>
      <c r="D1576" s="195" t="n"/>
      <c r="E1576" s="195" t="n">
        <v>319.94</v>
      </c>
      <c r="F1576" s="195" t="n">
        <v>354.15</v>
      </c>
      <c r="G1576" s="195" t="n">
        <v>337.04</v>
      </c>
    </row>
    <row r="1577">
      <c r="A1577" s="196" t="inlineStr">
        <is>
          <t>2026-07-02 18:00:00</t>
        </is>
      </c>
      <c r="B1577" s="196" t="inlineStr">
        <is>
          <t>SAR</t>
        </is>
      </c>
      <c r="C1577" s="196" t="inlineStr">
        <is>
          <t>SAUDI RIAL</t>
        </is>
      </c>
      <c r="D1577" s="184" t="n"/>
      <c r="E1577" s="184" t="n">
        <v>6961.94</v>
      </c>
      <c r="F1577" s="184" t="n">
        <v>7261.56</v>
      </c>
      <c r="G1577" s="184" t="n">
        <v>7111.75</v>
      </c>
    </row>
    <row r="1578">
      <c r="A1578" s="194" t="inlineStr">
        <is>
          <t>2026-07-02 18:00:00</t>
        </is>
      </c>
      <c r="B1578" s="194" t="inlineStr">
        <is>
          <t>SEK</t>
        </is>
      </c>
      <c r="C1578" s="194" t="inlineStr">
        <is>
          <t>SWEDISH KRONA</t>
        </is>
      </c>
      <c r="D1578" s="195" t="n"/>
      <c r="E1578" s="195" t="n">
        <v>2654.32</v>
      </c>
      <c r="F1578" s="195" t="n">
        <v>2766.87</v>
      </c>
      <c r="G1578" s="195" t="n">
        <v>2710.6</v>
      </c>
    </row>
    <row r="1579">
      <c r="A1579" s="196" t="inlineStr">
        <is>
          <t>2026-07-02 18:00:00</t>
        </is>
      </c>
      <c r="B1579" s="196" t="inlineStr">
        <is>
          <t>SGD</t>
        </is>
      </c>
      <c r="C1579" s="196" t="inlineStr">
        <is>
          <t>SINGAPORE DOLLAR</t>
        </is>
      </c>
      <c r="D1579" s="184" t="n">
        <v>19794.1</v>
      </c>
      <c r="E1579" s="184" t="n">
        <v>19994.05</v>
      </c>
      <c r="F1579" s="184" t="n">
        <v>20675.69</v>
      </c>
      <c r="G1579" s="184" t="n">
        <v>20334.87</v>
      </c>
    </row>
    <row r="1580">
      <c r="A1580" s="194" t="inlineStr">
        <is>
          <t>2026-07-02 18:00:00</t>
        </is>
      </c>
      <c r="B1580" s="194" t="inlineStr">
        <is>
          <t>THB</t>
        </is>
      </c>
      <c r="C1580" s="194" t="inlineStr">
        <is>
          <t>THAILAND BAHT</t>
        </is>
      </c>
      <c r="D1580" s="195" t="n">
        <v>697.13</v>
      </c>
      <c r="E1580" s="195" t="n">
        <v>774.58</v>
      </c>
      <c r="F1580" s="195" t="n">
        <v>807.4299999999999</v>
      </c>
      <c r="G1580" s="195" t="n">
        <v>791</v>
      </c>
    </row>
    <row r="1581">
      <c r="A1581" s="196" t="inlineStr">
        <is>
          <t>2026-07-02 18:00:00</t>
        </is>
      </c>
      <c r="B1581" s="196" t="inlineStr">
        <is>
          <t>USD</t>
        </is>
      </c>
      <c r="C1581" s="196" t="inlineStr">
        <is>
          <t>US DOLLAR</t>
        </is>
      </c>
      <c r="D1581" s="184" t="n">
        <v>26075</v>
      </c>
      <c r="E1581" s="184" t="n">
        <v>26105</v>
      </c>
      <c r="F1581" s="184" t="n">
        <v>26465</v>
      </c>
      <c r="G1581" s="184" t="n">
        <v>26285</v>
      </c>
    </row>
    <row r="1582">
      <c r="A1582" s="194" t="inlineStr">
        <is>
          <t>2026-07-01 18:00:00</t>
        </is>
      </c>
      <c r="B1582" s="194" t="inlineStr">
        <is>
          <t>AUD</t>
        </is>
      </c>
      <c r="C1582" s="194" t="inlineStr">
        <is>
          <t>AUSTRALIAN DOLLAR</t>
        </is>
      </c>
      <c r="D1582" s="195" t="n">
        <v>17708.07</v>
      </c>
      <c r="E1582" s="195" t="n">
        <v>17886.94</v>
      </c>
      <c r="F1582" s="195" t="n">
        <v>18459.76</v>
      </c>
      <c r="G1582" s="195" t="n">
        <v>18173.35</v>
      </c>
    </row>
    <row r="1583">
      <c r="A1583" s="196" t="inlineStr">
        <is>
          <t>2026-07-01 18:00:00</t>
        </is>
      </c>
      <c r="B1583" s="196" t="inlineStr">
        <is>
          <t>CAD</t>
        </is>
      </c>
      <c r="C1583" s="196" t="inlineStr">
        <is>
          <t>CANADIAN DOLLAR</t>
        </is>
      </c>
      <c r="D1583" s="184" t="n">
        <v>18048.8</v>
      </c>
      <c r="E1583" s="184" t="n">
        <v>18231.11</v>
      </c>
      <c r="F1583" s="184" t="n">
        <v>18814.95</v>
      </c>
      <c r="G1583" s="184" t="n">
        <v>18523.03</v>
      </c>
    </row>
    <row r="1584">
      <c r="A1584" s="194" t="inlineStr">
        <is>
          <t>2026-07-01 18:00:00</t>
        </is>
      </c>
      <c r="B1584" s="194" t="inlineStr">
        <is>
          <t>CHF</t>
        </is>
      </c>
      <c r="C1584" s="194" t="inlineStr">
        <is>
          <t>SWISS FRANC</t>
        </is>
      </c>
      <c r="D1584" s="195" t="n">
        <v>31718.2</v>
      </c>
      <c r="E1584" s="195" t="n">
        <v>32038.59</v>
      </c>
      <c r="F1584" s="195" t="n">
        <v>33064.61</v>
      </c>
      <c r="G1584" s="195" t="n">
        <v>32551.6</v>
      </c>
    </row>
    <row r="1585">
      <c r="A1585" s="196" t="inlineStr">
        <is>
          <t>2026-07-01 18:00:00</t>
        </is>
      </c>
      <c r="B1585" s="196" t="inlineStr">
        <is>
          <t>CNY</t>
        </is>
      </c>
      <c r="C1585" s="196" t="inlineStr">
        <is>
          <t>YUAN RENMINBI</t>
        </is>
      </c>
      <c r="D1585" s="184" t="n">
        <v>3779.95</v>
      </c>
      <c r="E1585" s="184" t="n">
        <v>3818.13</v>
      </c>
      <c r="F1585" s="184" t="n">
        <v>3940.4</v>
      </c>
      <c r="G1585" s="184" t="n">
        <v>3879.27</v>
      </c>
    </row>
    <row r="1586">
      <c r="A1586" s="194" t="inlineStr">
        <is>
          <t>2026-07-01 18:00:00</t>
        </is>
      </c>
      <c r="B1586" s="194" t="inlineStr">
        <is>
          <t>DKK</t>
        </is>
      </c>
      <c r="C1586" s="194" t="inlineStr">
        <is>
          <t>DANISH KRONE</t>
        </is>
      </c>
      <c r="D1586" s="195" t="n"/>
      <c r="E1586" s="195" t="n">
        <v>3944</v>
      </c>
      <c r="F1586" s="195" t="n">
        <v>4094.81</v>
      </c>
      <c r="G1586" s="195" t="n">
        <v>4019.4</v>
      </c>
    </row>
    <row r="1587">
      <c r="A1587" s="196" t="inlineStr">
        <is>
          <t>2026-07-01 18:00:00</t>
        </is>
      </c>
      <c r="B1587" s="196" t="inlineStr">
        <is>
          <t>EUR</t>
        </is>
      </c>
      <c r="C1587" s="196" t="inlineStr">
        <is>
          <t>EURO</t>
        </is>
      </c>
      <c r="D1587" s="184" t="n">
        <v>29259.59</v>
      </c>
      <c r="E1587" s="184" t="n">
        <v>29555.15</v>
      </c>
      <c r="F1587" s="184" t="n">
        <v>30802.14</v>
      </c>
      <c r="G1587" s="184" t="n">
        <v>30178.64</v>
      </c>
    </row>
    <row r="1588">
      <c r="A1588" s="194" t="inlineStr">
        <is>
          <t>2026-07-01 18:00:00</t>
        </is>
      </c>
      <c r="B1588" s="194" t="inlineStr">
        <is>
          <t>GBP</t>
        </is>
      </c>
      <c r="C1588" s="194" t="inlineStr">
        <is>
          <t>POUND STERLING</t>
        </is>
      </c>
      <c r="D1588" s="195" t="n">
        <v>33967.39</v>
      </c>
      <c r="E1588" s="195" t="n">
        <v>34310.49</v>
      </c>
      <c r="F1588" s="195" t="n">
        <v>35409.26</v>
      </c>
      <c r="G1588" s="195" t="n">
        <v>34859.88</v>
      </c>
    </row>
    <row r="1589">
      <c r="A1589" s="196" t="inlineStr">
        <is>
          <t>2026-07-01 18:00:00</t>
        </is>
      </c>
      <c r="B1589" s="196" t="inlineStr">
        <is>
          <t>HKD</t>
        </is>
      </c>
      <c r="C1589" s="196" t="inlineStr">
        <is>
          <t>HONGKONG DOLLAR</t>
        </is>
      </c>
      <c r="D1589" s="184" t="n">
        <v>3260.75</v>
      </c>
      <c r="E1589" s="184" t="n">
        <v>3293.68</v>
      </c>
      <c r="F1589" s="184" t="n">
        <v>3419.62</v>
      </c>
      <c r="G1589" s="184" t="n">
        <v>3356.65</v>
      </c>
    </row>
    <row r="1590">
      <c r="A1590" s="194" t="inlineStr">
        <is>
          <t>2026-07-01 18:00:00</t>
        </is>
      </c>
      <c r="B1590" s="194" t="inlineStr">
        <is>
          <t>INR</t>
        </is>
      </c>
      <c r="C1590" s="194" t="inlineStr">
        <is>
          <t>INDIAN RUPEE</t>
        </is>
      </c>
      <c r="D1590" s="195" t="n"/>
      <c r="E1590" s="195" t="n">
        <v>276.4</v>
      </c>
      <c r="F1590" s="195" t="n">
        <v>288.3</v>
      </c>
      <c r="G1590" s="195" t="n">
        <v>282.35</v>
      </c>
    </row>
    <row r="1591">
      <c r="A1591" s="196" t="inlineStr">
        <is>
          <t>2026-07-01 18:00:00</t>
        </is>
      </c>
      <c r="B1591" s="196" t="inlineStr">
        <is>
          <t>JPY</t>
        </is>
      </c>
      <c r="C1591" s="196" t="inlineStr">
        <is>
          <t>YEN</t>
        </is>
      </c>
      <c r="D1591" s="184" t="n">
        <v>156.12</v>
      </c>
      <c r="E1591" s="184" t="n">
        <v>157.69</v>
      </c>
      <c r="F1591" s="184" t="n">
        <v>166.03</v>
      </c>
      <c r="G1591" s="184" t="n">
        <v>161.86</v>
      </c>
    </row>
    <row r="1592">
      <c r="A1592" s="194" t="inlineStr">
        <is>
          <t>2026-07-01 18:00:00</t>
        </is>
      </c>
      <c r="B1592" s="194" t="inlineStr">
        <is>
          <t>KRW</t>
        </is>
      </c>
      <c r="C1592" s="194" t="inlineStr">
        <is>
          <t>KOREAN WON</t>
        </is>
      </c>
      <c r="D1592" s="195" t="n">
        <v>14.65</v>
      </c>
      <c r="E1592" s="195" t="n">
        <v>16.28</v>
      </c>
      <c r="F1592" s="195" t="n">
        <v>17.67</v>
      </c>
      <c r="G1592" s="195" t="n">
        <v>16.98</v>
      </c>
    </row>
    <row r="1593">
      <c r="A1593" s="196" t="inlineStr">
        <is>
          <t>2026-07-01 18:00:00</t>
        </is>
      </c>
      <c r="B1593" s="196" t="inlineStr">
        <is>
          <t>KWD</t>
        </is>
      </c>
      <c r="C1593" s="196" t="inlineStr">
        <is>
          <t>KUWAITI DINAR</t>
        </is>
      </c>
      <c r="D1593" s="184" t="n"/>
      <c r="E1593" s="184" t="n">
        <v>85003.83</v>
      </c>
      <c r="F1593" s="184" t="n">
        <v>89123.75</v>
      </c>
      <c r="G1593" s="184" t="n">
        <v>87063.78999999999</v>
      </c>
    </row>
    <row r="1594">
      <c r="A1594" s="194" t="inlineStr">
        <is>
          <t>2026-07-01 18:00:00</t>
        </is>
      </c>
      <c r="B1594" s="194" t="inlineStr">
        <is>
          <t>MYR</t>
        </is>
      </c>
      <c r="C1594" s="194" t="inlineStr">
        <is>
          <t>MALAYSIAN RINGGIT</t>
        </is>
      </c>
      <c r="D1594" s="195" t="n"/>
      <c r="E1594" s="195" t="n">
        <v>6388.87</v>
      </c>
      <c r="F1594" s="195" t="n">
        <v>6527.86</v>
      </c>
      <c r="G1594" s="195" t="n">
        <v>6458.36</v>
      </c>
    </row>
    <row r="1595">
      <c r="A1595" s="196" t="inlineStr">
        <is>
          <t>2026-07-01 18:00:00</t>
        </is>
      </c>
      <c r="B1595" s="196" t="inlineStr">
        <is>
          <t>NOK</t>
        </is>
      </c>
      <c r="C1595" s="196" t="inlineStr">
        <is>
          <t>NORWEGIAN KRONER</t>
        </is>
      </c>
      <c r="D1595" s="184" t="n"/>
      <c r="E1595" s="184" t="n">
        <v>2599.78</v>
      </c>
      <c r="F1595" s="184" t="n">
        <v>2710.01</v>
      </c>
      <c r="G1595" s="184" t="n">
        <v>2654.9</v>
      </c>
    </row>
    <row r="1596">
      <c r="A1596" s="194" t="inlineStr">
        <is>
          <t>2026-07-01 18:00:00</t>
        </is>
      </c>
      <c r="B1596" s="194" t="inlineStr">
        <is>
          <t>RUB</t>
        </is>
      </c>
      <c r="C1596" s="194" t="inlineStr">
        <is>
          <t>RUSSIAN RUBLE</t>
        </is>
      </c>
      <c r="D1596" s="195" t="n"/>
      <c r="E1596" s="195" t="n">
        <v>318.22</v>
      </c>
      <c r="F1596" s="195" t="n">
        <v>352.26</v>
      </c>
      <c r="G1596" s="195" t="n">
        <v>335.24</v>
      </c>
    </row>
    <row r="1597">
      <c r="A1597" s="196" t="inlineStr">
        <is>
          <t>2026-07-01 18:00:00</t>
        </is>
      </c>
      <c r="B1597" s="196" t="inlineStr">
        <is>
          <t>SAR</t>
        </is>
      </c>
      <c r="C1597" s="196" t="inlineStr">
        <is>
          <t>SAUDI RIAL</t>
        </is>
      </c>
      <c r="D1597" s="184" t="n"/>
      <c r="E1597" s="184" t="n">
        <v>6964.11</v>
      </c>
      <c r="F1597" s="184" t="n">
        <v>7263.82</v>
      </c>
      <c r="G1597" s="184" t="n">
        <v>7113.96</v>
      </c>
    </row>
    <row r="1598">
      <c r="A1598" s="194" t="inlineStr">
        <is>
          <t>2026-07-01 18:00:00</t>
        </is>
      </c>
      <c r="B1598" s="194" t="inlineStr">
        <is>
          <t>SEK</t>
        </is>
      </c>
      <c r="C1598" s="194" t="inlineStr">
        <is>
          <t>SWEDISH KRONA</t>
        </is>
      </c>
      <c r="D1598" s="195" t="n"/>
      <c r="E1598" s="195" t="n">
        <v>2655.02</v>
      </c>
      <c r="F1598" s="195" t="n">
        <v>2767.59</v>
      </c>
      <c r="G1598" s="195" t="n">
        <v>2711.3</v>
      </c>
    </row>
    <row r="1599">
      <c r="A1599" s="196" t="inlineStr">
        <is>
          <t>2026-07-01 18:00:00</t>
        </is>
      </c>
      <c r="B1599" s="196" t="inlineStr">
        <is>
          <t>SGD</t>
        </is>
      </c>
      <c r="C1599" s="196" t="inlineStr">
        <is>
          <t>SINGAPORE DOLLAR</t>
        </is>
      </c>
      <c r="D1599" s="184" t="n">
        <v>19791.52</v>
      </c>
      <c r="E1599" s="184" t="n">
        <v>19991.43</v>
      </c>
      <c r="F1599" s="184" t="n">
        <v>20672.96</v>
      </c>
      <c r="G1599" s="184" t="n">
        <v>20332.2</v>
      </c>
    </row>
    <row r="1600">
      <c r="A1600" s="194" t="inlineStr">
        <is>
          <t>2026-07-01 18:00:00</t>
        </is>
      </c>
      <c r="B1600" s="194" t="inlineStr">
        <is>
          <t>THB</t>
        </is>
      </c>
      <c r="C1600" s="194" t="inlineStr">
        <is>
          <t>THAILAND BAHT</t>
        </is>
      </c>
      <c r="D1600" s="195" t="n">
        <v>696.74</v>
      </c>
      <c r="E1600" s="195" t="n">
        <v>774.16</v>
      </c>
      <c r="F1600" s="195" t="n">
        <v>806.98</v>
      </c>
      <c r="G1600" s="195" t="n">
        <v>790.5700000000001</v>
      </c>
    </row>
    <row r="1601">
      <c r="A1601" s="196" t="inlineStr">
        <is>
          <t>2026-07-01 18:00:00</t>
        </is>
      </c>
      <c r="B1601" s="196" t="inlineStr">
        <is>
          <t>USD</t>
        </is>
      </c>
      <c r="C1601" s="196" t="inlineStr">
        <is>
          <t>US DOLLAR</t>
        </is>
      </c>
      <c r="D1601" s="184" t="n">
        <v>26076</v>
      </c>
      <c r="E1601" s="184" t="n">
        <v>26106</v>
      </c>
      <c r="F1601" s="184" t="n">
        <v>26466</v>
      </c>
      <c r="G1601" s="184" t="n">
        <v>26286</v>
      </c>
    </row>
    <row r="1602">
      <c r="A1602" s="194" t="inlineStr">
        <is>
          <t>2026-06-30 18:00:08</t>
        </is>
      </c>
      <c r="B1602" s="194" t="inlineStr">
        <is>
          <t>AUD</t>
        </is>
      </c>
      <c r="C1602" s="194" t="inlineStr">
        <is>
          <t>AUSTRALIAN DOLLAR</t>
        </is>
      </c>
      <c r="D1602" s="195" t="n">
        <v>17594.67</v>
      </c>
      <c r="E1602" s="195" t="n">
        <v>17772.4</v>
      </c>
      <c r="F1602" s="195" t="n">
        <v>18348.54</v>
      </c>
      <c r="G1602" s="195" t="n">
        <v>18060.47</v>
      </c>
    </row>
    <row r="1603">
      <c r="A1603" s="196" t="inlineStr">
        <is>
          <t>2026-06-30 18:00:08</t>
        </is>
      </c>
      <c r="B1603" s="196" t="inlineStr">
        <is>
          <t>CAD</t>
        </is>
      </c>
      <c r="C1603" s="196" t="inlineStr">
        <is>
          <t>CANADIAN DOLLAR</t>
        </is>
      </c>
      <c r="D1603" s="184" t="n">
        <v>18009.72</v>
      </c>
      <c r="E1603" s="184" t="n">
        <v>18191.64</v>
      </c>
      <c r="F1603" s="184" t="n">
        <v>18781.37</v>
      </c>
      <c r="G1603" s="184" t="n">
        <v>18486.5</v>
      </c>
    </row>
    <row r="1604">
      <c r="A1604" s="194" t="inlineStr">
        <is>
          <t>2026-06-30 18:00:08</t>
        </is>
      </c>
      <c r="B1604" s="194" t="inlineStr">
        <is>
          <t>CHF</t>
        </is>
      </c>
      <c r="C1604" s="194" t="inlineStr">
        <is>
          <t>SWISS FRANC</t>
        </is>
      </c>
      <c r="D1604" s="195" t="n">
        <v>31686.24</v>
      </c>
      <c r="E1604" s="195" t="n">
        <v>32006.31</v>
      </c>
      <c r="F1604" s="195" t="n">
        <v>33043.88</v>
      </c>
      <c r="G1604" s="195" t="n">
        <v>32525.1</v>
      </c>
    </row>
    <row r="1605">
      <c r="A1605" s="196" t="inlineStr">
        <is>
          <t>2026-06-30 18:00:08</t>
        </is>
      </c>
      <c r="B1605" s="196" t="inlineStr">
        <is>
          <t>CNY</t>
        </is>
      </c>
      <c r="C1605" s="196" t="inlineStr">
        <is>
          <t>YUAN RENMINBI</t>
        </is>
      </c>
      <c r="D1605" s="184" t="n">
        <v>3772.24</v>
      </c>
      <c r="E1605" s="184" t="n">
        <v>3810.34</v>
      </c>
      <c r="F1605" s="184" t="n">
        <v>3933.86</v>
      </c>
      <c r="G1605" s="184" t="n">
        <v>3872.1</v>
      </c>
    </row>
    <row r="1606">
      <c r="A1606" s="194" t="inlineStr">
        <is>
          <t>2026-06-30 18:00:08</t>
        </is>
      </c>
      <c r="B1606" s="194" t="inlineStr">
        <is>
          <t>DKK</t>
        </is>
      </c>
      <c r="C1606" s="194" t="inlineStr">
        <is>
          <t>DANISH KRONE</t>
        </is>
      </c>
      <c r="D1606" s="195" t="n"/>
      <c r="E1606" s="195" t="n">
        <v>3937.82</v>
      </c>
      <c r="F1606" s="195" t="n">
        <v>4089.94</v>
      </c>
      <c r="G1606" s="195" t="n">
        <v>4013.88</v>
      </c>
    </row>
    <row r="1607">
      <c r="A1607" s="196" t="inlineStr">
        <is>
          <t>2026-06-30 18:00:08</t>
        </is>
      </c>
      <c r="B1607" s="196" t="inlineStr">
        <is>
          <t>EUR</t>
        </is>
      </c>
      <c r="C1607" s="196" t="inlineStr">
        <is>
          <t>EURO</t>
        </is>
      </c>
      <c r="D1607" s="184" t="n">
        <v>29214.28</v>
      </c>
      <c r="E1607" s="184" t="n">
        <v>29509.37</v>
      </c>
      <c r="F1607" s="184" t="n">
        <v>30766.16</v>
      </c>
      <c r="G1607" s="184" t="n">
        <v>30137.76</v>
      </c>
    </row>
    <row r="1608">
      <c r="A1608" s="194" t="inlineStr">
        <is>
          <t>2026-06-30 18:00:08</t>
        </is>
      </c>
      <c r="B1608" s="194" t="inlineStr">
        <is>
          <t>GBP</t>
        </is>
      </c>
      <c r="C1608" s="194" t="inlineStr">
        <is>
          <t>POUND STERLING</t>
        </is>
      </c>
      <c r="D1608" s="195" t="n">
        <v>33905.68</v>
      </c>
      <c r="E1608" s="195" t="n">
        <v>34248.16</v>
      </c>
      <c r="F1608" s="195" t="n">
        <v>35358.41</v>
      </c>
      <c r="G1608" s="195" t="n">
        <v>34803.29</v>
      </c>
    </row>
    <row r="1609">
      <c r="A1609" s="196" t="inlineStr">
        <is>
          <t>2026-06-30 18:00:08</t>
        </is>
      </c>
      <c r="B1609" s="196" t="inlineStr">
        <is>
          <t>HKD</t>
        </is>
      </c>
      <c r="C1609" s="196" t="inlineStr">
        <is>
          <t>HONGKONG DOLLAR</t>
        </is>
      </c>
      <c r="D1609" s="184" t="n">
        <v>3258.1</v>
      </c>
      <c r="E1609" s="184" t="n">
        <v>3291.01</v>
      </c>
      <c r="F1609" s="184" t="n">
        <v>3418.15</v>
      </c>
      <c r="G1609" s="184" t="n">
        <v>3354.58</v>
      </c>
    </row>
    <row r="1610">
      <c r="A1610" s="194" t="inlineStr">
        <is>
          <t>2026-06-30 18:00:08</t>
        </is>
      </c>
      <c r="B1610" s="194" t="inlineStr">
        <is>
          <t>INR</t>
        </is>
      </c>
      <c r="C1610" s="194" t="inlineStr">
        <is>
          <t>INDIAN RUPEE</t>
        </is>
      </c>
      <c r="D1610" s="195" t="n"/>
      <c r="E1610" s="195" t="n">
        <v>276.54</v>
      </c>
      <c r="F1610" s="195" t="n">
        <v>288.55</v>
      </c>
      <c r="G1610" s="195" t="n">
        <v>282.54</v>
      </c>
    </row>
    <row r="1611">
      <c r="A1611" s="196" t="inlineStr">
        <is>
          <t>2026-06-30 18:00:08</t>
        </is>
      </c>
      <c r="B1611" s="196" t="inlineStr">
        <is>
          <t>JPY</t>
        </is>
      </c>
      <c r="C1611" s="196" t="inlineStr">
        <is>
          <t>YEN</t>
        </is>
      </c>
      <c r="D1611" s="184" t="n">
        <v>156.53</v>
      </c>
      <c r="E1611" s="184" t="n">
        <v>158.11</v>
      </c>
      <c r="F1611" s="184" t="n">
        <v>166.53</v>
      </c>
      <c r="G1611" s="184" t="n">
        <v>162.32</v>
      </c>
    </row>
    <row r="1612">
      <c r="A1612" s="194" t="inlineStr">
        <is>
          <t>2026-06-30 18:00:08</t>
        </is>
      </c>
      <c r="B1612" s="194" t="inlineStr">
        <is>
          <t>KRW</t>
        </is>
      </c>
      <c r="C1612" s="194" t="inlineStr">
        <is>
          <t>KOREAN WON</t>
        </is>
      </c>
      <c r="D1612" s="195" t="n">
        <v>14.68</v>
      </c>
      <c r="E1612" s="195" t="n">
        <v>16.31</v>
      </c>
      <c r="F1612" s="195" t="n">
        <v>17.71</v>
      </c>
      <c r="G1612" s="195" t="n">
        <v>17.01</v>
      </c>
    </row>
    <row r="1613">
      <c r="A1613" s="196" t="inlineStr">
        <is>
          <t>2026-06-30 18:00:08</t>
        </is>
      </c>
      <c r="B1613" s="196" t="inlineStr">
        <is>
          <t>KWD</t>
        </is>
      </c>
      <c r="C1613" s="196" t="inlineStr">
        <is>
          <t>KUWAITI DINAR</t>
        </is>
      </c>
      <c r="D1613" s="184" t="n"/>
      <c r="E1613" s="184" t="n">
        <v>84939.17999999999</v>
      </c>
      <c r="F1613" s="184" t="n">
        <v>89089.91</v>
      </c>
      <c r="G1613" s="184" t="n">
        <v>87014.53999999999</v>
      </c>
    </row>
    <row r="1614">
      <c r="A1614" s="194" t="inlineStr">
        <is>
          <t>2026-06-30 18:00:08</t>
        </is>
      </c>
      <c r="B1614" s="194" t="inlineStr">
        <is>
          <t>MYR</t>
        </is>
      </c>
      <c r="C1614" s="194" t="inlineStr">
        <is>
          <t>MALAYSIAN RINGGIT</t>
        </is>
      </c>
      <c r="D1614" s="195" t="n"/>
      <c r="E1614" s="195" t="n">
        <v>6407.6</v>
      </c>
      <c r="F1614" s="195" t="n">
        <v>6549.48</v>
      </c>
      <c r="G1614" s="195" t="n">
        <v>6478.54</v>
      </c>
    </row>
    <row r="1615">
      <c r="A1615" s="196" t="inlineStr">
        <is>
          <t>2026-06-30 18:00:08</t>
        </is>
      </c>
      <c r="B1615" s="196" t="inlineStr">
        <is>
          <t>NOK</t>
        </is>
      </c>
      <c r="C1615" s="196" t="inlineStr">
        <is>
          <t>NORWEGIAN KRONER</t>
        </is>
      </c>
      <c r="D1615" s="184" t="n"/>
      <c r="E1615" s="184" t="n">
        <v>2589.63</v>
      </c>
      <c r="F1615" s="184" t="n">
        <v>2700.46</v>
      </c>
      <c r="G1615" s="184" t="n">
        <v>2645.04</v>
      </c>
    </row>
    <row r="1616">
      <c r="A1616" s="194" t="inlineStr">
        <is>
          <t>2026-06-30 18:00:08</t>
        </is>
      </c>
      <c r="B1616" s="194" t="inlineStr">
        <is>
          <t>RUB</t>
        </is>
      </c>
      <c r="C1616" s="194" t="inlineStr">
        <is>
          <t>RUSSIAN RUBLE</t>
        </is>
      </c>
      <c r="D1616" s="195" t="n"/>
      <c r="E1616" s="195" t="n">
        <v>325</v>
      </c>
      <c r="F1616" s="195" t="n">
        <v>359.9</v>
      </c>
      <c r="G1616" s="195" t="n">
        <v>342.45</v>
      </c>
    </row>
    <row r="1617">
      <c r="A1617" s="196" t="inlineStr">
        <is>
          <t>2026-06-30 18:00:08</t>
        </is>
      </c>
      <c r="B1617" s="196" t="inlineStr">
        <is>
          <t>SAR</t>
        </is>
      </c>
      <c r="C1617" s="196" t="inlineStr">
        <is>
          <t>SAUDI RIAL</t>
        </is>
      </c>
      <c r="D1617" s="184" t="n"/>
      <c r="E1617" s="184" t="n">
        <v>6962.34</v>
      </c>
      <c r="F1617" s="184" t="n">
        <v>7264.73</v>
      </c>
      <c r="G1617" s="184" t="n">
        <v>7113.54</v>
      </c>
    </row>
    <row r="1618">
      <c r="A1618" s="194" t="inlineStr">
        <is>
          <t>2026-06-30 18:00:08</t>
        </is>
      </c>
      <c r="B1618" s="194" t="inlineStr">
        <is>
          <t>SEK</t>
        </is>
      </c>
      <c r="C1618" s="194" t="inlineStr">
        <is>
          <t>SWEDISH KRONA</t>
        </is>
      </c>
      <c r="D1618" s="195" t="n"/>
      <c r="E1618" s="195" t="n">
        <v>2647.3</v>
      </c>
      <c r="F1618" s="195" t="n">
        <v>2760.59</v>
      </c>
      <c r="G1618" s="195" t="n">
        <v>2703.94</v>
      </c>
    </row>
    <row r="1619">
      <c r="A1619" s="196" t="inlineStr">
        <is>
          <t>2026-06-30 18:00:08</t>
        </is>
      </c>
      <c r="B1619" s="196" t="inlineStr">
        <is>
          <t>SGD</t>
        </is>
      </c>
      <c r="C1619" s="196" t="inlineStr">
        <is>
          <t>SINGAPORE DOLLAR</t>
        </is>
      </c>
      <c r="D1619" s="184" t="n">
        <v>19791.75</v>
      </c>
      <c r="E1619" s="184" t="n">
        <v>19991.67</v>
      </c>
      <c r="F1619" s="184" t="n">
        <v>20681.08</v>
      </c>
      <c r="G1619" s="184" t="n">
        <v>20336.38</v>
      </c>
    </row>
    <row r="1620">
      <c r="A1620" s="194" t="inlineStr">
        <is>
          <t>2026-06-30 18:00:08</t>
        </is>
      </c>
      <c r="B1620" s="194" t="inlineStr">
        <is>
          <t>THB</t>
        </is>
      </c>
      <c r="C1620" s="194" t="inlineStr">
        <is>
          <t>THAILAND BAHT</t>
        </is>
      </c>
      <c r="D1620" s="195" t="n">
        <v>696.42</v>
      </c>
      <c r="E1620" s="195" t="n">
        <v>773.8</v>
      </c>
      <c r="F1620" s="195" t="n">
        <v>806.92</v>
      </c>
      <c r="G1620" s="195" t="n">
        <v>790.36</v>
      </c>
    </row>
    <row r="1621">
      <c r="A1621" s="196" t="inlineStr">
        <is>
          <t>2026-06-30 18:00:08</t>
        </is>
      </c>
      <c r="B1621" s="196" t="inlineStr">
        <is>
          <t>USD</t>
        </is>
      </c>
      <c r="C1621" s="196" t="inlineStr">
        <is>
          <t>US DOLLAR</t>
        </is>
      </c>
      <c r="D1621" s="184" t="n">
        <v>26076</v>
      </c>
      <c r="E1621" s="184" t="n">
        <v>26106</v>
      </c>
      <c r="F1621" s="184" t="n">
        <v>26466</v>
      </c>
      <c r="G1621" s="184" t="n">
        <v>26286</v>
      </c>
    </row>
    <row r="1622">
      <c r="A1622" s="194" t="inlineStr">
        <is>
          <t>2026-06-29 18:00:08</t>
        </is>
      </c>
      <c r="B1622" s="194" t="inlineStr">
        <is>
          <t>AUD</t>
        </is>
      </c>
      <c r="C1622" s="194" t="inlineStr">
        <is>
          <t>AUSTRALIAN DOLLAR</t>
        </is>
      </c>
      <c r="D1622" s="195" t="n">
        <v>17641.59</v>
      </c>
      <c r="E1622" s="195" t="n">
        <v>17819.78</v>
      </c>
      <c r="F1622" s="195" t="n">
        <v>18390.47</v>
      </c>
      <c r="G1622" s="195" t="n">
        <v>18105.12</v>
      </c>
    </row>
    <row r="1623">
      <c r="A1623" s="196" t="inlineStr">
        <is>
          <t>2026-06-29 18:00:08</t>
        </is>
      </c>
      <c r="B1623" s="196" t="inlineStr">
        <is>
          <t>CAD</t>
        </is>
      </c>
      <c r="C1623" s="196" t="inlineStr">
        <is>
          <t>CANADIAN DOLLAR</t>
        </is>
      </c>
      <c r="D1623" s="184" t="n">
        <v>18062.65</v>
      </c>
      <c r="E1623" s="184" t="n">
        <v>18245.1</v>
      </c>
      <c r="F1623" s="184" t="n">
        <v>18829.41</v>
      </c>
      <c r="G1623" s="184" t="n">
        <v>18537.25</v>
      </c>
    </row>
    <row r="1624">
      <c r="A1624" s="194" t="inlineStr">
        <is>
          <t>2026-06-29 18:00:08</t>
        </is>
      </c>
      <c r="B1624" s="194" t="inlineStr">
        <is>
          <t>CHF</t>
        </is>
      </c>
      <c r="C1624" s="194" t="inlineStr">
        <is>
          <t>SWISS FRANC</t>
        </is>
      </c>
      <c r="D1624" s="195" t="n">
        <v>31660.96</v>
      </c>
      <c r="E1624" s="195" t="n">
        <v>31980.76</v>
      </c>
      <c r="F1624" s="195" t="n">
        <v>33004.96</v>
      </c>
      <c r="G1624" s="195" t="n">
        <v>32492.86</v>
      </c>
    </row>
    <row r="1625">
      <c r="A1625" s="196" t="inlineStr">
        <is>
          <t>2026-06-29 18:00:08</t>
        </is>
      </c>
      <c r="B1625" s="196" t="inlineStr">
        <is>
          <t>CNY</t>
        </is>
      </c>
      <c r="C1625" s="196" t="inlineStr">
        <is>
          <t>YUAN RENMINBI</t>
        </is>
      </c>
      <c r="D1625" s="184" t="n">
        <v>3770.63</v>
      </c>
      <c r="E1625" s="184" t="n">
        <v>3808.71</v>
      </c>
      <c r="F1625" s="184" t="n">
        <v>3930.69</v>
      </c>
      <c r="G1625" s="184" t="n">
        <v>3869.7</v>
      </c>
    </row>
    <row r="1626">
      <c r="A1626" s="194" t="inlineStr">
        <is>
          <t>2026-06-29 18:00:08</t>
        </is>
      </c>
      <c r="B1626" s="194" t="inlineStr">
        <is>
          <t>DKK</t>
        </is>
      </c>
      <c r="C1626" s="194" t="inlineStr">
        <is>
          <t>DANISH KRONE</t>
        </is>
      </c>
      <c r="D1626" s="195" t="n"/>
      <c r="E1626" s="195" t="n">
        <v>3933.64</v>
      </c>
      <c r="F1626" s="195" t="n">
        <v>4084.06</v>
      </c>
      <c r="G1626" s="195" t="n">
        <v>4008.85</v>
      </c>
    </row>
    <row r="1627">
      <c r="A1627" s="196" t="inlineStr">
        <is>
          <t>2026-06-29 18:00:08</t>
        </is>
      </c>
      <c r="B1627" s="196" t="inlineStr">
        <is>
          <t>EUR</t>
        </is>
      </c>
      <c r="C1627" s="196" t="inlineStr">
        <is>
          <t>EURO</t>
        </is>
      </c>
      <c r="D1627" s="184" t="n">
        <v>29183.96</v>
      </c>
      <c r="E1627" s="184" t="n">
        <v>29478.75</v>
      </c>
      <c r="F1627" s="184" t="n">
        <v>30722.55</v>
      </c>
      <c r="G1627" s="184" t="n">
        <v>30100.65</v>
      </c>
    </row>
    <row r="1628">
      <c r="A1628" s="194" t="inlineStr">
        <is>
          <t>2026-06-29 18:00:08</t>
        </is>
      </c>
      <c r="B1628" s="194" t="inlineStr">
        <is>
          <t>GBP</t>
        </is>
      </c>
      <c r="C1628" s="194" t="inlineStr">
        <is>
          <t>POUND STERLING</t>
        </is>
      </c>
      <c r="D1628" s="195" t="n">
        <v>33819.88</v>
      </c>
      <c r="E1628" s="195" t="n">
        <v>34161.49</v>
      </c>
      <c r="F1628" s="195" t="n">
        <v>35255.52</v>
      </c>
      <c r="G1628" s="195" t="n">
        <v>34708.5</v>
      </c>
    </row>
    <row r="1629">
      <c r="A1629" s="196" t="inlineStr">
        <is>
          <t>2026-06-29 18:00:08</t>
        </is>
      </c>
      <c r="B1629" s="196" t="inlineStr">
        <is>
          <t>HKD</t>
        </is>
      </c>
      <c r="C1629" s="196" t="inlineStr">
        <is>
          <t>HONGKONG DOLLAR</t>
        </is>
      </c>
      <c r="D1629" s="184" t="n">
        <v>3258.6</v>
      </c>
      <c r="E1629" s="184" t="n">
        <v>3291.51</v>
      </c>
      <c r="F1629" s="184" t="n">
        <v>3417.37</v>
      </c>
      <c r="G1629" s="184" t="n">
        <v>3354.44</v>
      </c>
    </row>
    <row r="1630">
      <c r="A1630" s="194" t="inlineStr">
        <is>
          <t>2026-06-29 18:00:08</t>
        </is>
      </c>
      <c r="B1630" s="194" t="inlineStr">
        <is>
          <t>INR</t>
        </is>
      </c>
      <c r="C1630" s="194" t="inlineStr">
        <is>
          <t>INDIAN RUPEE</t>
        </is>
      </c>
      <c r="D1630" s="195" t="n"/>
      <c r="E1630" s="195" t="n">
        <v>277.3</v>
      </c>
      <c r="F1630" s="195" t="n">
        <v>289.23</v>
      </c>
      <c r="G1630" s="195" t="n">
        <v>283.26</v>
      </c>
    </row>
    <row r="1631">
      <c r="A1631" s="196" t="inlineStr">
        <is>
          <t>2026-06-29 18:00:08</t>
        </is>
      </c>
      <c r="B1631" s="196" t="inlineStr">
        <is>
          <t>JPY</t>
        </is>
      </c>
      <c r="C1631" s="196" t="inlineStr">
        <is>
          <t>YEN</t>
        </is>
      </c>
      <c r="D1631" s="184" t="n">
        <v>156.93</v>
      </c>
      <c r="E1631" s="184" t="n">
        <v>158.51</v>
      </c>
      <c r="F1631" s="184" t="n">
        <v>166.89</v>
      </c>
      <c r="G1631" s="184" t="n">
        <v>162.7</v>
      </c>
    </row>
    <row r="1632">
      <c r="A1632" s="194" t="inlineStr">
        <is>
          <t>2026-06-29 18:00:08</t>
        </is>
      </c>
      <c r="B1632" s="194" t="inlineStr">
        <is>
          <t>KRW</t>
        </is>
      </c>
      <c r="C1632" s="194" t="inlineStr">
        <is>
          <t>KOREAN WON</t>
        </is>
      </c>
      <c r="D1632" s="195" t="n">
        <v>14.78</v>
      </c>
      <c r="E1632" s="195" t="n">
        <v>16.42</v>
      </c>
      <c r="F1632" s="195" t="n">
        <v>17.81</v>
      </c>
      <c r="G1632" s="195" t="n">
        <v>17.12</v>
      </c>
    </row>
    <row r="1633">
      <c r="A1633" s="196" t="inlineStr">
        <is>
          <t>2026-06-29 18:00:08</t>
        </is>
      </c>
      <c r="B1633" s="196" t="inlineStr">
        <is>
          <t>KWD</t>
        </is>
      </c>
      <c r="C1633" s="196" t="inlineStr">
        <is>
          <t>KUWAITI DINAR</t>
        </is>
      </c>
      <c r="D1633" s="184" t="n"/>
      <c r="E1633" s="184" t="n">
        <v>84955.34</v>
      </c>
      <c r="F1633" s="184" t="n">
        <v>89072.99000000001</v>
      </c>
      <c r="G1633" s="184" t="n">
        <v>87014.16</v>
      </c>
    </row>
    <row r="1634">
      <c r="A1634" s="194" t="inlineStr">
        <is>
          <t>2026-06-29 18:00:08</t>
        </is>
      </c>
      <c r="B1634" s="194" t="inlineStr">
        <is>
          <t>MYR</t>
        </is>
      </c>
      <c r="C1634" s="194" t="inlineStr">
        <is>
          <t>MALAYSIAN RINGGIT</t>
        </is>
      </c>
      <c r="D1634" s="195" t="n"/>
      <c r="E1634" s="195" t="n">
        <v>6389.93</v>
      </c>
      <c r="F1634" s="195" t="n">
        <v>6528.94</v>
      </c>
      <c r="G1634" s="195" t="n">
        <v>6459.44</v>
      </c>
    </row>
    <row r="1635">
      <c r="A1635" s="196" t="inlineStr">
        <is>
          <t>2026-06-29 18:00:08</t>
        </is>
      </c>
      <c r="B1635" s="196" t="inlineStr">
        <is>
          <t>NOK</t>
        </is>
      </c>
      <c r="C1635" s="196" t="inlineStr">
        <is>
          <t>NORWEGIAN KRONER</t>
        </is>
      </c>
      <c r="D1635" s="184" t="n"/>
      <c r="E1635" s="184" t="n">
        <v>2591.24</v>
      </c>
      <c r="F1635" s="184" t="n">
        <v>2701.11</v>
      </c>
      <c r="G1635" s="184" t="n">
        <v>2646.18</v>
      </c>
    </row>
    <row r="1636">
      <c r="A1636" s="194" t="inlineStr">
        <is>
          <t>2026-06-29 18:00:08</t>
        </is>
      </c>
      <c r="B1636" s="194" t="inlineStr">
        <is>
          <t>RUB</t>
        </is>
      </c>
      <c r="C1636" s="194" t="inlineStr">
        <is>
          <t>RUSSIAN RUBLE</t>
        </is>
      </c>
      <c r="D1636" s="195" t="n"/>
      <c r="E1636" s="195" t="n">
        <v>317.34</v>
      </c>
      <c r="F1636" s="195" t="n">
        <v>351.28</v>
      </c>
      <c r="G1636" s="195" t="n">
        <v>334.31</v>
      </c>
    </row>
    <row r="1637">
      <c r="A1637" s="196" t="inlineStr">
        <is>
          <t>2026-06-29 18:00:08</t>
        </is>
      </c>
      <c r="B1637" s="196" t="inlineStr">
        <is>
          <t>SAR</t>
        </is>
      </c>
      <c r="C1637" s="196" t="inlineStr">
        <is>
          <t>SAUDI RIAL</t>
        </is>
      </c>
      <c r="D1637" s="184" t="n"/>
      <c r="E1637" s="184" t="n">
        <v>6963.48</v>
      </c>
      <c r="F1637" s="184" t="n">
        <v>7263.16</v>
      </c>
      <c r="G1637" s="184" t="n">
        <v>7113.32</v>
      </c>
    </row>
    <row r="1638">
      <c r="A1638" s="194" t="inlineStr">
        <is>
          <t>2026-06-29 18:00:08</t>
        </is>
      </c>
      <c r="B1638" s="194" t="inlineStr">
        <is>
          <t>SEK</t>
        </is>
      </c>
      <c r="C1638" s="194" t="inlineStr">
        <is>
          <t>SWEDISH KRONA</t>
        </is>
      </c>
      <c r="D1638" s="195" t="n"/>
      <c r="E1638" s="195" t="n">
        <v>2645.93</v>
      </c>
      <c r="F1638" s="195" t="n">
        <v>2758.11</v>
      </c>
      <c r="G1638" s="195" t="n">
        <v>2702.02</v>
      </c>
    </row>
    <row r="1639">
      <c r="A1639" s="196" t="inlineStr">
        <is>
          <t>2026-06-29 18:00:08</t>
        </is>
      </c>
      <c r="B1639" s="196" t="inlineStr">
        <is>
          <t>SGD</t>
        </is>
      </c>
      <c r="C1639" s="196" t="inlineStr">
        <is>
          <t>SINGAPORE DOLLAR</t>
        </is>
      </c>
      <c r="D1639" s="184" t="n">
        <v>19787.87</v>
      </c>
      <c r="E1639" s="184" t="n">
        <v>19987.75</v>
      </c>
      <c r="F1639" s="184" t="n">
        <v>20669.17</v>
      </c>
      <c r="G1639" s="184" t="n">
        <v>20328.46</v>
      </c>
    </row>
    <row r="1640">
      <c r="A1640" s="194" t="inlineStr">
        <is>
          <t>2026-06-29 18:00:08</t>
        </is>
      </c>
      <c r="B1640" s="194" t="inlineStr">
        <is>
          <t>THB</t>
        </is>
      </c>
      <c r="C1640" s="194" t="inlineStr">
        <is>
          <t>THAILAND BAHT</t>
        </is>
      </c>
      <c r="D1640" s="195" t="n">
        <v>694.26</v>
      </c>
      <c r="E1640" s="195" t="n">
        <v>771.4</v>
      </c>
      <c r="F1640" s="195" t="n">
        <v>804.11</v>
      </c>
      <c r="G1640" s="195" t="n">
        <v>787.76</v>
      </c>
    </row>
    <row r="1641">
      <c r="A1641" s="196" t="inlineStr">
        <is>
          <t>2026-06-29 18:00:08</t>
        </is>
      </c>
      <c r="B1641" s="196" t="inlineStr">
        <is>
          <t>USD</t>
        </is>
      </c>
      <c r="C1641" s="196" t="inlineStr">
        <is>
          <t>US DOLLAR</t>
        </is>
      </c>
      <c r="D1641" s="184" t="n">
        <v>26091</v>
      </c>
      <c r="E1641" s="184" t="n">
        <v>26121</v>
      </c>
      <c r="F1641" s="184" t="n">
        <v>26461</v>
      </c>
      <c r="G1641" s="184" t="n">
        <v>26291</v>
      </c>
    </row>
    <row r="1642">
      <c r="A1642" s="194" t="inlineStr">
        <is>
          <t>2026-06-28 18:00:24</t>
        </is>
      </c>
      <c r="B1642" s="194" t="inlineStr">
        <is>
          <t>AUD</t>
        </is>
      </c>
      <c r="C1642" s="194" t="inlineStr">
        <is>
          <t>AUSTRALIAN DOLLAR</t>
        </is>
      </c>
      <c r="D1642" s="195" t="n">
        <v>17669.78</v>
      </c>
      <c r="E1642" s="195" t="n">
        <v>17848.26</v>
      </c>
      <c r="F1642" s="195" t="n">
        <v>18419.85</v>
      </c>
      <c r="G1642" s="195" t="n">
        <v>18134.06</v>
      </c>
    </row>
    <row r="1643">
      <c r="A1643" s="196" t="inlineStr">
        <is>
          <t>2026-06-28 18:00:24</t>
        </is>
      </c>
      <c r="B1643" s="196" t="inlineStr">
        <is>
          <t>CAD</t>
        </is>
      </c>
      <c r="C1643" s="196" t="inlineStr">
        <is>
          <t>CANADIAN DOLLAR</t>
        </is>
      </c>
      <c r="D1643" s="184" t="n">
        <v>18074.11</v>
      </c>
      <c r="E1643" s="184" t="n">
        <v>18256.68</v>
      </c>
      <c r="F1643" s="184" t="n">
        <v>18841.36</v>
      </c>
      <c r="G1643" s="184" t="n">
        <v>18549.02</v>
      </c>
    </row>
    <row r="1644">
      <c r="A1644" s="194" t="inlineStr">
        <is>
          <t>2026-06-28 18:00:24</t>
        </is>
      </c>
      <c r="B1644" s="194" t="inlineStr">
        <is>
          <t>CHF</t>
        </is>
      </c>
      <c r="C1644" s="194" t="inlineStr">
        <is>
          <t>SWISS FRANC</t>
        </is>
      </c>
      <c r="D1644" s="195" t="n">
        <v>31731.5</v>
      </c>
      <c r="E1644" s="195" t="n">
        <v>32052.02</v>
      </c>
      <c r="F1644" s="195" t="n">
        <v>33078.5</v>
      </c>
      <c r="G1644" s="195" t="n">
        <v>32565.26</v>
      </c>
    </row>
    <row r="1645">
      <c r="A1645" s="196" t="inlineStr">
        <is>
          <t>2026-06-28 18:00:24</t>
        </is>
      </c>
      <c r="B1645" s="196" t="inlineStr">
        <is>
          <t>CNY</t>
        </is>
      </c>
      <c r="C1645" s="196" t="inlineStr">
        <is>
          <t>YUAN RENMINBI</t>
        </is>
      </c>
      <c r="D1645" s="184" t="n">
        <v>3769.41</v>
      </c>
      <c r="E1645" s="184" t="n">
        <v>3807.48</v>
      </c>
      <c r="F1645" s="184" t="n">
        <v>3929.42</v>
      </c>
      <c r="G1645" s="184" t="n">
        <v>3868.45</v>
      </c>
    </row>
    <row r="1646">
      <c r="A1646" s="194" t="inlineStr">
        <is>
          <t>2026-06-28 18:00:24</t>
        </is>
      </c>
      <c r="B1646" s="194" t="inlineStr">
        <is>
          <t>DKK</t>
        </is>
      </c>
      <c r="C1646" s="194" t="inlineStr">
        <is>
          <t>DANISH KRONE</t>
        </is>
      </c>
      <c r="D1646" s="195" t="n"/>
      <c r="E1646" s="195" t="n">
        <v>3936.22</v>
      </c>
      <c r="F1646" s="195" t="n">
        <v>4086.74</v>
      </c>
      <c r="G1646" s="195" t="n">
        <v>4011.48</v>
      </c>
    </row>
    <row r="1647">
      <c r="A1647" s="196" t="inlineStr">
        <is>
          <t>2026-06-28 18:00:24</t>
        </is>
      </c>
      <c r="B1647" s="196" t="inlineStr">
        <is>
          <t>EUR</t>
        </is>
      </c>
      <c r="C1647" s="196" t="inlineStr">
        <is>
          <t>EURO</t>
        </is>
      </c>
      <c r="D1647" s="184" t="n">
        <v>29204.46</v>
      </c>
      <c r="E1647" s="184" t="n">
        <v>29499.46</v>
      </c>
      <c r="F1647" s="184" t="n">
        <v>30744.13</v>
      </c>
      <c r="G1647" s="184" t="n">
        <v>30121.8</v>
      </c>
    </row>
    <row r="1648">
      <c r="A1648" s="194" t="inlineStr">
        <is>
          <t>2026-06-28 18:00:24</t>
        </is>
      </c>
      <c r="B1648" s="194" t="inlineStr">
        <is>
          <t>GBP</t>
        </is>
      </c>
      <c r="C1648" s="194" t="inlineStr">
        <is>
          <t>POUND STERLING</t>
        </is>
      </c>
      <c r="D1648" s="195" t="n">
        <v>33845.5</v>
      </c>
      <c r="E1648" s="195" t="n">
        <v>34187.38</v>
      </c>
      <c r="F1648" s="195" t="n">
        <v>35282.24</v>
      </c>
      <c r="G1648" s="195" t="n">
        <v>34734.81</v>
      </c>
    </row>
    <row r="1649">
      <c r="A1649" s="196" t="inlineStr">
        <is>
          <t>2026-06-28 18:00:24</t>
        </is>
      </c>
      <c r="B1649" s="196" t="inlineStr">
        <is>
          <t>HKD</t>
        </is>
      </c>
      <c r="C1649" s="196" t="inlineStr">
        <is>
          <t>HONGKONG DOLLAR</t>
        </is>
      </c>
      <c r="D1649" s="184" t="n">
        <v>3259.18</v>
      </c>
      <c r="E1649" s="184" t="n">
        <v>3292.1</v>
      </c>
      <c r="F1649" s="184" t="n">
        <v>3417.98</v>
      </c>
      <c r="G1649" s="184" t="n">
        <v>3355.04</v>
      </c>
    </row>
    <row r="1650">
      <c r="A1650" s="194" t="inlineStr">
        <is>
          <t>2026-06-28 18:00:24</t>
        </is>
      </c>
      <c r="B1650" s="194" t="inlineStr">
        <is>
          <t>INR</t>
        </is>
      </c>
      <c r="C1650" s="194" t="inlineStr">
        <is>
          <t>INDIAN RUPEE</t>
        </is>
      </c>
      <c r="D1650" s="195" t="n"/>
      <c r="E1650" s="195" t="n">
        <v>277.02</v>
      </c>
      <c r="F1650" s="195" t="n">
        <v>288.94</v>
      </c>
      <c r="G1650" s="195" t="n">
        <v>282.98</v>
      </c>
    </row>
    <row r="1651">
      <c r="A1651" s="196" t="inlineStr">
        <is>
          <t>2026-06-28 18:00:24</t>
        </is>
      </c>
      <c r="B1651" s="196" t="inlineStr">
        <is>
          <t>JPY</t>
        </is>
      </c>
      <c r="C1651" s="196" t="inlineStr">
        <is>
          <t>YEN</t>
        </is>
      </c>
      <c r="D1651" s="184" t="n">
        <v>157.1</v>
      </c>
      <c r="E1651" s="184" t="n">
        <v>158.69</v>
      </c>
      <c r="F1651" s="184" t="n">
        <v>167.08</v>
      </c>
      <c r="G1651" s="184" t="n">
        <v>162.88</v>
      </c>
    </row>
    <row r="1652">
      <c r="A1652" s="194" t="inlineStr">
        <is>
          <t>2026-06-28 18:00:24</t>
        </is>
      </c>
      <c r="B1652" s="194" t="inlineStr">
        <is>
          <t>KRW</t>
        </is>
      </c>
      <c r="C1652" s="194" t="inlineStr">
        <is>
          <t>KOREAN WON</t>
        </is>
      </c>
      <c r="D1652" s="195" t="n">
        <v>14.78</v>
      </c>
      <c r="E1652" s="195" t="n">
        <v>16.43</v>
      </c>
      <c r="F1652" s="195" t="n">
        <v>17.82</v>
      </c>
      <c r="G1652" s="195" t="n">
        <v>17.12</v>
      </c>
    </row>
    <row r="1653">
      <c r="A1653" s="196" t="inlineStr">
        <is>
          <t>2026-06-28 18:00:24</t>
        </is>
      </c>
      <c r="B1653" s="196" t="inlineStr">
        <is>
          <t>KWD</t>
        </is>
      </c>
      <c r="C1653" s="196" t="inlineStr">
        <is>
          <t>KUWAITI DINAR</t>
        </is>
      </c>
      <c r="D1653" s="184" t="n"/>
      <c r="E1653" s="184" t="n">
        <v>84955.34</v>
      </c>
      <c r="F1653" s="184" t="n">
        <v>89072.99000000001</v>
      </c>
      <c r="G1653" s="184" t="n">
        <v>87014.16</v>
      </c>
    </row>
    <row r="1654">
      <c r="A1654" s="194" t="inlineStr">
        <is>
          <t>2026-06-28 18:00:24</t>
        </is>
      </c>
      <c r="B1654" s="194" t="inlineStr">
        <is>
          <t>MYR</t>
        </is>
      </c>
      <c r="C1654" s="194" t="inlineStr">
        <is>
          <t>MALAYSIAN RINGGIT</t>
        </is>
      </c>
      <c r="D1654" s="195" t="n"/>
      <c r="E1654" s="195" t="n">
        <v>6369.6</v>
      </c>
      <c r="F1654" s="195" t="n">
        <v>6508.17</v>
      </c>
      <c r="G1654" s="195" t="n">
        <v>6438.88</v>
      </c>
    </row>
    <row r="1655">
      <c r="A1655" s="196" t="inlineStr">
        <is>
          <t>2026-06-28 18:00:24</t>
        </is>
      </c>
      <c r="B1655" s="196" t="inlineStr">
        <is>
          <t>NOK</t>
        </is>
      </c>
      <c r="C1655" s="196" t="inlineStr">
        <is>
          <t>NORWEGIAN KRONER</t>
        </is>
      </c>
      <c r="D1655" s="184" t="n"/>
      <c r="E1655" s="184" t="n">
        <v>2604.31</v>
      </c>
      <c r="F1655" s="184" t="n">
        <v>2714.73</v>
      </c>
      <c r="G1655" s="184" t="n">
        <v>2659.52</v>
      </c>
    </row>
    <row r="1656">
      <c r="A1656" s="194" t="inlineStr">
        <is>
          <t>2026-06-28 18:00:24</t>
        </is>
      </c>
      <c r="B1656" s="194" t="inlineStr">
        <is>
          <t>RUB</t>
        </is>
      </c>
      <c r="C1656" s="194" t="inlineStr">
        <is>
          <t>RUSSIAN RUBLE</t>
        </is>
      </c>
      <c r="D1656" s="195" t="n"/>
      <c r="E1656" s="195" t="n">
        <v>325.68</v>
      </c>
      <c r="F1656" s="195" t="n">
        <v>360.51</v>
      </c>
      <c r="G1656" s="195" t="n">
        <v>343.1</v>
      </c>
    </row>
    <row r="1657">
      <c r="A1657" s="196" t="inlineStr">
        <is>
          <t>2026-06-28 18:00:24</t>
        </is>
      </c>
      <c r="B1657" s="196" t="inlineStr">
        <is>
          <t>SAR</t>
        </is>
      </c>
      <c r="C1657" s="196" t="inlineStr">
        <is>
          <t>SAUDI RIAL</t>
        </is>
      </c>
      <c r="D1657" s="184" t="n"/>
      <c r="E1657" s="184" t="n">
        <v>6964.22</v>
      </c>
      <c r="F1657" s="184" t="n">
        <v>7263.93</v>
      </c>
      <c r="G1657" s="184" t="n">
        <v>7114.08</v>
      </c>
    </row>
    <row r="1658">
      <c r="A1658" s="194" t="inlineStr">
        <is>
          <t>2026-06-28 18:00:24</t>
        </is>
      </c>
      <c r="B1658" s="194" t="inlineStr">
        <is>
          <t>SEK</t>
        </is>
      </c>
      <c r="C1658" s="194" t="inlineStr">
        <is>
          <t>SWEDISH KRONA</t>
        </is>
      </c>
      <c r="D1658" s="195" t="n"/>
      <c r="E1658" s="195" t="n">
        <v>2654.16</v>
      </c>
      <c r="F1658" s="195" t="n">
        <v>2766.7</v>
      </c>
      <c r="G1658" s="195" t="n">
        <v>2710.43</v>
      </c>
    </row>
    <row r="1659">
      <c r="A1659" s="196" t="inlineStr">
        <is>
          <t>2026-06-28 18:00:24</t>
        </is>
      </c>
      <c r="B1659" s="196" t="inlineStr">
        <is>
          <t>SGD</t>
        </is>
      </c>
      <c r="C1659" s="196" t="inlineStr">
        <is>
          <t>SINGAPORE DOLLAR</t>
        </is>
      </c>
      <c r="D1659" s="184" t="n">
        <v>19789.4</v>
      </c>
      <c r="E1659" s="184" t="n">
        <v>19989.29</v>
      </c>
      <c r="F1659" s="184" t="n">
        <v>20670.76</v>
      </c>
      <c r="G1659" s="184" t="n">
        <v>20330.03</v>
      </c>
    </row>
    <row r="1660">
      <c r="A1660" s="194" t="inlineStr">
        <is>
          <t>2026-06-28 18:00:24</t>
        </is>
      </c>
      <c r="B1660" s="194" t="inlineStr">
        <is>
          <t>THB</t>
        </is>
      </c>
      <c r="C1660" s="194" t="inlineStr">
        <is>
          <t>THAILAND BAHT</t>
        </is>
      </c>
      <c r="D1660" s="195" t="n">
        <v>694.88</v>
      </c>
      <c r="E1660" s="195" t="n">
        <v>772.09</v>
      </c>
      <c r="F1660" s="195" t="n">
        <v>804.83</v>
      </c>
      <c r="G1660" s="195" t="n">
        <v>788.46</v>
      </c>
    </row>
    <row r="1661">
      <c r="A1661" s="196" t="inlineStr">
        <is>
          <t>2026-06-28 18:00:24</t>
        </is>
      </c>
      <c r="B1661" s="196" t="inlineStr">
        <is>
          <t>USD</t>
        </is>
      </c>
      <c r="C1661" s="196" t="inlineStr">
        <is>
          <t>US DOLLAR</t>
        </is>
      </c>
      <c r="D1661" s="184" t="n">
        <v>26084</v>
      </c>
      <c r="E1661" s="184" t="n">
        <v>26114</v>
      </c>
      <c r="F1661" s="184" t="n">
        <v>26454</v>
      </c>
      <c r="G1661" s="184" t="n">
        <v>26284</v>
      </c>
    </row>
    <row r="1662">
      <c r="A1662" s="194" t="inlineStr">
        <is>
          <t>2026-06-27 18:00:24</t>
        </is>
      </c>
      <c r="B1662" s="194" t="inlineStr">
        <is>
          <t>AUD</t>
        </is>
      </c>
      <c r="C1662" s="194" t="inlineStr">
        <is>
          <t>AUSTRALIAN DOLLAR</t>
        </is>
      </c>
      <c r="D1662" s="195" t="n">
        <v>17669.78</v>
      </c>
      <c r="E1662" s="195" t="n">
        <v>17848.26</v>
      </c>
      <c r="F1662" s="195" t="n">
        <v>18419.85</v>
      </c>
      <c r="G1662" s="195" t="n">
        <v>18134.06</v>
      </c>
    </row>
    <row r="1663">
      <c r="A1663" s="196" t="inlineStr">
        <is>
          <t>2026-06-27 18:00:24</t>
        </is>
      </c>
      <c r="B1663" s="196" t="inlineStr">
        <is>
          <t>CAD</t>
        </is>
      </c>
      <c r="C1663" s="196" t="inlineStr">
        <is>
          <t>CANADIAN DOLLAR</t>
        </is>
      </c>
      <c r="D1663" s="184" t="n">
        <v>18074.11</v>
      </c>
      <c r="E1663" s="184" t="n">
        <v>18256.68</v>
      </c>
      <c r="F1663" s="184" t="n">
        <v>18841.36</v>
      </c>
      <c r="G1663" s="184" t="n">
        <v>18549.02</v>
      </c>
    </row>
    <row r="1664">
      <c r="A1664" s="194" t="inlineStr">
        <is>
          <t>2026-06-27 18:00:24</t>
        </is>
      </c>
      <c r="B1664" s="194" t="inlineStr">
        <is>
          <t>CHF</t>
        </is>
      </c>
      <c r="C1664" s="194" t="inlineStr">
        <is>
          <t>SWISS FRANC</t>
        </is>
      </c>
      <c r="D1664" s="195" t="n">
        <v>31731.5</v>
      </c>
      <c r="E1664" s="195" t="n">
        <v>32052.02</v>
      </c>
      <c r="F1664" s="195" t="n">
        <v>33078.5</v>
      </c>
      <c r="G1664" s="195" t="n">
        <v>32565.26</v>
      </c>
    </row>
    <row r="1665">
      <c r="A1665" s="196" t="inlineStr">
        <is>
          <t>2026-06-27 18:00:24</t>
        </is>
      </c>
      <c r="B1665" s="196" t="inlineStr">
        <is>
          <t>CNY</t>
        </is>
      </c>
      <c r="C1665" s="196" t="inlineStr">
        <is>
          <t>YUAN RENMINBI</t>
        </is>
      </c>
      <c r="D1665" s="184" t="n">
        <v>3769.41</v>
      </c>
      <c r="E1665" s="184" t="n">
        <v>3807.48</v>
      </c>
      <c r="F1665" s="184" t="n">
        <v>3929.42</v>
      </c>
      <c r="G1665" s="184" t="n">
        <v>3868.45</v>
      </c>
    </row>
    <row r="1666">
      <c r="A1666" s="194" t="inlineStr">
        <is>
          <t>2026-06-27 18:00:24</t>
        </is>
      </c>
      <c r="B1666" s="194" t="inlineStr">
        <is>
          <t>DKK</t>
        </is>
      </c>
      <c r="C1666" s="194" t="inlineStr">
        <is>
          <t>DANISH KRONE</t>
        </is>
      </c>
      <c r="D1666" s="195" t="n"/>
      <c r="E1666" s="195" t="n">
        <v>3936.22</v>
      </c>
      <c r="F1666" s="195" t="n">
        <v>4086.74</v>
      </c>
      <c r="G1666" s="195" t="n">
        <v>4011.48</v>
      </c>
    </row>
    <row r="1667">
      <c r="A1667" s="196" t="inlineStr">
        <is>
          <t>2026-06-27 18:00:24</t>
        </is>
      </c>
      <c r="B1667" s="196" t="inlineStr">
        <is>
          <t>EUR</t>
        </is>
      </c>
      <c r="C1667" s="196" t="inlineStr">
        <is>
          <t>EURO</t>
        </is>
      </c>
      <c r="D1667" s="184" t="n">
        <v>29204.46</v>
      </c>
      <c r="E1667" s="184" t="n">
        <v>29499.46</v>
      </c>
      <c r="F1667" s="184" t="n">
        <v>30744.13</v>
      </c>
      <c r="G1667" s="184" t="n">
        <v>30121.8</v>
      </c>
    </row>
    <row r="1668">
      <c r="A1668" s="194" t="inlineStr">
        <is>
          <t>2026-06-27 18:00:24</t>
        </is>
      </c>
      <c r="B1668" s="194" t="inlineStr">
        <is>
          <t>GBP</t>
        </is>
      </c>
      <c r="C1668" s="194" t="inlineStr">
        <is>
          <t>POUND STERLING</t>
        </is>
      </c>
      <c r="D1668" s="195" t="n">
        <v>33845.5</v>
      </c>
      <c r="E1668" s="195" t="n">
        <v>34187.38</v>
      </c>
      <c r="F1668" s="195" t="n">
        <v>35282.24</v>
      </c>
      <c r="G1668" s="195" t="n">
        <v>34734.81</v>
      </c>
    </row>
    <row r="1669">
      <c r="A1669" s="196" t="inlineStr">
        <is>
          <t>2026-06-27 18:00:24</t>
        </is>
      </c>
      <c r="B1669" s="196" t="inlineStr">
        <is>
          <t>HKD</t>
        </is>
      </c>
      <c r="C1669" s="196" t="inlineStr">
        <is>
          <t>HONGKONG DOLLAR</t>
        </is>
      </c>
      <c r="D1669" s="184" t="n">
        <v>3259.18</v>
      </c>
      <c r="E1669" s="184" t="n">
        <v>3292.1</v>
      </c>
      <c r="F1669" s="184" t="n">
        <v>3417.98</v>
      </c>
      <c r="G1669" s="184" t="n">
        <v>3355.04</v>
      </c>
    </row>
    <row r="1670">
      <c r="A1670" s="194" t="inlineStr">
        <is>
          <t>2026-06-27 18:00:24</t>
        </is>
      </c>
      <c r="B1670" s="194" t="inlineStr">
        <is>
          <t>INR</t>
        </is>
      </c>
      <c r="C1670" s="194" t="inlineStr">
        <is>
          <t>INDIAN RUPEE</t>
        </is>
      </c>
      <c r="D1670" s="195" t="n"/>
      <c r="E1670" s="195" t="n">
        <v>277.02</v>
      </c>
      <c r="F1670" s="195" t="n">
        <v>288.94</v>
      </c>
      <c r="G1670" s="195" t="n">
        <v>282.98</v>
      </c>
    </row>
    <row r="1671">
      <c r="A1671" s="196" t="inlineStr">
        <is>
          <t>2026-06-27 18:00:24</t>
        </is>
      </c>
      <c r="B1671" s="196" t="inlineStr">
        <is>
          <t>JPY</t>
        </is>
      </c>
      <c r="C1671" s="196" t="inlineStr">
        <is>
          <t>YEN</t>
        </is>
      </c>
      <c r="D1671" s="184" t="n">
        <v>157.1</v>
      </c>
      <c r="E1671" s="184" t="n">
        <v>158.69</v>
      </c>
      <c r="F1671" s="184" t="n">
        <v>167.08</v>
      </c>
      <c r="G1671" s="184" t="n">
        <v>162.88</v>
      </c>
    </row>
    <row r="1672">
      <c r="A1672" s="194" t="inlineStr">
        <is>
          <t>2026-06-27 18:00:24</t>
        </is>
      </c>
      <c r="B1672" s="194" t="inlineStr">
        <is>
          <t>KRW</t>
        </is>
      </c>
      <c r="C1672" s="194" t="inlineStr">
        <is>
          <t>KOREAN WON</t>
        </is>
      </c>
      <c r="D1672" s="195" t="n">
        <v>14.78</v>
      </c>
      <c r="E1672" s="195" t="n">
        <v>16.43</v>
      </c>
      <c r="F1672" s="195" t="n">
        <v>17.82</v>
      </c>
      <c r="G1672" s="195" t="n">
        <v>17.12</v>
      </c>
    </row>
    <row r="1673">
      <c r="A1673" s="196" t="inlineStr">
        <is>
          <t>2026-06-27 18:00:24</t>
        </is>
      </c>
      <c r="B1673" s="196" t="inlineStr">
        <is>
          <t>KWD</t>
        </is>
      </c>
      <c r="C1673" s="196" t="inlineStr">
        <is>
          <t>KUWAITI DINAR</t>
        </is>
      </c>
      <c r="D1673" s="184" t="n"/>
      <c r="E1673" s="184" t="n">
        <v>84955.34</v>
      </c>
      <c r="F1673" s="184" t="n">
        <v>89072.99000000001</v>
      </c>
      <c r="G1673" s="184" t="n">
        <v>87014.16</v>
      </c>
    </row>
    <row r="1674">
      <c r="A1674" s="194" t="inlineStr">
        <is>
          <t>2026-06-27 18:00:24</t>
        </is>
      </c>
      <c r="B1674" s="194" t="inlineStr">
        <is>
          <t>MYR</t>
        </is>
      </c>
      <c r="C1674" s="194" t="inlineStr">
        <is>
          <t>MALAYSIAN RINGGIT</t>
        </is>
      </c>
      <c r="D1674" s="195" t="n"/>
      <c r="E1674" s="195" t="n">
        <v>6369.6</v>
      </c>
      <c r="F1674" s="195" t="n">
        <v>6508.17</v>
      </c>
      <c r="G1674" s="195" t="n">
        <v>6438.88</v>
      </c>
    </row>
    <row r="1675">
      <c r="A1675" s="196" t="inlineStr">
        <is>
          <t>2026-06-27 18:00:24</t>
        </is>
      </c>
      <c r="B1675" s="196" t="inlineStr">
        <is>
          <t>NOK</t>
        </is>
      </c>
      <c r="C1675" s="196" t="inlineStr">
        <is>
          <t>NORWEGIAN KRONER</t>
        </is>
      </c>
      <c r="D1675" s="184" t="n"/>
      <c r="E1675" s="184" t="n">
        <v>2604.31</v>
      </c>
      <c r="F1675" s="184" t="n">
        <v>2714.73</v>
      </c>
      <c r="G1675" s="184" t="n">
        <v>2659.52</v>
      </c>
    </row>
    <row r="1676">
      <c r="A1676" s="194" t="inlineStr">
        <is>
          <t>2026-06-27 18:00:24</t>
        </is>
      </c>
      <c r="B1676" s="194" t="inlineStr">
        <is>
          <t>RUB</t>
        </is>
      </c>
      <c r="C1676" s="194" t="inlineStr">
        <is>
          <t>RUSSIAN RUBLE</t>
        </is>
      </c>
      <c r="D1676" s="195" t="n"/>
      <c r="E1676" s="195" t="n">
        <v>325.68</v>
      </c>
      <c r="F1676" s="195" t="n">
        <v>360.51</v>
      </c>
      <c r="G1676" s="195" t="n">
        <v>343.1</v>
      </c>
    </row>
    <row r="1677">
      <c r="A1677" s="196" t="inlineStr">
        <is>
          <t>2026-06-27 18:00:24</t>
        </is>
      </c>
      <c r="B1677" s="196" t="inlineStr">
        <is>
          <t>SAR</t>
        </is>
      </c>
      <c r="C1677" s="196" t="inlineStr">
        <is>
          <t>SAUDI RIAL</t>
        </is>
      </c>
      <c r="D1677" s="184" t="n"/>
      <c r="E1677" s="184" t="n">
        <v>6964.22</v>
      </c>
      <c r="F1677" s="184" t="n">
        <v>7263.93</v>
      </c>
      <c r="G1677" s="184" t="n">
        <v>7114.08</v>
      </c>
    </row>
    <row r="1678">
      <c r="A1678" s="194" t="inlineStr">
        <is>
          <t>2026-06-27 18:00:24</t>
        </is>
      </c>
      <c r="B1678" s="194" t="inlineStr">
        <is>
          <t>SEK</t>
        </is>
      </c>
      <c r="C1678" s="194" t="inlineStr">
        <is>
          <t>SWEDISH KRONA</t>
        </is>
      </c>
      <c r="D1678" s="195" t="n"/>
      <c r="E1678" s="195" t="n">
        <v>2654.16</v>
      </c>
      <c r="F1678" s="195" t="n">
        <v>2766.7</v>
      </c>
      <c r="G1678" s="195" t="n">
        <v>2710.43</v>
      </c>
    </row>
    <row r="1679">
      <c r="A1679" s="196" t="inlineStr">
        <is>
          <t>2026-06-27 18:00:24</t>
        </is>
      </c>
      <c r="B1679" s="196" t="inlineStr">
        <is>
          <t>SGD</t>
        </is>
      </c>
      <c r="C1679" s="196" t="inlineStr">
        <is>
          <t>SINGAPORE DOLLAR</t>
        </is>
      </c>
      <c r="D1679" s="184" t="n">
        <v>19789.4</v>
      </c>
      <c r="E1679" s="184" t="n">
        <v>19989.29</v>
      </c>
      <c r="F1679" s="184" t="n">
        <v>20670.76</v>
      </c>
      <c r="G1679" s="184" t="n">
        <v>20330.03</v>
      </c>
    </row>
    <row r="1680">
      <c r="A1680" s="194" t="inlineStr">
        <is>
          <t>2026-06-27 18:00:24</t>
        </is>
      </c>
      <c r="B1680" s="194" t="inlineStr">
        <is>
          <t>THB</t>
        </is>
      </c>
      <c r="C1680" s="194" t="inlineStr">
        <is>
          <t>THAILAND BAHT</t>
        </is>
      </c>
      <c r="D1680" s="195" t="n">
        <v>694.88</v>
      </c>
      <c r="E1680" s="195" t="n">
        <v>772.09</v>
      </c>
      <c r="F1680" s="195" t="n">
        <v>804.83</v>
      </c>
      <c r="G1680" s="195" t="n">
        <v>788.46</v>
      </c>
    </row>
    <row r="1681">
      <c r="A1681" s="196" t="inlineStr">
        <is>
          <t>2026-06-27 18:00:24</t>
        </is>
      </c>
      <c r="B1681" s="196" t="inlineStr">
        <is>
          <t>USD</t>
        </is>
      </c>
      <c r="C1681" s="196" t="inlineStr">
        <is>
          <t>US DOLLAR</t>
        </is>
      </c>
      <c r="D1681" s="184" t="n">
        <v>26084</v>
      </c>
      <c r="E1681" s="184" t="n">
        <v>26114</v>
      </c>
      <c r="F1681" s="184" t="n">
        <v>26454</v>
      </c>
      <c r="G1681" s="184" t="n">
        <v>26284</v>
      </c>
    </row>
    <row r="1682">
      <c r="A1682" s="194" t="inlineStr">
        <is>
          <t>2026-06-26 18:00:09</t>
        </is>
      </c>
      <c r="B1682" s="194" t="inlineStr">
        <is>
          <t>AUD</t>
        </is>
      </c>
      <c r="C1682" s="194" t="inlineStr">
        <is>
          <t>AUSTRALIAN DOLLAR</t>
        </is>
      </c>
      <c r="D1682" s="195" t="n">
        <v>17669.78</v>
      </c>
      <c r="E1682" s="195" t="n">
        <v>17848.26</v>
      </c>
      <c r="F1682" s="195" t="n">
        <v>18419.85</v>
      </c>
      <c r="G1682" s="195" t="n">
        <v>18134.06</v>
      </c>
    </row>
    <row r="1683">
      <c r="A1683" s="196" t="inlineStr">
        <is>
          <t>2026-06-26 18:00:09</t>
        </is>
      </c>
      <c r="B1683" s="196" t="inlineStr">
        <is>
          <t>CAD</t>
        </is>
      </c>
      <c r="C1683" s="196" t="inlineStr">
        <is>
          <t>CANADIAN DOLLAR</t>
        </is>
      </c>
      <c r="D1683" s="184" t="n">
        <v>18074.11</v>
      </c>
      <c r="E1683" s="184" t="n">
        <v>18256.68</v>
      </c>
      <c r="F1683" s="184" t="n">
        <v>18841.36</v>
      </c>
      <c r="G1683" s="184" t="n">
        <v>18549.02</v>
      </c>
    </row>
    <row r="1684">
      <c r="A1684" s="194" t="inlineStr">
        <is>
          <t>2026-06-26 18:00:09</t>
        </is>
      </c>
      <c r="B1684" s="194" t="inlineStr">
        <is>
          <t>CHF</t>
        </is>
      </c>
      <c r="C1684" s="194" t="inlineStr">
        <is>
          <t>SWISS FRANC</t>
        </is>
      </c>
      <c r="D1684" s="195" t="n">
        <v>31731.5</v>
      </c>
      <c r="E1684" s="195" t="n">
        <v>32052.02</v>
      </c>
      <c r="F1684" s="195" t="n">
        <v>33078.5</v>
      </c>
      <c r="G1684" s="195" t="n">
        <v>32565.26</v>
      </c>
    </row>
    <row r="1685">
      <c r="A1685" s="196" t="inlineStr">
        <is>
          <t>2026-06-26 18:00:09</t>
        </is>
      </c>
      <c r="B1685" s="196" t="inlineStr">
        <is>
          <t>CNY</t>
        </is>
      </c>
      <c r="C1685" s="196" t="inlineStr">
        <is>
          <t>YUAN RENMINBI</t>
        </is>
      </c>
      <c r="D1685" s="184" t="n">
        <v>3769.41</v>
      </c>
      <c r="E1685" s="184" t="n">
        <v>3807.48</v>
      </c>
      <c r="F1685" s="184" t="n">
        <v>3929.42</v>
      </c>
      <c r="G1685" s="184" t="n">
        <v>3868.45</v>
      </c>
    </row>
    <row r="1686">
      <c r="A1686" s="194" t="inlineStr">
        <is>
          <t>2026-06-26 18:00:09</t>
        </is>
      </c>
      <c r="B1686" s="194" t="inlineStr">
        <is>
          <t>DKK</t>
        </is>
      </c>
      <c r="C1686" s="194" t="inlineStr">
        <is>
          <t>DANISH KRONE</t>
        </is>
      </c>
      <c r="D1686" s="195" t="n"/>
      <c r="E1686" s="195" t="n">
        <v>3936.22</v>
      </c>
      <c r="F1686" s="195" t="n">
        <v>4086.74</v>
      </c>
      <c r="G1686" s="195" t="n">
        <v>4011.48</v>
      </c>
    </row>
    <row r="1687">
      <c r="A1687" s="196" t="inlineStr">
        <is>
          <t>2026-06-26 18:00:09</t>
        </is>
      </c>
      <c r="B1687" s="196" t="inlineStr">
        <is>
          <t>EUR</t>
        </is>
      </c>
      <c r="C1687" s="196" t="inlineStr">
        <is>
          <t>EURO</t>
        </is>
      </c>
      <c r="D1687" s="184" t="n">
        <v>29204.46</v>
      </c>
      <c r="E1687" s="184" t="n">
        <v>29499.46</v>
      </c>
      <c r="F1687" s="184" t="n">
        <v>30744.13</v>
      </c>
      <c r="G1687" s="184" t="n">
        <v>30121.8</v>
      </c>
    </row>
    <row r="1688">
      <c r="A1688" s="194" t="inlineStr">
        <is>
          <t>2026-06-26 18:00:09</t>
        </is>
      </c>
      <c r="B1688" s="194" t="inlineStr">
        <is>
          <t>GBP</t>
        </is>
      </c>
      <c r="C1688" s="194" t="inlineStr">
        <is>
          <t>POUND STERLING</t>
        </is>
      </c>
      <c r="D1688" s="195" t="n">
        <v>33845.5</v>
      </c>
      <c r="E1688" s="195" t="n">
        <v>34187.38</v>
      </c>
      <c r="F1688" s="195" t="n">
        <v>35282.24</v>
      </c>
      <c r="G1688" s="195" t="n">
        <v>34734.81</v>
      </c>
    </row>
    <row r="1689">
      <c r="A1689" s="196" t="inlineStr">
        <is>
          <t>2026-06-26 18:00:09</t>
        </is>
      </c>
      <c r="B1689" s="196" t="inlineStr">
        <is>
          <t>HKD</t>
        </is>
      </c>
      <c r="C1689" s="196" t="inlineStr">
        <is>
          <t>HONGKONG DOLLAR</t>
        </is>
      </c>
      <c r="D1689" s="184" t="n">
        <v>3259.18</v>
      </c>
      <c r="E1689" s="184" t="n">
        <v>3292.1</v>
      </c>
      <c r="F1689" s="184" t="n">
        <v>3417.98</v>
      </c>
      <c r="G1689" s="184" t="n">
        <v>3355.04</v>
      </c>
    </row>
    <row r="1690">
      <c r="A1690" s="194" t="inlineStr">
        <is>
          <t>2026-06-26 18:00:09</t>
        </is>
      </c>
      <c r="B1690" s="194" t="inlineStr">
        <is>
          <t>INR</t>
        </is>
      </c>
      <c r="C1690" s="194" t="inlineStr">
        <is>
          <t>INDIAN RUPEE</t>
        </is>
      </c>
      <c r="D1690" s="195" t="n"/>
      <c r="E1690" s="195" t="n">
        <v>277.02</v>
      </c>
      <c r="F1690" s="195" t="n">
        <v>288.94</v>
      </c>
      <c r="G1690" s="195" t="n">
        <v>282.98</v>
      </c>
    </row>
    <row r="1691">
      <c r="A1691" s="196" t="inlineStr">
        <is>
          <t>2026-06-26 18:00:09</t>
        </is>
      </c>
      <c r="B1691" s="196" t="inlineStr">
        <is>
          <t>JPY</t>
        </is>
      </c>
      <c r="C1691" s="196" t="inlineStr">
        <is>
          <t>YEN</t>
        </is>
      </c>
      <c r="D1691" s="184" t="n">
        <v>157.1</v>
      </c>
      <c r="E1691" s="184" t="n">
        <v>158.69</v>
      </c>
      <c r="F1691" s="184" t="n">
        <v>167.08</v>
      </c>
      <c r="G1691" s="184" t="n">
        <v>162.88</v>
      </c>
    </row>
    <row r="1692">
      <c r="A1692" s="194" t="inlineStr">
        <is>
          <t>2026-06-26 18:00:09</t>
        </is>
      </c>
      <c r="B1692" s="194" t="inlineStr">
        <is>
          <t>KRW</t>
        </is>
      </c>
      <c r="C1692" s="194" t="inlineStr">
        <is>
          <t>KOREAN WON</t>
        </is>
      </c>
      <c r="D1692" s="195" t="n">
        <v>14.78</v>
      </c>
      <c r="E1692" s="195" t="n">
        <v>16.43</v>
      </c>
      <c r="F1692" s="195" t="n">
        <v>17.82</v>
      </c>
      <c r="G1692" s="195" t="n">
        <v>17.12</v>
      </c>
    </row>
    <row r="1693">
      <c r="A1693" s="196" t="inlineStr">
        <is>
          <t>2026-06-26 18:00:09</t>
        </is>
      </c>
      <c r="B1693" s="196" t="inlineStr">
        <is>
          <t>KWD</t>
        </is>
      </c>
      <c r="C1693" s="196" t="inlineStr">
        <is>
          <t>KUWAITI DINAR</t>
        </is>
      </c>
      <c r="D1693" s="184" t="n"/>
      <c r="E1693" s="184" t="n">
        <v>84955.34</v>
      </c>
      <c r="F1693" s="184" t="n">
        <v>89072.99000000001</v>
      </c>
      <c r="G1693" s="184" t="n">
        <v>87014.16</v>
      </c>
    </row>
    <row r="1694">
      <c r="A1694" s="194" t="inlineStr">
        <is>
          <t>2026-06-26 18:00:09</t>
        </is>
      </c>
      <c r="B1694" s="194" t="inlineStr">
        <is>
          <t>MYR</t>
        </is>
      </c>
      <c r="C1694" s="194" t="inlineStr">
        <is>
          <t>MALAYSIAN RINGGIT</t>
        </is>
      </c>
      <c r="D1694" s="195" t="n"/>
      <c r="E1694" s="195" t="n">
        <v>6369.6</v>
      </c>
      <c r="F1694" s="195" t="n">
        <v>6508.17</v>
      </c>
      <c r="G1694" s="195" t="n">
        <v>6438.88</v>
      </c>
    </row>
    <row r="1695">
      <c r="A1695" s="196" t="inlineStr">
        <is>
          <t>2026-06-26 18:00:09</t>
        </is>
      </c>
      <c r="B1695" s="196" t="inlineStr">
        <is>
          <t>NOK</t>
        </is>
      </c>
      <c r="C1695" s="196" t="inlineStr">
        <is>
          <t>NORWEGIAN KRONER</t>
        </is>
      </c>
      <c r="D1695" s="184" t="n"/>
      <c r="E1695" s="184" t="n">
        <v>2604.31</v>
      </c>
      <c r="F1695" s="184" t="n">
        <v>2714.73</v>
      </c>
      <c r="G1695" s="184" t="n">
        <v>2659.52</v>
      </c>
    </row>
    <row r="1696">
      <c r="A1696" s="194" t="inlineStr">
        <is>
          <t>2026-06-26 18:00:09</t>
        </is>
      </c>
      <c r="B1696" s="194" t="inlineStr">
        <is>
          <t>RUB</t>
        </is>
      </c>
      <c r="C1696" s="194" t="inlineStr">
        <is>
          <t>RUSSIAN RUBLE</t>
        </is>
      </c>
      <c r="D1696" s="195" t="n"/>
      <c r="E1696" s="195" t="n">
        <v>325.68</v>
      </c>
      <c r="F1696" s="195" t="n">
        <v>360.51</v>
      </c>
      <c r="G1696" s="195" t="n">
        <v>343.1</v>
      </c>
    </row>
    <row r="1697">
      <c r="A1697" s="196" t="inlineStr">
        <is>
          <t>2026-06-26 18:00:09</t>
        </is>
      </c>
      <c r="B1697" s="196" t="inlineStr">
        <is>
          <t>SAR</t>
        </is>
      </c>
      <c r="C1697" s="196" t="inlineStr">
        <is>
          <t>SAUDI RIAL</t>
        </is>
      </c>
      <c r="D1697" s="184" t="n"/>
      <c r="E1697" s="184" t="n">
        <v>6964.22</v>
      </c>
      <c r="F1697" s="184" t="n">
        <v>7263.93</v>
      </c>
      <c r="G1697" s="184" t="n">
        <v>7114.08</v>
      </c>
    </row>
    <row r="1698">
      <c r="A1698" s="194" t="inlineStr">
        <is>
          <t>2026-06-26 18:00:09</t>
        </is>
      </c>
      <c r="B1698" s="194" t="inlineStr">
        <is>
          <t>SEK</t>
        </is>
      </c>
      <c r="C1698" s="194" t="inlineStr">
        <is>
          <t>SWEDISH KRONA</t>
        </is>
      </c>
      <c r="D1698" s="195" t="n"/>
      <c r="E1698" s="195" t="n">
        <v>2654.16</v>
      </c>
      <c r="F1698" s="195" t="n">
        <v>2766.7</v>
      </c>
      <c r="G1698" s="195" t="n">
        <v>2710.43</v>
      </c>
    </row>
    <row r="1699">
      <c r="A1699" s="196" t="inlineStr">
        <is>
          <t>2026-06-26 18:00:09</t>
        </is>
      </c>
      <c r="B1699" s="196" t="inlineStr">
        <is>
          <t>SGD</t>
        </is>
      </c>
      <c r="C1699" s="196" t="inlineStr">
        <is>
          <t>SINGAPORE DOLLAR</t>
        </is>
      </c>
      <c r="D1699" s="184" t="n">
        <v>19789.4</v>
      </c>
      <c r="E1699" s="184" t="n">
        <v>19989.29</v>
      </c>
      <c r="F1699" s="184" t="n">
        <v>20670.76</v>
      </c>
      <c r="G1699" s="184" t="n">
        <v>20330.03</v>
      </c>
    </row>
    <row r="1700">
      <c r="A1700" s="194" t="inlineStr">
        <is>
          <t>2026-06-26 18:00:09</t>
        </is>
      </c>
      <c r="B1700" s="194" t="inlineStr">
        <is>
          <t>THB</t>
        </is>
      </c>
      <c r="C1700" s="194" t="inlineStr">
        <is>
          <t>THAILAND BAHT</t>
        </is>
      </c>
      <c r="D1700" s="195" t="n">
        <v>694.88</v>
      </c>
      <c r="E1700" s="195" t="n">
        <v>772.09</v>
      </c>
      <c r="F1700" s="195" t="n">
        <v>804.83</v>
      </c>
      <c r="G1700" s="195" t="n">
        <v>788.46</v>
      </c>
    </row>
    <row r="1701">
      <c r="A1701" s="196" t="inlineStr">
        <is>
          <t>2026-06-26 18:00:09</t>
        </is>
      </c>
      <c r="B1701" s="196" t="inlineStr">
        <is>
          <t>USD</t>
        </is>
      </c>
      <c r="C1701" s="196" t="inlineStr">
        <is>
          <t>US DOLLAR</t>
        </is>
      </c>
      <c r="D1701" s="184" t="n">
        <v>26084</v>
      </c>
      <c r="E1701" s="184" t="n">
        <v>26114</v>
      </c>
      <c r="F1701" s="184" t="n">
        <v>26454</v>
      </c>
      <c r="G1701" s="184" t="n">
        <v>26284</v>
      </c>
    </row>
    <row r="1702">
      <c r="A1702" s="194" t="inlineStr">
        <is>
          <t>2026-06-25 18:00:09</t>
        </is>
      </c>
      <c r="B1702" s="194" t="inlineStr">
        <is>
          <t>AUD</t>
        </is>
      </c>
      <c r="C1702" s="194" t="inlineStr">
        <is>
          <t>AUSTRALIAN DOLLAR</t>
        </is>
      </c>
      <c r="D1702" s="195" t="n">
        <v>17685.61</v>
      </c>
      <c r="E1702" s="195" t="n">
        <v>17864.25</v>
      </c>
      <c r="F1702" s="195" t="n">
        <v>18436.32</v>
      </c>
      <c r="G1702" s="195" t="n">
        <v>18150.28</v>
      </c>
    </row>
    <row r="1703">
      <c r="A1703" s="196" t="inlineStr">
        <is>
          <t>2026-06-25 18:00:09</t>
        </is>
      </c>
      <c r="B1703" s="196" t="inlineStr">
        <is>
          <t>CAD</t>
        </is>
      </c>
      <c r="C1703" s="196" t="inlineStr">
        <is>
          <t>CANADIAN DOLLAR</t>
        </is>
      </c>
      <c r="D1703" s="184" t="n">
        <v>18029.54</v>
      </c>
      <c r="E1703" s="184" t="n">
        <v>18211.65</v>
      </c>
      <c r="F1703" s="184" t="n">
        <v>18794.85</v>
      </c>
      <c r="G1703" s="184" t="n">
        <v>18503.25</v>
      </c>
    </row>
    <row r="1704">
      <c r="A1704" s="194" t="inlineStr">
        <is>
          <t>2026-06-25 18:00:09</t>
        </is>
      </c>
      <c r="B1704" s="194" t="inlineStr">
        <is>
          <t>CHF</t>
        </is>
      </c>
      <c r="C1704" s="194" t="inlineStr">
        <is>
          <t>SWISS FRANC</t>
        </is>
      </c>
      <c r="D1704" s="195" t="n">
        <v>31597.74</v>
      </c>
      <c r="E1704" s="195" t="n">
        <v>31916.91</v>
      </c>
      <c r="F1704" s="195" t="n">
        <v>32938.99</v>
      </c>
      <c r="G1704" s="195" t="n">
        <v>32427.95</v>
      </c>
    </row>
    <row r="1705">
      <c r="A1705" s="196" t="inlineStr">
        <is>
          <t>2026-06-25 18:00:09</t>
        </is>
      </c>
      <c r="B1705" s="196" t="inlineStr">
        <is>
          <t>CNY</t>
        </is>
      </c>
      <c r="C1705" s="196" t="inlineStr">
        <is>
          <t>YUAN RENMINBI</t>
        </is>
      </c>
      <c r="D1705" s="184" t="n">
        <v>3768.66</v>
      </c>
      <c r="E1705" s="184" t="n">
        <v>3806.73</v>
      </c>
      <c r="F1705" s="184" t="n">
        <v>3928.63</v>
      </c>
      <c r="G1705" s="184" t="n">
        <v>3867.68</v>
      </c>
    </row>
    <row r="1706">
      <c r="A1706" s="194" t="inlineStr">
        <is>
          <t>2026-06-25 18:00:09</t>
        </is>
      </c>
      <c r="B1706" s="194" t="inlineStr">
        <is>
          <t>DKK</t>
        </is>
      </c>
      <c r="C1706" s="194" t="inlineStr">
        <is>
          <t>DANISH KRONE</t>
        </is>
      </c>
      <c r="D1706" s="195" t="n"/>
      <c r="E1706" s="195" t="n">
        <v>3926.44</v>
      </c>
      <c r="F1706" s="195" t="n">
        <v>4076.57</v>
      </c>
      <c r="G1706" s="195" t="n">
        <v>4001.5</v>
      </c>
    </row>
    <row r="1707">
      <c r="A1707" s="196" t="inlineStr">
        <is>
          <t>2026-06-25 18:00:09</t>
        </is>
      </c>
      <c r="B1707" s="196" t="inlineStr">
        <is>
          <t>EUR</t>
        </is>
      </c>
      <c r="C1707" s="196" t="inlineStr">
        <is>
          <t>EURO</t>
        </is>
      </c>
      <c r="D1707" s="184" t="n">
        <v>29133.02</v>
      </c>
      <c r="E1707" s="184" t="n">
        <v>29427.29</v>
      </c>
      <c r="F1707" s="184" t="n">
        <v>30668.85</v>
      </c>
      <c r="G1707" s="184" t="n">
        <v>30048.07</v>
      </c>
    </row>
    <row r="1708">
      <c r="A1708" s="194" t="inlineStr">
        <is>
          <t>2026-06-25 18:00:09</t>
        </is>
      </c>
      <c r="B1708" s="194" t="inlineStr">
        <is>
          <t>GBP</t>
        </is>
      </c>
      <c r="C1708" s="194" t="inlineStr">
        <is>
          <t>POUND STERLING</t>
        </is>
      </c>
      <c r="D1708" s="195" t="n">
        <v>33769.97</v>
      </c>
      <c r="E1708" s="195" t="n">
        <v>34111.08</v>
      </c>
      <c r="F1708" s="195" t="n">
        <v>35203.43</v>
      </c>
      <c r="G1708" s="195" t="n">
        <v>34657.26</v>
      </c>
    </row>
    <row r="1709">
      <c r="A1709" s="196" t="inlineStr">
        <is>
          <t>2026-06-25 18:00:09</t>
        </is>
      </c>
      <c r="B1709" s="196" t="inlineStr">
        <is>
          <t>HKD</t>
        </is>
      </c>
      <c r="C1709" s="196" t="inlineStr">
        <is>
          <t>HONGKONG DOLLAR</t>
        </is>
      </c>
      <c r="D1709" s="184" t="n">
        <v>3264.73</v>
      </c>
      <c r="E1709" s="184" t="n">
        <v>3297.7</v>
      </c>
      <c r="F1709" s="184" t="n">
        <v>3423.79</v>
      </c>
      <c r="G1709" s="184" t="n">
        <v>3360.74</v>
      </c>
    </row>
    <row r="1710">
      <c r="A1710" s="194" t="inlineStr">
        <is>
          <t>2026-06-25 18:00:09</t>
        </is>
      </c>
      <c r="B1710" s="194" t="inlineStr">
        <is>
          <t>INR</t>
        </is>
      </c>
      <c r="C1710" s="194" t="inlineStr">
        <is>
          <t>INDIAN RUPEE</t>
        </is>
      </c>
      <c r="D1710" s="195" t="n"/>
      <c r="E1710" s="195" t="n">
        <v>276.6</v>
      </c>
      <c r="F1710" s="195" t="n">
        <v>288.5</v>
      </c>
      <c r="G1710" s="195" t="n">
        <v>282.55</v>
      </c>
    </row>
    <row r="1711">
      <c r="A1711" s="196" t="inlineStr">
        <is>
          <t>2026-06-25 18:00:09</t>
        </is>
      </c>
      <c r="B1711" s="196" t="inlineStr">
        <is>
          <t>JPY</t>
        </is>
      </c>
      <c r="C1711" s="196" t="inlineStr">
        <is>
          <t>YEN</t>
        </is>
      </c>
      <c r="D1711" s="184" t="n">
        <v>157.16</v>
      </c>
      <c r="E1711" s="184" t="n">
        <v>158.75</v>
      </c>
      <c r="F1711" s="184" t="n">
        <v>167.15</v>
      </c>
      <c r="G1711" s="184" t="n">
        <v>162.95</v>
      </c>
    </row>
    <row r="1712">
      <c r="A1712" s="194" t="inlineStr">
        <is>
          <t>2026-06-25 18:00:09</t>
        </is>
      </c>
      <c r="B1712" s="194" t="inlineStr">
        <is>
          <t>KRW</t>
        </is>
      </c>
      <c r="C1712" s="194" t="inlineStr">
        <is>
          <t>KOREAN WON</t>
        </is>
      </c>
      <c r="D1712" s="195" t="n">
        <v>14.71</v>
      </c>
      <c r="E1712" s="195" t="n">
        <v>16.35</v>
      </c>
      <c r="F1712" s="195" t="n">
        <v>17.74</v>
      </c>
      <c r="G1712" s="195" t="n">
        <v>17.05</v>
      </c>
    </row>
    <row r="1713">
      <c r="A1713" s="196" t="inlineStr">
        <is>
          <t>2026-06-25 18:00:09</t>
        </is>
      </c>
      <c r="B1713" s="196" t="inlineStr">
        <is>
          <t>KWD</t>
        </is>
      </c>
      <c r="C1713" s="196" t="inlineStr">
        <is>
          <t>KUWAITI DINAR</t>
        </is>
      </c>
      <c r="D1713" s="184" t="n"/>
      <c r="E1713" s="184" t="n">
        <v>85068.48</v>
      </c>
      <c r="F1713" s="184" t="n">
        <v>89191.44</v>
      </c>
      <c r="G1713" s="184" t="n">
        <v>87129.96000000001</v>
      </c>
    </row>
    <row r="1714">
      <c r="A1714" s="194" t="inlineStr">
        <is>
          <t>2026-06-25 18:00:09</t>
        </is>
      </c>
      <c r="B1714" s="194" t="inlineStr">
        <is>
          <t>MYR</t>
        </is>
      </c>
      <c r="C1714" s="194" t="inlineStr">
        <is>
          <t>MALAYSIAN RINGGIT</t>
        </is>
      </c>
      <c r="D1714" s="195" t="n"/>
      <c r="E1714" s="195" t="n">
        <v>6316.23</v>
      </c>
      <c r="F1714" s="195" t="n">
        <v>6453.63</v>
      </c>
      <c r="G1714" s="195" t="n">
        <v>6384.93</v>
      </c>
    </row>
    <row r="1715">
      <c r="A1715" s="196" t="inlineStr">
        <is>
          <t>2026-06-25 18:00:09</t>
        </is>
      </c>
      <c r="B1715" s="196" t="inlineStr">
        <is>
          <t>NOK</t>
        </is>
      </c>
      <c r="C1715" s="196" t="inlineStr">
        <is>
          <t>NORWEGIAN KRONER</t>
        </is>
      </c>
      <c r="D1715" s="184" t="n"/>
      <c r="E1715" s="184" t="n">
        <v>2619.06</v>
      </c>
      <c r="F1715" s="184" t="n">
        <v>2730.1</v>
      </c>
      <c r="G1715" s="184" t="n">
        <v>2674.58</v>
      </c>
    </row>
    <row r="1716">
      <c r="A1716" s="194" t="inlineStr">
        <is>
          <t>2026-06-25 18:00:09</t>
        </is>
      </c>
      <c r="B1716" s="194" t="inlineStr">
        <is>
          <t>RUB</t>
        </is>
      </c>
      <c r="C1716" s="194" t="inlineStr">
        <is>
          <t>RUSSIAN RUBLE</t>
        </is>
      </c>
      <c r="D1716" s="195" t="n"/>
      <c r="E1716" s="195" t="n">
        <v>334.62</v>
      </c>
      <c r="F1716" s="195" t="n">
        <v>370.41</v>
      </c>
      <c r="G1716" s="195" t="n">
        <v>352.52</v>
      </c>
    </row>
    <row r="1717">
      <c r="A1717" s="196" t="inlineStr">
        <is>
          <t>2026-06-25 18:00:09</t>
        </is>
      </c>
      <c r="B1717" s="196" t="inlineStr">
        <is>
          <t>SAR</t>
        </is>
      </c>
      <c r="C1717" s="196" t="inlineStr">
        <is>
          <t>SAUDI RIAL</t>
        </is>
      </c>
      <c r="D1717" s="184" t="n"/>
      <c r="E1717" s="184" t="n">
        <v>6974.42</v>
      </c>
      <c r="F1717" s="184" t="n">
        <v>7274.56</v>
      </c>
      <c r="G1717" s="184" t="n">
        <v>7124.49</v>
      </c>
    </row>
    <row r="1718">
      <c r="A1718" s="194" t="inlineStr">
        <is>
          <t>2026-06-25 18:00:09</t>
        </is>
      </c>
      <c r="B1718" s="194" t="inlineStr">
        <is>
          <t>SEK</t>
        </is>
      </c>
      <c r="C1718" s="194" t="inlineStr">
        <is>
          <t>SWEDISH KRONA</t>
        </is>
      </c>
      <c r="D1718" s="195" t="n"/>
      <c r="E1718" s="195" t="n">
        <v>2644.86</v>
      </c>
      <c r="F1718" s="195" t="n">
        <v>2757</v>
      </c>
      <c r="G1718" s="195" t="n">
        <v>2700.93</v>
      </c>
    </row>
    <row r="1719">
      <c r="A1719" s="196" t="inlineStr">
        <is>
          <t>2026-06-25 18:00:09</t>
        </is>
      </c>
      <c r="B1719" s="196" t="inlineStr">
        <is>
          <t>SGD</t>
        </is>
      </c>
      <c r="C1719" s="196" t="inlineStr">
        <is>
          <t>SINGAPORE DOLLAR</t>
        </is>
      </c>
      <c r="D1719" s="184" t="n">
        <v>19766.87</v>
      </c>
      <c r="E1719" s="184" t="n">
        <v>19966.54</v>
      </c>
      <c r="F1719" s="184" t="n">
        <v>20647.19</v>
      </c>
      <c r="G1719" s="184" t="n">
        <v>20306.86</v>
      </c>
    </row>
    <row r="1720">
      <c r="A1720" s="194" t="inlineStr">
        <is>
          <t>2026-06-25 18:00:09</t>
        </is>
      </c>
      <c r="B1720" s="194" t="inlineStr">
        <is>
          <t>THB</t>
        </is>
      </c>
      <c r="C1720" s="194" t="inlineStr">
        <is>
          <t>THAILAND BAHT</t>
        </is>
      </c>
      <c r="D1720" s="195" t="n">
        <v>695.1799999999999</v>
      </c>
      <c r="E1720" s="195" t="n">
        <v>772.4299999999999</v>
      </c>
      <c r="F1720" s="195" t="n">
        <v>805.1799999999999</v>
      </c>
      <c r="G1720" s="195" t="n">
        <v>788.8</v>
      </c>
    </row>
    <row r="1721">
      <c r="A1721" s="196" t="inlineStr">
        <is>
          <t>2026-06-25 18:00:09</t>
        </is>
      </c>
      <c r="B1721" s="196" t="inlineStr">
        <is>
          <t>USD</t>
        </is>
      </c>
      <c r="C1721" s="196" t="inlineStr">
        <is>
          <t>US DOLLAR</t>
        </is>
      </c>
      <c r="D1721" s="184" t="n">
        <v>26106</v>
      </c>
      <c r="E1721" s="184" t="n">
        <v>26136</v>
      </c>
      <c r="F1721" s="184" t="n">
        <v>26456</v>
      </c>
      <c r="G1721" s="184" t="n">
        <v>26296</v>
      </c>
    </row>
    <row r="1722">
      <c r="A1722" s="194" t="inlineStr">
        <is>
          <t>2026-06-24 18:00:15</t>
        </is>
      </c>
      <c r="B1722" s="194" t="inlineStr">
        <is>
          <t>AUD</t>
        </is>
      </c>
      <c r="C1722" s="194" t="inlineStr">
        <is>
          <t>AUSTRALIAN DOLLAR</t>
        </is>
      </c>
      <c r="D1722" s="195" t="n">
        <v>17710.47</v>
      </c>
      <c r="E1722" s="195" t="n">
        <v>17889.37</v>
      </c>
      <c r="F1722" s="195" t="n">
        <v>18462.25</v>
      </c>
      <c r="G1722" s="195" t="n">
        <v>18175.81</v>
      </c>
    </row>
    <row r="1723">
      <c r="A1723" s="196" t="inlineStr">
        <is>
          <t>2026-06-24 18:00:15</t>
        </is>
      </c>
      <c r="B1723" s="196" t="inlineStr">
        <is>
          <t>CAD</t>
        </is>
      </c>
      <c r="C1723" s="196" t="inlineStr">
        <is>
          <t>CANADIAN DOLLAR</t>
        </is>
      </c>
      <c r="D1723" s="184" t="n">
        <v>18041.32</v>
      </c>
      <c r="E1723" s="184" t="n">
        <v>18223.55</v>
      </c>
      <c r="F1723" s="184" t="n">
        <v>18807.14</v>
      </c>
      <c r="G1723" s="184" t="n">
        <v>18515.34</v>
      </c>
    </row>
    <row r="1724">
      <c r="A1724" s="194" t="inlineStr">
        <is>
          <t>2026-06-24 18:00:15</t>
        </is>
      </c>
      <c r="B1724" s="194" t="inlineStr">
        <is>
          <t>CHF</t>
        </is>
      </c>
      <c r="C1724" s="194" t="inlineStr">
        <is>
          <t>SWISS FRANC</t>
        </is>
      </c>
      <c r="D1724" s="195" t="n">
        <v>31630.68</v>
      </c>
      <c r="E1724" s="195" t="n">
        <v>31950.18</v>
      </c>
      <c r="F1724" s="195" t="n">
        <v>32973.34</v>
      </c>
      <c r="G1724" s="195" t="n">
        <v>32461.76</v>
      </c>
    </row>
    <row r="1725">
      <c r="A1725" s="196" t="inlineStr">
        <is>
          <t>2026-06-24 18:00:15</t>
        </is>
      </c>
      <c r="B1725" s="196" t="inlineStr">
        <is>
          <t>CNY</t>
        </is>
      </c>
      <c r="C1725" s="196" t="inlineStr">
        <is>
          <t>YUAN RENMINBI</t>
        </is>
      </c>
      <c r="D1725" s="184" t="n">
        <v>3772.1</v>
      </c>
      <c r="E1725" s="184" t="n">
        <v>3810.2</v>
      </c>
      <c r="F1725" s="184" t="n">
        <v>3932.22</v>
      </c>
      <c r="G1725" s="184" t="n">
        <v>3871.21</v>
      </c>
    </row>
    <row r="1726">
      <c r="A1726" s="194" t="inlineStr">
        <is>
          <t>2026-06-24 18:00:15</t>
        </is>
      </c>
      <c r="B1726" s="194" t="inlineStr">
        <is>
          <t>DKK</t>
        </is>
      </c>
      <c r="C1726" s="194" t="inlineStr">
        <is>
          <t>DANISH KRONE</t>
        </is>
      </c>
      <c r="D1726" s="195" t="n"/>
      <c r="E1726" s="195" t="n">
        <v>3927.36</v>
      </c>
      <c r="F1726" s="195" t="n">
        <v>4077.53</v>
      </c>
      <c r="G1726" s="195" t="n">
        <v>4002.44</v>
      </c>
    </row>
    <row r="1727">
      <c r="A1727" s="196" t="inlineStr">
        <is>
          <t>2026-06-24 18:00:15</t>
        </is>
      </c>
      <c r="B1727" s="196" t="inlineStr">
        <is>
          <t>EUR</t>
        </is>
      </c>
      <c r="C1727" s="196" t="inlineStr">
        <is>
          <t>EURO</t>
        </is>
      </c>
      <c r="D1727" s="184" t="n">
        <v>29140.31</v>
      </c>
      <c r="E1727" s="184" t="n">
        <v>29434.65</v>
      </c>
      <c r="F1727" s="184" t="n">
        <v>30676.54</v>
      </c>
      <c r="G1727" s="184" t="n">
        <v>30055.6</v>
      </c>
    </row>
    <row r="1728">
      <c r="A1728" s="194" t="inlineStr">
        <is>
          <t>2026-06-24 18:00:15</t>
        </is>
      </c>
      <c r="B1728" s="194" t="inlineStr">
        <is>
          <t>GBP</t>
        </is>
      </c>
      <c r="C1728" s="194" t="inlineStr">
        <is>
          <t>POUND STERLING</t>
        </is>
      </c>
      <c r="D1728" s="195" t="n">
        <v>33840.52</v>
      </c>
      <c r="E1728" s="195" t="n">
        <v>34182.35</v>
      </c>
      <c r="F1728" s="195" t="n">
        <v>35276.98</v>
      </c>
      <c r="G1728" s="195" t="n">
        <v>34729.66</v>
      </c>
    </row>
    <row r="1729">
      <c r="A1729" s="196" t="inlineStr">
        <is>
          <t>2026-06-24 18:00:15</t>
        </is>
      </c>
      <c r="B1729" s="196" t="inlineStr">
        <is>
          <t>HKD</t>
        </is>
      </c>
      <c r="C1729" s="196" t="inlineStr">
        <is>
          <t>HONGKONG DOLLAR</t>
        </is>
      </c>
      <c r="D1729" s="184" t="n">
        <v>3263.36</v>
      </c>
      <c r="E1729" s="184" t="n">
        <v>3296.32</v>
      </c>
      <c r="F1729" s="184" t="n">
        <v>3422.36</v>
      </c>
      <c r="G1729" s="184" t="n">
        <v>3359.34</v>
      </c>
    </row>
    <row r="1730">
      <c r="A1730" s="194" t="inlineStr">
        <is>
          <t>2026-06-24 18:00:15</t>
        </is>
      </c>
      <c r="B1730" s="194" t="inlineStr">
        <is>
          <t>INR</t>
        </is>
      </c>
      <c r="C1730" s="194" t="inlineStr">
        <is>
          <t>INDIAN RUPEE</t>
        </is>
      </c>
      <c r="D1730" s="195" t="n"/>
      <c r="E1730" s="195" t="n">
        <v>276.59</v>
      </c>
      <c r="F1730" s="195" t="n">
        <v>288.49</v>
      </c>
      <c r="G1730" s="195" t="n">
        <v>282.54</v>
      </c>
    </row>
    <row r="1731">
      <c r="A1731" s="196" t="inlineStr">
        <is>
          <t>2026-06-24 18:00:15</t>
        </is>
      </c>
      <c r="B1731" s="196" t="inlineStr">
        <is>
          <t>JPY</t>
        </is>
      </c>
      <c r="C1731" s="196" t="inlineStr">
        <is>
          <t>YEN</t>
        </is>
      </c>
      <c r="D1731" s="184" t="n">
        <v>157.17</v>
      </c>
      <c r="E1731" s="184" t="n">
        <v>158.76</v>
      </c>
      <c r="F1731" s="184" t="n">
        <v>167.16</v>
      </c>
      <c r="G1731" s="184" t="n">
        <v>162.96</v>
      </c>
    </row>
    <row r="1732">
      <c r="A1732" s="194" t="inlineStr">
        <is>
          <t>2026-06-24 18:00:15</t>
        </is>
      </c>
      <c r="B1732" s="194" t="inlineStr">
        <is>
          <t>KRW</t>
        </is>
      </c>
      <c r="C1732" s="194" t="inlineStr">
        <is>
          <t>KOREAN WON</t>
        </is>
      </c>
      <c r="D1732" s="195" t="n">
        <v>14.75</v>
      </c>
      <c r="E1732" s="195" t="n">
        <v>16.39</v>
      </c>
      <c r="F1732" s="195" t="n">
        <v>17.78</v>
      </c>
      <c r="G1732" s="195" t="n">
        <v>17.08</v>
      </c>
    </row>
    <row r="1733">
      <c r="A1733" s="196" t="inlineStr">
        <is>
          <t>2026-06-24 18:00:15</t>
        </is>
      </c>
      <c r="B1733" s="196" t="inlineStr">
        <is>
          <t>KWD</t>
        </is>
      </c>
      <c r="C1733" s="196" t="inlineStr">
        <is>
          <t>KUWAITI DINAR</t>
        </is>
      </c>
      <c r="D1733" s="184" t="n"/>
      <c r="E1733" s="184" t="n">
        <v>85052.32000000001</v>
      </c>
      <c r="F1733" s="184" t="n">
        <v>89174.52</v>
      </c>
      <c r="G1733" s="184" t="n">
        <v>87113.42</v>
      </c>
    </row>
    <row r="1734">
      <c r="A1734" s="194" t="inlineStr">
        <is>
          <t>2026-06-24 18:00:15</t>
        </is>
      </c>
      <c r="B1734" s="194" t="inlineStr">
        <is>
          <t>MYR</t>
        </is>
      </c>
      <c r="C1734" s="194" t="inlineStr">
        <is>
          <t>MALAYSIAN RINGGIT</t>
        </is>
      </c>
      <c r="D1734" s="195" t="n"/>
      <c r="E1734" s="195" t="n">
        <v>6301.28</v>
      </c>
      <c r="F1734" s="195" t="n">
        <v>6438.36</v>
      </c>
      <c r="G1734" s="195" t="n">
        <v>6369.82</v>
      </c>
    </row>
    <row r="1735">
      <c r="A1735" s="196" t="inlineStr">
        <is>
          <t>2026-06-24 18:00:15</t>
        </is>
      </c>
      <c r="B1735" s="196" t="inlineStr">
        <is>
          <t>NOK</t>
        </is>
      </c>
      <c r="C1735" s="196" t="inlineStr">
        <is>
          <t>NORWEGIAN KRONER</t>
        </is>
      </c>
      <c r="D1735" s="184" t="n"/>
      <c r="E1735" s="184" t="n">
        <v>2628.99</v>
      </c>
      <c r="F1735" s="184" t="n">
        <v>2740.46</v>
      </c>
      <c r="G1735" s="184" t="n">
        <v>2684.72</v>
      </c>
    </row>
    <row r="1736">
      <c r="A1736" s="194" t="inlineStr">
        <is>
          <t>2026-06-24 18:00:15</t>
        </is>
      </c>
      <c r="B1736" s="194" t="inlineStr">
        <is>
          <t>RUB</t>
        </is>
      </c>
      <c r="C1736" s="194" t="inlineStr">
        <is>
          <t>RUSSIAN RUBLE</t>
        </is>
      </c>
      <c r="D1736" s="195" t="n"/>
      <c r="E1736" s="195" t="n">
        <v>334.1</v>
      </c>
      <c r="F1736" s="195" t="n">
        <v>369.82</v>
      </c>
      <c r="G1736" s="195" t="n">
        <v>351.96</v>
      </c>
    </row>
    <row r="1737">
      <c r="A1737" s="196" t="inlineStr">
        <is>
          <t>2026-06-24 18:00:15</t>
        </is>
      </c>
      <c r="B1737" s="196" t="inlineStr">
        <is>
          <t>SAR</t>
        </is>
      </c>
      <c r="C1737" s="196" t="inlineStr">
        <is>
          <t>SAUDI RIAL</t>
        </is>
      </c>
      <c r="D1737" s="184" t="n"/>
      <c r="E1737" s="184" t="n">
        <v>6974.4</v>
      </c>
      <c r="F1737" s="184" t="n">
        <v>7274.54</v>
      </c>
      <c r="G1737" s="184" t="n">
        <v>7124.47</v>
      </c>
    </row>
    <row r="1738">
      <c r="A1738" s="194" t="inlineStr">
        <is>
          <t>2026-06-24 18:00:15</t>
        </is>
      </c>
      <c r="B1738" s="194" t="inlineStr">
        <is>
          <t>SEK</t>
        </is>
      </c>
      <c r="C1738" s="194" t="inlineStr">
        <is>
          <t>SWEDISH KRONA</t>
        </is>
      </c>
      <c r="D1738" s="195" t="n"/>
      <c r="E1738" s="195" t="n">
        <v>2642.87</v>
      </c>
      <c r="F1738" s="195" t="n">
        <v>2754.92</v>
      </c>
      <c r="G1738" s="195" t="n">
        <v>2698.9</v>
      </c>
    </row>
    <row r="1739">
      <c r="A1739" s="196" t="inlineStr">
        <is>
          <t>2026-06-24 18:00:15</t>
        </is>
      </c>
      <c r="B1739" s="196" t="inlineStr">
        <is>
          <t>SGD</t>
        </is>
      </c>
      <c r="C1739" s="196" t="inlineStr">
        <is>
          <t>SINGAPORE DOLLAR</t>
        </is>
      </c>
      <c r="D1739" s="184" t="n">
        <v>19773.79</v>
      </c>
      <c r="E1739" s="184" t="n">
        <v>19973.52</v>
      </c>
      <c r="F1739" s="184" t="n">
        <v>20654.42</v>
      </c>
      <c r="G1739" s="184" t="n">
        <v>20313.97</v>
      </c>
    </row>
    <row r="1740">
      <c r="A1740" s="194" t="inlineStr">
        <is>
          <t>2026-06-24 18:00:15</t>
        </is>
      </c>
      <c r="B1740" s="194" t="inlineStr">
        <is>
          <t>THB</t>
        </is>
      </c>
      <c r="C1740" s="194" t="inlineStr">
        <is>
          <t>THAILAND BAHT</t>
        </is>
      </c>
      <c r="D1740" s="195" t="n">
        <v>695.88</v>
      </c>
      <c r="E1740" s="195" t="n">
        <v>773.2</v>
      </c>
      <c r="F1740" s="195" t="n">
        <v>805.99</v>
      </c>
      <c r="G1740" s="195" t="n">
        <v>789.6</v>
      </c>
    </row>
    <row r="1741">
      <c r="A1741" s="196" t="inlineStr">
        <is>
          <t>2026-06-24 18:00:15</t>
        </is>
      </c>
      <c r="B1741" s="196" t="inlineStr">
        <is>
          <t>USD</t>
        </is>
      </c>
      <c r="C1741" s="196" t="inlineStr">
        <is>
          <t>US DOLLAR</t>
        </is>
      </c>
      <c r="D1741" s="184" t="n">
        <v>26101</v>
      </c>
      <c r="E1741" s="184" t="n">
        <v>26131</v>
      </c>
      <c r="F1741" s="184" t="n">
        <v>26451</v>
      </c>
      <c r="G1741" s="184" t="n">
        <v>26291</v>
      </c>
    </row>
    <row r="1742">
      <c r="A1742" s="194" t="inlineStr">
        <is>
          <t>2026-06-23 18:03:31</t>
        </is>
      </c>
      <c r="B1742" s="194" t="inlineStr">
        <is>
          <t>AUD</t>
        </is>
      </c>
      <c r="C1742" s="194" t="inlineStr">
        <is>
          <t>AUSTRALIAN DOLLAR</t>
        </is>
      </c>
      <c r="D1742" s="195" t="n">
        <v>17930.27</v>
      </c>
      <c r="E1742" s="195" t="n">
        <v>18111.39</v>
      </c>
      <c r="F1742" s="195" t="n">
        <v>18691.38</v>
      </c>
      <c r="G1742" s="195" t="n">
        <v>18401.39</v>
      </c>
    </row>
    <row r="1743">
      <c r="A1743" s="196" t="inlineStr">
        <is>
          <t>2026-06-23 18:03:31</t>
        </is>
      </c>
      <c r="B1743" s="196" t="inlineStr">
        <is>
          <t>CAD</t>
        </is>
      </c>
      <c r="C1743" s="196" t="inlineStr">
        <is>
          <t>CANADIAN DOLLAR</t>
        </is>
      </c>
      <c r="D1743" s="184" t="n">
        <v>18124.54</v>
      </c>
      <c r="E1743" s="184" t="n">
        <v>18307.61</v>
      </c>
      <c r="F1743" s="184" t="n">
        <v>18893.89</v>
      </c>
      <c r="G1743" s="184" t="n">
        <v>18600.75</v>
      </c>
    </row>
    <row r="1744">
      <c r="A1744" s="194" t="inlineStr">
        <is>
          <t>2026-06-23 18:03:31</t>
        </is>
      </c>
      <c r="B1744" s="194" t="inlineStr">
        <is>
          <t>CHF</t>
        </is>
      </c>
      <c r="C1744" s="194" t="inlineStr">
        <is>
          <t>SWISS FRANC</t>
        </is>
      </c>
      <c r="D1744" s="195" t="n">
        <v>31742.04</v>
      </c>
      <c r="E1744" s="195" t="n">
        <v>32062.67</v>
      </c>
      <c r="F1744" s="195" t="n">
        <v>33089.44</v>
      </c>
      <c r="G1744" s="195" t="n">
        <v>32576.06</v>
      </c>
    </row>
    <row r="1745">
      <c r="A1745" s="196" t="inlineStr">
        <is>
          <t>2026-06-23 18:03:31</t>
        </is>
      </c>
      <c r="B1745" s="196" t="inlineStr">
        <is>
          <t>CNY</t>
        </is>
      </c>
      <c r="C1745" s="196" t="inlineStr">
        <is>
          <t>YUAN RENMINBI</t>
        </is>
      </c>
      <c r="D1745" s="184" t="n">
        <v>3787.3</v>
      </c>
      <c r="E1745" s="184" t="n">
        <v>3825.56</v>
      </c>
      <c r="F1745" s="184" t="n">
        <v>3948.07</v>
      </c>
      <c r="G1745" s="184" t="n">
        <v>3886.82</v>
      </c>
    </row>
    <row r="1746">
      <c r="A1746" s="194" t="inlineStr">
        <is>
          <t>2026-06-23 18:03:31</t>
        </is>
      </c>
      <c r="B1746" s="194" t="inlineStr">
        <is>
          <t>DKK</t>
        </is>
      </c>
      <c r="C1746" s="194" t="inlineStr">
        <is>
          <t>DANISH KRONE</t>
        </is>
      </c>
      <c r="D1746" s="195" t="n"/>
      <c r="E1746" s="195" t="n">
        <v>3950.51</v>
      </c>
      <c r="F1746" s="195" t="n">
        <v>4101.56</v>
      </c>
      <c r="G1746" s="195" t="n">
        <v>4026.04</v>
      </c>
    </row>
    <row r="1747">
      <c r="A1747" s="196" t="inlineStr">
        <is>
          <t>2026-06-23 18:03:31</t>
        </is>
      </c>
      <c r="B1747" s="196" t="inlineStr">
        <is>
          <t>EUR</t>
        </is>
      </c>
      <c r="C1747" s="196" t="inlineStr">
        <is>
          <t>EURO</t>
        </is>
      </c>
      <c r="D1747" s="184" t="n">
        <v>29309.2</v>
      </c>
      <c r="E1747" s="184" t="n">
        <v>29605.25</v>
      </c>
      <c r="F1747" s="184" t="n">
        <v>30854.34</v>
      </c>
      <c r="G1747" s="184" t="n">
        <v>30229.8</v>
      </c>
    </row>
    <row r="1748">
      <c r="A1748" s="194" t="inlineStr">
        <is>
          <t>2026-06-23 18:03:31</t>
        </is>
      </c>
      <c r="B1748" s="194" t="inlineStr">
        <is>
          <t>GBP</t>
        </is>
      </c>
      <c r="C1748" s="194" t="inlineStr">
        <is>
          <t>POUND STERLING</t>
        </is>
      </c>
      <c r="D1748" s="195" t="n">
        <v>33970.04</v>
      </c>
      <c r="E1748" s="195" t="n">
        <v>34313.18</v>
      </c>
      <c r="F1748" s="195" t="n">
        <v>35412.01</v>
      </c>
      <c r="G1748" s="195" t="n">
        <v>34862.6</v>
      </c>
    </row>
    <row r="1749">
      <c r="A1749" s="196" t="inlineStr">
        <is>
          <t>2026-06-23 18:03:31</t>
        </is>
      </c>
      <c r="B1749" s="196" t="inlineStr">
        <is>
          <t>HKD</t>
        </is>
      </c>
      <c r="C1749" s="196" t="inlineStr">
        <is>
          <t>HONGKONG DOLLAR</t>
        </is>
      </c>
      <c r="D1749" s="184" t="n">
        <v>3263.15</v>
      </c>
      <c r="E1749" s="184" t="n">
        <v>3296.11</v>
      </c>
      <c r="F1749" s="184" t="n">
        <v>3422.14</v>
      </c>
      <c r="G1749" s="184" t="n">
        <v>3359.12</v>
      </c>
    </row>
    <row r="1750">
      <c r="A1750" s="194" t="inlineStr">
        <is>
          <t>2026-06-23 18:03:31</t>
        </is>
      </c>
      <c r="B1750" s="194" t="inlineStr">
        <is>
          <t>INR</t>
        </is>
      </c>
      <c r="C1750" s="194" t="inlineStr">
        <is>
          <t>INDIAN RUPEE</t>
        </is>
      </c>
      <c r="D1750" s="195" t="n"/>
      <c r="E1750" s="195" t="n">
        <v>276.46</v>
      </c>
      <c r="F1750" s="195" t="n">
        <v>288.35</v>
      </c>
      <c r="G1750" s="195" t="n">
        <v>282.4</v>
      </c>
    </row>
    <row r="1751">
      <c r="A1751" s="196" t="inlineStr">
        <is>
          <t>2026-06-23 18:03:31</t>
        </is>
      </c>
      <c r="B1751" s="196" t="inlineStr">
        <is>
          <t>JPY</t>
        </is>
      </c>
      <c r="C1751" s="196" t="inlineStr">
        <is>
          <t>YEN</t>
        </is>
      </c>
      <c r="D1751" s="184" t="n">
        <v>157.24</v>
      </c>
      <c r="E1751" s="184" t="n">
        <v>158.83</v>
      </c>
      <c r="F1751" s="184" t="n">
        <v>167.23</v>
      </c>
      <c r="G1751" s="184" t="n">
        <v>163.03</v>
      </c>
    </row>
    <row r="1752">
      <c r="A1752" s="194" t="inlineStr">
        <is>
          <t>2026-06-23 18:03:31</t>
        </is>
      </c>
      <c r="B1752" s="194" t="inlineStr">
        <is>
          <t>KRW</t>
        </is>
      </c>
      <c r="C1752" s="194" t="inlineStr">
        <is>
          <t>KOREAN WON</t>
        </is>
      </c>
      <c r="D1752" s="195" t="n">
        <v>14.79</v>
      </c>
      <c r="E1752" s="195" t="n">
        <v>16.43</v>
      </c>
      <c r="F1752" s="195" t="n">
        <v>17.83</v>
      </c>
      <c r="G1752" s="195" t="n">
        <v>17.13</v>
      </c>
    </row>
    <row r="1753">
      <c r="A1753" s="196" t="inlineStr">
        <is>
          <t>2026-06-23 18:03:31</t>
        </is>
      </c>
      <c r="B1753" s="196" t="inlineStr">
        <is>
          <t>KWD</t>
        </is>
      </c>
      <c r="C1753" s="196" t="inlineStr">
        <is>
          <t>KUWAITI DINAR</t>
        </is>
      </c>
      <c r="D1753" s="184" t="n"/>
      <c r="E1753" s="184" t="n">
        <v>85091.45</v>
      </c>
      <c r="F1753" s="184" t="n">
        <v>89215.57000000001</v>
      </c>
      <c r="G1753" s="184" t="n">
        <v>87153.50999999999</v>
      </c>
    </row>
    <row r="1754">
      <c r="A1754" s="194" t="inlineStr">
        <is>
          <t>2026-06-23 18:03:31</t>
        </is>
      </c>
      <c r="B1754" s="194" t="inlineStr">
        <is>
          <t>MYR</t>
        </is>
      </c>
      <c r="C1754" s="194" t="inlineStr">
        <is>
          <t>MALAYSIAN RINGGIT</t>
        </is>
      </c>
      <c r="D1754" s="195" t="n"/>
      <c r="E1754" s="195" t="n">
        <v>6283.37</v>
      </c>
      <c r="F1754" s="195" t="n">
        <v>6420.05</v>
      </c>
      <c r="G1754" s="195" t="n">
        <v>6351.71</v>
      </c>
    </row>
    <row r="1755">
      <c r="A1755" s="196" t="inlineStr">
        <is>
          <t>2026-06-23 18:03:31</t>
        </is>
      </c>
      <c r="B1755" s="196" t="inlineStr">
        <is>
          <t>NOK</t>
        </is>
      </c>
      <c r="C1755" s="196" t="inlineStr">
        <is>
          <t>NORWEGIAN KRONER</t>
        </is>
      </c>
      <c r="D1755" s="184" t="n"/>
      <c r="E1755" s="184" t="n">
        <v>2658.54</v>
      </c>
      <c r="F1755" s="184" t="n">
        <v>2771.26</v>
      </c>
      <c r="G1755" s="184" t="n">
        <v>2714.9</v>
      </c>
    </row>
    <row r="1756">
      <c r="A1756" s="194" t="inlineStr">
        <is>
          <t>2026-06-23 18:03:31</t>
        </is>
      </c>
      <c r="B1756" s="194" t="inlineStr">
        <is>
          <t>RUB</t>
        </is>
      </c>
      <c r="C1756" s="194" t="inlineStr">
        <is>
          <t>RUSSIAN RUBLE</t>
        </is>
      </c>
      <c r="D1756" s="195" t="n"/>
      <c r="E1756" s="195" t="n">
        <v>337.43</v>
      </c>
      <c r="F1756" s="195" t="n">
        <v>373.51</v>
      </c>
      <c r="G1756" s="195" t="n">
        <v>355.47</v>
      </c>
    </row>
    <row r="1757">
      <c r="A1757" s="196" t="inlineStr">
        <is>
          <t>2026-06-23 18:03:31</t>
        </is>
      </c>
      <c r="B1757" s="196" t="inlineStr">
        <is>
          <t>SAR</t>
        </is>
      </c>
      <c r="C1757" s="196" t="inlineStr">
        <is>
          <t>SAUDI RIAL</t>
        </is>
      </c>
      <c r="D1757" s="184" t="n"/>
      <c r="E1757" s="184" t="n">
        <v>6971.96</v>
      </c>
      <c r="F1757" s="184" t="n">
        <v>7271.99</v>
      </c>
      <c r="G1757" s="184" t="n">
        <v>7121.98</v>
      </c>
    </row>
    <row r="1758">
      <c r="A1758" s="194" t="inlineStr">
        <is>
          <t>2026-06-23 18:03:31</t>
        </is>
      </c>
      <c r="B1758" s="194" t="inlineStr">
        <is>
          <t>SEK</t>
        </is>
      </c>
      <c r="C1758" s="194" t="inlineStr">
        <is>
          <t>SWEDISH KRONA</t>
        </is>
      </c>
      <c r="D1758" s="195" t="n"/>
      <c r="E1758" s="195" t="n">
        <v>2680.12</v>
      </c>
      <c r="F1758" s="195" t="n">
        <v>2793.76</v>
      </c>
      <c r="G1758" s="195" t="n">
        <v>2736.94</v>
      </c>
    </row>
    <row r="1759">
      <c r="A1759" s="196" t="inlineStr">
        <is>
          <t>2026-06-23 18:03:31</t>
        </is>
      </c>
      <c r="B1759" s="196" t="inlineStr">
        <is>
          <t>SGD</t>
        </is>
      </c>
      <c r="C1759" s="196" t="inlineStr">
        <is>
          <t>SINGAPORE DOLLAR</t>
        </is>
      </c>
      <c r="D1759" s="184" t="n">
        <v>19817.41</v>
      </c>
      <c r="E1759" s="184" t="n">
        <v>20017.59</v>
      </c>
      <c r="F1759" s="184" t="n">
        <v>20700</v>
      </c>
      <c r="G1759" s="184" t="n">
        <v>20358.79</v>
      </c>
    </row>
    <row r="1760">
      <c r="A1760" s="194" t="inlineStr">
        <is>
          <t>2026-06-23 18:03:31</t>
        </is>
      </c>
      <c r="B1760" s="194" t="inlineStr">
        <is>
          <t>THB</t>
        </is>
      </c>
      <c r="C1760" s="194" t="inlineStr">
        <is>
          <t>THAILAND BAHT</t>
        </is>
      </c>
      <c r="D1760" s="195" t="n">
        <v>704.2</v>
      </c>
      <c r="E1760" s="195" t="n">
        <v>782.4400000000001</v>
      </c>
      <c r="F1760" s="195" t="n">
        <v>815.61</v>
      </c>
      <c r="G1760" s="195" t="n">
        <v>799.03</v>
      </c>
    </row>
    <row r="1761">
      <c r="A1761" s="196" t="inlineStr">
        <is>
          <t>2026-06-23 18:03:31</t>
        </is>
      </c>
      <c r="B1761" s="196" t="inlineStr">
        <is>
          <t>USD</t>
        </is>
      </c>
      <c r="C1761" s="196" t="inlineStr">
        <is>
          <t>US DOLLAR</t>
        </is>
      </c>
      <c r="D1761" s="184" t="n">
        <v>26098</v>
      </c>
      <c r="E1761" s="184" t="n">
        <v>26128</v>
      </c>
      <c r="F1761" s="184" t="n">
        <v>26448</v>
      </c>
      <c r="G1761" s="184" t="n">
        <v>26288</v>
      </c>
    </row>
    <row r="1762">
      <c r="A1762" s="194" t="inlineStr">
        <is>
          <t>2026-06-22 18:00:05</t>
        </is>
      </c>
      <c r="B1762" s="194" t="inlineStr">
        <is>
          <t>AUD</t>
        </is>
      </c>
      <c r="C1762" s="194" t="inlineStr">
        <is>
          <t>AUSTRALIAN DOLLAR</t>
        </is>
      </c>
      <c r="D1762" s="195" t="n">
        <v>17975.59</v>
      </c>
      <c r="E1762" s="195" t="n">
        <v>18157.16</v>
      </c>
      <c r="F1762" s="195" t="n">
        <v>18738.63</v>
      </c>
      <c r="G1762" s="195" t="n">
        <v>18447.9</v>
      </c>
    </row>
    <row r="1763">
      <c r="A1763" s="196" t="inlineStr">
        <is>
          <t>2026-06-22 18:00:05</t>
        </is>
      </c>
      <c r="B1763" s="196" t="inlineStr">
        <is>
          <t>CAD</t>
        </is>
      </c>
      <c r="C1763" s="196" t="inlineStr">
        <is>
          <t>CANADIAN DOLLAR</t>
        </is>
      </c>
      <c r="D1763" s="184" t="n">
        <v>18100.63</v>
      </c>
      <c r="E1763" s="184" t="n">
        <v>18283.47</v>
      </c>
      <c r="F1763" s="184" t="n">
        <v>18868.98</v>
      </c>
      <c r="G1763" s="184" t="n">
        <v>18576.22</v>
      </c>
    </row>
    <row r="1764">
      <c r="A1764" s="194" t="inlineStr">
        <is>
          <t>2026-06-22 18:00:05</t>
        </is>
      </c>
      <c r="B1764" s="194" t="inlineStr">
        <is>
          <t>CHF</t>
        </is>
      </c>
      <c r="C1764" s="194" t="inlineStr">
        <is>
          <t>SWISS FRANC</t>
        </is>
      </c>
      <c r="D1764" s="195" t="n">
        <v>31739.94</v>
      </c>
      <c r="E1764" s="195" t="n">
        <v>32060.54</v>
      </c>
      <c r="F1764" s="195" t="n">
        <v>33087.25</v>
      </c>
      <c r="G1764" s="195" t="n">
        <v>32573.9</v>
      </c>
    </row>
    <row r="1765">
      <c r="A1765" s="196" t="inlineStr">
        <is>
          <t>2026-06-22 18:00:05</t>
        </is>
      </c>
      <c r="B1765" s="196" t="inlineStr">
        <is>
          <t>CNY</t>
        </is>
      </c>
      <c r="C1765" s="196" t="inlineStr">
        <is>
          <t>YUAN RENMINBI</t>
        </is>
      </c>
      <c r="D1765" s="184" t="n">
        <v>3789.89</v>
      </c>
      <c r="E1765" s="184" t="n">
        <v>3828.17</v>
      </c>
      <c r="F1765" s="184" t="n">
        <v>3950.76</v>
      </c>
      <c r="G1765" s="184" t="n">
        <v>3889.46</v>
      </c>
    </row>
    <row r="1766">
      <c r="A1766" s="194" t="inlineStr">
        <is>
          <t>2026-06-22 18:00:05</t>
        </is>
      </c>
      <c r="B1766" s="194" t="inlineStr">
        <is>
          <t>DKK</t>
        </is>
      </c>
      <c r="C1766" s="194" t="inlineStr">
        <is>
          <t>DANISH KRONE</t>
        </is>
      </c>
      <c r="D1766" s="195" t="n"/>
      <c r="E1766" s="195" t="n">
        <v>3962.11</v>
      </c>
      <c r="F1766" s="195" t="n">
        <v>4113.61</v>
      </c>
      <c r="G1766" s="195" t="n">
        <v>4037.86</v>
      </c>
    </row>
    <row r="1767">
      <c r="A1767" s="196" t="inlineStr">
        <is>
          <t>2026-06-22 18:00:05</t>
        </is>
      </c>
      <c r="B1767" s="196" t="inlineStr">
        <is>
          <t>EUR</t>
        </is>
      </c>
      <c r="C1767" s="196" t="inlineStr">
        <is>
          <t>EURO</t>
        </is>
      </c>
      <c r="D1767" s="184" t="n">
        <v>29393.39</v>
      </c>
      <c r="E1767" s="184" t="n">
        <v>29690.29</v>
      </c>
      <c r="F1767" s="184" t="n">
        <v>30942.98</v>
      </c>
      <c r="G1767" s="184" t="n">
        <v>30316.64</v>
      </c>
    </row>
    <row r="1768">
      <c r="A1768" s="194" t="inlineStr">
        <is>
          <t>2026-06-22 18:00:05</t>
        </is>
      </c>
      <c r="B1768" s="194" t="inlineStr">
        <is>
          <t>GBP</t>
        </is>
      </c>
      <c r="C1768" s="194" t="inlineStr">
        <is>
          <t>POUND STERLING</t>
        </is>
      </c>
      <c r="D1768" s="195" t="n">
        <v>33891.78</v>
      </c>
      <c r="E1768" s="195" t="n">
        <v>34234.12</v>
      </c>
      <c r="F1768" s="195" t="n">
        <v>35330.43</v>
      </c>
      <c r="G1768" s="195" t="n">
        <v>34782.28</v>
      </c>
    </row>
    <row r="1769">
      <c r="A1769" s="196" t="inlineStr">
        <is>
          <t>2026-06-22 18:00:05</t>
        </is>
      </c>
      <c r="B1769" s="196" t="inlineStr">
        <is>
          <t>HKD</t>
        </is>
      </c>
      <c r="C1769" s="196" t="inlineStr">
        <is>
          <t>HONGKONG DOLLAR</t>
        </is>
      </c>
      <c r="D1769" s="184" t="n">
        <v>3263.45</v>
      </c>
      <c r="E1769" s="184" t="n">
        <v>3296.41</v>
      </c>
      <c r="F1769" s="184" t="n">
        <v>3422.46</v>
      </c>
      <c r="G1769" s="184" t="n">
        <v>3359.44</v>
      </c>
    </row>
    <row r="1770">
      <c r="A1770" s="194" t="inlineStr">
        <is>
          <t>2026-06-22 18:00:05</t>
        </is>
      </c>
      <c r="B1770" s="194" t="inlineStr">
        <is>
          <t>INR</t>
        </is>
      </c>
      <c r="C1770" s="194" t="inlineStr">
        <is>
          <t>INDIAN RUPEE</t>
        </is>
      </c>
      <c r="D1770" s="195" t="n"/>
      <c r="E1770" s="195" t="n">
        <v>277.45</v>
      </c>
      <c r="F1770" s="195" t="n">
        <v>289.39</v>
      </c>
      <c r="G1770" s="195" t="n">
        <v>283.42</v>
      </c>
    </row>
    <row r="1771">
      <c r="A1771" s="196" t="inlineStr">
        <is>
          <t>2026-06-22 18:00:05</t>
        </is>
      </c>
      <c r="B1771" s="196" t="inlineStr">
        <is>
          <t>JPY</t>
        </is>
      </c>
      <c r="C1771" s="196" t="inlineStr">
        <is>
          <t>YEN</t>
        </is>
      </c>
      <c r="D1771" s="184" t="n">
        <v>157.26</v>
      </c>
      <c r="E1771" s="184" t="n">
        <v>158.85</v>
      </c>
      <c r="F1771" s="184" t="n">
        <v>167.25</v>
      </c>
      <c r="G1771" s="184" t="n">
        <v>163.05</v>
      </c>
    </row>
    <row r="1772">
      <c r="A1772" s="194" t="inlineStr">
        <is>
          <t>2026-06-22 18:00:05</t>
        </is>
      </c>
      <c r="B1772" s="194" t="inlineStr">
        <is>
          <t>KRW</t>
        </is>
      </c>
      <c r="C1772" s="194" t="inlineStr">
        <is>
          <t>KOREAN WON</t>
        </is>
      </c>
      <c r="D1772" s="195" t="n">
        <v>14.86</v>
      </c>
      <c r="E1772" s="195" t="n">
        <v>16.51</v>
      </c>
      <c r="F1772" s="195" t="n">
        <v>17.91</v>
      </c>
      <c r="G1772" s="195" t="n">
        <v>17.21</v>
      </c>
    </row>
    <row r="1773">
      <c r="A1773" s="196" t="inlineStr">
        <is>
          <t>2026-06-22 18:00:05</t>
        </is>
      </c>
      <c r="B1773" s="196" t="inlineStr">
        <is>
          <t>KWD</t>
        </is>
      </c>
      <c r="C1773" s="196" t="inlineStr">
        <is>
          <t>KUWAITI DINAR</t>
        </is>
      </c>
      <c r="D1773" s="184" t="n"/>
      <c r="E1773" s="184" t="n">
        <v>85102.94</v>
      </c>
      <c r="F1773" s="184" t="n">
        <v>89227.64</v>
      </c>
      <c r="G1773" s="184" t="n">
        <v>87165.28999999999</v>
      </c>
    </row>
    <row r="1774">
      <c r="A1774" s="194" t="inlineStr">
        <is>
          <t>2026-06-22 18:00:05</t>
        </is>
      </c>
      <c r="B1774" s="194" t="inlineStr">
        <is>
          <t>MYR</t>
        </is>
      </c>
      <c r="C1774" s="194" t="inlineStr">
        <is>
          <t>MALAYSIAN RINGGIT</t>
        </is>
      </c>
      <c r="D1774" s="195" t="n"/>
      <c r="E1774" s="195" t="n">
        <v>6294.32</v>
      </c>
      <c r="F1774" s="195" t="n">
        <v>6431.25</v>
      </c>
      <c r="G1774" s="195" t="n">
        <v>6362.78</v>
      </c>
    </row>
    <row r="1775">
      <c r="A1775" s="196" t="inlineStr">
        <is>
          <t>2026-06-22 18:00:05</t>
        </is>
      </c>
      <c r="B1775" s="196" t="inlineStr">
        <is>
          <t>NOK</t>
        </is>
      </c>
      <c r="C1775" s="196" t="inlineStr">
        <is>
          <t>NORWEGIAN KRONER</t>
        </is>
      </c>
      <c r="D1775" s="184" t="n"/>
      <c r="E1775" s="184" t="n">
        <v>2661.33</v>
      </c>
      <c r="F1775" s="184" t="n">
        <v>2774.17</v>
      </c>
      <c r="G1775" s="184" t="n">
        <v>2717.75</v>
      </c>
    </row>
    <row r="1776">
      <c r="A1776" s="194" t="inlineStr">
        <is>
          <t>2026-06-22 18:00:05</t>
        </is>
      </c>
      <c r="B1776" s="194" t="inlineStr">
        <is>
          <t>RUB</t>
        </is>
      </c>
      <c r="C1776" s="194" t="inlineStr">
        <is>
          <t>RUSSIAN RUBLE</t>
        </is>
      </c>
      <c r="D1776" s="195" t="n"/>
      <c r="E1776" s="195" t="n">
        <v>343.14</v>
      </c>
      <c r="F1776" s="195" t="n">
        <v>379.84</v>
      </c>
      <c r="G1776" s="195" t="n">
        <v>361.49</v>
      </c>
    </row>
    <row r="1777">
      <c r="A1777" s="196" t="inlineStr">
        <is>
          <t>2026-06-22 18:00:05</t>
        </is>
      </c>
      <c r="B1777" s="196" t="inlineStr">
        <is>
          <t>SAR</t>
        </is>
      </c>
      <c r="C1777" s="196" t="inlineStr">
        <is>
          <t>SAUDI RIAL</t>
        </is>
      </c>
      <c r="D1777" s="184" t="n"/>
      <c r="E1777" s="184" t="n">
        <v>6972.49</v>
      </c>
      <c r="F1777" s="184" t="n">
        <v>7272.55</v>
      </c>
      <c r="G1777" s="184" t="n">
        <v>7122.52</v>
      </c>
    </row>
    <row r="1778">
      <c r="A1778" s="194" t="inlineStr">
        <is>
          <t>2026-06-22 18:00:05</t>
        </is>
      </c>
      <c r="B1778" s="194" t="inlineStr">
        <is>
          <t>SEK</t>
        </is>
      </c>
      <c r="C1778" s="194" t="inlineStr">
        <is>
          <t>SWEDISH KRONA</t>
        </is>
      </c>
      <c r="D1778" s="195" t="n"/>
      <c r="E1778" s="195" t="n">
        <v>2689.12</v>
      </c>
      <c r="F1778" s="195" t="n">
        <v>2803.13</v>
      </c>
      <c r="G1778" s="195" t="n">
        <v>2746.12</v>
      </c>
    </row>
    <row r="1779">
      <c r="A1779" s="196" t="inlineStr">
        <is>
          <t>2026-06-22 18:00:05</t>
        </is>
      </c>
      <c r="B1779" s="196" t="inlineStr">
        <is>
          <t>SGD</t>
        </is>
      </c>
      <c r="C1779" s="196" t="inlineStr">
        <is>
          <t>SINGAPORE DOLLAR</t>
        </is>
      </c>
      <c r="D1779" s="184" t="n">
        <v>19836.65</v>
      </c>
      <c r="E1779" s="184" t="n">
        <v>20037.02</v>
      </c>
      <c r="F1779" s="184" t="n">
        <v>20720.1</v>
      </c>
      <c r="G1779" s="184" t="n">
        <v>20378.56</v>
      </c>
    </row>
    <row r="1780">
      <c r="A1780" s="194" t="inlineStr">
        <is>
          <t>2026-06-22 18:00:05</t>
        </is>
      </c>
      <c r="B1780" s="194" t="inlineStr">
        <is>
          <t>THB</t>
        </is>
      </c>
      <c r="C1780" s="194" t="inlineStr">
        <is>
          <t>THAILAND BAHT</t>
        </is>
      </c>
      <c r="D1780" s="195" t="n">
        <v>705.13</v>
      </c>
      <c r="E1780" s="195" t="n">
        <v>783.48</v>
      </c>
      <c r="F1780" s="195" t="n">
        <v>816.7</v>
      </c>
      <c r="G1780" s="195" t="n">
        <v>800.09</v>
      </c>
    </row>
    <row r="1781">
      <c r="A1781" s="196" t="inlineStr">
        <is>
          <t>2026-06-22 18:00:05</t>
        </is>
      </c>
      <c r="B1781" s="196" t="inlineStr">
        <is>
          <t>USD</t>
        </is>
      </c>
      <c r="C1781" s="196" t="inlineStr">
        <is>
          <t>US DOLLAR</t>
        </is>
      </c>
      <c r="D1781" s="184" t="n">
        <v>26092</v>
      </c>
      <c r="E1781" s="184" t="n">
        <v>26122</v>
      </c>
      <c r="F1781" s="184" t="n">
        <v>26442</v>
      </c>
      <c r="G1781" s="184" t="n">
        <v>26282</v>
      </c>
    </row>
    <row r="1782">
      <c r="A1782" s="194" t="inlineStr">
        <is>
          <t>2026-06-21 18:00:32</t>
        </is>
      </c>
      <c r="B1782" s="194" t="inlineStr">
        <is>
          <t>AUD</t>
        </is>
      </c>
      <c r="C1782" s="194" t="inlineStr">
        <is>
          <t>AUSTRALIAN DOLLAR</t>
        </is>
      </c>
      <c r="D1782" s="195" t="n">
        <v>17990.12</v>
      </c>
      <c r="E1782" s="195" t="n">
        <v>18171.84</v>
      </c>
      <c r="F1782" s="195" t="n">
        <v>18753.77</v>
      </c>
      <c r="G1782" s="195" t="n">
        <v>18462.8</v>
      </c>
    </row>
    <row r="1783">
      <c r="A1783" s="196" t="inlineStr">
        <is>
          <t>2026-06-21 18:00:32</t>
        </is>
      </c>
      <c r="B1783" s="196" t="inlineStr">
        <is>
          <t>CAD</t>
        </is>
      </c>
      <c r="C1783" s="196" t="inlineStr">
        <is>
          <t>CANADIAN DOLLAR</t>
        </is>
      </c>
      <c r="D1783" s="184" t="n">
        <v>18153.63</v>
      </c>
      <c r="E1783" s="184" t="n">
        <v>18337</v>
      </c>
      <c r="F1783" s="184" t="n">
        <v>18924.21</v>
      </c>
      <c r="G1783" s="184" t="n">
        <v>18630.6</v>
      </c>
    </row>
    <row r="1784">
      <c r="A1784" s="194" t="inlineStr">
        <is>
          <t>2026-06-21 18:00:32</t>
        </is>
      </c>
      <c r="B1784" s="194" t="inlineStr">
        <is>
          <t>CHF</t>
        </is>
      </c>
      <c r="C1784" s="194" t="inlineStr">
        <is>
          <t>SWISS FRANC</t>
        </is>
      </c>
      <c r="D1784" s="195" t="n">
        <v>31898.04</v>
      </c>
      <c r="E1784" s="195" t="n">
        <v>32220.24</v>
      </c>
      <c r="F1784" s="195" t="n">
        <v>33252.04</v>
      </c>
      <c r="G1784" s="195" t="n">
        <v>32736.14</v>
      </c>
    </row>
    <row r="1785">
      <c r="A1785" s="196" t="inlineStr">
        <is>
          <t>2026-06-21 18:00:32</t>
        </is>
      </c>
      <c r="B1785" s="196" t="inlineStr">
        <is>
          <t>CNY</t>
        </is>
      </c>
      <c r="C1785" s="196" t="inlineStr">
        <is>
          <t>YUAN RENMINBI</t>
        </is>
      </c>
      <c r="D1785" s="184" t="n">
        <v>3791.33</v>
      </c>
      <c r="E1785" s="184" t="n">
        <v>3829.62</v>
      </c>
      <c r="F1785" s="184" t="n">
        <v>3952.26</v>
      </c>
      <c r="G1785" s="184" t="n">
        <v>3890.94</v>
      </c>
    </row>
    <row r="1786">
      <c r="A1786" s="194" t="inlineStr">
        <is>
          <t>2026-06-21 18:00:32</t>
        </is>
      </c>
      <c r="B1786" s="194" t="inlineStr">
        <is>
          <t>DKK</t>
        </is>
      </c>
      <c r="C1786" s="194" t="inlineStr">
        <is>
          <t>DANISH KRONE</t>
        </is>
      </c>
      <c r="D1786" s="195" t="n"/>
      <c r="E1786" s="195" t="n">
        <v>3963.86</v>
      </c>
      <c r="F1786" s="195" t="n">
        <v>4115.43</v>
      </c>
      <c r="G1786" s="195" t="n">
        <v>4039.65</v>
      </c>
    </row>
    <row r="1787">
      <c r="A1787" s="196" t="inlineStr">
        <is>
          <t>2026-06-21 18:00:32</t>
        </is>
      </c>
      <c r="B1787" s="196" t="inlineStr">
        <is>
          <t>EUR</t>
        </is>
      </c>
      <c r="C1787" s="196" t="inlineStr">
        <is>
          <t>EURO</t>
        </is>
      </c>
      <c r="D1787" s="184" t="n">
        <v>29404.57</v>
      </c>
      <c r="E1787" s="184" t="n">
        <v>29701.58</v>
      </c>
      <c r="F1787" s="184" t="n">
        <v>30954.73</v>
      </c>
      <c r="G1787" s="184" t="n">
        <v>30328.16</v>
      </c>
    </row>
    <row r="1788">
      <c r="A1788" s="194" t="inlineStr">
        <is>
          <t>2026-06-21 18:00:32</t>
        </is>
      </c>
      <c r="B1788" s="194" t="inlineStr">
        <is>
          <t>GBP</t>
        </is>
      </c>
      <c r="C1788" s="194" t="inlineStr">
        <is>
          <t>POUND STERLING</t>
        </is>
      </c>
      <c r="D1788" s="195" t="n">
        <v>33889.27</v>
      </c>
      <c r="E1788" s="195" t="n">
        <v>34231.59</v>
      </c>
      <c r="F1788" s="195" t="n">
        <v>35327.8</v>
      </c>
      <c r="G1788" s="195" t="n">
        <v>34779.7</v>
      </c>
    </row>
    <row r="1789">
      <c r="A1789" s="196" t="inlineStr">
        <is>
          <t>2026-06-21 18:00:32</t>
        </is>
      </c>
      <c r="B1789" s="196" t="inlineStr">
        <is>
          <t>HKD</t>
        </is>
      </c>
      <c r="C1789" s="196" t="inlineStr">
        <is>
          <t>HONGKONG DOLLAR</t>
        </is>
      </c>
      <c r="D1789" s="184" t="n">
        <v>3264.73</v>
      </c>
      <c r="E1789" s="184" t="n">
        <v>3297.71</v>
      </c>
      <c r="F1789" s="184" t="n">
        <v>3423.8</v>
      </c>
      <c r="G1789" s="184" t="n">
        <v>3360.76</v>
      </c>
    </row>
    <row r="1790">
      <c r="A1790" s="194" t="inlineStr">
        <is>
          <t>2026-06-21 18:00:32</t>
        </is>
      </c>
      <c r="B1790" s="194" t="inlineStr">
        <is>
          <t>INR</t>
        </is>
      </c>
      <c r="C1790" s="194" t="inlineStr">
        <is>
          <t>INDIAN RUPEE</t>
        </is>
      </c>
      <c r="D1790" s="195" t="n"/>
      <c r="E1790" s="195" t="n">
        <v>277.53</v>
      </c>
      <c r="F1790" s="195" t="n">
        <v>289.47</v>
      </c>
      <c r="G1790" s="195" t="n">
        <v>283.5</v>
      </c>
    </row>
    <row r="1791">
      <c r="A1791" s="196" t="inlineStr">
        <is>
          <t>2026-06-21 18:00:32</t>
        </is>
      </c>
      <c r="B1791" s="196" t="inlineStr">
        <is>
          <t>JPY</t>
        </is>
      </c>
      <c r="C1791" s="196" t="inlineStr">
        <is>
          <t>YEN</t>
        </is>
      </c>
      <c r="D1791" s="184" t="n">
        <v>157.77</v>
      </c>
      <c r="E1791" s="184" t="n">
        <v>159.36</v>
      </c>
      <c r="F1791" s="184" t="n">
        <v>167.79</v>
      </c>
      <c r="G1791" s="184" t="n">
        <v>163.57</v>
      </c>
    </row>
    <row r="1792">
      <c r="A1792" s="194" t="inlineStr">
        <is>
          <t>2026-06-21 18:00:32</t>
        </is>
      </c>
      <c r="B1792" s="194" t="inlineStr">
        <is>
          <t>KRW</t>
        </is>
      </c>
      <c r="C1792" s="194" t="inlineStr">
        <is>
          <t>KOREAN WON</t>
        </is>
      </c>
      <c r="D1792" s="195" t="n">
        <v>14.8</v>
      </c>
      <c r="E1792" s="195" t="n">
        <v>16.44</v>
      </c>
      <c r="F1792" s="195" t="n">
        <v>17.84</v>
      </c>
      <c r="G1792" s="195" t="n">
        <v>17.14</v>
      </c>
    </row>
    <row r="1793">
      <c r="A1793" s="196" t="inlineStr">
        <is>
          <t>2026-06-21 18:00:32</t>
        </is>
      </c>
      <c r="B1793" s="196" t="inlineStr">
        <is>
          <t>KWD</t>
        </is>
      </c>
      <c r="C1793" s="196" t="inlineStr">
        <is>
          <t>KUWAITI DINAR</t>
        </is>
      </c>
      <c r="D1793" s="184" t="n"/>
      <c r="E1793" s="184" t="n">
        <v>85218.44</v>
      </c>
      <c r="F1793" s="184" t="n">
        <v>89348.69</v>
      </c>
      <c r="G1793" s="184" t="n">
        <v>87283.56</v>
      </c>
    </row>
    <row r="1794">
      <c r="A1794" s="194" t="inlineStr">
        <is>
          <t>2026-06-21 18:00:32</t>
        </is>
      </c>
      <c r="B1794" s="194" t="inlineStr">
        <is>
          <t>MYR</t>
        </is>
      </c>
      <c r="C1794" s="194" t="inlineStr">
        <is>
          <t>MALAYSIAN RINGGIT</t>
        </is>
      </c>
      <c r="D1794" s="195" t="n"/>
      <c r="E1794" s="195" t="n">
        <v>6333.46</v>
      </c>
      <c r="F1794" s="195" t="n">
        <v>6471.23</v>
      </c>
      <c r="G1794" s="195" t="n">
        <v>6402.34</v>
      </c>
    </row>
    <row r="1795">
      <c r="A1795" s="196" t="inlineStr">
        <is>
          <t>2026-06-21 18:00:32</t>
        </is>
      </c>
      <c r="B1795" s="196" t="inlineStr">
        <is>
          <t>NOK</t>
        </is>
      </c>
      <c r="C1795" s="196" t="inlineStr">
        <is>
          <t>NORWEGIAN KRONER</t>
        </is>
      </c>
      <c r="D1795" s="184" t="n"/>
      <c r="E1795" s="184" t="n">
        <v>2649.14</v>
      </c>
      <c r="F1795" s="184" t="n">
        <v>2761.46</v>
      </c>
      <c r="G1795" s="184" t="n">
        <v>2705.3</v>
      </c>
    </row>
    <row r="1796">
      <c r="A1796" s="194" t="inlineStr">
        <is>
          <t>2026-06-21 18:00:32</t>
        </is>
      </c>
      <c r="B1796" s="194" t="inlineStr">
        <is>
          <t>RUB</t>
        </is>
      </c>
      <c r="C1796" s="194" t="inlineStr">
        <is>
          <t>RUSSIAN RUBLE</t>
        </is>
      </c>
      <c r="D1796" s="195" t="n"/>
      <c r="E1796" s="195" t="n">
        <v>341.75</v>
      </c>
      <c r="F1796" s="195" t="n">
        <v>378.3</v>
      </c>
      <c r="G1796" s="195" t="n">
        <v>360.02</v>
      </c>
    </row>
    <row r="1797">
      <c r="A1797" s="196" t="inlineStr">
        <is>
          <t>2026-06-21 18:00:32</t>
        </is>
      </c>
      <c r="B1797" s="196" t="inlineStr">
        <is>
          <t>SAR</t>
        </is>
      </c>
      <c r="C1797" s="196" t="inlineStr">
        <is>
          <t>SAUDI RIAL</t>
        </is>
      </c>
      <c r="D1797" s="184" t="n"/>
      <c r="E1797" s="184" t="n">
        <v>6975.14</v>
      </c>
      <c r="F1797" s="184" t="n">
        <v>7275.31</v>
      </c>
      <c r="G1797" s="184" t="n">
        <v>7125.22</v>
      </c>
    </row>
    <row r="1798">
      <c r="A1798" s="194" t="inlineStr">
        <is>
          <t>2026-06-21 18:00:32</t>
        </is>
      </c>
      <c r="B1798" s="194" t="inlineStr">
        <is>
          <t>SEK</t>
        </is>
      </c>
      <c r="C1798" s="194" t="inlineStr">
        <is>
          <t>SWEDISH KRONA</t>
        </is>
      </c>
      <c r="D1798" s="195" t="n"/>
      <c r="E1798" s="195" t="n">
        <v>2692.05</v>
      </c>
      <c r="F1798" s="195" t="n">
        <v>2806.19</v>
      </c>
      <c r="G1798" s="195" t="n">
        <v>2749.12</v>
      </c>
    </row>
    <row r="1799">
      <c r="A1799" s="196" t="inlineStr">
        <is>
          <t>2026-06-21 18:00:32</t>
        </is>
      </c>
      <c r="B1799" s="196" t="inlineStr">
        <is>
          <t>SGD</t>
        </is>
      </c>
      <c r="C1799" s="196" t="inlineStr">
        <is>
          <t>SINGAPORE DOLLAR</t>
        </is>
      </c>
      <c r="D1799" s="184" t="n">
        <v>19879.58</v>
      </c>
      <c r="E1799" s="184" t="n">
        <v>20080.39</v>
      </c>
      <c r="F1799" s="184" t="n">
        <v>20764.93</v>
      </c>
      <c r="G1799" s="184" t="n">
        <v>20422.66</v>
      </c>
    </row>
    <row r="1800">
      <c r="A1800" s="194" t="inlineStr">
        <is>
          <t>2026-06-21 18:00:32</t>
        </is>
      </c>
      <c r="B1800" s="194" t="inlineStr">
        <is>
          <t>THB</t>
        </is>
      </c>
      <c r="C1800" s="194" t="inlineStr">
        <is>
          <t>THAILAND BAHT</t>
        </is>
      </c>
      <c r="D1800" s="195" t="n">
        <v>708.41</v>
      </c>
      <c r="E1800" s="195" t="n">
        <v>787.13</v>
      </c>
      <c r="F1800" s="195" t="n">
        <v>820.5</v>
      </c>
      <c r="G1800" s="195" t="n">
        <v>803.8200000000001</v>
      </c>
    </row>
    <row r="1801">
      <c r="A1801" s="196" t="inlineStr">
        <is>
          <t>2026-06-21 18:00:32</t>
        </is>
      </c>
      <c r="B1801" s="196" t="inlineStr">
        <is>
          <t>USD</t>
        </is>
      </c>
      <c r="C1801" s="196" t="inlineStr">
        <is>
          <t>US DOLLAR</t>
        </is>
      </c>
      <c r="D1801" s="184" t="n">
        <v>26090</v>
      </c>
      <c r="E1801" s="184" t="n">
        <v>26120</v>
      </c>
      <c r="F1801" s="184" t="n">
        <v>26440</v>
      </c>
      <c r="G1801" s="184" t="n">
        <v>26280</v>
      </c>
    </row>
    <row r="1802">
      <c r="A1802" s="194" t="inlineStr">
        <is>
          <t>2026-06-19 18:00:10</t>
        </is>
      </c>
      <c r="B1802" s="194" t="inlineStr">
        <is>
          <t>AUD</t>
        </is>
      </c>
      <c r="C1802" s="194" t="inlineStr">
        <is>
          <t>AUSTRALIAN DOLLAR</t>
        </is>
      </c>
      <c r="D1802" s="195" t="n">
        <v>17990.12</v>
      </c>
      <c r="E1802" s="195" t="n">
        <v>18171.84</v>
      </c>
      <c r="F1802" s="195" t="n">
        <v>18753.77</v>
      </c>
      <c r="G1802" s="195" t="n">
        <v>18462.8</v>
      </c>
    </row>
    <row r="1803">
      <c r="A1803" s="196" t="inlineStr">
        <is>
          <t>2026-06-19 18:00:10</t>
        </is>
      </c>
      <c r="B1803" s="196" t="inlineStr">
        <is>
          <t>CAD</t>
        </is>
      </c>
      <c r="C1803" s="196" t="inlineStr">
        <is>
          <t>CANADIAN DOLLAR</t>
        </is>
      </c>
      <c r="D1803" s="184" t="n">
        <v>18153.63</v>
      </c>
      <c r="E1803" s="184" t="n">
        <v>18337</v>
      </c>
      <c r="F1803" s="184" t="n">
        <v>18924.21</v>
      </c>
      <c r="G1803" s="184" t="n">
        <v>18630.6</v>
      </c>
    </row>
    <row r="1804">
      <c r="A1804" s="194" t="inlineStr">
        <is>
          <t>2026-06-19 18:00:10</t>
        </is>
      </c>
      <c r="B1804" s="194" t="inlineStr">
        <is>
          <t>CHF</t>
        </is>
      </c>
      <c r="C1804" s="194" t="inlineStr">
        <is>
          <t>SWISS FRANC</t>
        </is>
      </c>
      <c r="D1804" s="195" t="n">
        <v>31898.04</v>
      </c>
      <c r="E1804" s="195" t="n">
        <v>32220.24</v>
      </c>
      <c r="F1804" s="195" t="n">
        <v>33252.04</v>
      </c>
      <c r="G1804" s="195" t="n">
        <v>32736.14</v>
      </c>
    </row>
    <row r="1805">
      <c r="A1805" s="196" t="inlineStr">
        <is>
          <t>2026-06-19 18:00:10</t>
        </is>
      </c>
      <c r="B1805" s="196" t="inlineStr">
        <is>
          <t>CNY</t>
        </is>
      </c>
      <c r="C1805" s="196" t="inlineStr">
        <is>
          <t>YUAN RENMINBI</t>
        </is>
      </c>
      <c r="D1805" s="184" t="n">
        <v>3791.33</v>
      </c>
      <c r="E1805" s="184" t="n">
        <v>3829.62</v>
      </c>
      <c r="F1805" s="184" t="n">
        <v>3952.26</v>
      </c>
      <c r="G1805" s="184" t="n">
        <v>3890.94</v>
      </c>
    </row>
    <row r="1806">
      <c r="A1806" s="194" t="inlineStr">
        <is>
          <t>2026-06-19 18:00:10</t>
        </is>
      </c>
      <c r="B1806" s="194" t="inlineStr">
        <is>
          <t>DKK</t>
        </is>
      </c>
      <c r="C1806" s="194" t="inlineStr">
        <is>
          <t>DANISH KRONE</t>
        </is>
      </c>
      <c r="D1806" s="195" t="n"/>
      <c r="E1806" s="195" t="n">
        <v>3963.86</v>
      </c>
      <c r="F1806" s="195" t="n">
        <v>4115.43</v>
      </c>
      <c r="G1806" s="195" t="n">
        <v>4039.65</v>
      </c>
    </row>
    <row r="1807">
      <c r="A1807" s="196" t="inlineStr">
        <is>
          <t>2026-06-19 18:00:10</t>
        </is>
      </c>
      <c r="B1807" s="196" t="inlineStr">
        <is>
          <t>EUR</t>
        </is>
      </c>
      <c r="C1807" s="196" t="inlineStr">
        <is>
          <t>EURO</t>
        </is>
      </c>
      <c r="D1807" s="184" t="n">
        <v>29404.57</v>
      </c>
      <c r="E1807" s="184" t="n">
        <v>29701.58</v>
      </c>
      <c r="F1807" s="184" t="n">
        <v>30954.73</v>
      </c>
      <c r="G1807" s="184" t="n">
        <v>30328.16</v>
      </c>
    </row>
    <row r="1808">
      <c r="A1808" s="194" t="inlineStr">
        <is>
          <t>2026-06-19 18:00:10</t>
        </is>
      </c>
      <c r="B1808" s="194" t="inlineStr">
        <is>
          <t>GBP</t>
        </is>
      </c>
      <c r="C1808" s="194" t="inlineStr">
        <is>
          <t>POUND STERLING</t>
        </is>
      </c>
      <c r="D1808" s="195" t="n">
        <v>33889.27</v>
      </c>
      <c r="E1808" s="195" t="n">
        <v>34231.59</v>
      </c>
      <c r="F1808" s="195" t="n">
        <v>35327.8</v>
      </c>
      <c r="G1808" s="195" t="n">
        <v>34779.7</v>
      </c>
    </row>
    <row r="1809">
      <c r="A1809" s="196" t="inlineStr">
        <is>
          <t>2026-06-19 18:00:10</t>
        </is>
      </c>
      <c r="B1809" s="196" t="inlineStr">
        <is>
          <t>HKD</t>
        </is>
      </c>
      <c r="C1809" s="196" t="inlineStr">
        <is>
          <t>HONGKONG DOLLAR</t>
        </is>
      </c>
      <c r="D1809" s="184" t="n">
        <v>3264.73</v>
      </c>
      <c r="E1809" s="184" t="n">
        <v>3297.71</v>
      </c>
      <c r="F1809" s="184" t="n">
        <v>3423.8</v>
      </c>
      <c r="G1809" s="184" t="n">
        <v>3360.76</v>
      </c>
    </row>
    <row r="1810">
      <c r="A1810" s="194" t="inlineStr">
        <is>
          <t>2026-06-19 18:00:10</t>
        </is>
      </c>
      <c r="B1810" s="194" t="inlineStr">
        <is>
          <t>INR</t>
        </is>
      </c>
      <c r="C1810" s="194" t="inlineStr">
        <is>
          <t>INDIAN RUPEE</t>
        </is>
      </c>
      <c r="D1810" s="195" t="n"/>
      <c r="E1810" s="195" t="n">
        <v>277.53</v>
      </c>
      <c r="F1810" s="195" t="n">
        <v>289.47</v>
      </c>
      <c r="G1810" s="195" t="n">
        <v>283.5</v>
      </c>
    </row>
    <row r="1811">
      <c r="A1811" s="196" t="inlineStr">
        <is>
          <t>2026-06-19 18:00:10</t>
        </is>
      </c>
      <c r="B1811" s="196" t="inlineStr">
        <is>
          <t>JPY</t>
        </is>
      </c>
      <c r="C1811" s="196" t="inlineStr">
        <is>
          <t>YEN</t>
        </is>
      </c>
      <c r="D1811" s="184" t="n">
        <v>157.77</v>
      </c>
      <c r="E1811" s="184" t="n">
        <v>159.36</v>
      </c>
      <c r="F1811" s="184" t="n">
        <v>167.79</v>
      </c>
      <c r="G1811" s="184" t="n">
        <v>163.57</v>
      </c>
    </row>
    <row r="1812">
      <c r="A1812" s="194" t="inlineStr">
        <is>
          <t>2026-06-19 18:00:10</t>
        </is>
      </c>
      <c r="B1812" s="194" t="inlineStr">
        <is>
          <t>KRW</t>
        </is>
      </c>
      <c r="C1812" s="194" t="inlineStr">
        <is>
          <t>KOREAN WON</t>
        </is>
      </c>
      <c r="D1812" s="195" t="n">
        <v>14.8</v>
      </c>
      <c r="E1812" s="195" t="n">
        <v>16.44</v>
      </c>
      <c r="F1812" s="195" t="n">
        <v>17.84</v>
      </c>
      <c r="G1812" s="195" t="n">
        <v>17.14</v>
      </c>
    </row>
    <row r="1813">
      <c r="A1813" s="196" t="inlineStr">
        <is>
          <t>2026-06-19 18:00:10</t>
        </is>
      </c>
      <c r="B1813" s="196" t="inlineStr">
        <is>
          <t>KWD</t>
        </is>
      </c>
      <c r="C1813" s="196" t="inlineStr">
        <is>
          <t>KUWAITI DINAR</t>
        </is>
      </c>
      <c r="D1813" s="184" t="n"/>
      <c r="E1813" s="184" t="n">
        <v>85218.44</v>
      </c>
      <c r="F1813" s="184" t="n">
        <v>89348.69</v>
      </c>
      <c r="G1813" s="184" t="n">
        <v>87283.56</v>
      </c>
    </row>
    <row r="1814">
      <c r="A1814" s="194" t="inlineStr">
        <is>
          <t>2026-06-19 18:00:10</t>
        </is>
      </c>
      <c r="B1814" s="194" t="inlineStr">
        <is>
          <t>MYR</t>
        </is>
      </c>
      <c r="C1814" s="194" t="inlineStr">
        <is>
          <t>MALAYSIAN RINGGIT</t>
        </is>
      </c>
      <c r="D1814" s="195" t="n"/>
      <c r="E1814" s="195" t="n">
        <v>6333.46</v>
      </c>
      <c r="F1814" s="195" t="n">
        <v>6471.23</v>
      </c>
      <c r="G1814" s="195" t="n">
        <v>6402.34</v>
      </c>
    </row>
    <row r="1815">
      <c r="A1815" s="196" t="inlineStr">
        <is>
          <t>2026-06-19 18:00:10</t>
        </is>
      </c>
      <c r="B1815" s="196" t="inlineStr">
        <is>
          <t>NOK</t>
        </is>
      </c>
      <c r="C1815" s="196" t="inlineStr">
        <is>
          <t>NORWEGIAN KRONER</t>
        </is>
      </c>
      <c r="D1815" s="184" t="n"/>
      <c r="E1815" s="184" t="n">
        <v>2649.14</v>
      </c>
      <c r="F1815" s="184" t="n">
        <v>2761.46</v>
      </c>
      <c r="G1815" s="184" t="n">
        <v>2705.3</v>
      </c>
    </row>
    <row r="1816">
      <c r="A1816" s="194" t="inlineStr">
        <is>
          <t>2026-06-19 18:00:10</t>
        </is>
      </c>
      <c r="B1816" s="194" t="inlineStr">
        <is>
          <t>RUB</t>
        </is>
      </c>
      <c r="C1816" s="194" t="inlineStr">
        <is>
          <t>RUSSIAN RUBLE</t>
        </is>
      </c>
      <c r="D1816" s="195" t="n"/>
      <c r="E1816" s="195" t="n">
        <v>341.75</v>
      </c>
      <c r="F1816" s="195" t="n">
        <v>378.3</v>
      </c>
      <c r="G1816" s="195" t="n">
        <v>360.02</v>
      </c>
    </row>
    <row r="1817">
      <c r="A1817" s="196" t="inlineStr">
        <is>
          <t>2026-06-19 18:00:10</t>
        </is>
      </c>
      <c r="B1817" s="196" t="inlineStr">
        <is>
          <t>SAR</t>
        </is>
      </c>
      <c r="C1817" s="196" t="inlineStr">
        <is>
          <t>SAUDI RIAL</t>
        </is>
      </c>
      <c r="D1817" s="184" t="n"/>
      <c r="E1817" s="184" t="n">
        <v>6975.14</v>
      </c>
      <c r="F1817" s="184" t="n">
        <v>7275.31</v>
      </c>
      <c r="G1817" s="184" t="n">
        <v>7125.22</v>
      </c>
    </row>
    <row r="1818">
      <c r="A1818" s="194" t="inlineStr">
        <is>
          <t>2026-06-19 18:00:10</t>
        </is>
      </c>
      <c r="B1818" s="194" t="inlineStr">
        <is>
          <t>SEK</t>
        </is>
      </c>
      <c r="C1818" s="194" t="inlineStr">
        <is>
          <t>SWEDISH KRONA</t>
        </is>
      </c>
      <c r="D1818" s="195" t="n"/>
      <c r="E1818" s="195" t="n">
        <v>2692.05</v>
      </c>
      <c r="F1818" s="195" t="n">
        <v>2806.19</v>
      </c>
      <c r="G1818" s="195" t="n">
        <v>2749.12</v>
      </c>
    </row>
    <row r="1819">
      <c r="A1819" s="196" t="inlineStr">
        <is>
          <t>2026-06-19 18:00:10</t>
        </is>
      </c>
      <c r="B1819" s="196" t="inlineStr">
        <is>
          <t>SGD</t>
        </is>
      </c>
      <c r="C1819" s="196" t="inlineStr">
        <is>
          <t>SINGAPORE DOLLAR</t>
        </is>
      </c>
      <c r="D1819" s="184" t="n">
        <v>19879.58</v>
      </c>
      <c r="E1819" s="184" t="n">
        <v>20080.39</v>
      </c>
      <c r="F1819" s="184" t="n">
        <v>20764.93</v>
      </c>
      <c r="G1819" s="184" t="n">
        <v>20422.66</v>
      </c>
    </row>
    <row r="1820">
      <c r="A1820" s="194" t="inlineStr">
        <is>
          <t>2026-06-19 18:00:10</t>
        </is>
      </c>
      <c r="B1820" s="194" t="inlineStr">
        <is>
          <t>THB</t>
        </is>
      </c>
      <c r="C1820" s="194" t="inlineStr">
        <is>
          <t>THAILAND BAHT</t>
        </is>
      </c>
      <c r="D1820" s="195" t="n">
        <v>708.41</v>
      </c>
      <c r="E1820" s="195" t="n">
        <v>787.13</v>
      </c>
      <c r="F1820" s="195" t="n">
        <v>820.5</v>
      </c>
      <c r="G1820" s="195" t="n">
        <v>803.8200000000001</v>
      </c>
    </row>
    <row r="1821">
      <c r="A1821" s="196" t="inlineStr">
        <is>
          <t>2026-06-19 18:00:10</t>
        </is>
      </c>
      <c r="B1821" s="196" t="inlineStr">
        <is>
          <t>USD</t>
        </is>
      </c>
      <c r="C1821" s="196" t="inlineStr">
        <is>
          <t>US DOLLAR</t>
        </is>
      </c>
      <c r="D1821" s="184" t="n">
        <v>26090</v>
      </c>
      <c r="E1821" s="184" t="n">
        <v>26120</v>
      </c>
      <c r="F1821" s="184" t="n">
        <v>26440</v>
      </c>
      <c r="G1821" s="184" t="n">
        <v>26280</v>
      </c>
    </row>
    <row r="1822">
      <c r="A1822" s="194" t="inlineStr">
        <is>
          <t>2026-06-18 18:00:07</t>
        </is>
      </c>
      <c r="B1822" s="194" t="inlineStr">
        <is>
          <t>AUD</t>
        </is>
      </c>
      <c r="C1822" s="194" t="inlineStr">
        <is>
          <t>AUSTRALIAN DOLLAR</t>
        </is>
      </c>
      <c r="D1822" s="195" t="n">
        <v>18049.97</v>
      </c>
      <c r="E1822" s="195" t="n">
        <v>18232.29</v>
      </c>
      <c r="F1822" s="195" t="n">
        <v>18816.16</v>
      </c>
      <c r="G1822" s="195" t="n">
        <v>18524.22</v>
      </c>
    </row>
    <row r="1823">
      <c r="A1823" s="196" t="inlineStr">
        <is>
          <t>2026-06-18 18:00:07</t>
        </is>
      </c>
      <c r="B1823" s="196" t="inlineStr">
        <is>
          <t>CAD</t>
        </is>
      </c>
      <c r="C1823" s="196" t="inlineStr">
        <is>
          <t>CANADIAN DOLLAR</t>
        </is>
      </c>
      <c r="D1823" s="184" t="n">
        <v>18196.93</v>
      </c>
      <c r="E1823" s="184" t="n">
        <v>18380.74</v>
      </c>
      <c r="F1823" s="184" t="n">
        <v>18969.37</v>
      </c>
      <c r="G1823" s="184" t="n">
        <v>18675.06</v>
      </c>
    </row>
    <row r="1824">
      <c r="A1824" s="194" t="inlineStr">
        <is>
          <t>2026-06-18 18:00:07</t>
        </is>
      </c>
      <c r="B1824" s="194" t="inlineStr">
        <is>
          <t>CHF</t>
        </is>
      </c>
      <c r="C1824" s="194" t="inlineStr">
        <is>
          <t>SWISS FRANC</t>
        </is>
      </c>
      <c r="D1824" s="195" t="n">
        <v>32125.51</v>
      </c>
      <c r="E1824" s="195" t="n">
        <v>32450.01</v>
      </c>
      <c r="F1824" s="195" t="n">
        <v>33489.19</v>
      </c>
      <c r="G1824" s="195" t="n">
        <v>32969.6</v>
      </c>
    </row>
    <row r="1825">
      <c r="A1825" s="196" t="inlineStr">
        <is>
          <t>2026-06-18 18:00:07</t>
        </is>
      </c>
      <c r="B1825" s="196" t="inlineStr">
        <is>
          <t>CNY</t>
        </is>
      </c>
      <c r="C1825" s="196" t="inlineStr">
        <is>
          <t>YUAN RENMINBI</t>
        </is>
      </c>
      <c r="D1825" s="184" t="n">
        <v>3793.81</v>
      </c>
      <c r="E1825" s="184" t="n">
        <v>3832.13</v>
      </c>
      <c r="F1825" s="184" t="n">
        <v>3954.85</v>
      </c>
      <c r="G1825" s="184" t="n">
        <v>3893.49</v>
      </c>
    </row>
    <row r="1826">
      <c r="A1826" s="194" t="inlineStr">
        <is>
          <t>2026-06-18 18:00:07</t>
        </is>
      </c>
      <c r="B1826" s="194" t="inlineStr">
        <is>
          <t>DKK</t>
        </is>
      </c>
      <c r="C1826" s="194" t="inlineStr">
        <is>
          <t>DANISH KRONE</t>
        </is>
      </c>
      <c r="D1826" s="195" t="n"/>
      <c r="E1826" s="195" t="n">
        <v>3982.88</v>
      </c>
      <c r="F1826" s="195" t="n">
        <v>4135.17</v>
      </c>
      <c r="G1826" s="195" t="n">
        <v>4059.02</v>
      </c>
    </row>
    <row r="1827">
      <c r="A1827" s="196" t="inlineStr">
        <is>
          <t>2026-06-18 18:00:07</t>
        </is>
      </c>
      <c r="B1827" s="196" t="inlineStr">
        <is>
          <t>EUR</t>
        </is>
      </c>
      <c r="C1827" s="196" t="inlineStr">
        <is>
          <t>EURO</t>
        </is>
      </c>
      <c r="D1827" s="184" t="n">
        <v>29547.27</v>
      </c>
      <c r="E1827" s="184" t="n">
        <v>29845.73</v>
      </c>
      <c r="F1827" s="184" t="n">
        <v>31104.97</v>
      </c>
      <c r="G1827" s="184" t="n">
        <v>30475.35</v>
      </c>
    </row>
    <row r="1828">
      <c r="A1828" s="194" t="inlineStr">
        <is>
          <t>2026-06-18 18:00:07</t>
        </is>
      </c>
      <c r="B1828" s="194" t="inlineStr">
        <is>
          <t>GBP</t>
        </is>
      </c>
      <c r="C1828" s="194" t="inlineStr">
        <is>
          <t>POUND STERLING</t>
        </is>
      </c>
      <c r="D1828" s="195" t="n">
        <v>34145.68</v>
      </c>
      <c r="E1828" s="195" t="n">
        <v>34490.58</v>
      </c>
      <c r="F1828" s="195" t="n">
        <v>35595.11</v>
      </c>
      <c r="G1828" s="195" t="n">
        <v>35042.84</v>
      </c>
    </row>
    <row r="1829">
      <c r="A1829" s="196" t="inlineStr">
        <is>
          <t>2026-06-18 18:00:07</t>
        </is>
      </c>
      <c r="B1829" s="196" t="inlineStr">
        <is>
          <t>HKD</t>
        </is>
      </c>
      <c r="C1829" s="196" t="inlineStr">
        <is>
          <t>HONGKONG DOLLAR</t>
        </is>
      </c>
      <c r="D1829" s="184" t="n">
        <v>3263.74</v>
      </c>
      <c r="E1829" s="184" t="n">
        <v>3296.71</v>
      </c>
      <c r="F1829" s="184" t="n">
        <v>3422.76</v>
      </c>
      <c r="G1829" s="184" t="n">
        <v>3359.74</v>
      </c>
    </row>
    <row r="1830">
      <c r="A1830" s="194" t="inlineStr">
        <is>
          <t>2026-06-18 18:00:07</t>
        </is>
      </c>
      <c r="B1830" s="194" t="inlineStr">
        <is>
          <t>INR</t>
        </is>
      </c>
      <c r="C1830" s="194" t="inlineStr">
        <is>
          <t>INDIAN RUPEE</t>
        </is>
      </c>
      <c r="D1830" s="195" t="n"/>
      <c r="E1830" s="195" t="n">
        <v>276.41</v>
      </c>
      <c r="F1830" s="195" t="n">
        <v>288.31</v>
      </c>
      <c r="G1830" s="195" t="n">
        <v>282.36</v>
      </c>
    </row>
    <row r="1831">
      <c r="A1831" s="196" t="inlineStr">
        <is>
          <t>2026-06-18 18:00:07</t>
        </is>
      </c>
      <c r="B1831" s="196" t="inlineStr">
        <is>
          <t>JPY</t>
        </is>
      </c>
      <c r="C1831" s="196" t="inlineStr">
        <is>
          <t>YEN</t>
        </is>
      </c>
      <c r="D1831" s="184" t="n">
        <v>158.2</v>
      </c>
      <c r="E1831" s="184" t="n">
        <v>159.8</v>
      </c>
      <c r="F1831" s="184" t="n">
        <v>168.25</v>
      </c>
      <c r="G1831" s="184" t="n">
        <v>164.02</v>
      </c>
    </row>
    <row r="1832">
      <c r="A1832" s="194" t="inlineStr">
        <is>
          <t>2026-06-18 18:00:07</t>
        </is>
      </c>
      <c r="B1832" s="194" t="inlineStr">
        <is>
          <t>KRW</t>
        </is>
      </c>
      <c r="C1832" s="194" t="inlineStr">
        <is>
          <t>KOREAN WON</t>
        </is>
      </c>
      <c r="D1832" s="195" t="n">
        <v>15.18</v>
      </c>
      <c r="E1832" s="195" t="n">
        <v>16.87</v>
      </c>
      <c r="F1832" s="195" t="n">
        <v>18.3</v>
      </c>
      <c r="G1832" s="195" t="n">
        <v>17.58</v>
      </c>
    </row>
    <row r="1833">
      <c r="A1833" s="196" t="inlineStr">
        <is>
          <t>2026-06-18 18:00:07</t>
        </is>
      </c>
      <c r="B1833" s="196" t="inlineStr">
        <is>
          <t>KWD</t>
        </is>
      </c>
      <c r="C1833" s="196" t="inlineStr">
        <is>
          <t>KUWAITI DINAR</t>
        </is>
      </c>
      <c r="D1833" s="184" t="n"/>
      <c r="E1833" s="184" t="n">
        <v>85269.32000000001</v>
      </c>
      <c r="F1833" s="184" t="n">
        <v>89402.09</v>
      </c>
      <c r="G1833" s="184" t="n">
        <v>87335.7</v>
      </c>
    </row>
    <row r="1834">
      <c r="A1834" s="194" t="inlineStr">
        <is>
          <t>2026-06-18 18:00:07</t>
        </is>
      </c>
      <c r="B1834" s="194" t="inlineStr">
        <is>
          <t>MYR</t>
        </is>
      </c>
      <c r="C1834" s="194" t="inlineStr">
        <is>
          <t>MALAYSIAN RINGGIT</t>
        </is>
      </c>
      <c r="D1834" s="195" t="n"/>
      <c r="E1834" s="195" t="n">
        <v>6371.32</v>
      </c>
      <c r="F1834" s="195" t="n">
        <v>6509.92</v>
      </c>
      <c r="G1834" s="195" t="n">
        <v>6440.62</v>
      </c>
    </row>
    <row r="1835">
      <c r="A1835" s="196" t="inlineStr">
        <is>
          <t>2026-06-18 18:00:07</t>
        </is>
      </c>
      <c r="B1835" s="196" t="inlineStr">
        <is>
          <t>NOK</t>
        </is>
      </c>
      <c r="C1835" s="196" t="inlineStr">
        <is>
          <t>NORWEGIAN KRONER</t>
        </is>
      </c>
      <c r="D1835" s="184" t="n"/>
      <c r="E1835" s="184" t="n">
        <v>2686.59</v>
      </c>
      <c r="F1835" s="184" t="n">
        <v>2800.5</v>
      </c>
      <c r="G1835" s="184" t="n">
        <v>2743.54</v>
      </c>
    </row>
    <row r="1836">
      <c r="A1836" s="194" t="inlineStr">
        <is>
          <t>2026-06-18 18:00:07</t>
        </is>
      </c>
      <c r="B1836" s="194" t="inlineStr">
        <is>
          <t>RUB</t>
        </is>
      </c>
      <c r="C1836" s="194" t="inlineStr">
        <is>
          <t>RUSSIAN RUBLE</t>
        </is>
      </c>
      <c r="D1836" s="195" t="n"/>
      <c r="E1836" s="195" t="n">
        <v>343.61</v>
      </c>
      <c r="F1836" s="195" t="n">
        <v>380.36</v>
      </c>
      <c r="G1836" s="195" t="n">
        <v>361.98</v>
      </c>
    </row>
    <row r="1837">
      <c r="A1837" s="196" t="inlineStr">
        <is>
          <t>2026-06-18 18:00:07</t>
        </is>
      </c>
      <c r="B1837" s="196" t="inlineStr">
        <is>
          <t>SAR</t>
        </is>
      </c>
      <c r="C1837" s="196" t="inlineStr">
        <is>
          <t>SAUDI RIAL</t>
        </is>
      </c>
      <c r="D1837" s="184" t="n"/>
      <c r="E1837" s="184" t="n">
        <v>6973.05</v>
      </c>
      <c r="F1837" s="184" t="n">
        <v>7273.13</v>
      </c>
      <c r="G1837" s="184" t="n">
        <v>7123.09</v>
      </c>
    </row>
    <row r="1838">
      <c r="A1838" s="194" t="inlineStr">
        <is>
          <t>2026-06-18 18:00:07</t>
        </is>
      </c>
      <c r="B1838" s="194" t="inlineStr">
        <is>
          <t>SEK</t>
        </is>
      </c>
      <c r="C1838" s="194" t="inlineStr">
        <is>
          <t>SWEDISH KRONA</t>
        </is>
      </c>
      <c r="D1838" s="195" t="n"/>
      <c r="E1838" s="195" t="n">
        <v>2720.18</v>
      </c>
      <c r="F1838" s="195" t="n">
        <v>2835.51</v>
      </c>
      <c r="G1838" s="195" t="n">
        <v>2777.84</v>
      </c>
    </row>
    <row r="1839">
      <c r="A1839" s="196" t="inlineStr">
        <is>
          <t>2026-06-18 18:00:07</t>
        </is>
      </c>
      <c r="B1839" s="196" t="inlineStr">
        <is>
          <t>SGD</t>
        </is>
      </c>
      <c r="C1839" s="196" t="inlineStr">
        <is>
          <t>SINGAPORE DOLLAR</t>
        </is>
      </c>
      <c r="D1839" s="184" t="n">
        <v>19918.37</v>
      </c>
      <c r="E1839" s="184" t="n">
        <v>20119.56</v>
      </c>
      <c r="F1839" s="184" t="n">
        <v>20805.45</v>
      </c>
      <c r="G1839" s="184" t="n">
        <v>20462.5</v>
      </c>
    </row>
    <row r="1840">
      <c r="A1840" s="194" t="inlineStr">
        <is>
          <t>2026-06-18 18:00:07</t>
        </is>
      </c>
      <c r="B1840" s="194" t="inlineStr">
        <is>
          <t>THB</t>
        </is>
      </c>
      <c r="C1840" s="194" t="inlineStr">
        <is>
          <t>THAILAND BAHT</t>
        </is>
      </c>
      <c r="D1840" s="195" t="n">
        <v>711.1799999999999</v>
      </c>
      <c r="E1840" s="195" t="n">
        <v>790.2</v>
      </c>
      <c r="F1840" s="195" t="n">
        <v>823.71</v>
      </c>
      <c r="G1840" s="195" t="n">
        <v>806.96</v>
      </c>
    </row>
    <row r="1841">
      <c r="A1841" s="196" t="inlineStr">
        <is>
          <t>2026-06-18 18:00:07</t>
        </is>
      </c>
      <c r="B1841" s="196" t="inlineStr">
        <is>
          <t>USD</t>
        </is>
      </c>
      <c r="C1841" s="196" t="inlineStr">
        <is>
          <t>US DOLLAR</t>
        </is>
      </c>
      <c r="D1841" s="184" t="n">
        <v>26081</v>
      </c>
      <c r="E1841" s="184" t="n">
        <v>26111</v>
      </c>
      <c r="F1841" s="184" t="n">
        <v>26431</v>
      </c>
      <c r="G1841" s="184" t="n">
        <v>26271</v>
      </c>
    </row>
    <row r="1842">
      <c r="A1842" s="194" t="inlineStr">
        <is>
          <t>2026-06-17 18:00:10</t>
        </is>
      </c>
      <c r="B1842" s="194" t="inlineStr">
        <is>
          <t>AUD</t>
        </is>
      </c>
      <c r="C1842" s="194" t="inlineStr">
        <is>
          <t>AUSTRALIAN DOLLAR</t>
        </is>
      </c>
      <c r="D1842" s="195" t="n">
        <v>18120.01</v>
      </c>
      <c r="E1842" s="195" t="n">
        <v>18303.05</v>
      </c>
      <c r="F1842" s="195" t="n">
        <v>18889.19</v>
      </c>
      <c r="G1842" s="195" t="n">
        <v>18596.12</v>
      </c>
    </row>
    <row r="1843">
      <c r="A1843" s="196" t="inlineStr">
        <is>
          <t>2026-06-17 18:00:10</t>
        </is>
      </c>
      <c r="B1843" s="196" t="inlineStr">
        <is>
          <t>CAD</t>
        </is>
      </c>
      <c r="C1843" s="196" t="inlineStr">
        <is>
          <t>CANADIAN DOLLAR</t>
        </is>
      </c>
      <c r="D1843" s="184" t="n">
        <v>18329.14</v>
      </c>
      <c r="E1843" s="184" t="n">
        <v>18514.28</v>
      </c>
      <c r="F1843" s="184" t="n">
        <v>19107.19</v>
      </c>
      <c r="G1843" s="184" t="n">
        <v>18810.74</v>
      </c>
    </row>
    <row r="1844">
      <c r="A1844" s="194" t="inlineStr">
        <is>
          <t>2026-06-17 18:00:10</t>
        </is>
      </c>
      <c r="B1844" s="194" t="inlineStr">
        <is>
          <t>CHF</t>
        </is>
      </c>
      <c r="C1844" s="194" t="inlineStr">
        <is>
          <t>SWISS FRANC</t>
        </is>
      </c>
      <c r="D1844" s="195" t="n">
        <v>32364.59</v>
      </c>
      <c r="E1844" s="195" t="n">
        <v>32691.5</v>
      </c>
      <c r="F1844" s="195" t="n">
        <v>33738.44</v>
      </c>
      <c r="G1844" s="195" t="n">
        <v>33214.97</v>
      </c>
    </row>
    <row r="1845">
      <c r="A1845" s="196" t="inlineStr">
        <is>
          <t>2026-06-17 18:00:10</t>
        </is>
      </c>
      <c r="B1845" s="196" t="inlineStr">
        <is>
          <t>CNY</t>
        </is>
      </c>
      <c r="C1845" s="196" t="inlineStr">
        <is>
          <t>YUAN RENMINBI</t>
        </is>
      </c>
      <c r="D1845" s="184" t="n">
        <v>3795.4</v>
      </c>
      <c r="E1845" s="184" t="n">
        <v>3833.73</v>
      </c>
      <c r="F1845" s="184" t="n">
        <v>3956.51</v>
      </c>
      <c r="G1845" s="184" t="n">
        <v>3895.12</v>
      </c>
    </row>
    <row r="1846">
      <c r="A1846" s="194" t="inlineStr">
        <is>
          <t>2026-06-17 18:00:10</t>
        </is>
      </c>
      <c r="B1846" s="194" t="inlineStr">
        <is>
          <t>DKK</t>
        </is>
      </c>
      <c r="C1846" s="194" t="inlineStr">
        <is>
          <t>DANISH KRONE</t>
        </is>
      </c>
      <c r="D1846" s="195" t="n"/>
      <c r="E1846" s="195" t="n">
        <v>4013.48</v>
      </c>
      <c r="F1846" s="195" t="n">
        <v>4166.95</v>
      </c>
      <c r="G1846" s="195" t="n">
        <v>4090.22</v>
      </c>
    </row>
    <row r="1847">
      <c r="A1847" s="196" t="inlineStr">
        <is>
          <t>2026-06-17 18:00:10</t>
        </is>
      </c>
      <c r="B1847" s="196" t="inlineStr">
        <is>
          <t>EUR</t>
        </is>
      </c>
      <c r="C1847" s="196" t="inlineStr">
        <is>
          <t>EURO</t>
        </is>
      </c>
      <c r="D1847" s="184" t="n">
        <v>29774.46</v>
      </c>
      <c r="E1847" s="184" t="n">
        <v>30075.21</v>
      </c>
      <c r="F1847" s="184" t="n">
        <v>31344.15</v>
      </c>
      <c r="G1847" s="184" t="n">
        <v>30709.68</v>
      </c>
    </row>
    <row r="1848">
      <c r="A1848" s="194" t="inlineStr">
        <is>
          <t>2026-06-17 18:00:10</t>
        </is>
      </c>
      <c r="B1848" s="194" t="inlineStr">
        <is>
          <t>GBP</t>
        </is>
      </c>
      <c r="C1848" s="194" t="inlineStr">
        <is>
          <t>POUND STERLING</t>
        </is>
      </c>
      <c r="D1848" s="195" t="n">
        <v>34427.52</v>
      </c>
      <c r="E1848" s="195" t="n">
        <v>34775.27</v>
      </c>
      <c r="F1848" s="195" t="n">
        <v>35888.94</v>
      </c>
      <c r="G1848" s="195" t="n">
        <v>35332.1</v>
      </c>
    </row>
    <row r="1849">
      <c r="A1849" s="196" t="inlineStr">
        <is>
          <t>2026-06-17 18:00:10</t>
        </is>
      </c>
      <c r="B1849" s="196" t="inlineStr">
        <is>
          <t>HKD</t>
        </is>
      </c>
      <c r="C1849" s="196" t="inlineStr">
        <is>
          <t>HONGKONG DOLLAR</t>
        </is>
      </c>
      <c r="D1849" s="184" t="n">
        <v>3264.29</v>
      </c>
      <c r="E1849" s="184" t="n">
        <v>3297.26</v>
      </c>
      <c r="F1849" s="184" t="n">
        <v>3423.34</v>
      </c>
      <c r="G1849" s="184" t="n">
        <v>3360.3</v>
      </c>
    </row>
    <row r="1850">
      <c r="A1850" s="194" t="inlineStr">
        <is>
          <t>2026-06-17 18:00:10</t>
        </is>
      </c>
      <c r="B1850" s="194" t="inlineStr">
        <is>
          <t>INR</t>
        </is>
      </c>
      <c r="C1850" s="194" t="inlineStr">
        <is>
          <t>INDIAN RUPEE</t>
        </is>
      </c>
      <c r="D1850" s="195" t="n"/>
      <c r="E1850" s="195" t="n">
        <v>276.67</v>
      </c>
      <c r="F1850" s="195" t="n">
        <v>288.58</v>
      </c>
      <c r="G1850" s="195" t="n">
        <v>282.62</v>
      </c>
    </row>
    <row r="1851">
      <c r="A1851" s="196" t="inlineStr">
        <is>
          <t>2026-06-17 18:00:10</t>
        </is>
      </c>
      <c r="B1851" s="196" t="inlineStr">
        <is>
          <t>JPY</t>
        </is>
      </c>
      <c r="C1851" s="196" t="inlineStr">
        <is>
          <t>YEN</t>
        </is>
      </c>
      <c r="D1851" s="184" t="n">
        <v>158.37</v>
      </c>
      <c r="E1851" s="184" t="n">
        <v>159.96</v>
      </c>
      <c r="F1851" s="184" t="n">
        <v>168.42</v>
      </c>
      <c r="G1851" s="184" t="n">
        <v>164.19</v>
      </c>
    </row>
    <row r="1852">
      <c r="A1852" s="194" t="inlineStr">
        <is>
          <t>2026-06-17 18:00:10</t>
        </is>
      </c>
      <c r="B1852" s="194" t="inlineStr">
        <is>
          <t>KRW</t>
        </is>
      </c>
      <c r="C1852" s="194" t="inlineStr">
        <is>
          <t>KOREAN WON</t>
        </is>
      </c>
      <c r="D1852" s="195" t="n">
        <v>15.04</v>
      </c>
      <c r="E1852" s="195" t="n">
        <v>16.72</v>
      </c>
      <c r="F1852" s="195" t="n">
        <v>18.14</v>
      </c>
      <c r="G1852" s="195" t="n">
        <v>17.43</v>
      </c>
    </row>
    <row r="1853">
      <c r="A1853" s="196" t="inlineStr">
        <is>
          <t>2026-06-17 18:00:10</t>
        </is>
      </c>
      <c r="B1853" s="196" t="inlineStr">
        <is>
          <t>KWD</t>
        </is>
      </c>
      <c r="C1853" s="196" t="inlineStr">
        <is>
          <t>KUWAITI DINAR</t>
        </is>
      </c>
      <c r="D1853" s="184" t="n"/>
      <c r="E1853" s="184" t="n">
        <v>85236.89999999999</v>
      </c>
      <c r="F1853" s="184" t="n">
        <v>89368.14</v>
      </c>
      <c r="G1853" s="184" t="n">
        <v>87302.52</v>
      </c>
    </row>
    <row r="1854">
      <c r="A1854" s="194" t="inlineStr">
        <is>
          <t>2026-06-17 18:00:10</t>
        </is>
      </c>
      <c r="B1854" s="194" t="inlineStr">
        <is>
          <t>MYR</t>
        </is>
      </c>
      <c r="C1854" s="194" t="inlineStr">
        <is>
          <t>MALAYSIAN RINGGIT</t>
        </is>
      </c>
      <c r="D1854" s="195" t="n"/>
      <c r="E1854" s="195" t="n">
        <v>6403.37</v>
      </c>
      <c r="F1854" s="195" t="n">
        <v>6542.67</v>
      </c>
      <c r="G1854" s="195" t="n">
        <v>6473.02</v>
      </c>
    </row>
    <row r="1855">
      <c r="A1855" s="196" t="inlineStr">
        <is>
          <t>2026-06-17 18:00:10</t>
        </is>
      </c>
      <c r="B1855" s="196" t="inlineStr">
        <is>
          <t>NOK</t>
        </is>
      </c>
      <c r="C1855" s="196" t="inlineStr">
        <is>
          <t>NORWEGIAN KRONER</t>
        </is>
      </c>
      <c r="D1855" s="184" t="n"/>
      <c r="E1855" s="184" t="n">
        <v>2722.74</v>
      </c>
      <c r="F1855" s="184" t="n">
        <v>2838.18</v>
      </c>
      <c r="G1855" s="184" t="n">
        <v>2780.46</v>
      </c>
    </row>
    <row r="1856">
      <c r="A1856" s="194" t="inlineStr">
        <is>
          <t>2026-06-17 18:00:10</t>
        </is>
      </c>
      <c r="B1856" s="194" t="inlineStr">
        <is>
          <t>RUB</t>
        </is>
      </c>
      <c r="C1856" s="194" t="inlineStr">
        <is>
          <t>RUSSIAN RUBLE</t>
        </is>
      </c>
      <c r="D1856" s="195" t="n"/>
      <c r="E1856" s="195" t="n">
        <v>345.37</v>
      </c>
      <c r="F1856" s="195" t="n">
        <v>382.31</v>
      </c>
      <c r="G1856" s="195" t="n">
        <v>363.84</v>
      </c>
    </row>
    <row r="1857">
      <c r="A1857" s="196" t="inlineStr">
        <is>
          <t>2026-06-17 18:00:10</t>
        </is>
      </c>
      <c r="B1857" s="196" t="inlineStr">
        <is>
          <t>SAR</t>
        </is>
      </c>
      <c r="C1857" s="196" t="inlineStr">
        <is>
          <t>SAUDI RIAL</t>
        </is>
      </c>
      <c r="D1857" s="184" t="n"/>
      <c r="E1857" s="184" t="n">
        <v>6970.95</v>
      </c>
      <c r="F1857" s="184" t="n">
        <v>7270.95</v>
      </c>
      <c r="G1857" s="184" t="n">
        <v>7120.95</v>
      </c>
    </row>
    <row r="1858">
      <c r="A1858" s="194" t="inlineStr">
        <is>
          <t>2026-06-17 18:00:10</t>
        </is>
      </c>
      <c r="B1858" s="194" t="inlineStr">
        <is>
          <t>SEK</t>
        </is>
      </c>
      <c r="C1858" s="194" t="inlineStr">
        <is>
          <t>SWEDISH KRONA</t>
        </is>
      </c>
      <c r="D1858" s="195" t="n"/>
      <c r="E1858" s="195" t="n">
        <v>2755.07</v>
      </c>
      <c r="F1858" s="195" t="n">
        <v>2871.89</v>
      </c>
      <c r="G1858" s="195" t="n">
        <v>2813.48</v>
      </c>
    </row>
    <row r="1859">
      <c r="A1859" s="196" t="inlineStr">
        <is>
          <t>2026-06-17 18:00:10</t>
        </is>
      </c>
      <c r="B1859" s="196" t="inlineStr">
        <is>
          <t>SGD</t>
        </is>
      </c>
      <c r="C1859" s="196" t="inlineStr">
        <is>
          <t>SINGAPORE DOLLAR</t>
        </is>
      </c>
      <c r="D1859" s="184" t="n">
        <v>19990.03</v>
      </c>
      <c r="E1859" s="184" t="n">
        <v>20191.95</v>
      </c>
      <c r="F1859" s="184" t="n">
        <v>20880.32</v>
      </c>
      <c r="G1859" s="184" t="n">
        <v>20536.14</v>
      </c>
    </row>
    <row r="1860">
      <c r="A1860" s="194" t="inlineStr">
        <is>
          <t>2026-06-17 18:00:10</t>
        </is>
      </c>
      <c r="B1860" s="194" t="inlineStr">
        <is>
          <t>THB</t>
        </is>
      </c>
      <c r="C1860" s="194" t="inlineStr">
        <is>
          <t>THAILAND BAHT</t>
        </is>
      </c>
      <c r="D1860" s="195" t="n">
        <v>713.54</v>
      </c>
      <c r="E1860" s="195" t="n">
        <v>792.8200000000001</v>
      </c>
      <c r="F1860" s="195" t="n">
        <v>826.4299999999999</v>
      </c>
      <c r="G1860" s="195" t="n">
        <v>809.62</v>
      </c>
    </row>
    <row r="1861">
      <c r="A1861" s="196" t="inlineStr">
        <is>
          <t>2026-06-17 18:00:10</t>
        </is>
      </c>
      <c r="B1861" s="196" t="inlineStr">
        <is>
          <t>USD</t>
        </is>
      </c>
      <c r="C1861" s="196" t="inlineStr">
        <is>
          <t>US DOLLAR</t>
        </is>
      </c>
      <c r="D1861" s="184" t="n">
        <v>26083</v>
      </c>
      <c r="E1861" s="184" t="n">
        <v>26113</v>
      </c>
      <c r="F1861" s="184" t="n">
        <v>26433</v>
      </c>
      <c r="G1861" s="184" t="n">
        <v>26273</v>
      </c>
    </row>
    <row r="1862">
      <c r="A1862" s="194" t="inlineStr">
        <is>
          <t>2026-06-16 18:00:11</t>
        </is>
      </c>
      <c r="B1862" s="194" t="inlineStr">
        <is>
          <t>AUD</t>
        </is>
      </c>
      <c r="C1862" s="194" t="inlineStr">
        <is>
          <t>AUSTRALIAN DOLLAR</t>
        </is>
      </c>
      <c r="D1862" s="195" t="n">
        <v>18107.41</v>
      </c>
      <c r="E1862" s="195" t="n">
        <v>18290.32</v>
      </c>
      <c r="F1862" s="195" t="n">
        <v>18876.08</v>
      </c>
      <c r="G1862" s="195" t="n">
        <v>18583.2</v>
      </c>
    </row>
    <row r="1863">
      <c r="A1863" s="196" t="inlineStr">
        <is>
          <t>2026-06-16 18:00:11</t>
        </is>
      </c>
      <c r="B1863" s="196" t="inlineStr">
        <is>
          <t>CAD</t>
        </is>
      </c>
      <c r="C1863" s="196" t="inlineStr">
        <is>
          <t>CANADIAN DOLLAR</t>
        </is>
      </c>
      <c r="D1863" s="184" t="n">
        <v>18308.56</v>
      </c>
      <c r="E1863" s="184" t="n">
        <v>18493.5</v>
      </c>
      <c r="F1863" s="184" t="n">
        <v>19085.77</v>
      </c>
      <c r="G1863" s="184" t="n">
        <v>18789.64</v>
      </c>
    </row>
    <row r="1864">
      <c r="A1864" s="194" t="inlineStr">
        <is>
          <t>2026-06-16 18:00:11</t>
        </is>
      </c>
      <c r="B1864" s="194" t="inlineStr">
        <is>
          <t>CHF</t>
        </is>
      </c>
      <c r="C1864" s="194" t="inlineStr">
        <is>
          <t>SWISS FRANC</t>
        </is>
      </c>
      <c r="D1864" s="195" t="n">
        <v>32252.02</v>
      </c>
      <c r="E1864" s="195" t="n">
        <v>32577.8</v>
      </c>
      <c r="F1864" s="195" t="n">
        <v>33621.13</v>
      </c>
      <c r="G1864" s="195" t="n">
        <v>33099.46</v>
      </c>
    </row>
    <row r="1865">
      <c r="A1865" s="196" t="inlineStr">
        <is>
          <t>2026-06-16 18:00:11</t>
        </is>
      </c>
      <c r="B1865" s="196" t="inlineStr">
        <is>
          <t>CNY</t>
        </is>
      </c>
      <c r="C1865" s="196" t="inlineStr">
        <is>
          <t>YUAN RENMINBI</t>
        </is>
      </c>
      <c r="D1865" s="184" t="n">
        <v>3791.77</v>
      </c>
      <c r="E1865" s="184" t="n">
        <v>3830.07</v>
      </c>
      <c r="F1865" s="184" t="n">
        <v>3952.73</v>
      </c>
      <c r="G1865" s="184" t="n">
        <v>3891.4</v>
      </c>
    </row>
    <row r="1866">
      <c r="A1866" s="194" t="inlineStr">
        <is>
          <t>2026-06-16 18:00:11</t>
        </is>
      </c>
      <c r="B1866" s="194" t="inlineStr">
        <is>
          <t>DKK</t>
        </is>
      </c>
      <c r="C1866" s="194" t="inlineStr">
        <is>
          <t>DANISH KRONE</t>
        </is>
      </c>
      <c r="D1866" s="195" t="n"/>
      <c r="E1866" s="195" t="n">
        <v>4001.85</v>
      </c>
      <c r="F1866" s="195" t="n">
        <v>4154.88</v>
      </c>
      <c r="G1866" s="195" t="n">
        <v>4078.36</v>
      </c>
    </row>
    <row r="1867">
      <c r="A1867" s="196" t="inlineStr">
        <is>
          <t>2026-06-16 18:00:11</t>
        </is>
      </c>
      <c r="B1867" s="196" t="inlineStr">
        <is>
          <t>EUR</t>
        </is>
      </c>
      <c r="C1867" s="196" t="inlineStr">
        <is>
          <t>EURO</t>
        </is>
      </c>
      <c r="D1867" s="184" t="n">
        <v>29688.06</v>
      </c>
      <c r="E1867" s="184" t="n">
        <v>29987.94</v>
      </c>
      <c r="F1867" s="184" t="n">
        <v>31253.25</v>
      </c>
      <c r="G1867" s="184" t="n">
        <v>30620.6</v>
      </c>
    </row>
    <row r="1868">
      <c r="A1868" s="194" t="inlineStr">
        <is>
          <t>2026-06-16 18:00:11</t>
        </is>
      </c>
      <c r="B1868" s="194" t="inlineStr">
        <is>
          <t>GBP</t>
        </is>
      </c>
      <c r="C1868" s="194" t="inlineStr">
        <is>
          <t>POUND STERLING</t>
        </is>
      </c>
      <c r="D1868" s="195" t="n">
        <v>34355.16</v>
      </c>
      <c r="E1868" s="195" t="n">
        <v>34702.18</v>
      </c>
      <c r="F1868" s="195" t="n">
        <v>35813.55</v>
      </c>
      <c r="G1868" s="195" t="n">
        <v>35257.87</v>
      </c>
    </row>
    <row r="1869">
      <c r="A1869" s="196" t="inlineStr">
        <is>
          <t>2026-06-16 18:00:11</t>
        </is>
      </c>
      <c r="B1869" s="196" t="inlineStr">
        <is>
          <t>HKD</t>
        </is>
      </c>
      <c r="C1869" s="196" t="inlineStr">
        <is>
          <t>HONGKONG DOLLAR</t>
        </is>
      </c>
      <c r="D1869" s="184" t="n">
        <v>3260.64</v>
      </c>
      <c r="E1869" s="184" t="n">
        <v>3293.58</v>
      </c>
      <c r="F1869" s="184" t="n">
        <v>3419.52</v>
      </c>
      <c r="G1869" s="184" t="n">
        <v>3356.55</v>
      </c>
    </row>
    <row r="1870">
      <c r="A1870" s="194" t="inlineStr">
        <is>
          <t>2026-06-16 18:00:11</t>
        </is>
      </c>
      <c r="B1870" s="194" t="inlineStr">
        <is>
          <t>INR</t>
        </is>
      </c>
      <c r="C1870" s="194" t="inlineStr">
        <is>
          <t>INDIAN RUPEE</t>
        </is>
      </c>
      <c r="D1870" s="195" t="n"/>
      <c r="E1870" s="195" t="n">
        <v>275.97</v>
      </c>
      <c r="F1870" s="195" t="n">
        <v>287.85</v>
      </c>
      <c r="G1870" s="195" t="n">
        <v>281.91</v>
      </c>
    </row>
    <row r="1871">
      <c r="A1871" s="196" t="inlineStr">
        <is>
          <t>2026-06-16 18:00:11</t>
        </is>
      </c>
      <c r="B1871" s="196" t="inlineStr">
        <is>
          <t>JPY</t>
        </is>
      </c>
      <c r="C1871" s="196" t="inlineStr">
        <is>
          <t>YEN</t>
        </is>
      </c>
      <c r="D1871" s="184" t="n">
        <v>158.4</v>
      </c>
      <c r="E1871" s="184" t="n">
        <v>160</v>
      </c>
      <c r="F1871" s="184" t="n">
        <v>168.46</v>
      </c>
      <c r="G1871" s="184" t="n">
        <v>164.23</v>
      </c>
    </row>
    <row r="1872">
      <c r="A1872" s="194" t="inlineStr">
        <is>
          <t>2026-06-16 18:00:11</t>
        </is>
      </c>
      <c r="B1872" s="194" t="inlineStr">
        <is>
          <t>KRW</t>
        </is>
      </c>
      <c r="C1872" s="194" t="inlineStr">
        <is>
          <t>KOREAN WON</t>
        </is>
      </c>
      <c r="D1872" s="195" t="n">
        <v>15.01</v>
      </c>
      <c r="E1872" s="195" t="n">
        <v>16.68</v>
      </c>
      <c r="F1872" s="195" t="n">
        <v>18.1</v>
      </c>
      <c r="G1872" s="195" t="n">
        <v>17.39</v>
      </c>
    </row>
    <row r="1873">
      <c r="A1873" s="196" t="inlineStr">
        <is>
          <t>2026-06-16 18:00:11</t>
        </is>
      </c>
      <c r="B1873" s="196" t="inlineStr">
        <is>
          <t>KWD</t>
        </is>
      </c>
      <c r="C1873" s="196" t="inlineStr">
        <is>
          <t>KUWAITI DINAR</t>
        </is>
      </c>
      <c r="D1873" s="184" t="n"/>
      <c r="E1873" s="184" t="n">
        <v>85165.57000000001</v>
      </c>
      <c r="F1873" s="184" t="n">
        <v>89293.47</v>
      </c>
      <c r="G1873" s="184" t="n">
        <v>87229.52</v>
      </c>
    </row>
    <row r="1874">
      <c r="A1874" s="194" t="inlineStr">
        <is>
          <t>2026-06-16 18:00:11</t>
        </is>
      </c>
      <c r="B1874" s="194" t="inlineStr">
        <is>
          <t>MYR</t>
        </is>
      </c>
      <c r="C1874" s="194" t="inlineStr">
        <is>
          <t>MALAYSIAN RINGGIT</t>
        </is>
      </c>
      <c r="D1874" s="195" t="n"/>
      <c r="E1874" s="195" t="n">
        <v>6426.47</v>
      </c>
      <c r="F1874" s="195" t="n">
        <v>6566.28</v>
      </c>
      <c r="G1874" s="195" t="n">
        <v>6496.38</v>
      </c>
    </row>
    <row r="1875">
      <c r="A1875" s="196" t="inlineStr">
        <is>
          <t>2026-06-16 18:00:11</t>
        </is>
      </c>
      <c r="B1875" s="196" t="inlineStr">
        <is>
          <t>NOK</t>
        </is>
      </c>
      <c r="C1875" s="196" t="inlineStr">
        <is>
          <t>NORWEGIAN KRONER</t>
        </is>
      </c>
      <c r="D1875" s="184" t="n"/>
      <c r="E1875" s="184" t="n">
        <v>2700.09</v>
      </c>
      <c r="F1875" s="184" t="n">
        <v>2814.58</v>
      </c>
      <c r="G1875" s="184" t="n">
        <v>2757.34</v>
      </c>
    </row>
    <row r="1876">
      <c r="A1876" s="194" t="inlineStr">
        <is>
          <t>2026-06-16 18:00:11</t>
        </is>
      </c>
      <c r="B1876" s="194" t="inlineStr">
        <is>
          <t>RUB</t>
        </is>
      </c>
      <c r="C1876" s="194" t="inlineStr">
        <is>
          <t>RUSSIAN RUBLE</t>
        </is>
      </c>
      <c r="D1876" s="195" t="n"/>
      <c r="E1876" s="195" t="n">
        <v>345.32</v>
      </c>
      <c r="F1876" s="195" t="n">
        <v>382.25</v>
      </c>
      <c r="G1876" s="195" t="n">
        <v>363.78</v>
      </c>
    </row>
    <row r="1877">
      <c r="A1877" s="196" t="inlineStr">
        <is>
          <t>2026-06-16 18:00:11</t>
        </is>
      </c>
      <c r="B1877" s="196" t="inlineStr">
        <is>
          <t>SAR</t>
        </is>
      </c>
      <c r="C1877" s="196" t="inlineStr">
        <is>
          <t>SAUDI RIAL</t>
        </is>
      </c>
      <c r="D1877" s="184" t="n"/>
      <c r="E1877" s="184" t="n">
        <v>6965.49</v>
      </c>
      <c r="F1877" s="184" t="n">
        <v>7265.26</v>
      </c>
      <c r="G1877" s="184" t="n">
        <v>7115.38</v>
      </c>
    </row>
    <row r="1878">
      <c r="A1878" s="194" t="inlineStr">
        <is>
          <t>2026-06-16 18:00:11</t>
        </is>
      </c>
      <c r="B1878" s="194" t="inlineStr">
        <is>
          <t>SEK</t>
        </is>
      </c>
      <c r="C1878" s="194" t="inlineStr">
        <is>
          <t>SWEDISH KRONA</t>
        </is>
      </c>
      <c r="D1878" s="195" t="n"/>
      <c r="E1878" s="195" t="n">
        <v>2740.26</v>
      </c>
      <c r="F1878" s="195" t="n">
        <v>2856.45</v>
      </c>
      <c r="G1878" s="195" t="n">
        <v>2798.36</v>
      </c>
    </row>
    <row r="1879">
      <c r="A1879" s="196" t="inlineStr">
        <is>
          <t>2026-06-16 18:00:11</t>
        </is>
      </c>
      <c r="B1879" s="196" t="inlineStr">
        <is>
          <t>SGD</t>
        </is>
      </c>
      <c r="C1879" s="196" t="inlineStr">
        <is>
          <t>SINGAPORE DOLLAR</t>
        </is>
      </c>
      <c r="D1879" s="184" t="n">
        <v>19960.84</v>
      </c>
      <c r="E1879" s="184" t="n">
        <v>20162.47</v>
      </c>
      <c r="F1879" s="184" t="n">
        <v>20849.86</v>
      </c>
      <c r="G1879" s="184" t="n">
        <v>20506.16</v>
      </c>
    </row>
    <row r="1880">
      <c r="A1880" s="194" t="inlineStr">
        <is>
          <t>2026-06-16 18:00:11</t>
        </is>
      </c>
      <c r="B1880" s="194" t="inlineStr">
        <is>
          <t>THB</t>
        </is>
      </c>
      <c r="C1880" s="194" t="inlineStr">
        <is>
          <t>THAILAND BAHT</t>
        </is>
      </c>
      <c r="D1880" s="195" t="n">
        <v>712.0599999999999</v>
      </c>
      <c r="E1880" s="195" t="n">
        <v>791.1799999999999</v>
      </c>
      <c r="F1880" s="195" t="n">
        <v>824.73</v>
      </c>
      <c r="G1880" s="195" t="n">
        <v>807.96</v>
      </c>
    </row>
    <row r="1881">
      <c r="A1881" s="196" t="inlineStr">
        <is>
          <t>2026-06-16 18:00:11</t>
        </is>
      </c>
      <c r="B1881" s="196" t="inlineStr">
        <is>
          <t>USD</t>
        </is>
      </c>
      <c r="C1881" s="196" t="inlineStr">
        <is>
          <t>US DOLLAR</t>
        </is>
      </c>
      <c r="D1881" s="184" t="n">
        <v>26073</v>
      </c>
      <c r="E1881" s="184" t="n">
        <v>26103</v>
      </c>
      <c r="F1881" s="184" t="n">
        <v>26423</v>
      </c>
      <c r="G1881" s="184" t="n">
        <v>26263</v>
      </c>
    </row>
    <row r="1882">
      <c r="A1882" s="194" t="inlineStr">
        <is>
          <t>2026-06-14 18:00:09</t>
        </is>
      </c>
      <c r="B1882" s="194" t="inlineStr">
        <is>
          <t>AUD</t>
        </is>
      </c>
      <c r="C1882" s="194" t="inlineStr">
        <is>
          <t>AUSTRALIAN DOLLAR</t>
        </is>
      </c>
      <c r="D1882" s="195" t="n">
        <v>18061.05</v>
      </c>
      <c r="E1882" s="195" t="n">
        <v>18243.49</v>
      </c>
      <c r="F1882" s="195" t="n">
        <v>18827.73</v>
      </c>
      <c r="G1882" s="195" t="n">
        <v>18535.61</v>
      </c>
    </row>
    <row r="1883">
      <c r="A1883" s="196" t="inlineStr">
        <is>
          <t>2026-06-14 18:00:09</t>
        </is>
      </c>
      <c r="B1883" s="196" t="inlineStr">
        <is>
          <t>CAD</t>
        </is>
      </c>
      <c r="C1883" s="196" t="inlineStr">
        <is>
          <t>CANADIAN DOLLAR</t>
        </is>
      </c>
      <c r="D1883" s="184" t="n">
        <v>18338.31</v>
      </c>
      <c r="E1883" s="184" t="n">
        <v>18523.55</v>
      </c>
      <c r="F1883" s="184" t="n">
        <v>19116.76</v>
      </c>
      <c r="G1883" s="184" t="n">
        <v>18820.16</v>
      </c>
    </row>
    <row r="1884">
      <c r="A1884" s="194" t="inlineStr">
        <is>
          <t>2026-06-14 18:00:09</t>
        </is>
      </c>
      <c r="B1884" s="194" t="inlineStr">
        <is>
          <t>CHF</t>
        </is>
      </c>
      <c r="C1884" s="194" t="inlineStr">
        <is>
          <t>SWISS FRANC</t>
        </is>
      </c>
      <c r="D1884" s="195" t="n">
        <v>32234.4</v>
      </c>
      <c r="E1884" s="195" t="n">
        <v>32560</v>
      </c>
      <c r="F1884" s="195" t="n">
        <v>33602.72</v>
      </c>
      <c r="G1884" s="195" t="n">
        <v>33081.36</v>
      </c>
    </row>
    <row r="1885">
      <c r="A1885" s="196" t="inlineStr">
        <is>
          <t>2026-06-14 18:00:09</t>
        </is>
      </c>
      <c r="B1885" s="196" t="inlineStr">
        <is>
          <t>CNY</t>
        </is>
      </c>
      <c r="C1885" s="196" t="inlineStr">
        <is>
          <t>YUAN RENMINBI</t>
        </is>
      </c>
      <c r="D1885" s="184" t="n">
        <v>3792.81</v>
      </c>
      <c r="E1885" s="184" t="n">
        <v>3831.13</v>
      </c>
      <c r="F1885" s="184" t="n">
        <v>3953.82</v>
      </c>
      <c r="G1885" s="184" t="n">
        <v>3892.48</v>
      </c>
    </row>
    <row r="1886">
      <c r="A1886" s="194" t="inlineStr">
        <is>
          <t>2026-06-14 18:00:09</t>
        </is>
      </c>
      <c r="B1886" s="194" t="inlineStr">
        <is>
          <t>DKK</t>
        </is>
      </c>
      <c r="C1886" s="194" t="inlineStr">
        <is>
          <t>DANISH KRONE</t>
        </is>
      </c>
      <c r="D1886" s="195" t="n"/>
      <c r="E1886" s="195" t="n">
        <v>4001.42</v>
      </c>
      <c r="F1886" s="195" t="n">
        <v>4154.42</v>
      </c>
      <c r="G1886" s="195" t="n">
        <v>4077.92</v>
      </c>
    </row>
    <row r="1887">
      <c r="A1887" s="196" t="inlineStr">
        <is>
          <t>2026-06-14 18:00:09</t>
        </is>
      </c>
      <c r="B1887" s="196" t="inlineStr">
        <is>
          <t>EUR</t>
        </is>
      </c>
      <c r="C1887" s="196" t="inlineStr">
        <is>
          <t>EURO</t>
        </is>
      </c>
      <c r="D1887" s="184" t="n">
        <v>29687.29</v>
      </c>
      <c r="E1887" s="184" t="n">
        <v>29987.16</v>
      </c>
      <c r="F1887" s="184" t="n">
        <v>31252.39</v>
      </c>
      <c r="G1887" s="184" t="n">
        <v>30619.78</v>
      </c>
    </row>
    <row r="1888">
      <c r="A1888" s="194" t="inlineStr">
        <is>
          <t>2026-06-14 18:00:09</t>
        </is>
      </c>
      <c r="B1888" s="194" t="inlineStr">
        <is>
          <t>GBP</t>
        </is>
      </c>
      <c r="C1888" s="194" t="inlineStr">
        <is>
          <t>POUND STERLING</t>
        </is>
      </c>
      <c r="D1888" s="195" t="n">
        <v>34391.62</v>
      </c>
      <c r="E1888" s="195" t="n">
        <v>34739.01</v>
      </c>
      <c r="F1888" s="195" t="n">
        <v>35851.52</v>
      </c>
      <c r="G1888" s="195" t="n">
        <v>35295.26</v>
      </c>
    </row>
    <row r="1889">
      <c r="A1889" s="196" t="inlineStr">
        <is>
          <t>2026-06-14 18:00:09</t>
        </is>
      </c>
      <c r="B1889" s="196" t="inlineStr">
        <is>
          <t>HKD</t>
        </is>
      </c>
      <c r="C1889" s="196" t="inlineStr">
        <is>
          <t>HONGKONG DOLLAR</t>
        </is>
      </c>
      <c r="D1889" s="184" t="n">
        <v>3262.91</v>
      </c>
      <c r="E1889" s="184" t="n">
        <v>3295.87</v>
      </c>
      <c r="F1889" s="184" t="n">
        <v>3421.9</v>
      </c>
      <c r="G1889" s="184" t="n">
        <v>3358.88</v>
      </c>
    </row>
    <row r="1890">
      <c r="A1890" s="194" t="inlineStr">
        <is>
          <t>2026-06-14 18:00:09</t>
        </is>
      </c>
      <c r="B1890" s="194" t="inlineStr">
        <is>
          <t>INR</t>
        </is>
      </c>
      <c r="C1890" s="194" t="inlineStr">
        <is>
          <t>INDIAN RUPEE</t>
        </is>
      </c>
      <c r="D1890" s="195" t="n"/>
      <c r="E1890" s="195" t="n">
        <v>275.52</v>
      </c>
      <c r="F1890" s="195" t="n">
        <v>287.38</v>
      </c>
      <c r="G1890" s="195" t="n">
        <v>281.45</v>
      </c>
    </row>
    <row r="1891">
      <c r="A1891" s="196" t="inlineStr">
        <is>
          <t>2026-06-14 18:00:09</t>
        </is>
      </c>
      <c r="B1891" s="196" t="inlineStr">
        <is>
          <t>JPY</t>
        </is>
      </c>
      <c r="C1891" s="196" t="inlineStr">
        <is>
          <t>YEN</t>
        </is>
      </c>
      <c r="D1891" s="184" t="n">
        <v>158.69</v>
      </c>
      <c r="E1891" s="184" t="n">
        <v>160.29</v>
      </c>
      <c r="F1891" s="184" t="n">
        <v>168.77</v>
      </c>
      <c r="G1891" s="184" t="n">
        <v>164.53</v>
      </c>
    </row>
    <row r="1892">
      <c r="A1892" s="194" t="inlineStr">
        <is>
          <t>2026-06-14 18:00:09</t>
        </is>
      </c>
      <c r="B1892" s="194" t="inlineStr">
        <is>
          <t>KRW</t>
        </is>
      </c>
      <c r="C1892" s="194" t="inlineStr">
        <is>
          <t>KOREAN WON</t>
        </is>
      </c>
      <c r="D1892" s="195" t="n">
        <v>15.01</v>
      </c>
      <c r="E1892" s="195" t="n">
        <v>16.68</v>
      </c>
      <c r="F1892" s="195" t="n">
        <v>18.1</v>
      </c>
      <c r="G1892" s="195" t="n">
        <v>17.39</v>
      </c>
    </row>
    <row r="1893">
      <c r="A1893" s="196" t="inlineStr">
        <is>
          <t>2026-06-14 18:00:09</t>
        </is>
      </c>
      <c r="B1893" s="196" t="inlineStr">
        <is>
          <t>KWD</t>
        </is>
      </c>
      <c r="C1893" s="196" t="inlineStr">
        <is>
          <t>KUWAITI DINAR</t>
        </is>
      </c>
      <c r="D1893" s="184" t="n"/>
      <c r="E1893" s="184" t="n">
        <v>85153.66</v>
      </c>
      <c r="F1893" s="184" t="n">
        <v>89280.87</v>
      </c>
      <c r="G1893" s="184" t="n">
        <v>87217.25999999999</v>
      </c>
    </row>
    <row r="1894">
      <c r="A1894" s="194" t="inlineStr">
        <is>
          <t>2026-06-14 18:00:09</t>
        </is>
      </c>
      <c r="B1894" s="194" t="inlineStr">
        <is>
          <t>MYR</t>
        </is>
      </c>
      <c r="C1894" s="194" t="inlineStr">
        <is>
          <t>MALAYSIAN RINGGIT</t>
        </is>
      </c>
      <c r="D1894" s="195" t="n"/>
      <c r="E1894" s="195" t="n">
        <v>6419.16</v>
      </c>
      <c r="F1894" s="195" t="n">
        <v>6558.81</v>
      </c>
      <c r="G1894" s="195" t="n">
        <v>6488.98</v>
      </c>
    </row>
    <row r="1895">
      <c r="A1895" s="196" t="inlineStr">
        <is>
          <t>2026-06-14 18:00:09</t>
        </is>
      </c>
      <c r="B1895" s="196" t="inlineStr">
        <is>
          <t>NOK</t>
        </is>
      </c>
      <c r="C1895" s="196" t="inlineStr">
        <is>
          <t>NORWEGIAN KRONER</t>
        </is>
      </c>
      <c r="D1895" s="184" t="n"/>
      <c r="E1895" s="184" t="n">
        <v>2702.44</v>
      </c>
      <c r="F1895" s="184" t="n">
        <v>2817.02</v>
      </c>
      <c r="G1895" s="184" t="n">
        <v>2759.73</v>
      </c>
    </row>
    <row r="1896">
      <c r="A1896" s="194" t="inlineStr">
        <is>
          <t>2026-06-14 18:00:09</t>
        </is>
      </c>
      <c r="B1896" s="194" t="inlineStr">
        <is>
          <t>RUB</t>
        </is>
      </c>
      <c r="C1896" s="194" t="inlineStr">
        <is>
          <t>RUSSIAN RUBLE</t>
        </is>
      </c>
      <c r="D1896" s="195" t="n"/>
      <c r="E1896" s="195" t="n">
        <v>344.64</v>
      </c>
      <c r="F1896" s="195" t="n">
        <v>381.5</v>
      </c>
      <c r="G1896" s="195" t="n">
        <v>363.07</v>
      </c>
    </row>
    <row r="1897">
      <c r="A1897" s="196" t="inlineStr">
        <is>
          <t>2026-06-14 18:00:09</t>
        </is>
      </c>
      <c r="B1897" s="196" t="inlineStr">
        <is>
          <t>SAR</t>
        </is>
      </c>
      <c r="C1897" s="196" t="inlineStr">
        <is>
          <t>SAUDI RIAL</t>
        </is>
      </c>
      <c r="D1897" s="184" t="n"/>
      <c r="E1897" s="184" t="n">
        <v>6968.54</v>
      </c>
      <c r="F1897" s="184" t="n">
        <v>7268.43</v>
      </c>
      <c r="G1897" s="184" t="n">
        <v>7118.48</v>
      </c>
    </row>
    <row r="1898">
      <c r="A1898" s="194" t="inlineStr">
        <is>
          <t>2026-06-14 18:00:09</t>
        </is>
      </c>
      <c r="B1898" s="194" t="inlineStr">
        <is>
          <t>SEK</t>
        </is>
      </c>
      <c r="C1898" s="194" t="inlineStr">
        <is>
          <t>SWEDISH KRONA</t>
        </is>
      </c>
      <c r="D1898" s="195" t="n"/>
      <c r="E1898" s="195" t="n">
        <v>2735.36</v>
      </c>
      <c r="F1898" s="195" t="n">
        <v>2851.34</v>
      </c>
      <c r="G1898" s="195" t="n">
        <v>2793.35</v>
      </c>
    </row>
    <row r="1899">
      <c r="A1899" s="196" t="inlineStr">
        <is>
          <t>2026-06-14 18:00:09</t>
        </is>
      </c>
      <c r="B1899" s="196" t="inlineStr">
        <is>
          <t>SGD</t>
        </is>
      </c>
      <c r="C1899" s="196" t="inlineStr">
        <is>
          <t>SINGAPORE DOLLAR</t>
        </is>
      </c>
      <c r="D1899" s="184" t="n">
        <v>19969.77</v>
      </c>
      <c r="E1899" s="184" t="n">
        <v>20171.49</v>
      </c>
      <c r="F1899" s="184" t="n">
        <v>20859.16</v>
      </c>
      <c r="G1899" s="184" t="n">
        <v>20515.32</v>
      </c>
    </row>
    <row r="1900">
      <c r="A1900" s="194" t="inlineStr">
        <is>
          <t>2026-06-14 18:00:09</t>
        </is>
      </c>
      <c r="B1900" s="194" t="inlineStr">
        <is>
          <t>THB</t>
        </is>
      </c>
      <c r="C1900" s="194" t="inlineStr">
        <is>
          <t>THAILAND BAHT</t>
        </is>
      </c>
      <c r="D1900" s="195" t="n">
        <v>710.91</v>
      </c>
      <c r="E1900" s="195" t="n">
        <v>789.9</v>
      </c>
      <c r="F1900" s="195" t="n">
        <v>823.39</v>
      </c>
      <c r="G1900" s="195" t="n">
        <v>806.64</v>
      </c>
    </row>
    <row r="1901">
      <c r="A1901" s="196" t="inlineStr">
        <is>
          <t>2026-06-14 18:00:09</t>
        </is>
      </c>
      <c r="B1901" s="196" t="inlineStr">
        <is>
          <t>USD</t>
        </is>
      </c>
      <c r="C1901" s="196" t="inlineStr">
        <is>
          <t>US DOLLAR</t>
        </is>
      </c>
      <c r="D1901" s="184" t="n">
        <v>26092</v>
      </c>
      <c r="E1901" s="184" t="n">
        <v>26122</v>
      </c>
      <c r="F1901" s="184" t="n">
        <v>26412</v>
      </c>
      <c r="G1901" s="184" t="n">
        <v>26267</v>
      </c>
    </row>
    <row r="1902">
      <c r="A1902" s="194" t="inlineStr">
        <is>
          <t>2026-06-13 18:00:10</t>
        </is>
      </c>
      <c r="B1902" s="194" t="inlineStr">
        <is>
          <t>AUD</t>
        </is>
      </c>
      <c r="C1902" s="194" t="inlineStr">
        <is>
          <t>AUSTRALIAN DOLLAR</t>
        </is>
      </c>
      <c r="D1902" s="195" t="n">
        <v>18061.05</v>
      </c>
      <c r="E1902" s="195" t="n">
        <v>18243.49</v>
      </c>
      <c r="F1902" s="195" t="n">
        <v>18827.73</v>
      </c>
      <c r="G1902" s="195" t="n">
        <v>18535.61</v>
      </c>
    </row>
    <row r="1903">
      <c r="A1903" s="196" t="inlineStr">
        <is>
          <t>2026-06-13 18:00:10</t>
        </is>
      </c>
      <c r="B1903" s="196" t="inlineStr">
        <is>
          <t>CAD</t>
        </is>
      </c>
      <c r="C1903" s="196" t="inlineStr">
        <is>
          <t>CANADIAN DOLLAR</t>
        </is>
      </c>
      <c r="D1903" s="184" t="n">
        <v>18338.31</v>
      </c>
      <c r="E1903" s="184" t="n">
        <v>18523.55</v>
      </c>
      <c r="F1903" s="184" t="n">
        <v>19116.76</v>
      </c>
      <c r="G1903" s="184" t="n">
        <v>18820.16</v>
      </c>
    </row>
    <row r="1904">
      <c r="A1904" s="194" t="inlineStr">
        <is>
          <t>2026-06-13 18:00:10</t>
        </is>
      </c>
      <c r="B1904" s="194" t="inlineStr">
        <is>
          <t>CHF</t>
        </is>
      </c>
      <c r="C1904" s="194" t="inlineStr">
        <is>
          <t>SWISS FRANC</t>
        </is>
      </c>
      <c r="D1904" s="195" t="n">
        <v>32234.4</v>
      </c>
      <c r="E1904" s="195" t="n">
        <v>32560</v>
      </c>
      <c r="F1904" s="195" t="n">
        <v>33602.72</v>
      </c>
      <c r="G1904" s="195" t="n">
        <v>33081.36</v>
      </c>
    </row>
    <row r="1905">
      <c r="A1905" s="196" t="inlineStr">
        <is>
          <t>2026-06-13 18:00:10</t>
        </is>
      </c>
      <c r="B1905" s="196" t="inlineStr">
        <is>
          <t>CNY</t>
        </is>
      </c>
      <c r="C1905" s="196" t="inlineStr">
        <is>
          <t>YUAN RENMINBI</t>
        </is>
      </c>
      <c r="D1905" s="184" t="n">
        <v>3792.81</v>
      </c>
      <c r="E1905" s="184" t="n">
        <v>3831.13</v>
      </c>
      <c r="F1905" s="184" t="n">
        <v>3953.82</v>
      </c>
      <c r="G1905" s="184" t="n">
        <v>3892.48</v>
      </c>
    </row>
    <row r="1906">
      <c r="A1906" s="194" t="inlineStr">
        <is>
          <t>2026-06-13 18:00:10</t>
        </is>
      </c>
      <c r="B1906" s="194" t="inlineStr">
        <is>
          <t>DKK</t>
        </is>
      </c>
      <c r="C1906" s="194" t="inlineStr">
        <is>
          <t>DANISH KRONE</t>
        </is>
      </c>
      <c r="D1906" s="195" t="n"/>
      <c r="E1906" s="195" t="n">
        <v>4001.42</v>
      </c>
      <c r="F1906" s="195" t="n">
        <v>4154.42</v>
      </c>
      <c r="G1906" s="195" t="n">
        <v>4077.92</v>
      </c>
    </row>
    <row r="1907">
      <c r="A1907" s="196" t="inlineStr">
        <is>
          <t>2026-06-13 18:00:10</t>
        </is>
      </c>
      <c r="B1907" s="196" t="inlineStr">
        <is>
          <t>EUR</t>
        </is>
      </c>
      <c r="C1907" s="196" t="inlineStr">
        <is>
          <t>EURO</t>
        </is>
      </c>
      <c r="D1907" s="184" t="n">
        <v>29687.29</v>
      </c>
      <c r="E1907" s="184" t="n">
        <v>29987.16</v>
      </c>
      <c r="F1907" s="184" t="n">
        <v>31252.39</v>
      </c>
      <c r="G1907" s="184" t="n">
        <v>30619.78</v>
      </c>
    </row>
    <row r="1908">
      <c r="A1908" s="194" t="inlineStr">
        <is>
          <t>2026-06-13 18:00:10</t>
        </is>
      </c>
      <c r="B1908" s="194" t="inlineStr">
        <is>
          <t>GBP</t>
        </is>
      </c>
      <c r="C1908" s="194" t="inlineStr">
        <is>
          <t>POUND STERLING</t>
        </is>
      </c>
      <c r="D1908" s="195" t="n">
        <v>34391.62</v>
      </c>
      <c r="E1908" s="195" t="n">
        <v>34739.01</v>
      </c>
      <c r="F1908" s="195" t="n">
        <v>35851.52</v>
      </c>
      <c r="G1908" s="195" t="n">
        <v>35295.26</v>
      </c>
    </row>
    <row r="1909">
      <c r="A1909" s="196" t="inlineStr">
        <is>
          <t>2026-06-13 18:00:10</t>
        </is>
      </c>
      <c r="B1909" s="196" t="inlineStr">
        <is>
          <t>HKD</t>
        </is>
      </c>
      <c r="C1909" s="196" t="inlineStr">
        <is>
          <t>HONGKONG DOLLAR</t>
        </is>
      </c>
      <c r="D1909" s="184" t="n">
        <v>3262.91</v>
      </c>
      <c r="E1909" s="184" t="n">
        <v>3295.87</v>
      </c>
      <c r="F1909" s="184" t="n">
        <v>3421.9</v>
      </c>
      <c r="G1909" s="184" t="n">
        <v>3358.88</v>
      </c>
    </row>
    <row r="1910">
      <c r="A1910" s="194" t="inlineStr">
        <is>
          <t>2026-06-13 18:00:10</t>
        </is>
      </c>
      <c r="B1910" s="194" t="inlineStr">
        <is>
          <t>INR</t>
        </is>
      </c>
      <c r="C1910" s="194" t="inlineStr">
        <is>
          <t>INDIAN RUPEE</t>
        </is>
      </c>
      <c r="D1910" s="195" t="n"/>
      <c r="E1910" s="195" t="n">
        <v>275.52</v>
      </c>
      <c r="F1910" s="195" t="n">
        <v>287.38</v>
      </c>
      <c r="G1910" s="195" t="n">
        <v>281.45</v>
      </c>
    </row>
    <row r="1911">
      <c r="A1911" s="196" t="inlineStr">
        <is>
          <t>2026-06-13 18:00:10</t>
        </is>
      </c>
      <c r="B1911" s="196" t="inlineStr">
        <is>
          <t>JPY</t>
        </is>
      </c>
      <c r="C1911" s="196" t="inlineStr">
        <is>
          <t>YEN</t>
        </is>
      </c>
      <c r="D1911" s="184" t="n">
        <v>158.69</v>
      </c>
      <c r="E1911" s="184" t="n">
        <v>160.29</v>
      </c>
      <c r="F1911" s="184" t="n">
        <v>168.77</v>
      </c>
      <c r="G1911" s="184" t="n">
        <v>164.53</v>
      </c>
    </row>
    <row r="1912">
      <c r="A1912" s="194" t="inlineStr">
        <is>
          <t>2026-06-13 18:00:10</t>
        </is>
      </c>
      <c r="B1912" s="194" t="inlineStr">
        <is>
          <t>KRW</t>
        </is>
      </c>
      <c r="C1912" s="194" t="inlineStr">
        <is>
          <t>KOREAN WON</t>
        </is>
      </c>
      <c r="D1912" s="195" t="n">
        <v>15.01</v>
      </c>
      <c r="E1912" s="195" t="n">
        <v>16.68</v>
      </c>
      <c r="F1912" s="195" t="n">
        <v>18.1</v>
      </c>
      <c r="G1912" s="195" t="n">
        <v>17.39</v>
      </c>
    </row>
    <row r="1913">
      <c r="A1913" s="196" t="inlineStr">
        <is>
          <t>2026-06-13 18:00:10</t>
        </is>
      </c>
      <c r="B1913" s="196" t="inlineStr">
        <is>
          <t>KWD</t>
        </is>
      </c>
      <c r="C1913" s="196" t="inlineStr">
        <is>
          <t>KUWAITI DINAR</t>
        </is>
      </c>
      <c r="D1913" s="184" t="n"/>
      <c r="E1913" s="184" t="n">
        <v>85153.66</v>
      </c>
      <c r="F1913" s="184" t="n">
        <v>89280.87</v>
      </c>
      <c r="G1913" s="184" t="n">
        <v>87217.25999999999</v>
      </c>
    </row>
    <row r="1914">
      <c r="A1914" s="194" t="inlineStr">
        <is>
          <t>2026-06-13 18:00:10</t>
        </is>
      </c>
      <c r="B1914" s="194" t="inlineStr">
        <is>
          <t>MYR</t>
        </is>
      </c>
      <c r="C1914" s="194" t="inlineStr">
        <is>
          <t>MALAYSIAN RINGGIT</t>
        </is>
      </c>
      <c r="D1914" s="195" t="n"/>
      <c r="E1914" s="195" t="n">
        <v>6419.16</v>
      </c>
      <c r="F1914" s="195" t="n">
        <v>6558.81</v>
      </c>
      <c r="G1914" s="195" t="n">
        <v>6488.98</v>
      </c>
    </row>
    <row r="1915">
      <c r="A1915" s="196" t="inlineStr">
        <is>
          <t>2026-06-13 18:00:10</t>
        </is>
      </c>
      <c r="B1915" s="196" t="inlineStr">
        <is>
          <t>NOK</t>
        </is>
      </c>
      <c r="C1915" s="196" t="inlineStr">
        <is>
          <t>NORWEGIAN KRONER</t>
        </is>
      </c>
      <c r="D1915" s="184" t="n"/>
      <c r="E1915" s="184" t="n">
        <v>2702.44</v>
      </c>
      <c r="F1915" s="184" t="n">
        <v>2817.02</v>
      </c>
      <c r="G1915" s="184" t="n">
        <v>2759.73</v>
      </c>
    </row>
    <row r="1916">
      <c r="A1916" s="194" t="inlineStr">
        <is>
          <t>2026-06-13 18:00:10</t>
        </is>
      </c>
      <c r="B1916" s="194" t="inlineStr">
        <is>
          <t>RUB</t>
        </is>
      </c>
      <c r="C1916" s="194" t="inlineStr">
        <is>
          <t>RUSSIAN RUBLE</t>
        </is>
      </c>
      <c r="D1916" s="195" t="n"/>
      <c r="E1916" s="195" t="n">
        <v>344.64</v>
      </c>
      <c r="F1916" s="195" t="n">
        <v>381.5</v>
      </c>
      <c r="G1916" s="195" t="n">
        <v>363.07</v>
      </c>
    </row>
    <row r="1917">
      <c r="A1917" s="196" t="inlineStr">
        <is>
          <t>2026-06-13 18:00:10</t>
        </is>
      </c>
      <c r="B1917" s="196" t="inlineStr">
        <is>
          <t>SAR</t>
        </is>
      </c>
      <c r="C1917" s="196" t="inlineStr">
        <is>
          <t>SAUDI RIAL</t>
        </is>
      </c>
      <c r="D1917" s="184" t="n"/>
      <c r="E1917" s="184" t="n">
        <v>6968.54</v>
      </c>
      <c r="F1917" s="184" t="n">
        <v>7268.43</v>
      </c>
      <c r="G1917" s="184" t="n">
        <v>7118.48</v>
      </c>
    </row>
    <row r="1918">
      <c r="A1918" s="194" t="inlineStr">
        <is>
          <t>2026-06-13 18:00:10</t>
        </is>
      </c>
      <c r="B1918" s="194" t="inlineStr">
        <is>
          <t>SEK</t>
        </is>
      </c>
      <c r="C1918" s="194" t="inlineStr">
        <is>
          <t>SWEDISH KRONA</t>
        </is>
      </c>
      <c r="D1918" s="195" t="n"/>
      <c r="E1918" s="195" t="n">
        <v>2735.36</v>
      </c>
      <c r="F1918" s="195" t="n">
        <v>2851.34</v>
      </c>
      <c r="G1918" s="195" t="n">
        <v>2793.35</v>
      </c>
    </row>
    <row r="1919">
      <c r="A1919" s="196" t="inlineStr">
        <is>
          <t>2026-06-13 18:00:10</t>
        </is>
      </c>
      <c r="B1919" s="196" t="inlineStr">
        <is>
          <t>SGD</t>
        </is>
      </c>
      <c r="C1919" s="196" t="inlineStr">
        <is>
          <t>SINGAPORE DOLLAR</t>
        </is>
      </c>
      <c r="D1919" s="184" t="n">
        <v>19969.77</v>
      </c>
      <c r="E1919" s="184" t="n">
        <v>20171.49</v>
      </c>
      <c r="F1919" s="184" t="n">
        <v>20859.16</v>
      </c>
      <c r="G1919" s="184" t="n">
        <v>20515.32</v>
      </c>
    </row>
    <row r="1920">
      <c r="A1920" s="194" t="inlineStr">
        <is>
          <t>2026-06-13 18:00:10</t>
        </is>
      </c>
      <c r="B1920" s="194" t="inlineStr">
        <is>
          <t>THB</t>
        </is>
      </c>
      <c r="C1920" s="194" t="inlineStr">
        <is>
          <t>THAILAND BAHT</t>
        </is>
      </c>
      <c r="D1920" s="195" t="n">
        <v>710.91</v>
      </c>
      <c r="E1920" s="195" t="n">
        <v>789.9</v>
      </c>
      <c r="F1920" s="195" t="n">
        <v>823.39</v>
      </c>
      <c r="G1920" s="195" t="n">
        <v>806.64</v>
      </c>
    </row>
    <row r="1921">
      <c r="A1921" s="196" t="inlineStr">
        <is>
          <t>2026-06-13 18:00:10</t>
        </is>
      </c>
      <c r="B1921" s="196" t="inlineStr">
        <is>
          <t>USD</t>
        </is>
      </c>
      <c r="C1921" s="196" t="inlineStr">
        <is>
          <t>US DOLLAR</t>
        </is>
      </c>
      <c r="D1921" s="184" t="n">
        <v>26092</v>
      </c>
      <c r="E1921" s="184" t="n">
        <v>26122</v>
      </c>
      <c r="F1921" s="184" t="n">
        <v>26412</v>
      </c>
      <c r="G1921" s="184" t="n">
        <v>26267</v>
      </c>
    </row>
    <row r="1922">
      <c r="A1922" s="194" t="inlineStr">
        <is>
          <t>2026-06-12 18:00:09</t>
        </is>
      </c>
      <c r="B1922" s="194" t="inlineStr">
        <is>
          <t>AUD</t>
        </is>
      </c>
      <c r="C1922" s="194" t="inlineStr">
        <is>
          <t>AUSTRALIAN DOLLAR</t>
        </is>
      </c>
      <c r="D1922" s="195" t="n">
        <v>18061.05</v>
      </c>
      <c r="E1922" s="195" t="n">
        <v>18243.49</v>
      </c>
      <c r="F1922" s="195" t="n">
        <v>18827.73</v>
      </c>
      <c r="G1922" s="195" t="n">
        <v>18535.61</v>
      </c>
    </row>
    <row r="1923">
      <c r="A1923" s="196" t="inlineStr">
        <is>
          <t>2026-06-12 18:00:09</t>
        </is>
      </c>
      <c r="B1923" s="196" t="inlineStr">
        <is>
          <t>CAD</t>
        </is>
      </c>
      <c r="C1923" s="196" t="inlineStr">
        <is>
          <t>CANADIAN DOLLAR</t>
        </is>
      </c>
      <c r="D1923" s="184" t="n">
        <v>18338.31</v>
      </c>
      <c r="E1923" s="184" t="n">
        <v>18523.55</v>
      </c>
      <c r="F1923" s="184" t="n">
        <v>19116.76</v>
      </c>
      <c r="G1923" s="184" t="n">
        <v>18820.16</v>
      </c>
    </row>
    <row r="1924">
      <c r="A1924" s="194" t="inlineStr">
        <is>
          <t>2026-06-12 18:00:09</t>
        </is>
      </c>
      <c r="B1924" s="194" t="inlineStr">
        <is>
          <t>CHF</t>
        </is>
      </c>
      <c r="C1924" s="194" t="inlineStr">
        <is>
          <t>SWISS FRANC</t>
        </is>
      </c>
      <c r="D1924" s="195" t="n">
        <v>32234.4</v>
      </c>
      <c r="E1924" s="195" t="n">
        <v>32560</v>
      </c>
      <c r="F1924" s="195" t="n">
        <v>33602.72</v>
      </c>
      <c r="G1924" s="195" t="n">
        <v>33081.36</v>
      </c>
    </row>
    <row r="1925">
      <c r="A1925" s="196" t="inlineStr">
        <is>
          <t>2026-06-12 18:00:09</t>
        </is>
      </c>
      <c r="B1925" s="196" t="inlineStr">
        <is>
          <t>CNY</t>
        </is>
      </c>
      <c r="C1925" s="196" t="inlineStr">
        <is>
          <t>YUAN RENMINBI</t>
        </is>
      </c>
      <c r="D1925" s="184" t="n">
        <v>3792.81</v>
      </c>
      <c r="E1925" s="184" t="n">
        <v>3831.13</v>
      </c>
      <c r="F1925" s="184" t="n">
        <v>3953.82</v>
      </c>
      <c r="G1925" s="184" t="n">
        <v>3892.48</v>
      </c>
    </row>
    <row r="1926">
      <c r="A1926" s="194" t="inlineStr">
        <is>
          <t>2026-06-12 18:00:09</t>
        </is>
      </c>
      <c r="B1926" s="194" t="inlineStr">
        <is>
          <t>DKK</t>
        </is>
      </c>
      <c r="C1926" s="194" t="inlineStr">
        <is>
          <t>DANISH KRONE</t>
        </is>
      </c>
      <c r="D1926" s="195" t="n"/>
      <c r="E1926" s="195" t="n">
        <v>4001.42</v>
      </c>
      <c r="F1926" s="195" t="n">
        <v>4154.42</v>
      </c>
      <c r="G1926" s="195" t="n">
        <v>4077.92</v>
      </c>
    </row>
    <row r="1927">
      <c r="A1927" s="196" t="inlineStr">
        <is>
          <t>2026-06-12 18:00:09</t>
        </is>
      </c>
      <c r="B1927" s="196" t="inlineStr">
        <is>
          <t>EUR</t>
        </is>
      </c>
      <c r="C1927" s="196" t="inlineStr">
        <is>
          <t>EURO</t>
        </is>
      </c>
      <c r="D1927" s="184" t="n">
        <v>29687.29</v>
      </c>
      <c r="E1927" s="184" t="n">
        <v>29987.16</v>
      </c>
      <c r="F1927" s="184" t="n">
        <v>31252.39</v>
      </c>
      <c r="G1927" s="184" t="n">
        <v>30619.78</v>
      </c>
    </row>
    <row r="1928">
      <c r="A1928" s="194" t="inlineStr">
        <is>
          <t>2026-06-12 18:00:09</t>
        </is>
      </c>
      <c r="B1928" s="194" t="inlineStr">
        <is>
          <t>GBP</t>
        </is>
      </c>
      <c r="C1928" s="194" t="inlineStr">
        <is>
          <t>POUND STERLING</t>
        </is>
      </c>
      <c r="D1928" s="195" t="n">
        <v>34391.62</v>
      </c>
      <c r="E1928" s="195" t="n">
        <v>34739.01</v>
      </c>
      <c r="F1928" s="195" t="n">
        <v>35851.52</v>
      </c>
      <c r="G1928" s="195" t="n">
        <v>35295.26</v>
      </c>
    </row>
    <row r="1929">
      <c r="A1929" s="196" t="inlineStr">
        <is>
          <t>2026-06-12 18:00:09</t>
        </is>
      </c>
      <c r="B1929" s="196" t="inlineStr">
        <is>
          <t>HKD</t>
        </is>
      </c>
      <c r="C1929" s="196" t="inlineStr">
        <is>
          <t>HONGKONG DOLLAR</t>
        </is>
      </c>
      <c r="D1929" s="184" t="n">
        <v>3262.91</v>
      </c>
      <c r="E1929" s="184" t="n">
        <v>3295.87</v>
      </c>
      <c r="F1929" s="184" t="n">
        <v>3421.9</v>
      </c>
      <c r="G1929" s="184" t="n">
        <v>3358.88</v>
      </c>
    </row>
    <row r="1930">
      <c r="A1930" s="194" t="inlineStr">
        <is>
          <t>2026-06-12 18:00:09</t>
        </is>
      </c>
      <c r="B1930" s="194" t="inlineStr">
        <is>
          <t>INR</t>
        </is>
      </c>
      <c r="C1930" s="194" t="inlineStr">
        <is>
          <t>INDIAN RUPEE</t>
        </is>
      </c>
      <c r="D1930" s="195" t="n"/>
      <c r="E1930" s="195" t="n">
        <v>275.52</v>
      </c>
      <c r="F1930" s="195" t="n">
        <v>287.38</v>
      </c>
      <c r="G1930" s="195" t="n">
        <v>281.45</v>
      </c>
    </row>
    <row r="1931">
      <c r="A1931" s="196" t="inlineStr">
        <is>
          <t>2026-06-12 18:00:09</t>
        </is>
      </c>
      <c r="B1931" s="196" t="inlineStr">
        <is>
          <t>JPY</t>
        </is>
      </c>
      <c r="C1931" s="196" t="inlineStr">
        <is>
          <t>YEN</t>
        </is>
      </c>
      <c r="D1931" s="184" t="n">
        <v>158.69</v>
      </c>
      <c r="E1931" s="184" t="n">
        <v>160.29</v>
      </c>
      <c r="F1931" s="184" t="n">
        <v>168.77</v>
      </c>
      <c r="G1931" s="184" t="n">
        <v>164.53</v>
      </c>
    </row>
    <row r="1932">
      <c r="A1932" s="194" t="inlineStr">
        <is>
          <t>2026-06-12 18:00:09</t>
        </is>
      </c>
      <c r="B1932" s="194" t="inlineStr">
        <is>
          <t>KRW</t>
        </is>
      </c>
      <c r="C1932" s="194" t="inlineStr">
        <is>
          <t>KOREAN WON</t>
        </is>
      </c>
      <c r="D1932" s="195" t="n">
        <v>15.01</v>
      </c>
      <c r="E1932" s="195" t="n">
        <v>16.68</v>
      </c>
      <c r="F1932" s="195" t="n">
        <v>18.1</v>
      </c>
      <c r="G1932" s="195" t="n">
        <v>17.39</v>
      </c>
    </row>
    <row r="1933">
      <c r="A1933" s="196" t="inlineStr">
        <is>
          <t>2026-06-12 18:00:09</t>
        </is>
      </c>
      <c r="B1933" s="196" t="inlineStr">
        <is>
          <t>KWD</t>
        </is>
      </c>
      <c r="C1933" s="196" t="inlineStr">
        <is>
          <t>KUWAITI DINAR</t>
        </is>
      </c>
      <c r="D1933" s="184" t="n"/>
      <c r="E1933" s="184" t="n">
        <v>85153.66</v>
      </c>
      <c r="F1933" s="184" t="n">
        <v>89280.87</v>
      </c>
      <c r="G1933" s="184" t="n">
        <v>87217.25999999999</v>
      </c>
    </row>
    <row r="1934">
      <c r="A1934" s="194" t="inlineStr">
        <is>
          <t>2026-06-12 18:00:09</t>
        </is>
      </c>
      <c r="B1934" s="194" t="inlineStr">
        <is>
          <t>MYR</t>
        </is>
      </c>
      <c r="C1934" s="194" t="inlineStr">
        <is>
          <t>MALAYSIAN RINGGIT</t>
        </is>
      </c>
      <c r="D1934" s="195" t="n"/>
      <c r="E1934" s="195" t="n">
        <v>6419.16</v>
      </c>
      <c r="F1934" s="195" t="n">
        <v>6558.81</v>
      </c>
      <c r="G1934" s="195" t="n">
        <v>6488.98</v>
      </c>
    </row>
    <row r="1935">
      <c r="A1935" s="196" t="inlineStr">
        <is>
          <t>2026-06-12 18:00:09</t>
        </is>
      </c>
      <c r="B1935" s="196" t="inlineStr">
        <is>
          <t>NOK</t>
        </is>
      </c>
      <c r="C1935" s="196" t="inlineStr">
        <is>
          <t>NORWEGIAN KRONER</t>
        </is>
      </c>
      <c r="D1935" s="184" t="n"/>
      <c r="E1935" s="184" t="n">
        <v>2702.44</v>
      </c>
      <c r="F1935" s="184" t="n">
        <v>2817.02</v>
      </c>
      <c r="G1935" s="184" t="n">
        <v>2759.73</v>
      </c>
    </row>
    <row r="1936">
      <c r="A1936" s="194" t="inlineStr">
        <is>
          <t>2026-06-12 18:00:09</t>
        </is>
      </c>
      <c r="B1936" s="194" t="inlineStr">
        <is>
          <t>RUB</t>
        </is>
      </c>
      <c r="C1936" s="194" t="inlineStr">
        <is>
          <t>RUSSIAN RUBLE</t>
        </is>
      </c>
      <c r="D1936" s="195" t="n"/>
      <c r="E1936" s="195" t="n">
        <v>344.64</v>
      </c>
      <c r="F1936" s="195" t="n">
        <v>381.5</v>
      </c>
      <c r="G1936" s="195" t="n">
        <v>363.07</v>
      </c>
    </row>
    <row r="1937">
      <c r="A1937" s="196" t="inlineStr">
        <is>
          <t>2026-06-12 18:00:09</t>
        </is>
      </c>
      <c r="B1937" s="196" t="inlineStr">
        <is>
          <t>SAR</t>
        </is>
      </c>
      <c r="C1937" s="196" t="inlineStr">
        <is>
          <t>SAUDI RIAL</t>
        </is>
      </c>
      <c r="D1937" s="184" t="n"/>
      <c r="E1937" s="184" t="n">
        <v>6968.54</v>
      </c>
      <c r="F1937" s="184" t="n">
        <v>7268.43</v>
      </c>
      <c r="G1937" s="184" t="n">
        <v>7118.48</v>
      </c>
    </row>
    <row r="1938">
      <c r="A1938" s="194" t="inlineStr">
        <is>
          <t>2026-06-12 18:00:09</t>
        </is>
      </c>
      <c r="B1938" s="194" t="inlineStr">
        <is>
          <t>SEK</t>
        </is>
      </c>
      <c r="C1938" s="194" t="inlineStr">
        <is>
          <t>SWEDISH KRONA</t>
        </is>
      </c>
      <c r="D1938" s="195" t="n"/>
      <c r="E1938" s="195" t="n">
        <v>2735.36</v>
      </c>
      <c r="F1938" s="195" t="n">
        <v>2851.34</v>
      </c>
      <c r="G1938" s="195" t="n">
        <v>2793.35</v>
      </c>
    </row>
    <row r="1939">
      <c r="A1939" s="196" t="inlineStr">
        <is>
          <t>2026-06-12 18:00:09</t>
        </is>
      </c>
      <c r="B1939" s="196" t="inlineStr">
        <is>
          <t>SGD</t>
        </is>
      </c>
      <c r="C1939" s="196" t="inlineStr">
        <is>
          <t>SINGAPORE DOLLAR</t>
        </is>
      </c>
      <c r="D1939" s="184" t="n">
        <v>19969.77</v>
      </c>
      <c r="E1939" s="184" t="n">
        <v>20171.49</v>
      </c>
      <c r="F1939" s="184" t="n">
        <v>20859.16</v>
      </c>
      <c r="G1939" s="184" t="n">
        <v>20515.32</v>
      </c>
    </row>
    <row r="1940">
      <c r="A1940" s="194" t="inlineStr">
        <is>
          <t>2026-06-12 18:00:09</t>
        </is>
      </c>
      <c r="B1940" s="194" t="inlineStr">
        <is>
          <t>THB</t>
        </is>
      </c>
      <c r="C1940" s="194" t="inlineStr">
        <is>
          <t>THAILAND BAHT</t>
        </is>
      </c>
      <c r="D1940" s="195" t="n">
        <v>710.91</v>
      </c>
      <c r="E1940" s="195" t="n">
        <v>789.9</v>
      </c>
      <c r="F1940" s="195" t="n">
        <v>823.39</v>
      </c>
      <c r="G1940" s="195" t="n">
        <v>806.64</v>
      </c>
    </row>
    <row r="1941">
      <c r="A1941" s="196" t="inlineStr">
        <is>
          <t>2026-06-12 18:00:09</t>
        </is>
      </c>
      <c r="B1941" s="196" t="inlineStr">
        <is>
          <t>USD</t>
        </is>
      </c>
      <c r="C1941" s="196" t="inlineStr">
        <is>
          <t>US DOLLAR</t>
        </is>
      </c>
      <c r="D1941" s="184" t="n">
        <v>26092</v>
      </c>
      <c r="E1941" s="184" t="n">
        <v>26122</v>
      </c>
      <c r="F1941" s="184" t="n">
        <v>26412</v>
      </c>
      <c r="G1941" s="184" t="n">
        <v>26267</v>
      </c>
    </row>
    <row r="1942">
      <c r="A1942" s="194" t="inlineStr">
        <is>
          <t>2026-06-11 18:00:15</t>
        </is>
      </c>
      <c r="B1942" s="194" t="inlineStr">
        <is>
          <t>AUD</t>
        </is>
      </c>
      <c r="C1942" s="194" t="inlineStr">
        <is>
          <t>AUSTRALIAN DOLLAR</t>
        </is>
      </c>
      <c r="D1942" s="195" t="n">
        <v>17939.69</v>
      </c>
      <c r="E1942" s="195" t="n">
        <v>18120.9</v>
      </c>
      <c r="F1942" s="195" t="n">
        <v>18701.2</v>
      </c>
      <c r="G1942" s="195" t="n">
        <v>18411.05</v>
      </c>
    </row>
    <row r="1943">
      <c r="A1943" s="196" t="inlineStr">
        <is>
          <t>2026-06-11 18:00:15</t>
        </is>
      </c>
      <c r="B1943" s="196" t="inlineStr">
        <is>
          <t>CAD</t>
        </is>
      </c>
      <c r="C1943" s="196" t="inlineStr">
        <is>
          <t>CANADIAN DOLLAR</t>
        </is>
      </c>
      <c r="D1943" s="184" t="n">
        <v>18400.56</v>
      </c>
      <c r="E1943" s="184" t="n">
        <v>18586.42</v>
      </c>
      <c r="F1943" s="184" t="n">
        <v>19181.63</v>
      </c>
      <c r="G1943" s="184" t="n">
        <v>18884.03</v>
      </c>
    </row>
    <row r="1944">
      <c r="A1944" s="194" t="inlineStr">
        <is>
          <t>2026-06-11 18:00:15</t>
        </is>
      </c>
      <c r="B1944" s="194" t="inlineStr">
        <is>
          <t>CHF</t>
        </is>
      </c>
      <c r="C1944" s="194" t="inlineStr">
        <is>
          <t>SWISS FRANC</t>
        </is>
      </c>
      <c r="D1944" s="195" t="n">
        <v>32097.37</v>
      </c>
      <c r="E1944" s="195" t="n">
        <v>32421.58</v>
      </c>
      <c r="F1944" s="195" t="n">
        <v>33459.86</v>
      </c>
      <c r="G1944" s="195" t="n">
        <v>32940.72</v>
      </c>
    </row>
    <row r="1945">
      <c r="A1945" s="196" t="inlineStr">
        <is>
          <t>2026-06-11 18:00:15</t>
        </is>
      </c>
      <c r="B1945" s="196" t="inlineStr">
        <is>
          <t>CNY</t>
        </is>
      </c>
      <c r="C1945" s="196" t="inlineStr">
        <is>
          <t>YUAN RENMINBI</t>
        </is>
      </c>
      <c r="D1945" s="184" t="n">
        <v>3786.58</v>
      </c>
      <c r="E1945" s="184" t="n">
        <v>3824.83</v>
      </c>
      <c r="F1945" s="184" t="n">
        <v>3947.32</v>
      </c>
      <c r="G1945" s="184" t="n">
        <v>3886.08</v>
      </c>
    </row>
    <row r="1946">
      <c r="A1946" s="194" t="inlineStr">
        <is>
          <t>2026-06-11 18:00:15</t>
        </is>
      </c>
      <c r="B1946" s="194" t="inlineStr">
        <is>
          <t>DKK</t>
        </is>
      </c>
      <c r="C1946" s="194" t="inlineStr">
        <is>
          <t>DANISH KRONE</t>
        </is>
      </c>
      <c r="D1946" s="195" t="n"/>
      <c r="E1946" s="195" t="n">
        <v>3989.09</v>
      </c>
      <c r="F1946" s="195" t="n">
        <v>4141.62</v>
      </c>
      <c r="G1946" s="195" t="n">
        <v>4065.36</v>
      </c>
    </row>
    <row r="1947">
      <c r="A1947" s="196" t="inlineStr">
        <is>
          <t>2026-06-11 18:00:15</t>
        </is>
      </c>
      <c r="B1947" s="196" t="inlineStr">
        <is>
          <t>EUR</t>
        </is>
      </c>
      <c r="C1947" s="196" t="inlineStr">
        <is>
          <t>EURO</t>
        </is>
      </c>
      <c r="D1947" s="184" t="n">
        <v>29593.43</v>
      </c>
      <c r="E1947" s="184" t="n">
        <v>29892.36</v>
      </c>
      <c r="F1947" s="184" t="n">
        <v>31153.57</v>
      </c>
      <c r="G1947" s="184" t="n">
        <v>30522.96</v>
      </c>
    </row>
    <row r="1948">
      <c r="A1948" s="194" t="inlineStr">
        <is>
          <t>2026-06-11 18:00:15</t>
        </is>
      </c>
      <c r="B1948" s="194" t="inlineStr">
        <is>
          <t>GBP</t>
        </is>
      </c>
      <c r="C1948" s="194" t="inlineStr">
        <is>
          <t>POUND STERLING</t>
        </is>
      </c>
      <c r="D1948" s="195" t="n">
        <v>34281.6</v>
      </c>
      <c r="E1948" s="195" t="n">
        <v>34627.88</v>
      </c>
      <c r="F1948" s="195" t="n">
        <v>35736.81</v>
      </c>
      <c r="G1948" s="195" t="n">
        <v>35182.34</v>
      </c>
    </row>
    <row r="1949">
      <c r="A1949" s="196" t="inlineStr">
        <is>
          <t>2026-06-11 18:00:15</t>
        </is>
      </c>
      <c r="B1949" s="196" t="inlineStr">
        <is>
          <t>HKD</t>
        </is>
      </c>
      <c r="C1949" s="196" t="inlineStr">
        <is>
          <t>HONGKONG DOLLAR</t>
        </is>
      </c>
      <c r="D1949" s="184" t="n">
        <v>3264.2</v>
      </c>
      <c r="E1949" s="184" t="n">
        <v>3297.17</v>
      </c>
      <c r="F1949" s="184" t="n">
        <v>3423.24</v>
      </c>
      <c r="G1949" s="184" t="n">
        <v>3360.2</v>
      </c>
    </row>
    <row r="1950">
      <c r="A1950" s="194" t="inlineStr">
        <is>
          <t>2026-06-11 18:00:15</t>
        </is>
      </c>
      <c r="B1950" s="194" t="inlineStr">
        <is>
          <t>INR</t>
        </is>
      </c>
      <c r="C1950" s="194" t="inlineStr">
        <is>
          <t>INDIAN RUPEE</t>
        </is>
      </c>
      <c r="D1950" s="195" t="n"/>
      <c r="E1950" s="195" t="n">
        <v>274.7</v>
      </c>
      <c r="F1950" s="195" t="n">
        <v>286.52</v>
      </c>
      <c r="G1950" s="195" t="n">
        <v>280.61</v>
      </c>
    </row>
    <row r="1951">
      <c r="A1951" s="196" t="inlineStr">
        <is>
          <t>2026-06-11 18:00:15</t>
        </is>
      </c>
      <c r="B1951" s="196" t="inlineStr">
        <is>
          <t>JPY</t>
        </is>
      </c>
      <c r="C1951" s="196" t="inlineStr">
        <is>
          <t>YEN</t>
        </is>
      </c>
      <c r="D1951" s="184" t="n">
        <v>158.25</v>
      </c>
      <c r="E1951" s="184" t="n">
        <v>159.85</v>
      </c>
      <c r="F1951" s="184" t="n">
        <v>168.3</v>
      </c>
      <c r="G1951" s="184" t="n">
        <v>164.08</v>
      </c>
    </row>
    <row r="1952">
      <c r="A1952" s="194" t="inlineStr">
        <is>
          <t>2026-06-11 18:00:15</t>
        </is>
      </c>
      <c r="B1952" s="194" t="inlineStr">
        <is>
          <t>KRW</t>
        </is>
      </c>
      <c r="C1952" s="194" t="inlineStr">
        <is>
          <t>KOREAN WON</t>
        </is>
      </c>
      <c r="D1952" s="195" t="n">
        <v>14.92</v>
      </c>
      <c r="E1952" s="195" t="n">
        <v>16.58</v>
      </c>
      <c r="F1952" s="195" t="n">
        <v>17.99</v>
      </c>
      <c r="G1952" s="195" t="n">
        <v>17.28</v>
      </c>
    </row>
    <row r="1953">
      <c r="A1953" s="196" t="inlineStr">
        <is>
          <t>2026-06-11 18:00:15</t>
        </is>
      </c>
      <c r="B1953" s="196" t="inlineStr">
        <is>
          <t>KWD</t>
        </is>
      </c>
      <c r="C1953" s="196" t="inlineStr">
        <is>
          <t>KUWAITI DINAR</t>
        </is>
      </c>
      <c r="D1953" s="184" t="n"/>
      <c r="E1953" s="184" t="n">
        <v>85186.05</v>
      </c>
      <c r="F1953" s="184" t="n">
        <v>89314.78</v>
      </c>
      <c r="G1953" s="184" t="n">
        <v>87250.42</v>
      </c>
    </row>
    <row r="1954">
      <c r="A1954" s="194" t="inlineStr">
        <is>
          <t>2026-06-11 18:00:15</t>
        </is>
      </c>
      <c r="B1954" s="194" t="inlineStr">
        <is>
          <t>MYR</t>
        </is>
      </c>
      <c r="C1954" s="194" t="inlineStr">
        <is>
          <t>MALAYSIAN RINGGIT</t>
        </is>
      </c>
      <c r="D1954" s="195" t="n"/>
      <c r="E1954" s="195" t="n">
        <v>6393.22</v>
      </c>
      <c r="F1954" s="195" t="n">
        <v>6532.3</v>
      </c>
      <c r="G1954" s="195" t="n">
        <v>6462.76</v>
      </c>
    </row>
    <row r="1955">
      <c r="A1955" s="196" t="inlineStr">
        <is>
          <t>2026-06-11 18:00:15</t>
        </is>
      </c>
      <c r="B1955" s="196" t="inlineStr">
        <is>
          <t>NOK</t>
        </is>
      </c>
      <c r="C1955" s="196" t="inlineStr">
        <is>
          <t>NORWEGIAN KRONER</t>
        </is>
      </c>
      <c r="D1955" s="184" t="n"/>
      <c r="E1955" s="184" t="n">
        <v>2723.92</v>
      </c>
      <c r="F1955" s="184" t="n">
        <v>2839.41</v>
      </c>
      <c r="G1955" s="184" t="n">
        <v>2781.66</v>
      </c>
    </row>
    <row r="1956">
      <c r="A1956" s="194" t="inlineStr">
        <is>
          <t>2026-06-11 18:00:15</t>
        </is>
      </c>
      <c r="B1956" s="194" t="inlineStr">
        <is>
          <t>RUB</t>
        </is>
      </c>
      <c r="C1956" s="194" t="inlineStr">
        <is>
          <t>RUSSIAN RUBLE</t>
        </is>
      </c>
      <c r="D1956" s="195" t="n"/>
      <c r="E1956" s="195" t="n">
        <v>346.7</v>
      </c>
      <c r="F1956" s="195" t="n">
        <v>383.78</v>
      </c>
      <c r="G1956" s="195" t="n">
        <v>365.24</v>
      </c>
    </row>
    <row r="1957">
      <c r="A1957" s="196" t="inlineStr">
        <is>
          <t>2026-06-11 18:00:15</t>
        </is>
      </c>
      <c r="B1957" s="196" t="inlineStr">
        <is>
          <t>SAR</t>
        </is>
      </c>
      <c r="C1957" s="196" t="inlineStr">
        <is>
          <t>SAUDI RIAL</t>
        </is>
      </c>
      <c r="D1957" s="184" t="n"/>
      <c r="E1957" s="184" t="n">
        <v>6971.93</v>
      </c>
      <c r="F1957" s="184" t="n">
        <v>7271.97</v>
      </c>
      <c r="G1957" s="184" t="n">
        <v>7121.95</v>
      </c>
    </row>
    <row r="1958">
      <c r="A1958" s="194" t="inlineStr">
        <is>
          <t>2026-06-11 18:00:15</t>
        </is>
      </c>
      <c r="B1958" s="194" t="inlineStr">
        <is>
          <t>SEK</t>
        </is>
      </c>
      <c r="C1958" s="194" t="inlineStr">
        <is>
          <t>SWEDISH KRONA</t>
        </is>
      </c>
      <c r="D1958" s="195" t="n"/>
      <c r="E1958" s="195" t="n">
        <v>2712.03</v>
      </c>
      <c r="F1958" s="195" t="n">
        <v>2827.01</v>
      </c>
      <c r="G1958" s="195" t="n">
        <v>2769.52</v>
      </c>
    </row>
    <row r="1959">
      <c r="A1959" s="196" t="inlineStr">
        <is>
          <t>2026-06-11 18:00:15</t>
        </is>
      </c>
      <c r="B1959" s="196" t="inlineStr">
        <is>
          <t>SGD</t>
        </is>
      </c>
      <c r="C1959" s="196" t="inlineStr">
        <is>
          <t>SINGAPORE DOLLAR</t>
        </is>
      </c>
      <c r="D1959" s="184" t="n">
        <v>19905.99</v>
      </c>
      <c r="E1959" s="184" t="n">
        <v>20107.06</v>
      </c>
      <c r="F1959" s="184" t="n">
        <v>20792.52</v>
      </c>
      <c r="G1959" s="184" t="n">
        <v>20449.79</v>
      </c>
    </row>
    <row r="1960">
      <c r="A1960" s="194" t="inlineStr">
        <is>
          <t>2026-06-11 18:00:15</t>
        </is>
      </c>
      <c r="B1960" s="194" t="inlineStr">
        <is>
          <t>THB</t>
        </is>
      </c>
      <c r="C1960" s="194" t="inlineStr">
        <is>
          <t>THAILAND BAHT</t>
        </is>
      </c>
      <c r="D1960" s="195" t="n">
        <v>704.7</v>
      </c>
      <c r="E1960" s="195" t="n">
        <v>783</v>
      </c>
      <c r="F1960" s="195" t="n">
        <v>816.2</v>
      </c>
      <c r="G1960" s="195" t="n">
        <v>799.6</v>
      </c>
    </row>
    <row r="1961">
      <c r="A1961" s="196" t="inlineStr">
        <is>
          <t>2026-06-11 18:00:15</t>
        </is>
      </c>
      <c r="B1961" s="196" t="inlineStr">
        <is>
          <t>USD</t>
        </is>
      </c>
      <c r="C1961" s="196" t="inlineStr">
        <is>
          <t>US DOLLAR</t>
        </is>
      </c>
      <c r="D1961" s="184" t="n">
        <v>26100</v>
      </c>
      <c r="E1961" s="184" t="n">
        <v>26130</v>
      </c>
      <c r="F1961" s="184" t="n">
        <v>26410</v>
      </c>
      <c r="G1961" s="184" t="n">
        <v>26270</v>
      </c>
    </row>
    <row r="1962">
      <c r="A1962" s="194" t="inlineStr">
        <is>
          <t>2026-06-10 18:00:08</t>
        </is>
      </c>
      <c r="B1962" s="194" t="inlineStr">
        <is>
          <t>AUD</t>
        </is>
      </c>
      <c r="C1962" s="194" t="inlineStr">
        <is>
          <t>AUSTRALIAN DOLLAR</t>
        </is>
      </c>
      <c r="D1962" s="195" t="n">
        <v>18005.52</v>
      </c>
      <c r="E1962" s="195" t="n">
        <v>18187.39</v>
      </c>
      <c r="F1962" s="195" t="n">
        <v>18769.82</v>
      </c>
      <c r="G1962" s="195" t="n">
        <v>18478.6</v>
      </c>
    </row>
    <row r="1963">
      <c r="A1963" s="196" t="inlineStr">
        <is>
          <t>2026-06-10 18:00:08</t>
        </is>
      </c>
      <c r="B1963" s="196" t="inlineStr">
        <is>
          <t>CAD</t>
        </is>
      </c>
      <c r="C1963" s="196" t="inlineStr">
        <is>
          <t>CANADIAN DOLLAR</t>
        </is>
      </c>
      <c r="D1963" s="184" t="n">
        <v>18390.4</v>
      </c>
      <c r="E1963" s="184" t="n">
        <v>18576.17</v>
      </c>
      <c r="F1963" s="184" t="n">
        <v>19171.04</v>
      </c>
      <c r="G1963" s="184" t="n">
        <v>18873.6</v>
      </c>
    </row>
    <row r="1964">
      <c r="A1964" s="194" t="inlineStr">
        <is>
          <t>2026-06-10 18:00:08</t>
        </is>
      </c>
      <c r="B1964" s="194" t="inlineStr">
        <is>
          <t>CHF</t>
        </is>
      </c>
      <c r="C1964" s="194" t="inlineStr">
        <is>
          <t>SWISS FRANC</t>
        </is>
      </c>
      <c r="D1964" s="195" t="n">
        <v>32105.56</v>
      </c>
      <c r="E1964" s="195" t="n">
        <v>32429.85</v>
      </c>
      <c r="F1964" s="195" t="n">
        <v>33468.37</v>
      </c>
      <c r="G1964" s="195" t="n">
        <v>32949.11</v>
      </c>
    </row>
    <row r="1965">
      <c r="A1965" s="196" t="inlineStr">
        <is>
          <t>2026-06-10 18:00:08</t>
        </is>
      </c>
      <c r="B1965" s="196" t="inlineStr">
        <is>
          <t>CNY</t>
        </is>
      </c>
      <c r="C1965" s="196" t="inlineStr">
        <is>
          <t>YUAN RENMINBI</t>
        </is>
      </c>
      <c r="D1965" s="184" t="n">
        <v>3789.31</v>
      </c>
      <c r="E1965" s="184" t="n">
        <v>3827.59</v>
      </c>
      <c r="F1965" s="184" t="n">
        <v>3950.16</v>
      </c>
      <c r="G1965" s="184" t="n">
        <v>3888.88</v>
      </c>
    </row>
    <row r="1966">
      <c r="A1966" s="194" t="inlineStr">
        <is>
          <t>2026-06-10 18:00:08</t>
        </is>
      </c>
      <c r="B1966" s="194" t="inlineStr">
        <is>
          <t>DKK</t>
        </is>
      </c>
      <c r="C1966" s="194" t="inlineStr">
        <is>
          <t>DANISH KRONE</t>
        </is>
      </c>
      <c r="D1966" s="195" t="n"/>
      <c r="E1966" s="195" t="n">
        <v>3988.95</v>
      </c>
      <c r="F1966" s="195" t="n">
        <v>4141.47</v>
      </c>
      <c r="G1966" s="195" t="n">
        <v>4065.21</v>
      </c>
    </row>
    <row r="1967">
      <c r="A1967" s="196" t="inlineStr">
        <is>
          <t>2026-06-10 18:00:08</t>
        </is>
      </c>
      <c r="B1967" s="196" t="inlineStr">
        <is>
          <t>EUR</t>
        </is>
      </c>
      <c r="C1967" s="196" t="inlineStr">
        <is>
          <t>EURO</t>
        </is>
      </c>
      <c r="D1967" s="184" t="n">
        <v>29591.86</v>
      </c>
      <c r="E1967" s="184" t="n">
        <v>29890.76</v>
      </c>
      <c r="F1967" s="184" t="n">
        <v>31151.89</v>
      </c>
      <c r="G1967" s="184" t="n">
        <v>30521.32</v>
      </c>
    </row>
    <row r="1968">
      <c r="A1968" s="194" t="inlineStr">
        <is>
          <t>2026-06-10 18:00:08</t>
        </is>
      </c>
      <c r="B1968" s="194" t="inlineStr">
        <is>
          <t>GBP</t>
        </is>
      </c>
      <c r="C1968" s="194" t="inlineStr">
        <is>
          <t>POUND STERLING</t>
        </is>
      </c>
      <c r="D1968" s="195" t="n">
        <v>34297.2</v>
      </c>
      <c r="E1968" s="195" t="n">
        <v>34643.64</v>
      </c>
      <c r="F1968" s="195" t="n">
        <v>35753.05</v>
      </c>
      <c r="G1968" s="195" t="n">
        <v>35198.34</v>
      </c>
    </row>
    <row r="1969">
      <c r="A1969" s="196" t="inlineStr">
        <is>
          <t>2026-06-10 18:00:08</t>
        </is>
      </c>
      <c r="B1969" s="196" t="inlineStr">
        <is>
          <t>HKD</t>
        </is>
      </c>
      <c r="C1969" s="196" t="inlineStr">
        <is>
          <t>HONGKONG DOLLAR</t>
        </is>
      </c>
      <c r="D1969" s="184" t="n">
        <v>3264.81</v>
      </c>
      <c r="E1969" s="184" t="n">
        <v>3297.79</v>
      </c>
      <c r="F1969" s="184" t="n">
        <v>3423.89</v>
      </c>
      <c r="G1969" s="184" t="n">
        <v>3360.84</v>
      </c>
    </row>
    <row r="1970">
      <c r="A1970" s="194" t="inlineStr">
        <is>
          <t>2026-06-10 18:00:08</t>
        </is>
      </c>
      <c r="B1970" s="194" t="inlineStr">
        <is>
          <t>INR</t>
        </is>
      </c>
      <c r="C1970" s="194" t="inlineStr">
        <is>
          <t>INDIAN RUPEE</t>
        </is>
      </c>
      <c r="D1970" s="195" t="n"/>
      <c r="E1970" s="195" t="n">
        <v>274.56</v>
      </c>
      <c r="F1970" s="195" t="n">
        <v>286.37</v>
      </c>
      <c r="G1970" s="195" t="n">
        <v>280.47</v>
      </c>
    </row>
    <row r="1971">
      <c r="A1971" s="196" t="inlineStr">
        <is>
          <t>2026-06-10 18:00:08</t>
        </is>
      </c>
      <c r="B1971" s="196" t="inlineStr">
        <is>
          <t>JPY</t>
        </is>
      </c>
      <c r="C1971" s="196" t="inlineStr">
        <is>
          <t>YEN</t>
        </is>
      </c>
      <c r="D1971" s="184" t="n">
        <v>158.45</v>
      </c>
      <c r="E1971" s="184" t="n">
        <v>160.05</v>
      </c>
      <c r="F1971" s="184" t="n">
        <v>168.51</v>
      </c>
      <c r="G1971" s="184" t="n">
        <v>164.28</v>
      </c>
    </row>
    <row r="1972">
      <c r="A1972" s="194" t="inlineStr">
        <is>
          <t>2026-06-10 18:00:08</t>
        </is>
      </c>
      <c r="B1972" s="194" t="inlineStr">
        <is>
          <t>KRW</t>
        </is>
      </c>
      <c r="C1972" s="194" t="inlineStr">
        <is>
          <t>KOREAN WON</t>
        </is>
      </c>
      <c r="D1972" s="195" t="n">
        <v>14.99</v>
      </c>
      <c r="E1972" s="195" t="n">
        <v>16.65</v>
      </c>
      <c r="F1972" s="195" t="n">
        <v>18.07</v>
      </c>
      <c r="G1972" s="195" t="n">
        <v>17.36</v>
      </c>
    </row>
    <row r="1973">
      <c r="A1973" s="196" t="inlineStr">
        <is>
          <t>2026-06-10 18:00:08</t>
        </is>
      </c>
      <c r="B1973" s="196" t="inlineStr">
        <is>
          <t>KWD</t>
        </is>
      </c>
      <c r="C1973" s="196" t="inlineStr">
        <is>
          <t>KUWAITI DINAR</t>
        </is>
      </c>
      <c r="D1973" s="184" t="n"/>
      <c r="E1973" s="184" t="n">
        <v>85218.44</v>
      </c>
      <c r="F1973" s="184" t="n">
        <v>89348.69</v>
      </c>
      <c r="G1973" s="184" t="n">
        <v>87283.56</v>
      </c>
    </row>
    <row r="1974">
      <c r="A1974" s="194" t="inlineStr">
        <is>
          <t>2026-06-10 18:00:08</t>
        </is>
      </c>
      <c r="B1974" s="194" t="inlineStr">
        <is>
          <t>MYR</t>
        </is>
      </c>
      <c r="C1974" s="194" t="inlineStr">
        <is>
          <t>MALAYSIAN RINGGIT</t>
        </is>
      </c>
      <c r="D1974" s="195" t="n"/>
      <c r="E1974" s="195" t="n">
        <v>6409.82</v>
      </c>
      <c r="F1974" s="195" t="n">
        <v>6549.25</v>
      </c>
      <c r="G1974" s="195" t="n">
        <v>6479.54</v>
      </c>
    </row>
    <row r="1975">
      <c r="A1975" s="196" t="inlineStr">
        <is>
          <t>2026-06-10 18:00:08</t>
        </is>
      </c>
      <c r="B1975" s="196" t="inlineStr">
        <is>
          <t>NOK</t>
        </is>
      </c>
      <c r="C1975" s="196" t="inlineStr">
        <is>
          <t>NORWEGIAN KRONER</t>
        </is>
      </c>
      <c r="D1975" s="184" t="n"/>
      <c r="E1975" s="184" t="n">
        <v>2711.69</v>
      </c>
      <c r="F1975" s="184" t="n">
        <v>2826.66</v>
      </c>
      <c r="G1975" s="184" t="n">
        <v>2769.18</v>
      </c>
    </row>
    <row r="1976">
      <c r="A1976" s="194" t="inlineStr">
        <is>
          <t>2026-06-10 18:00:08</t>
        </is>
      </c>
      <c r="B1976" s="194" t="inlineStr">
        <is>
          <t>RUB</t>
        </is>
      </c>
      <c r="C1976" s="194" t="inlineStr">
        <is>
          <t>RUSSIAN RUBLE</t>
        </is>
      </c>
      <c r="D1976" s="195" t="n"/>
      <c r="E1976" s="195" t="n">
        <v>348.16</v>
      </c>
      <c r="F1976" s="195" t="n">
        <v>385.39</v>
      </c>
      <c r="G1976" s="195" t="n">
        <v>366.78</v>
      </c>
    </row>
    <row r="1977">
      <c r="A1977" s="196" t="inlineStr">
        <is>
          <t>2026-06-10 18:00:08</t>
        </is>
      </c>
      <c r="B1977" s="196" t="inlineStr">
        <is>
          <t>SAR</t>
        </is>
      </c>
      <c r="C1977" s="196" t="inlineStr">
        <is>
          <t>SAUDI RIAL</t>
        </is>
      </c>
      <c r="D1977" s="184" t="n"/>
      <c r="E1977" s="184" t="n">
        <v>6972.36</v>
      </c>
      <c r="F1977" s="184" t="n">
        <v>7272.41</v>
      </c>
      <c r="G1977" s="184" t="n">
        <v>7122.38</v>
      </c>
    </row>
    <row r="1978">
      <c r="A1978" s="194" t="inlineStr">
        <is>
          <t>2026-06-10 18:00:08</t>
        </is>
      </c>
      <c r="B1978" s="194" t="inlineStr">
        <is>
          <t>SEK</t>
        </is>
      </c>
      <c r="C1978" s="194" t="inlineStr">
        <is>
          <t>SWEDISH KRONA</t>
        </is>
      </c>
      <c r="D1978" s="195" t="n"/>
      <c r="E1978" s="195" t="n">
        <v>2720.1</v>
      </c>
      <c r="F1978" s="195" t="n">
        <v>2835.42</v>
      </c>
      <c r="G1978" s="195" t="n">
        <v>2777.76</v>
      </c>
    </row>
    <row r="1979">
      <c r="A1979" s="196" t="inlineStr">
        <is>
          <t>2026-06-10 18:00:08</t>
        </is>
      </c>
      <c r="B1979" s="196" t="inlineStr">
        <is>
          <t>SGD</t>
        </is>
      </c>
      <c r="C1979" s="196" t="inlineStr">
        <is>
          <t>SINGAPORE DOLLAR</t>
        </is>
      </c>
      <c r="D1979" s="184" t="n">
        <v>19916.65</v>
      </c>
      <c r="E1979" s="184" t="n">
        <v>20117.83</v>
      </c>
      <c r="F1979" s="184" t="n">
        <v>20803.65</v>
      </c>
      <c r="G1979" s="184" t="n">
        <v>20460.74</v>
      </c>
    </row>
    <row r="1980">
      <c r="A1980" s="194" t="inlineStr">
        <is>
          <t>2026-06-10 18:00:08</t>
        </is>
      </c>
      <c r="B1980" s="194" t="inlineStr">
        <is>
          <t>THB</t>
        </is>
      </c>
      <c r="C1980" s="194" t="inlineStr">
        <is>
          <t>THAILAND BAHT</t>
        </is>
      </c>
      <c r="D1980" s="195" t="n">
        <v>704.76</v>
      </c>
      <c r="E1980" s="195" t="n">
        <v>783.0599999999999</v>
      </c>
      <c r="F1980" s="195" t="n">
        <v>816.26</v>
      </c>
      <c r="G1980" s="195" t="n">
        <v>799.66</v>
      </c>
    </row>
    <row r="1981">
      <c r="A1981" s="196" t="inlineStr">
        <is>
          <t>2026-06-10 18:00:08</t>
        </is>
      </c>
      <c r="B1981" s="196" t="inlineStr">
        <is>
          <t>USD</t>
        </is>
      </c>
      <c r="C1981" s="196" t="inlineStr">
        <is>
          <t>US DOLLAR</t>
        </is>
      </c>
      <c r="D1981" s="184" t="n">
        <v>26100</v>
      </c>
      <c r="E1981" s="184" t="n">
        <v>26130</v>
      </c>
      <c r="F1981" s="184" t="n">
        <v>26410</v>
      </c>
      <c r="G1981" s="184" t="n">
        <v>26270</v>
      </c>
    </row>
    <row r="1982">
      <c r="A1982" s="194" t="inlineStr">
        <is>
          <t>2026-06-09 18:00:12</t>
        </is>
      </c>
      <c r="B1982" s="194" t="inlineStr">
        <is>
          <t>AUD</t>
        </is>
      </c>
      <c r="C1982" s="194" t="inlineStr">
        <is>
          <t>AUSTRALIAN DOLLAR</t>
        </is>
      </c>
      <c r="D1982" s="195" t="n">
        <v>18073.96</v>
      </c>
      <c r="E1982" s="195" t="n">
        <v>18256.53</v>
      </c>
      <c r="F1982" s="195" t="n">
        <v>18841.15</v>
      </c>
      <c r="G1982" s="195" t="n">
        <v>18548.84</v>
      </c>
    </row>
    <row r="1983">
      <c r="A1983" s="196" t="inlineStr">
        <is>
          <t>2026-06-09 18:00:12</t>
        </is>
      </c>
      <c r="B1983" s="196" t="inlineStr">
        <is>
          <t>CAD</t>
        </is>
      </c>
      <c r="C1983" s="196" t="inlineStr">
        <is>
          <t>CANADIAN DOLLAR</t>
        </is>
      </c>
      <c r="D1983" s="184" t="n">
        <v>18405.31</v>
      </c>
      <c r="E1983" s="184" t="n">
        <v>18591.22</v>
      </c>
      <c r="F1983" s="184" t="n">
        <v>19186.57</v>
      </c>
      <c r="G1983" s="184" t="n">
        <v>18888.9</v>
      </c>
    </row>
    <row r="1984">
      <c r="A1984" s="194" t="inlineStr">
        <is>
          <t>2026-06-09 18:00:12</t>
        </is>
      </c>
      <c r="B1984" s="194" t="inlineStr">
        <is>
          <t>CHF</t>
        </is>
      </c>
      <c r="C1984" s="194" t="inlineStr">
        <is>
          <t>SWISS FRANC</t>
        </is>
      </c>
      <c r="D1984" s="195" t="n">
        <v>32190.25</v>
      </c>
      <c r="E1984" s="195" t="n">
        <v>32515.4</v>
      </c>
      <c r="F1984" s="195" t="n">
        <v>33556.64</v>
      </c>
      <c r="G1984" s="195" t="n">
        <v>33036.02</v>
      </c>
    </row>
    <row r="1985">
      <c r="A1985" s="196" t="inlineStr">
        <is>
          <t>2026-06-09 18:00:12</t>
        </is>
      </c>
      <c r="B1985" s="196" t="inlineStr">
        <is>
          <t>CNY</t>
        </is>
      </c>
      <c r="C1985" s="196" t="inlineStr">
        <is>
          <t>YUAN RENMINBI</t>
        </is>
      </c>
      <c r="D1985" s="184" t="n">
        <v>3787.45</v>
      </c>
      <c r="E1985" s="184" t="n">
        <v>3825.71</v>
      </c>
      <c r="F1985" s="184" t="n">
        <v>3948.22</v>
      </c>
      <c r="G1985" s="184" t="n">
        <v>3886.96</v>
      </c>
    </row>
    <row r="1986">
      <c r="A1986" s="194" t="inlineStr">
        <is>
          <t>2026-06-09 18:00:12</t>
        </is>
      </c>
      <c r="B1986" s="194" t="inlineStr">
        <is>
          <t>DKK</t>
        </is>
      </c>
      <c r="C1986" s="194" t="inlineStr">
        <is>
          <t>DANISH KRONE</t>
        </is>
      </c>
      <c r="D1986" s="195" t="n"/>
      <c r="E1986" s="195" t="n">
        <v>3990.9</v>
      </c>
      <c r="F1986" s="195" t="n">
        <v>4143.49</v>
      </c>
      <c r="G1986" s="195" t="n">
        <v>4067.2</v>
      </c>
    </row>
    <row r="1987">
      <c r="A1987" s="196" t="inlineStr">
        <is>
          <t>2026-06-09 18:00:12</t>
        </is>
      </c>
      <c r="B1987" s="196" t="inlineStr">
        <is>
          <t>EUR</t>
        </is>
      </c>
      <c r="C1987" s="196" t="inlineStr">
        <is>
          <t>EURO</t>
        </is>
      </c>
      <c r="D1987" s="184" t="n">
        <v>29551.77</v>
      </c>
      <c r="E1987" s="184" t="n">
        <v>29850.28</v>
      </c>
      <c r="F1987" s="184" t="n">
        <v>31109.68</v>
      </c>
      <c r="G1987" s="184" t="n">
        <v>30479.98</v>
      </c>
    </row>
    <row r="1988">
      <c r="A1988" s="194" t="inlineStr">
        <is>
          <t>2026-06-09 18:00:12</t>
        </is>
      </c>
      <c r="B1988" s="194" t="inlineStr">
        <is>
          <t>GBP</t>
        </is>
      </c>
      <c r="C1988" s="194" t="inlineStr">
        <is>
          <t>POUND STERLING</t>
        </is>
      </c>
      <c r="D1988" s="195" t="n">
        <v>34253.77</v>
      </c>
      <c r="E1988" s="195" t="n">
        <v>34599.77</v>
      </c>
      <c r="F1988" s="195" t="n">
        <v>35707.76</v>
      </c>
      <c r="G1988" s="195" t="n">
        <v>35153.76</v>
      </c>
    </row>
    <row r="1989">
      <c r="A1989" s="196" t="inlineStr">
        <is>
          <t>2026-06-09 18:00:12</t>
        </is>
      </c>
      <c r="B1989" s="196" t="inlineStr">
        <is>
          <t>HKD</t>
        </is>
      </c>
      <c r="C1989" s="196" t="inlineStr">
        <is>
          <t>HONGKONG DOLLAR</t>
        </is>
      </c>
      <c r="D1989" s="184" t="n">
        <v>3266.55</v>
      </c>
      <c r="E1989" s="184" t="n">
        <v>3299.55</v>
      </c>
      <c r="F1989" s="184" t="n">
        <v>3425.71</v>
      </c>
      <c r="G1989" s="184" t="n">
        <v>3362.63</v>
      </c>
    </row>
    <row r="1990">
      <c r="A1990" s="194" t="inlineStr">
        <is>
          <t>2026-06-09 18:00:12</t>
        </is>
      </c>
      <c r="B1990" s="194" t="inlineStr">
        <is>
          <t>INR</t>
        </is>
      </c>
      <c r="C1990" s="194" t="inlineStr">
        <is>
          <t>INDIAN RUPEE</t>
        </is>
      </c>
      <c r="D1990" s="195" t="n"/>
      <c r="E1990" s="195" t="n">
        <v>273.89</v>
      </c>
      <c r="F1990" s="195" t="n">
        <v>285.67</v>
      </c>
      <c r="G1990" s="195" t="n">
        <v>279.78</v>
      </c>
    </row>
    <row r="1991">
      <c r="A1991" s="196" t="inlineStr">
        <is>
          <t>2026-06-09 18:00:12</t>
        </is>
      </c>
      <c r="B1991" s="196" t="inlineStr">
        <is>
          <t>JPY</t>
        </is>
      </c>
      <c r="C1991" s="196" t="inlineStr">
        <is>
          <t>YEN</t>
        </is>
      </c>
      <c r="D1991" s="184" t="n">
        <v>158.64</v>
      </c>
      <c r="E1991" s="184" t="n">
        <v>160.25</v>
      </c>
      <c r="F1991" s="184" t="n">
        <v>168.72</v>
      </c>
      <c r="G1991" s="184" t="n">
        <v>164.48</v>
      </c>
    </row>
    <row r="1992">
      <c r="A1992" s="194" t="inlineStr">
        <is>
          <t>2026-06-09 18:00:12</t>
        </is>
      </c>
      <c r="B1992" s="194" t="inlineStr">
        <is>
          <t>KRW</t>
        </is>
      </c>
      <c r="C1992" s="194" t="inlineStr">
        <is>
          <t>KOREAN WON</t>
        </is>
      </c>
      <c r="D1992" s="195" t="n">
        <v>14.99</v>
      </c>
      <c r="E1992" s="195" t="n">
        <v>16.66</v>
      </c>
      <c r="F1992" s="195" t="n">
        <v>18.08</v>
      </c>
      <c r="G1992" s="195" t="n">
        <v>17.37</v>
      </c>
    </row>
    <row r="1993">
      <c r="A1993" s="196" t="inlineStr">
        <is>
          <t>2026-06-09 18:00:12</t>
        </is>
      </c>
      <c r="B1993" s="196" t="inlineStr">
        <is>
          <t>KWD</t>
        </is>
      </c>
      <c r="C1993" s="196" t="inlineStr">
        <is>
          <t>KUWAITI DINAR</t>
        </is>
      </c>
      <c r="D1993" s="184" t="n"/>
      <c r="E1993" s="184" t="n">
        <v>85250.83</v>
      </c>
      <c r="F1993" s="184" t="n">
        <v>89382.60000000001</v>
      </c>
      <c r="G1993" s="184" t="n">
        <v>87316.72</v>
      </c>
    </row>
    <row r="1994">
      <c r="A1994" s="194" t="inlineStr">
        <is>
          <t>2026-06-09 18:00:12</t>
        </is>
      </c>
      <c r="B1994" s="194" t="inlineStr">
        <is>
          <t>MYR</t>
        </is>
      </c>
      <c r="C1994" s="194" t="inlineStr">
        <is>
          <t>MALAYSIAN RINGGIT</t>
        </is>
      </c>
      <c r="D1994" s="195" t="n"/>
      <c r="E1994" s="195" t="n">
        <v>6415.41</v>
      </c>
      <c r="F1994" s="195" t="n">
        <v>6554.96</v>
      </c>
      <c r="G1994" s="195" t="n">
        <v>6485.18</v>
      </c>
    </row>
    <row r="1995">
      <c r="A1995" s="196" t="inlineStr">
        <is>
          <t>2026-06-09 18:00:12</t>
        </is>
      </c>
      <c r="B1995" s="196" t="inlineStr">
        <is>
          <t>NOK</t>
        </is>
      </c>
      <c r="C1995" s="196" t="inlineStr">
        <is>
          <t>NORWEGIAN KRONER</t>
        </is>
      </c>
      <c r="D1995" s="184" t="n"/>
      <c r="E1995" s="184" t="n">
        <v>2725.47</v>
      </c>
      <c r="F1995" s="184" t="n">
        <v>2841.02</v>
      </c>
      <c r="G1995" s="184" t="n">
        <v>2783.24</v>
      </c>
    </row>
    <row r="1996">
      <c r="A1996" s="194" t="inlineStr">
        <is>
          <t>2026-06-09 18:00:12</t>
        </is>
      </c>
      <c r="B1996" s="194" t="inlineStr">
        <is>
          <t>RUB</t>
        </is>
      </c>
      <c r="C1996" s="194" t="inlineStr">
        <is>
          <t>RUSSIAN RUBLE</t>
        </is>
      </c>
      <c r="D1996" s="195" t="n"/>
      <c r="E1996" s="195" t="n">
        <v>343.52</v>
      </c>
      <c r="F1996" s="195" t="n">
        <v>380.25</v>
      </c>
      <c r="G1996" s="195" t="n">
        <v>361.88</v>
      </c>
    </row>
    <row r="1997">
      <c r="A1997" s="196" t="inlineStr">
        <is>
          <t>2026-06-09 18:00:12</t>
        </is>
      </c>
      <c r="B1997" s="196" t="inlineStr">
        <is>
          <t>SAR</t>
        </is>
      </c>
      <c r="C1997" s="196" t="inlineStr">
        <is>
          <t>SAUDI RIAL</t>
        </is>
      </c>
      <c r="D1997" s="184" t="n"/>
      <c r="E1997" s="184" t="n">
        <v>6975.93</v>
      </c>
      <c r="F1997" s="184" t="n">
        <v>7276.13</v>
      </c>
      <c r="G1997" s="184" t="n">
        <v>7126.03</v>
      </c>
    </row>
    <row r="1998">
      <c r="A1998" s="194" t="inlineStr">
        <is>
          <t>2026-06-09 18:00:12</t>
        </is>
      </c>
      <c r="B1998" s="194" t="inlineStr">
        <is>
          <t>SEK</t>
        </is>
      </c>
      <c r="C1998" s="194" t="inlineStr">
        <is>
          <t>SWEDISH KRONA</t>
        </is>
      </c>
      <c r="D1998" s="195" t="n"/>
      <c r="E1998" s="195" t="n">
        <v>2738.37</v>
      </c>
      <c r="F1998" s="195" t="n">
        <v>2854.47</v>
      </c>
      <c r="G1998" s="195" t="n">
        <v>2796.42</v>
      </c>
    </row>
    <row r="1999">
      <c r="A1999" s="196" t="inlineStr">
        <is>
          <t>2026-06-09 18:00:12</t>
        </is>
      </c>
      <c r="B1999" s="196" t="inlineStr">
        <is>
          <t>SGD</t>
        </is>
      </c>
      <c r="C1999" s="196" t="inlineStr">
        <is>
          <t>SINGAPORE DOLLAR</t>
        </is>
      </c>
      <c r="D1999" s="184" t="n">
        <v>19924.22</v>
      </c>
      <c r="E1999" s="184" t="n">
        <v>20125.48</v>
      </c>
      <c r="F1999" s="184" t="n">
        <v>20811.54</v>
      </c>
      <c r="G1999" s="184" t="n">
        <v>20468.51</v>
      </c>
    </row>
    <row r="2000">
      <c r="A2000" s="194" t="inlineStr">
        <is>
          <t>2026-06-09 18:00:12</t>
        </is>
      </c>
      <c r="B2000" s="194" t="inlineStr">
        <is>
          <t>THB</t>
        </is>
      </c>
      <c r="C2000" s="194" t="inlineStr">
        <is>
          <t>THAILAND BAHT</t>
        </is>
      </c>
      <c r="D2000" s="195" t="n">
        <v>706.53</v>
      </c>
      <c r="E2000" s="195" t="n">
        <v>785.03</v>
      </c>
      <c r="F2000" s="195" t="n">
        <v>818.3099999999999</v>
      </c>
      <c r="G2000" s="195" t="n">
        <v>801.67</v>
      </c>
    </row>
    <row r="2001">
      <c r="A2001" s="196" t="inlineStr">
        <is>
          <t>2026-06-09 18:00:12</t>
        </is>
      </c>
      <c r="B2001" s="196" t="inlineStr">
        <is>
          <t>USD</t>
        </is>
      </c>
      <c r="C2001" s="196" t="inlineStr">
        <is>
          <t>US DOLLAR</t>
        </is>
      </c>
      <c r="D2001" s="184" t="n">
        <v>26098</v>
      </c>
      <c r="E2001" s="184" t="n">
        <v>26128</v>
      </c>
      <c r="F2001" s="184" t="n">
        <v>26408</v>
      </c>
      <c r="G2001" s="184" t="n">
        <v>26268</v>
      </c>
    </row>
    <row r="2002">
      <c r="A2002" s="194" t="inlineStr">
        <is>
          <t>2026-06-08 16:33:43</t>
        </is>
      </c>
      <c r="B2002" s="194" t="inlineStr">
        <is>
          <t>AUD</t>
        </is>
      </c>
      <c r="C2002" s="194" t="inlineStr">
        <is>
          <t>AUSTRALIAN DOLLAR</t>
        </is>
      </c>
      <c r="D2002" s="195" t="n">
        <v>18103.01</v>
      </c>
      <c r="E2002" s="195" t="n">
        <v>18285.87</v>
      </c>
      <c r="F2002" s="195" t="n">
        <v>18871.45</v>
      </c>
      <c r="G2002" s="195" t="n">
        <v>18578.66</v>
      </c>
    </row>
    <row r="2003">
      <c r="A2003" s="196" t="inlineStr">
        <is>
          <t>2026-06-08 16:33:43</t>
        </is>
      </c>
      <c r="B2003" s="196" t="inlineStr">
        <is>
          <t>CAD</t>
        </is>
      </c>
      <c r="C2003" s="196" t="inlineStr">
        <is>
          <t>CANADIAN DOLLAR</t>
        </is>
      </c>
      <c r="D2003" s="184" t="n">
        <v>18412.84</v>
      </c>
      <c r="E2003" s="184" t="n">
        <v>18598.82</v>
      </c>
      <c r="F2003" s="184" t="n">
        <v>19194.42</v>
      </c>
      <c r="G2003" s="184" t="n">
        <v>18896.62</v>
      </c>
    </row>
    <row r="2004">
      <c r="A2004" s="194" t="inlineStr">
        <is>
          <t>2026-06-08 16:33:43</t>
        </is>
      </c>
      <c r="B2004" s="194" t="inlineStr">
        <is>
          <t>CHF</t>
        </is>
      </c>
      <c r="C2004" s="194" t="inlineStr">
        <is>
          <t>SWISS FRANC</t>
        </is>
      </c>
      <c r="D2004" s="195" t="n">
        <v>32250.81</v>
      </c>
      <c r="E2004" s="195" t="n">
        <v>32576.58</v>
      </c>
      <c r="F2004" s="195" t="n">
        <v>33619.79</v>
      </c>
      <c r="G2004" s="195" t="n">
        <v>33098.18</v>
      </c>
    </row>
    <row r="2005">
      <c r="A2005" s="196" t="inlineStr">
        <is>
          <t>2026-06-08 16:33:43</t>
        </is>
      </c>
      <c r="B2005" s="196" t="inlineStr">
        <is>
          <t>CNY</t>
        </is>
      </c>
      <c r="C2005" s="196" t="inlineStr">
        <is>
          <t>YUAN RENMINBI</t>
        </is>
      </c>
      <c r="D2005" s="184" t="n">
        <v>3793.06</v>
      </c>
      <c r="E2005" s="184" t="n">
        <v>3831.38</v>
      </c>
      <c r="F2005" s="184" t="n">
        <v>3954.07</v>
      </c>
      <c r="G2005" s="184" t="n">
        <v>3892.73</v>
      </c>
    </row>
    <row r="2006">
      <c r="A2006" s="194" t="inlineStr">
        <is>
          <t>2026-06-08 16:33:43</t>
        </is>
      </c>
      <c r="B2006" s="194" t="inlineStr">
        <is>
          <t>DKK</t>
        </is>
      </c>
      <c r="C2006" s="194" t="inlineStr">
        <is>
          <t>DANISH KRONE</t>
        </is>
      </c>
      <c r="D2006" s="195" t="n"/>
      <c r="E2006" s="195" t="n">
        <v>3988.33</v>
      </c>
      <c r="F2006" s="195" t="n">
        <v>4140.83</v>
      </c>
      <c r="G2006" s="195" t="n">
        <v>4064.58</v>
      </c>
    </row>
    <row r="2007">
      <c r="A2007" s="196" t="inlineStr">
        <is>
          <t>2026-06-08 16:33:43</t>
        </is>
      </c>
      <c r="B2007" s="196" t="inlineStr">
        <is>
          <t>EUR</t>
        </is>
      </c>
      <c r="C2007" s="196" t="inlineStr">
        <is>
          <t>EURO</t>
        </is>
      </c>
      <c r="D2007" s="184" t="n">
        <v>29589.29</v>
      </c>
      <c r="E2007" s="184" t="n">
        <v>29888.17</v>
      </c>
      <c r="F2007" s="184" t="n">
        <v>31149.19</v>
      </c>
      <c r="G2007" s="184" t="n">
        <v>30518.68</v>
      </c>
    </row>
    <row r="2008">
      <c r="A2008" s="194" t="inlineStr">
        <is>
          <t>2026-06-08 16:33:43</t>
        </is>
      </c>
      <c r="B2008" s="194" t="inlineStr">
        <is>
          <t>GBP</t>
        </is>
      </c>
      <c r="C2008" s="194" t="inlineStr">
        <is>
          <t>POUND STERLING</t>
        </is>
      </c>
      <c r="D2008" s="195" t="n">
        <v>34240.76</v>
      </c>
      <c r="E2008" s="195" t="n">
        <v>34586.63</v>
      </c>
      <c r="F2008" s="195" t="n">
        <v>35694.21</v>
      </c>
      <c r="G2008" s="195" t="n">
        <v>35140.42</v>
      </c>
    </row>
    <row r="2009">
      <c r="A2009" s="196" t="inlineStr">
        <is>
          <t>2026-06-08 16:33:43</t>
        </is>
      </c>
      <c r="B2009" s="196" t="inlineStr">
        <is>
          <t>HKD</t>
        </is>
      </c>
      <c r="C2009" s="196" t="inlineStr">
        <is>
          <t>HONGKONG DOLLAR</t>
        </is>
      </c>
      <c r="D2009" s="184" t="n">
        <v>3265.98</v>
      </c>
      <c r="E2009" s="184" t="n">
        <v>3298.97</v>
      </c>
      <c r="F2009" s="184" t="n">
        <v>3425.11</v>
      </c>
      <c r="G2009" s="184" t="n">
        <v>3362.04</v>
      </c>
    </row>
    <row r="2010">
      <c r="A2010" s="194" t="inlineStr">
        <is>
          <t>2026-06-08 16:33:43</t>
        </is>
      </c>
      <c r="B2010" s="194" t="inlineStr">
        <is>
          <t>INR</t>
        </is>
      </c>
      <c r="C2010" s="194" t="inlineStr">
        <is>
          <t>INDIAN RUPEE</t>
        </is>
      </c>
      <c r="D2010" s="195" t="n"/>
      <c r="E2010" s="195" t="n">
        <v>275.73</v>
      </c>
      <c r="F2010" s="195" t="n">
        <v>287.59</v>
      </c>
      <c r="G2010" s="195" t="n">
        <v>281.66</v>
      </c>
    </row>
    <row r="2011">
      <c r="A2011" s="196" t="inlineStr">
        <is>
          <t>2026-06-08 16:33:43</t>
        </is>
      </c>
      <c r="B2011" s="196" t="inlineStr">
        <is>
          <t>JPY</t>
        </is>
      </c>
      <c r="C2011" s="196" t="inlineStr">
        <is>
          <t>YEN</t>
        </is>
      </c>
      <c r="D2011" s="184" t="n">
        <v>158.51</v>
      </c>
      <c r="E2011" s="184" t="n">
        <v>160.11</v>
      </c>
      <c r="F2011" s="184" t="n">
        <v>168.57</v>
      </c>
      <c r="G2011" s="184" t="n">
        <v>164.34</v>
      </c>
    </row>
    <row r="2012">
      <c r="A2012" s="194" t="inlineStr">
        <is>
          <t>2026-06-08 16:33:43</t>
        </is>
      </c>
      <c r="B2012" s="194" t="inlineStr">
        <is>
          <t>KRW</t>
        </is>
      </c>
      <c r="C2012" s="194" t="inlineStr">
        <is>
          <t>KOREAN WON</t>
        </is>
      </c>
      <c r="D2012" s="195" t="n">
        <v>14.71</v>
      </c>
      <c r="E2012" s="195" t="n">
        <v>16.35</v>
      </c>
      <c r="F2012" s="195" t="n">
        <v>17.74</v>
      </c>
      <c r="G2012" s="195" t="n">
        <v>17.05</v>
      </c>
    </row>
    <row r="2013">
      <c r="A2013" s="196" t="inlineStr">
        <is>
          <t>2026-06-08 16:33:43</t>
        </is>
      </c>
      <c r="B2013" s="196" t="inlineStr">
        <is>
          <t>KWD</t>
        </is>
      </c>
      <c r="C2013" s="196" t="inlineStr">
        <is>
          <t>KUWAITI DINAR</t>
        </is>
      </c>
      <c r="D2013" s="184" t="n"/>
      <c r="E2013" s="184" t="n">
        <v>85218.44</v>
      </c>
      <c r="F2013" s="184" t="n">
        <v>89348.69</v>
      </c>
      <c r="G2013" s="184" t="n">
        <v>87283.56</v>
      </c>
    </row>
    <row r="2014">
      <c r="A2014" s="194" t="inlineStr">
        <is>
          <t>2026-06-08 16:33:43</t>
        </is>
      </c>
      <c r="B2014" s="194" t="inlineStr">
        <is>
          <t>MYR</t>
        </is>
      </c>
      <c r="C2014" s="194" t="inlineStr">
        <is>
          <t>MALAYSIAN RINGGIT</t>
        </is>
      </c>
      <c r="D2014" s="195" t="n"/>
      <c r="E2014" s="195" t="n">
        <v>6411.4</v>
      </c>
      <c r="F2014" s="195" t="n">
        <v>6550.86</v>
      </c>
      <c r="G2014" s="195" t="n">
        <v>6481.13</v>
      </c>
    </row>
    <row r="2015">
      <c r="A2015" s="196" t="inlineStr">
        <is>
          <t>2026-06-08 16:33:43</t>
        </is>
      </c>
      <c r="B2015" s="196" t="inlineStr">
        <is>
          <t>NOK</t>
        </is>
      </c>
      <c r="C2015" s="196" t="inlineStr">
        <is>
          <t>NORWEGIAN KRONER</t>
        </is>
      </c>
      <c r="D2015" s="184" t="n"/>
      <c r="E2015" s="184" t="n">
        <v>2731.15</v>
      </c>
      <c r="F2015" s="184" t="n">
        <v>2846.95</v>
      </c>
      <c r="G2015" s="184" t="n">
        <v>2789.05</v>
      </c>
    </row>
    <row r="2016">
      <c r="A2016" s="194" t="inlineStr">
        <is>
          <t>2026-06-08 16:33:43</t>
        </is>
      </c>
      <c r="B2016" s="194" t="inlineStr">
        <is>
          <t>RUB</t>
        </is>
      </c>
      <c r="C2016" s="194" t="inlineStr">
        <is>
          <t>RUSSIAN RUBLE</t>
        </is>
      </c>
      <c r="D2016" s="195" t="n"/>
      <c r="E2016" s="195" t="n">
        <v>340.01</v>
      </c>
      <c r="F2016" s="195" t="n">
        <v>376.37</v>
      </c>
      <c r="G2016" s="195" t="n">
        <v>358.19</v>
      </c>
    </row>
    <row r="2017">
      <c r="A2017" s="196" t="inlineStr">
        <is>
          <t>2026-06-08 16:33:43</t>
        </is>
      </c>
      <c r="B2017" s="196" t="inlineStr">
        <is>
          <t>SAR</t>
        </is>
      </c>
      <c r="C2017" s="196" t="inlineStr">
        <is>
          <t>SAUDI RIAL</t>
        </is>
      </c>
      <c r="D2017" s="184" t="n"/>
      <c r="E2017" s="184" t="n">
        <v>6972.73</v>
      </c>
      <c r="F2017" s="184" t="n">
        <v>7272.79</v>
      </c>
      <c r="G2017" s="184" t="n">
        <v>7122.76</v>
      </c>
    </row>
    <row r="2018">
      <c r="A2018" s="194" t="inlineStr">
        <is>
          <t>2026-06-08 16:33:43</t>
        </is>
      </c>
      <c r="B2018" s="194" t="inlineStr">
        <is>
          <t>SEK</t>
        </is>
      </c>
      <c r="C2018" s="194" t="inlineStr">
        <is>
          <t>SWEDISH KRONA</t>
        </is>
      </c>
      <c r="D2018" s="195" t="n"/>
      <c r="E2018" s="195" t="n">
        <v>2729.28</v>
      </c>
      <c r="F2018" s="195" t="n">
        <v>2844.99</v>
      </c>
      <c r="G2018" s="195" t="n">
        <v>2787.14</v>
      </c>
    </row>
    <row r="2019">
      <c r="A2019" s="196" t="inlineStr">
        <is>
          <t>2026-06-08 16:33:43</t>
        </is>
      </c>
      <c r="B2019" s="196" t="inlineStr">
        <is>
          <t>SGD</t>
        </is>
      </c>
      <c r="C2019" s="196" t="inlineStr">
        <is>
          <t>SINGAPORE DOLLAR</t>
        </is>
      </c>
      <c r="D2019" s="184" t="n">
        <v>19881.13</v>
      </c>
      <c r="E2019" s="184" t="n">
        <v>20081.95</v>
      </c>
      <c r="F2019" s="184" t="n">
        <v>20766.54</v>
      </c>
      <c r="G2019" s="184" t="n">
        <v>20424.25</v>
      </c>
    </row>
    <row r="2020">
      <c r="A2020" s="194" t="inlineStr">
        <is>
          <t>2026-06-08 16:33:43</t>
        </is>
      </c>
      <c r="B2020" s="194" t="inlineStr">
        <is>
          <t>THB</t>
        </is>
      </c>
      <c r="C2020" s="194" t="inlineStr">
        <is>
          <t>THAILAND BAHT</t>
        </is>
      </c>
      <c r="D2020" s="195" t="n">
        <v>708.41</v>
      </c>
      <c r="E2020" s="195" t="n">
        <v>787.13</v>
      </c>
      <c r="F2020" s="195" t="n">
        <v>820.5</v>
      </c>
      <c r="G2020" s="195" t="n">
        <v>803.8200000000001</v>
      </c>
    </row>
    <row r="2021">
      <c r="A2021" s="196" t="inlineStr">
        <is>
          <t>2026-06-08 16:33:43</t>
        </is>
      </c>
      <c r="B2021" s="196" t="inlineStr">
        <is>
          <t>USD</t>
        </is>
      </c>
      <c r="C2021" s="196" t="inlineStr">
        <is>
          <t>US DOLLAR</t>
        </is>
      </c>
      <c r="D2021" s="184" t="n">
        <v>26097</v>
      </c>
      <c r="E2021" s="184" t="n">
        <v>26127</v>
      </c>
      <c r="F2021" s="184" t="n">
        <v>26407</v>
      </c>
      <c r="G2021" s="184" t="n">
        <v>26267</v>
      </c>
    </row>
    <row r="2022">
      <c r="A2022" s="194" t="inlineStr">
        <is>
          <t>2026-06-06 18:00:11</t>
        </is>
      </c>
      <c r="B2022" s="194" t="inlineStr">
        <is>
          <t>AUD</t>
        </is>
      </c>
      <c r="C2022" s="194" t="inlineStr">
        <is>
          <t>AUSTRALIAN DOLLAR</t>
        </is>
      </c>
      <c r="D2022" s="195" t="n">
        <v>18277.69</v>
      </c>
      <c r="E2022" s="195" t="n">
        <v>18462.31</v>
      </c>
      <c r="F2022" s="195" t="n">
        <v>19053.53</v>
      </c>
      <c r="G2022" s="195" t="n">
        <v>18757.92</v>
      </c>
    </row>
    <row r="2023">
      <c r="A2023" s="196" t="inlineStr">
        <is>
          <t>2026-06-06 18:00:11</t>
        </is>
      </c>
      <c r="B2023" s="196" t="inlineStr">
        <is>
          <t>CAD</t>
        </is>
      </c>
      <c r="C2023" s="196" t="inlineStr">
        <is>
          <t>CANADIAN DOLLAR</t>
        </is>
      </c>
      <c r="D2023" s="184" t="n">
        <v>18459.34</v>
      </c>
      <c r="E2023" s="184" t="n">
        <v>18645.8</v>
      </c>
      <c r="F2023" s="184" t="n">
        <v>19242.9</v>
      </c>
      <c r="G2023" s="184" t="n">
        <v>18944.35</v>
      </c>
    </row>
    <row r="2024">
      <c r="A2024" s="194" t="inlineStr">
        <is>
          <t>2026-06-06 18:00:11</t>
        </is>
      </c>
      <c r="B2024" s="194" t="inlineStr">
        <is>
          <t>CHF</t>
        </is>
      </c>
      <c r="C2024" s="194" t="inlineStr">
        <is>
          <t>SWISS FRANC</t>
        </is>
      </c>
      <c r="D2024" s="195" t="n">
        <v>32529.62</v>
      </c>
      <c r="E2024" s="195" t="n">
        <v>32858.2</v>
      </c>
      <c r="F2024" s="195" t="n">
        <v>33910.43</v>
      </c>
      <c r="G2024" s="195" t="n">
        <v>33384.32</v>
      </c>
    </row>
    <row r="2025">
      <c r="A2025" s="196" t="inlineStr">
        <is>
          <t>2026-06-06 18:00:11</t>
        </is>
      </c>
      <c r="B2025" s="196" t="inlineStr">
        <is>
          <t>CNY</t>
        </is>
      </c>
      <c r="C2025" s="196" t="inlineStr">
        <is>
          <t>YUAN RENMINBI</t>
        </is>
      </c>
      <c r="D2025" s="184" t="n">
        <v>3789.16</v>
      </c>
      <c r="E2025" s="184" t="n">
        <v>3827.43</v>
      </c>
      <c r="F2025" s="184" t="n">
        <v>3950</v>
      </c>
      <c r="G2025" s="184" t="n">
        <v>3888.72</v>
      </c>
    </row>
    <row r="2026">
      <c r="A2026" s="194" t="inlineStr">
        <is>
          <t>2026-06-06 18:00:11</t>
        </is>
      </c>
      <c r="B2026" s="194" t="inlineStr">
        <is>
          <t>DKK</t>
        </is>
      </c>
      <c r="C2026" s="194" t="inlineStr">
        <is>
          <t>DANISH KRONE</t>
        </is>
      </c>
      <c r="D2026" s="195" t="n"/>
      <c r="E2026" s="195" t="n">
        <v>4016.21</v>
      </c>
      <c r="F2026" s="195" t="n">
        <v>4169.77</v>
      </c>
      <c r="G2026" s="195" t="n">
        <v>4092.99</v>
      </c>
    </row>
    <row r="2027">
      <c r="A2027" s="196" t="inlineStr">
        <is>
          <t>2026-06-06 18:00:11</t>
        </is>
      </c>
      <c r="B2027" s="196" t="inlineStr">
        <is>
          <t>EUR</t>
        </is>
      </c>
      <c r="C2027" s="196" t="inlineStr">
        <is>
          <t>EURO</t>
        </is>
      </c>
      <c r="D2027" s="184" t="n">
        <v>29793.94</v>
      </c>
      <c r="E2027" s="184" t="n">
        <v>30094.89</v>
      </c>
      <c r="F2027" s="184" t="n">
        <v>31364.62</v>
      </c>
      <c r="G2027" s="184" t="n">
        <v>30729.75</v>
      </c>
    </row>
    <row r="2028">
      <c r="A2028" s="194" t="inlineStr">
        <is>
          <t>2026-06-06 18:00:11</t>
        </is>
      </c>
      <c r="B2028" s="194" t="inlineStr">
        <is>
          <t>GBP</t>
        </is>
      </c>
      <c r="C2028" s="194" t="inlineStr">
        <is>
          <t>POUND STERLING</t>
        </is>
      </c>
      <c r="D2028" s="195" t="n">
        <v>34435.85</v>
      </c>
      <c r="E2028" s="195" t="n">
        <v>34783.69</v>
      </c>
      <c r="F2028" s="195" t="n">
        <v>35897.57</v>
      </c>
      <c r="G2028" s="195" t="n">
        <v>35340.63</v>
      </c>
    </row>
    <row r="2029">
      <c r="A2029" s="196" t="inlineStr">
        <is>
          <t>2026-06-06 18:00:11</t>
        </is>
      </c>
      <c r="B2029" s="196" t="inlineStr">
        <is>
          <t>HKD</t>
        </is>
      </c>
      <c r="C2029" s="196" t="inlineStr">
        <is>
          <t>HONGKONG DOLLAR</t>
        </is>
      </c>
      <c r="D2029" s="184" t="n">
        <v>3266.39</v>
      </c>
      <c r="E2029" s="184" t="n">
        <v>3299.39</v>
      </c>
      <c r="F2029" s="184" t="n">
        <v>3425.54</v>
      </c>
      <c r="G2029" s="184" t="n">
        <v>3362.46</v>
      </c>
    </row>
    <row r="2030">
      <c r="A2030" s="194" t="inlineStr">
        <is>
          <t>2026-06-06 18:00:11</t>
        </is>
      </c>
      <c r="B2030" s="194" t="inlineStr">
        <is>
          <t>INR</t>
        </is>
      </c>
      <c r="C2030" s="194" t="inlineStr">
        <is>
          <t>INDIAN RUPEE</t>
        </is>
      </c>
      <c r="D2030" s="195" t="n"/>
      <c r="E2030" s="195" t="n">
        <v>273.37</v>
      </c>
      <c r="F2030" s="195" t="n">
        <v>285.13</v>
      </c>
      <c r="G2030" s="195" t="n">
        <v>279.25</v>
      </c>
    </row>
    <row r="2031">
      <c r="A2031" s="196" t="inlineStr">
        <is>
          <t>2026-06-06 18:00:11</t>
        </is>
      </c>
      <c r="B2031" s="196" t="inlineStr">
        <is>
          <t>JPY</t>
        </is>
      </c>
      <c r="C2031" s="196" t="inlineStr">
        <is>
          <t>YEN</t>
        </is>
      </c>
      <c r="D2031" s="184" t="n">
        <v>158.9</v>
      </c>
      <c r="E2031" s="184" t="n">
        <v>160.5</v>
      </c>
      <c r="F2031" s="184" t="n">
        <v>168.99</v>
      </c>
      <c r="G2031" s="184" t="n">
        <v>164.74</v>
      </c>
    </row>
    <row r="2032">
      <c r="A2032" s="194" t="inlineStr">
        <is>
          <t>2026-06-06 18:00:11</t>
        </is>
      </c>
      <c r="B2032" s="194" t="inlineStr">
        <is>
          <t>KRW</t>
        </is>
      </c>
      <c r="C2032" s="194" t="inlineStr">
        <is>
          <t>KOREAN WON</t>
        </is>
      </c>
      <c r="D2032" s="195" t="n">
        <v>14.79</v>
      </c>
      <c r="E2032" s="195" t="n">
        <v>16.43</v>
      </c>
      <c r="F2032" s="195" t="n">
        <v>17.82</v>
      </c>
      <c r="G2032" s="195" t="n">
        <v>17.12</v>
      </c>
    </row>
    <row r="2033">
      <c r="A2033" s="196" t="inlineStr">
        <is>
          <t>2026-06-06 18:00:11</t>
        </is>
      </c>
      <c r="B2033" s="196" t="inlineStr">
        <is>
          <t>KWD</t>
        </is>
      </c>
      <c r="C2033" s="196" t="inlineStr">
        <is>
          <t>KUWAITI DINAR</t>
        </is>
      </c>
      <c r="D2033" s="184" t="n"/>
      <c r="E2033" s="184" t="n">
        <v>85314.71000000001</v>
      </c>
      <c r="F2033" s="184" t="n">
        <v>89449.60000000001</v>
      </c>
      <c r="G2033" s="184" t="n">
        <v>87382.16</v>
      </c>
    </row>
    <row r="2034">
      <c r="A2034" s="194" t="inlineStr">
        <is>
          <t>2026-06-06 18:00:11</t>
        </is>
      </c>
      <c r="B2034" s="194" t="inlineStr">
        <is>
          <t>MYR</t>
        </is>
      </c>
      <c r="C2034" s="194" t="inlineStr">
        <is>
          <t>MALAYSIAN RINGGIT</t>
        </is>
      </c>
      <c r="D2034" s="195" t="n"/>
      <c r="E2034" s="195" t="n">
        <v>6480.96</v>
      </c>
      <c r="F2034" s="195" t="n">
        <v>6621.94</v>
      </c>
      <c r="G2034" s="195" t="n">
        <v>6551.45</v>
      </c>
    </row>
    <row r="2035">
      <c r="A2035" s="196" t="inlineStr">
        <is>
          <t>2026-06-06 18:00:11</t>
        </is>
      </c>
      <c r="B2035" s="196" t="inlineStr">
        <is>
          <t>NOK</t>
        </is>
      </c>
      <c r="C2035" s="196" t="inlineStr">
        <is>
          <t>NORWEGIAN KRONER</t>
        </is>
      </c>
      <c r="D2035" s="184" t="n"/>
      <c r="E2035" s="184" t="n">
        <v>2760.21</v>
      </c>
      <c r="F2035" s="184" t="n">
        <v>2877.24</v>
      </c>
      <c r="G2035" s="184" t="n">
        <v>2818.72</v>
      </c>
    </row>
    <row r="2036">
      <c r="A2036" s="194" t="inlineStr">
        <is>
          <t>2026-06-06 18:00:11</t>
        </is>
      </c>
      <c r="B2036" s="194" t="inlineStr">
        <is>
          <t>RUB</t>
        </is>
      </c>
      <c r="C2036" s="194" t="inlineStr">
        <is>
          <t>RUSSIAN RUBLE</t>
        </is>
      </c>
      <c r="D2036" s="195" t="n"/>
      <c r="E2036" s="195" t="n">
        <v>341.45</v>
      </c>
      <c r="F2036" s="195" t="n">
        <v>377.97</v>
      </c>
      <c r="G2036" s="195" t="n">
        <v>359.71</v>
      </c>
    </row>
    <row r="2037">
      <c r="A2037" s="196" t="inlineStr">
        <is>
          <t>2026-06-06 18:00:11</t>
        </is>
      </c>
      <c r="B2037" s="196" t="inlineStr">
        <is>
          <t>SAR</t>
        </is>
      </c>
      <c r="C2037" s="196" t="inlineStr">
        <is>
          <t>SAUDI RIAL</t>
        </is>
      </c>
      <c r="D2037" s="184" t="n"/>
      <c r="E2037" s="184" t="n">
        <v>6974.16</v>
      </c>
      <c r="F2037" s="184" t="n">
        <v>7274.28</v>
      </c>
      <c r="G2037" s="184" t="n">
        <v>7124.22</v>
      </c>
    </row>
    <row r="2038">
      <c r="A2038" s="194" t="inlineStr">
        <is>
          <t>2026-06-06 18:00:11</t>
        </is>
      </c>
      <c r="B2038" s="194" t="inlineStr">
        <is>
          <t>SEK</t>
        </is>
      </c>
      <c r="C2038" s="194" t="inlineStr">
        <is>
          <t>SWEDISH KRONA</t>
        </is>
      </c>
      <c r="D2038" s="195" t="n"/>
      <c r="E2038" s="195" t="n">
        <v>2749.71</v>
      </c>
      <c r="F2038" s="195" t="n">
        <v>2866.29</v>
      </c>
      <c r="G2038" s="195" t="n">
        <v>2808</v>
      </c>
    </row>
    <row r="2039">
      <c r="A2039" s="196" t="inlineStr">
        <is>
          <t>2026-06-06 18:00:11</t>
        </is>
      </c>
      <c r="B2039" s="196" t="inlineStr">
        <is>
          <t>SGD</t>
        </is>
      </c>
      <c r="C2039" s="196" t="inlineStr">
        <is>
          <t>SINGAPORE DOLLAR</t>
        </is>
      </c>
      <c r="D2039" s="184" t="n">
        <v>19960</v>
      </c>
      <c r="E2039" s="184" t="n">
        <v>20161.61</v>
      </c>
      <c r="F2039" s="184" t="n">
        <v>20848.92</v>
      </c>
      <c r="G2039" s="184" t="n">
        <v>20505.26</v>
      </c>
    </row>
    <row r="2040">
      <c r="A2040" s="194" t="inlineStr">
        <is>
          <t>2026-06-06 18:00:11</t>
        </is>
      </c>
      <c r="B2040" s="194" t="inlineStr">
        <is>
          <t>THB</t>
        </is>
      </c>
      <c r="C2040" s="194" t="inlineStr">
        <is>
          <t>THAILAND BAHT</t>
        </is>
      </c>
      <c r="D2040" s="195" t="n">
        <v>710.47</v>
      </c>
      <c r="E2040" s="195" t="n">
        <v>789.41</v>
      </c>
      <c r="F2040" s="195" t="n">
        <v>822.88</v>
      </c>
      <c r="G2040" s="195" t="n">
        <v>806.14</v>
      </c>
    </row>
    <row r="2041">
      <c r="A2041" s="196" t="inlineStr">
        <is>
          <t>2026-06-06 18:00:11</t>
        </is>
      </c>
      <c r="B2041" s="196" t="inlineStr">
        <is>
          <t>USD</t>
        </is>
      </c>
      <c r="C2041" s="196" t="inlineStr">
        <is>
          <t>US DOLLAR</t>
        </is>
      </c>
      <c r="D2041" s="184" t="n">
        <v>26094</v>
      </c>
      <c r="E2041" s="184" t="n">
        <v>26124</v>
      </c>
      <c r="F2041" s="184" t="n">
        <v>26404</v>
      </c>
      <c r="G2041" s="184" t="n">
        <v>26264</v>
      </c>
    </row>
    <row r="2042">
      <c r="A2042" s="194" t="inlineStr">
        <is>
          <t>2026-06-05 18:00:29</t>
        </is>
      </c>
      <c r="B2042" s="194" t="inlineStr">
        <is>
          <t>AUD</t>
        </is>
      </c>
      <c r="C2042" s="194" t="inlineStr">
        <is>
          <t>AUSTRALIAN DOLLAR</t>
        </is>
      </c>
      <c r="D2042" s="195" t="n">
        <v>18277.69</v>
      </c>
      <c r="E2042" s="195" t="n">
        <v>18462.31</v>
      </c>
      <c r="F2042" s="195" t="n">
        <v>19053.53</v>
      </c>
      <c r="G2042" s="195" t="n">
        <v>18757.92</v>
      </c>
    </row>
    <row r="2043">
      <c r="A2043" s="196" t="inlineStr">
        <is>
          <t>2026-06-05 18:00:29</t>
        </is>
      </c>
      <c r="B2043" s="196" t="inlineStr">
        <is>
          <t>CAD</t>
        </is>
      </c>
      <c r="C2043" s="196" t="inlineStr">
        <is>
          <t>CANADIAN DOLLAR</t>
        </is>
      </c>
      <c r="D2043" s="184" t="n">
        <v>18459.34</v>
      </c>
      <c r="E2043" s="184" t="n">
        <v>18645.8</v>
      </c>
      <c r="F2043" s="184" t="n">
        <v>19242.9</v>
      </c>
      <c r="G2043" s="184" t="n">
        <v>18944.35</v>
      </c>
    </row>
    <row r="2044">
      <c r="A2044" s="194" t="inlineStr">
        <is>
          <t>2026-06-05 18:00:29</t>
        </is>
      </c>
      <c r="B2044" s="194" t="inlineStr">
        <is>
          <t>CHF</t>
        </is>
      </c>
      <c r="C2044" s="194" t="inlineStr">
        <is>
          <t>SWISS FRANC</t>
        </is>
      </c>
      <c r="D2044" s="195" t="n">
        <v>32529.62</v>
      </c>
      <c r="E2044" s="195" t="n">
        <v>32858.2</v>
      </c>
      <c r="F2044" s="195" t="n">
        <v>33910.43</v>
      </c>
      <c r="G2044" s="195" t="n">
        <v>33384.32</v>
      </c>
    </row>
    <row r="2045">
      <c r="A2045" s="196" t="inlineStr">
        <is>
          <t>2026-06-05 18:00:29</t>
        </is>
      </c>
      <c r="B2045" s="196" t="inlineStr">
        <is>
          <t>CNY</t>
        </is>
      </c>
      <c r="C2045" s="196" t="inlineStr">
        <is>
          <t>YUAN RENMINBI</t>
        </is>
      </c>
      <c r="D2045" s="184" t="n">
        <v>3789.16</v>
      </c>
      <c r="E2045" s="184" t="n">
        <v>3827.43</v>
      </c>
      <c r="F2045" s="184" t="n">
        <v>3950</v>
      </c>
      <c r="G2045" s="184" t="n">
        <v>3888.72</v>
      </c>
    </row>
    <row r="2046">
      <c r="A2046" s="194" t="inlineStr">
        <is>
          <t>2026-06-05 18:00:29</t>
        </is>
      </c>
      <c r="B2046" s="194" t="inlineStr">
        <is>
          <t>DKK</t>
        </is>
      </c>
      <c r="C2046" s="194" t="inlineStr">
        <is>
          <t>DANISH KRONE</t>
        </is>
      </c>
      <c r="D2046" s="195" t="n"/>
      <c r="E2046" s="195" t="n">
        <v>4016.21</v>
      </c>
      <c r="F2046" s="195" t="n">
        <v>4169.77</v>
      </c>
      <c r="G2046" s="195" t="n">
        <v>4092.99</v>
      </c>
    </row>
    <row r="2047">
      <c r="A2047" s="196" t="inlineStr">
        <is>
          <t>2026-06-05 18:00:29</t>
        </is>
      </c>
      <c r="B2047" s="196" t="inlineStr">
        <is>
          <t>EUR</t>
        </is>
      </c>
      <c r="C2047" s="196" t="inlineStr">
        <is>
          <t>EURO</t>
        </is>
      </c>
      <c r="D2047" s="184" t="n">
        <v>29793.94</v>
      </c>
      <c r="E2047" s="184" t="n">
        <v>30094.89</v>
      </c>
      <c r="F2047" s="184" t="n">
        <v>31364.62</v>
      </c>
      <c r="G2047" s="184" t="n">
        <v>30729.75</v>
      </c>
    </row>
    <row r="2048">
      <c r="A2048" s="194" t="inlineStr">
        <is>
          <t>2026-06-05 18:00:29</t>
        </is>
      </c>
      <c r="B2048" s="194" t="inlineStr">
        <is>
          <t>GBP</t>
        </is>
      </c>
      <c r="C2048" s="194" t="inlineStr">
        <is>
          <t>POUND STERLING</t>
        </is>
      </c>
      <c r="D2048" s="195" t="n">
        <v>34435.85</v>
      </c>
      <c r="E2048" s="195" t="n">
        <v>34783.69</v>
      </c>
      <c r="F2048" s="195" t="n">
        <v>35897.57</v>
      </c>
      <c r="G2048" s="195" t="n">
        <v>35340.63</v>
      </c>
    </row>
    <row r="2049">
      <c r="A2049" s="196" t="inlineStr">
        <is>
          <t>2026-06-05 18:00:29</t>
        </is>
      </c>
      <c r="B2049" s="196" t="inlineStr">
        <is>
          <t>HKD</t>
        </is>
      </c>
      <c r="C2049" s="196" t="inlineStr">
        <is>
          <t>HONGKONG DOLLAR</t>
        </is>
      </c>
      <c r="D2049" s="184" t="n">
        <v>3266.39</v>
      </c>
      <c r="E2049" s="184" t="n">
        <v>3299.39</v>
      </c>
      <c r="F2049" s="184" t="n">
        <v>3425.54</v>
      </c>
      <c r="G2049" s="184" t="n">
        <v>3362.46</v>
      </c>
    </row>
    <row r="2050">
      <c r="A2050" s="194" t="inlineStr">
        <is>
          <t>2026-06-05 18:00:29</t>
        </is>
      </c>
      <c r="B2050" s="194" t="inlineStr">
        <is>
          <t>INR</t>
        </is>
      </c>
      <c r="C2050" s="194" t="inlineStr">
        <is>
          <t>INDIAN RUPEE</t>
        </is>
      </c>
      <c r="D2050" s="195" t="n"/>
      <c r="E2050" s="195" t="n">
        <v>273.37</v>
      </c>
      <c r="F2050" s="195" t="n">
        <v>285.13</v>
      </c>
      <c r="G2050" s="195" t="n">
        <v>279.25</v>
      </c>
    </row>
    <row r="2051">
      <c r="A2051" s="196" t="inlineStr">
        <is>
          <t>2026-06-05 18:00:29</t>
        </is>
      </c>
      <c r="B2051" s="196" t="inlineStr">
        <is>
          <t>JPY</t>
        </is>
      </c>
      <c r="C2051" s="196" t="inlineStr">
        <is>
          <t>YEN</t>
        </is>
      </c>
      <c r="D2051" s="184" t="n">
        <v>158.9</v>
      </c>
      <c r="E2051" s="184" t="n">
        <v>160.5</v>
      </c>
      <c r="F2051" s="184" t="n">
        <v>168.99</v>
      </c>
      <c r="G2051" s="184" t="n">
        <v>164.74</v>
      </c>
    </row>
    <row r="2052">
      <c r="A2052" s="194" t="inlineStr">
        <is>
          <t>2026-06-05 18:00:29</t>
        </is>
      </c>
      <c r="B2052" s="194" t="inlineStr">
        <is>
          <t>KRW</t>
        </is>
      </c>
      <c r="C2052" s="194" t="inlineStr">
        <is>
          <t>KOREAN WON</t>
        </is>
      </c>
      <c r="D2052" s="195" t="n">
        <v>14.79</v>
      </c>
      <c r="E2052" s="195" t="n">
        <v>16.43</v>
      </c>
      <c r="F2052" s="195" t="n">
        <v>17.82</v>
      </c>
      <c r="G2052" s="195" t="n">
        <v>17.12</v>
      </c>
    </row>
    <row r="2053">
      <c r="A2053" s="196" t="inlineStr">
        <is>
          <t>2026-06-05 18:00:29</t>
        </is>
      </c>
      <c r="B2053" s="196" t="inlineStr">
        <is>
          <t>KWD</t>
        </is>
      </c>
      <c r="C2053" s="196" t="inlineStr">
        <is>
          <t>KUWAITI DINAR</t>
        </is>
      </c>
      <c r="D2053" s="184" t="n"/>
      <c r="E2053" s="184" t="n">
        <v>85314.71000000001</v>
      </c>
      <c r="F2053" s="184" t="n">
        <v>89449.60000000001</v>
      </c>
      <c r="G2053" s="184" t="n">
        <v>87382.16</v>
      </c>
    </row>
    <row r="2054">
      <c r="A2054" s="194" t="inlineStr">
        <is>
          <t>2026-06-05 18:00:29</t>
        </is>
      </c>
      <c r="B2054" s="194" t="inlineStr">
        <is>
          <t>MYR</t>
        </is>
      </c>
      <c r="C2054" s="194" t="inlineStr">
        <is>
          <t>MALAYSIAN RINGGIT</t>
        </is>
      </c>
      <c r="D2054" s="195" t="n"/>
      <c r="E2054" s="195" t="n">
        <v>6480.96</v>
      </c>
      <c r="F2054" s="195" t="n">
        <v>6621.94</v>
      </c>
      <c r="G2054" s="195" t="n">
        <v>6551.45</v>
      </c>
    </row>
    <row r="2055">
      <c r="A2055" s="196" t="inlineStr">
        <is>
          <t>2026-06-05 18:00:29</t>
        </is>
      </c>
      <c r="B2055" s="196" t="inlineStr">
        <is>
          <t>NOK</t>
        </is>
      </c>
      <c r="C2055" s="196" t="inlineStr">
        <is>
          <t>NORWEGIAN KRONER</t>
        </is>
      </c>
      <c r="D2055" s="184" t="n"/>
      <c r="E2055" s="184" t="n">
        <v>2760.21</v>
      </c>
      <c r="F2055" s="184" t="n">
        <v>2877.24</v>
      </c>
      <c r="G2055" s="184" t="n">
        <v>2818.72</v>
      </c>
    </row>
    <row r="2056">
      <c r="A2056" s="194" t="inlineStr">
        <is>
          <t>2026-06-05 18:00:29</t>
        </is>
      </c>
      <c r="B2056" s="194" t="inlineStr">
        <is>
          <t>RUB</t>
        </is>
      </c>
      <c r="C2056" s="194" t="inlineStr">
        <is>
          <t>RUSSIAN RUBLE</t>
        </is>
      </c>
      <c r="D2056" s="195" t="n"/>
      <c r="E2056" s="195" t="n">
        <v>341.45</v>
      </c>
      <c r="F2056" s="195" t="n">
        <v>377.97</v>
      </c>
      <c r="G2056" s="195" t="n">
        <v>359.71</v>
      </c>
    </row>
    <row r="2057">
      <c r="A2057" s="196" t="inlineStr">
        <is>
          <t>2026-06-05 18:00:29</t>
        </is>
      </c>
      <c r="B2057" s="196" t="inlineStr">
        <is>
          <t>SAR</t>
        </is>
      </c>
      <c r="C2057" s="196" t="inlineStr">
        <is>
          <t>SAUDI RIAL</t>
        </is>
      </c>
      <c r="D2057" s="184" t="n"/>
      <c r="E2057" s="184" t="n">
        <v>6974.16</v>
      </c>
      <c r="F2057" s="184" t="n">
        <v>7274.28</v>
      </c>
      <c r="G2057" s="184" t="n">
        <v>7124.22</v>
      </c>
    </row>
    <row r="2058">
      <c r="A2058" s="194" t="inlineStr">
        <is>
          <t>2026-06-05 18:00:29</t>
        </is>
      </c>
      <c r="B2058" s="194" t="inlineStr">
        <is>
          <t>SEK</t>
        </is>
      </c>
      <c r="C2058" s="194" t="inlineStr">
        <is>
          <t>SWEDISH KRONA</t>
        </is>
      </c>
      <c r="D2058" s="195" t="n"/>
      <c r="E2058" s="195" t="n">
        <v>2749.71</v>
      </c>
      <c r="F2058" s="195" t="n">
        <v>2866.29</v>
      </c>
      <c r="G2058" s="195" t="n">
        <v>2808</v>
      </c>
    </row>
    <row r="2059">
      <c r="A2059" s="196" t="inlineStr">
        <is>
          <t>2026-06-05 18:00:29</t>
        </is>
      </c>
      <c r="B2059" s="196" t="inlineStr">
        <is>
          <t>SGD</t>
        </is>
      </c>
      <c r="C2059" s="196" t="inlineStr">
        <is>
          <t>SINGAPORE DOLLAR</t>
        </is>
      </c>
      <c r="D2059" s="184" t="n">
        <v>19960</v>
      </c>
      <c r="E2059" s="184" t="n">
        <v>20161.61</v>
      </c>
      <c r="F2059" s="184" t="n">
        <v>20848.92</v>
      </c>
      <c r="G2059" s="184" t="n">
        <v>20505.26</v>
      </c>
    </row>
    <row r="2060">
      <c r="A2060" s="194" t="inlineStr">
        <is>
          <t>2026-06-05 18:00:29</t>
        </is>
      </c>
      <c r="B2060" s="194" t="inlineStr">
        <is>
          <t>THB</t>
        </is>
      </c>
      <c r="C2060" s="194" t="inlineStr">
        <is>
          <t>THAILAND BAHT</t>
        </is>
      </c>
      <c r="D2060" s="195" t="n">
        <v>710.47</v>
      </c>
      <c r="E2060" s="195" t="n">
        <v>789.41</v>
      </c>
      <c r="F2060" s="195" t="n">
        <v>822.88</v>
      </c>
      <c r="G2060" s="195" t="n">
        <v>806.14</v>
      </c>
    </row>
    <row r="2061">
      <c r="A2061" s="196" t="inlineStr">
        <is>
          <t>2026-06-05 18:00:29</t>
        </is>
      </c>
      <c r="B2061" s="196" t="inlineStr">
        <is>
          <t>USD</t>
        </is>
      </c>
      <c r="C2061" s="196" t="inlineStr">
        <is>
          <t>US DOLLAR</t>
        </is>
      </c>
      <c r="D2061" s="184" t="n">
        <v>26094</v>
      </c>
      <c r="E2061" s="184" t="n">
        <v>26124</v>
      </c>
      <c r="F2061" s="184" t="n">
        <v>26404</v>
      </c>
      <c r="G2061" s="184" t="n">
        <v>26264</v>
      </c>
    </row>
    <row r="2062">
      <c r="A2062" s="194" t="inlineStr">
        <is>
          <t>2026-06-04 18:00:16</t>
        </is>
      </c>
      <c r="B2062" s="194" t="inlineStr">
        <is>
          <t>AUD</t>
        </is>
      </c>
      <c r="C2062" s="194" t="inlineStr">
        <is>
          <t>AUSTRALIAN DOLLAR</t>
        </is>
      </c>
      <c r="D2062" s="195" t="n">
        <v>18297.25</v>
      </c>
      <c r="E2062" s="195" t="n">
        <v>18482.08</v>
      </c>
      <c r="F2062" s="195" t="n">
        <v>19073.92</v>
      </c>
      <c r="G2062" s="195" t="n">
        <v>18778</v>
      </c>
    </row>
    <row r="2063">
      <c r="A2063" s="196" t="inlineStr">
        <is>
          <t>2026-06-04 18:00:16</t>
        </is>
      </c>
      <c r="B2063" s="196" t="inlineStr">
        <is>
          <t>CAD</t>
        </is>
      </c>
      <c r="C2063" s="196" t="inlineStr">
        <is>
          <t>CANADIAN DOLLAR</t>
        </is>
      </c>
      <c r="D2063" s="184" t="n">
        <v>18479.5</v>
      </c>
      <c r="E2063" s="184" t="n">
        <v>18666.16</v>
      </c>
      <c r="F2063" s="184" t="n">
        <v>19263.91</v>
      </c>
      <c r="G2063" s="184" t="n">
        <v>18965.04</v>
      </c>
    </row>
    <row r="2064">
      <c r="A2064" s="194" t="inlineStr">
        <is>
          <t>2026-06-04 18:00:16</t>
        </is>
      </c>
      <c r="B2064" s="194" t="inlineStr">
        <is>
          <t>CHF</t>
        </is>
      </c>
      <c r="C2064" s="194" t="inlineStr">
        <is>
          <t>SWISS FRANC</t>
        </is>
      </c>
      <c r="D2064" s="195" t="n">
        <v>32458.87</v>
      </c>
      <c r="E2064" s="195" t="n">
        <v>32786.74</v>
      </c>
      <c r="F2064" s="195" t="n">
        <v>33836.67</v>
      </c>
      <c r="G2064" s="195" t="n">
        <v>33311.7</v>
      </c>
    </row>
    <row r="2065">
      <c r="A2065" s="196" t="inlineStr">
        <is>
          <t>2026-06-04 18:00:16</t>
        </is>
      </c>
      <c r="B2065" s="196" t="inlineStr">
        <is>
          <t>CNY</t>
        </is>
      </c>
      <c r="C2065" s="196" t="inlineStr">
        <is>
          <t>YUAN RENMINBI</t>
        </is>
      </c>
      <c r="D2065" s="184" t="n">
        <v>3792.43</v>
      </c>
      <c r="E2065" s="184" t="n">
        <v>3830.74</v>
      </c>
      <c r="F2065" s="184" t="n">
        <v>3953.41</v>
      </c>
      <c r="G2065" s="184" t="n">
        <v>3892.08</v>
      </c>
    </row>
    <row r="2066">
      <c r="A2066" s="194" t="inlineStr">
        <is>
          <t>2026-06-04 18:00:16</t>
        </is>
      </c>
      <c r="B2066" s="194" t="inlineStr">
        <is>
          <t>DKK</t>
        </is>
      </c>
      <c r="C2066" s="194" t="inlineStr">
        <is>
          <t>DANISH KRONE</t>
        </is>
      </c>
      <c r="D2066" s="195" t="n"/>
      <c r="E2066" s="195" t="n">
        <v>4015.69</v>
      </c>
      <c r="F2066" s="195" t="n">
        <v>4169.23</v>
      </c>
      <c r="G2066" s="195" t="n">
        <v>4092.46</v>
      </c>
    </row>
    <row r="2067">
      <c r="A2067" s="196" t="inlineStr">
        <is>
          <t>2026-06-04 18:00:16</t>
        </is>
      </c>
      <c r="B2067" s="196" t="inlineStr">
        <is>
          <t>EUR</t>
        </is>
      </c>
      <c r="C2067" s="196" t="inlineStr">
        <is>
          <t>EURO</t>
        </is>
      </c>
      <c r="D2067" s="184" t="n">
        <v>29787.9</v>
      </c>
      <c r="E2067" s="184" t="n">
        <v>30088.79</v>
      </c>
      <c r="F2067" s="184" t="n">
        <v>31358.25</v>
      </c>
      <c r="G2067" s="184" t="n">
        <v>30723.52</v>
      </c>
    </row>
    <row r="2068">
      <c r="A2068" s="194" t="inlineStr">
        <is>
          <t>2026-06-04 18:00:16</t>
        </is>
      </c>
      <c r="B2068" s="194" t="inlineStr">
        <is>
          <t>GBP</t>
        </is>
      </c>
      <c r="C2068" s="194" t="inlineStr">
        <is>
          <t>POUND STERLING</t>
        </is>
      </c>
      <c r="D2068" s="195" t="n">
        <v>34453.97</v>
      </c>
      <c r="E2068" s="195" t="n">
        <v>34801.99</v>
      </c>
      <c r="F2068" s="195" t="n">
        <v>35916.45</v>
      </c>
      <c r="G2068" s="195" t="n">
        <v>35359.22</v>
      </c>
    </row>
    <row r="2069">
      <c r="A2069" s="196" t="inlineStr">
        <is>
          <t>2026-06-04 18:00:16</t>
        </is>
      </c>
      <c r="B2069" s="196" t="inlineStr">
        <is>
          <t>HKD</t>
        </is>
      </c>
      <c r="C2069" s="196" t="inlineStr">
        <is>
          <t>HONGKONG DOLLAR</t>
        </is>
      </c>
      <c r="D2069" s="184" t="n">
        <v>3266.6</v>
      </c>
      <c r="E2069" s="184" t="n">
        <v>3299.59</v>
      </c>
      <c r="F2069" s="184" t="n">
        <v>3425.75</v>
      </c>
      <c r="G2069" s="184" t="n">
        <v>3362.67</v>
      </c>
    </row>
    <row r="2070">
      <c r="A2070" s="194" t="inlineStr">
        <is>
          <t>2026-06-04 18:00:16</t>
        </is>
      </c>
      <c r="B2070" s="194" t="inlineStr">
        <is>
          <t>INR</t>
        </is>
      </c>
      <c r="C2070" s="194" t="inlineStr">
        <is>
          <t>INDIAN RUPEE</t>
        </is>
      </c>
      <c r="D2070" s="195" t="n"/>
      <c r="E2070" s="195" t="n">
        <v>273.64</v>
      </c>
      <c r="F2070" s="195" t="n">
        <v>285.42</v>
      </c>
      <c r="G2070" s="195" t="n">
        <v>279.53</v>
      </c>
    </row>
    <row r="2071">
      <c r="A2071" s="196" t="inlineStr">
        <is>
          <t>2026-06-04 18:00:16</t>
        </is>
      </c>
      <c r="B2071" s="196" t="inlineStr">
        <is>
          <t>JPY</t>
        </is>
      </c>
      <c r="C2071" s="196" t="inlineStr">
        <is>
          <t>YEN</t>
        </is>
      </c>
      <c r="D2071" s="184" t="n">
        <v>158.98</v>
      </c>
      <c r="E2071" s="184" t="n">
        <v>160.59</v>
      </c>
      <c r="F2071" s="184" t="n">
        <v>169.08</v>
      </c>
      <c r="G2071" s="184" t="n">
        <v>164.84</v>
      </c>
    </row>
    <row r="2072">
      <c r="A2072" s="194" t="inlineStr">
        <is>
          <t>2026-06-04 18:00:16</t>
        </is>
      </c>
      <c r="B2072" s="194" t="inlineStr">
        <is>
          <t>KRW</t>
        </is>
      </c>
      <c r="C2072" s="194" t="inlineStr">
        <is>
          <t>KOREAN WON</t>
        </is>
      </c>
      <c r="D2072" s="195" t="n">
        <v>14.91</v>
      </c>
      <c r="E2072" s="195" t="n">
        <v>16.56</v>
      </c>
      <c r="F2072" s="195" t="n">
        <v>17.97</v>
      </c>
      <c r="G2072" s="195" t="n">
        <v>17.26</v>
      </c>
    </row>
    <row r="2073">
      <c r="A2073" s="196" t="inlineStr">
        <is>
          <t>2026-06-04 18:00:16</t>
        </is>
      </c>
      <c r="B2073" s="196" t="inlineStr">
        <is>
          <t>KWD</t>
        </is>
      </c>
      <c r="C2073" s="196" t="inlineStr">
        <is>
          <t>KUWAITI DINAR</t>
        </is>
      </c>
      <c r="D2073" s="184" t="n"/>
      <c r="E2073" s="184" t="n">
        <v>85361.98</v>
      </c>
      <c r="F2073" s="184" t="n">
        <v>89499.13</v>
      </c>
      <c r="G2073" s="184" t="n">
        <v>87430.56</v>
      </c>
    </row>
    <row r="2074">
      <c r="A2074" s="194" t="inlineStr">
        <is>
          <t>2026-06-04 18:00:16</t>
        </is>
      </c>
      <c r="B2074" s="194" t="inlineStr">
        <is>
          <t>MYR</t>
        </is>
      </c>
      <c r="C2074" s="194" t="inlineStr">
        <is>
          <t>MALAYSIAN RINGGIT</t>
        </is>
      </c>
      <c r="D2074" s="195" t="n"/>
      <c r="E2074" s="195" t="n">
        <v>6524.64</v>
      </c>
      <c r="F2074" s="195" t="n">
        <v>6666.57</v>
      </c>
      <c r="G2074" s="195" t="n">
        <v>6595.6</v>
      </c>
    </row>
    <row r="2075">
      <c r="A2075" s="196" t="inlineStr">
        <is>
          <t>2026-06-04 18:00:16</t>
        </is>
      </c>
      <c r="B2075" s="196" t="inlineStr">
        <is>
          <t>NOK</t>
        </is>
      </c>
      <c r="C2075" s="196" t="inlineStr">
        <is>
          <t>NORWEGIAN KRONER</t>
        </is>
      </c>
      <c r="D2075" s="184" t="n"/>
      <c r="E2075" s="184" t="n">
        <v>2769.43</v>
      </c>
      <c r="F2075" s="184" t="n">
        <v>2886.85</v>
      </c>
      <c r="G2075" s="184" t="n">
        <v>2828.14</v>
      </c>
    </row>
    <row r="2076">
      <c r="A2076" s="194" t="inlineStr">
        <is>
          <t>2026-06-04 18:00:16</t>
        </is>
      </c>
      <c r="B2076" s="194" t="inlineStr">
        <is>
          <t>RUB</t>
        </is>
      </c>
      <c r="C2076" s="194" t="inlineStr">
        <is>
          <t>RUSSIAN RUBLE</t>
        </is>
      </c>
      <c r="D2076" s="195" t="n"/>
      <c r="E2076" s="195" t="n">
        <v>339.66</v>
      </c>
      <c r="F2076" s="195" t="n">
        <v>375.98</v>
      </c>
      <c r="G2076" s="195" t="n">
        <v>357.82</v>
      </c>
    </row>
    <row r="2077">
      <c r="A2077" s="196" t="inlineStr">
        <is>
          <t>2026-06-04 18:00:16</t>
        </is>
      </c>
      <c r="B2077" s="196" t="inlineStr">
        <is>
          <t>SAR</t>
        </is>
      </c>
      <c r="C2077" s="196" t="inlineStr">
        <is>
          <t>SAUDI RIAL</t>
        </is>
      </c>
      <c r="D2077" s="184" t="n"/>
      <c r="E2077" s="184" t="n">
        <v>6976.68</v>
      </c>
      <c r="F2077" s="184" t="n">
        <v>7276.91</v>
      </c>
      <c r="G2077" s="184" t="n">
        <v>7126.8</v>
      </c>
    </row>
    <row r="2078">
      <c r="A2078" s="194" t="inlineStr">
        <is>
          <t>2026-06-04 18:00:16</t>
        </is>
      </c>
      <c r="B2078" s="194" t="inlineStr">
        <is>
          <t>SEK</t>
        </is>
      </c>
      <c r="C2078" s="194" t="inlineStr">
        <is>
          <t>SWEDISH KRONA</t>
        </is>
      </c>
      <c r="D2078" s="195" t="n"/>
      <c r="E2078" s="195" t="n">
        <v>2748.28</v>
      </c>
      <c r="F2078" s="195" t="n">
        <v>2864.81</v>
      </c>
      <c r="G2078" s="195" t="n">
        <v>2806.54</v>
      </c>
    </row>
    <row r="2079">
      <c r="A2079" s="196" t="inlineStr">
        <is>
          <t>2026-06-04 18:00:16</t>
        </is>
      </c>
      <c r="B2079" s="196" t="inlineStr">
        <is>
          <t>SGD</t>
        </is>
      </c>
      <c r="C2079" s="196" t="inlineStr">
        <is>
          <t>SINGAPORE DOLLAR</t>
        </is>
      </c>
      <c r="D2079" s="184" t="n">
        <v>19994.12</v>
      </c>
      <c r="E2079" s="184" t="n">
        <v>20196.08</v>
      </c>
      <c r="F2079" s="184" t="n">
        <v>20884.55</v>
      </c>
      <c r="G2079" s="184" t="n">
        <v>20540.32</v>
      </c>
    </row>
    <row r="2080">
      <c r="A2080" s="194" t="inlineStr">
        <is>
          <t>2026-06-04 18:00:16</t>
        </is>
      </c>
      <c r="B2080" s="194" t="inlineStr">
        <is>
          <t>THB</t>
        </is>
      </c>
      <c r="C2080" s="194" t="inlineStr">
        <is>
          <t>THAILAND BAHT</t>
        </is>
      </c>
      <c r="D2080" s="195" t="n">
        <v>709.98</v>
      </c>
      <c r="E2080" s="195" t="n">
        <v>788.87</v>
      </c>
      <c r="F2080" s="195" t="n">
        <v>822.3200000000001</v>
      </c>
      <c r="G2080" s="195" t="n">
        <v>805.6</v>
      </c>
    </row>
    <row r="2081">
      <c r="A2081" s="196" t="inlineStr">
        <is>
          <t>2026-06-04 18:00:16</t>
        </is>
      </c>
      <c r="B2081" s="196" t="inlineStr">
        <is>
          <t>USD</t>
        </is>
      </c>
      <c r="C2081" s="196" t="inlineStr">
        <is>
          <t>US DOLLAR</t>
        </is>
      </c>
      <c r="D2081" s="184" t="n">
        <v>26092</v>
      </c>
      <c r="E2081" s="184" t="n">
        <v>26122</v>
      </c>
      <c r="F2081" s="184" t="n">
        <v>26402</v>
      </c>
      <c r="G2081" s="184" t="n">
        <v>26262</v>
      </c>
    </row>
    <row r="2082">
      <c r="A2082" s="194" t="inlineStr">
        <is>
          <t>2026-06-03 18:00:15</t>
        </is>
      </c>
      <c r="B2082" s="194" t="inlineStr">
        <is>
          <t>AUD</t>
        </is>
      </c>
      <c r="C2082" s="194" t="inlineStr">
        <is>
          <t>AUSTRALIAN DOLLAR</t>
        </is>
      </c>
      <c r="D2082" s="195" t="n">
        <v>18422.08</v>
      </c>
      <c r="E2082" s="195" t="n">
        <v>18608.17</v>
      </c>
      <c r="F2082" s="195" t="n">
        <v>19204.06</v>
      </c>
      <c r="G2082" s="195" t="n">
        <v>18906.11</v>
      </c>
    </row>
    <row r="2083">
      <c r="A2083" s="196" t="inlineStr">
        <is>
          <t>2026-06-03 18:00:15</t>
        </is>
      </c>
      <c r="B2083" s="196" t="inlineStr">
        <is>
          <t>CAD</t>
        </is>
      </c>
      <c r="C2083" s="196" t="inlineStr">
        <is>
          <t>CANADIAN DOLLAR</t>
        </is>
      </c>
      <c r="D2083" s="184" t="n">
        <v>18546.75</v>
      </c>
      <c r="E2083" s="184" t="n">
        <v>18734.09</v>
      </c>
      <c r="F2083" s="184" t="n">
        <v>19334.02</v>
      </c>
      <c r="G2083" s="184" t="n">
        <v>19034.06</v>
      </c>
    </row>
    <row r="2084">
      <c r="A2084" s="194" t="inlineStr">
        <is>
          <t>2026-06-03 18:00:15</t>
        </is>
      </c>
      <c r="B2084" s="194" t="inlineStr">
        <is>
          <t>CHF</t>
        </is>
      </c>
      <c r="C2084" s="194" t="inlineStr">
        <is>
          <t>SWISS FRANC</t>
        </is>
      </c>
      <c r="D2084" s="195" t="n">
        <v>32592.82</v>
      </c>
      <c r="E2084" s="195" t="n">
        <v>32922.04</v>
      </c>
      <c r="F2084" s="195" t="n">
        <v>33976.31</v>
      </c>
      <c r="G2084" s="195" t="n">
        <v>33449.18</v>
      </c>
    </row>
    <row r="2085">
      <c r="A2085" s="196" t="inlineStr">
        <is>
          <t>2026-06-03 18:00:15</t>
        </is>
      </c>
      <c r="B2085" s="196" t="inlineStr">
        <is>
          <t>CNY</t>
        </is>
      </c>
      <c r="C2085" s="196" t="inlineStr">
        <is>
          <t>YUAN RENMINBI</t>
        </is>
      </c>
      <c r="D2085" s="184" t="n">
        <v>3795.64</v>
      </c>
      <c r="E2085" s="184" t="n">
        <v>3833.98</v>
      </c>
      <c r="F2085" s="184" t="n">
        <v>3956.75</v>
      </c>
      <c r="G2085" s="184" t="n">
        <v>3895.36</v>
      </c>
    </row>
    <row r="2086">
      <c r="A2086" s="194" t="inlineStr">
        <is>
          <t>2026-06-03 18:00:15</t>
        </is>
      </c>
      <c r="B2086" s="194" t="inlineStr">
        <is>
          <t>DKK</t>
        </is>
      </c>
      <c r="C2086" s="194" t="inlineStr">
        <is>
          <t>DANISH KRONE</t>
        </is>
      </c>
      <c r="D2086" s="195" t="n"/>
      <c r="E2086" s="195" t="n">
        <v>4023.36</v>
      </c>
      <c r="F2086" s="195" t="n">
        <v>4177.2</v>
      </c>
      <c r="G2086" s="195" t="n">
        <v>4100.28</v>
      </c>
    </row>
    <row r="2087">
      <c r="A2087" s="196" t="inlineStr">
        <is>
          <t>2026-06-03 18:00:15</t>
        </is>
      </c>
      <c r="B2087" s="196" t="inlineStr">
        <is>
          <t>EUR</t>
        </is>
      </c>
      <c r="C2087" s="196" t="inlineStr">
        <is>
          <t>EURO</t>
        </is>
      </c>
      <c r="D2087" s="184" t="n">
        <v>29841.26</v>
      </c>
      <c r="E2087" s="184" t="n">
        <v>30142.69</v>
      </c>
      <c r="F2087" s="184" t="n">
        <v>31414.44</v>
      </c>
      <c r="G2087" s="184" t="n">
        <v>30778.56</v>
      </c>
    </row>
    <row r="2088">
      <c r="A2088" s="194" t="inlineStr">
        <is>
          <t>2026-06-03 18:00:15</t>
        </is>
      </c>
      <c r="B2088" s="194" t="inlineStr">
        <is>
          <t>GBP</t>
        </is>
      </c>
      <c r="C2088" s="194" t="inlineStr">
        <is>
          <t>POUND STERLING</t>
        </is>
      </c>
      <c r="D2088" s="195" t="n">
        <v>34550.07</v>
      </c>
      <c r="E2088" s="195" t="n">
        <v>34899.06</v>
      </c>
      <c r="F2088" s="195" t="n">
        <v>36016.64</v>
      </c>
      <c r="G2088" s="195" t="n">
        <v>35457.85</v>
      </c>
    </row>
    <row r="2089">
      <c r="A2089" s="196" t="inlineStr">
        <is>
          <t>2026-06-03 18:00:15</t>
        </is>
      </c>
      <c r="B2089" s="196" t="inlineStr">
        <is>
          <t>HKD</t>
        </is>
      </c>
      <c r="C2089" s="196" t="inlineStr">
        <is>
          <t>HONGKONG DOLLAR</t>
        </is>
      </c>
      <c r="D2089" s="184" t="n">
        <v>3265.52</v>
      </c>
      <c r="E2089" s="184" t="n">
        <v>3298.5</v>
      </c>
      <c r="F2089" s="184" t="n">
        <v>3424.62</v>
      </c>
      <c r="G2089" s="184" t="n">
        <v>3361.56</v>
      </c>
    </row>
    <row r="2090">
      <c r="A2090" s="194" t="inlineStr">
        <is>
          <t>2026-06-03 18:00:15</t>
        </is>
      </c>
      <c r="B2090" s="194" t="inlineStr">
        <is>
          <t>INR</t>
        </is>
      </c>
      <c r="C2090" s="194" t="inlineStr">
        <is>
          <t>INDIAN RUPEE</t>
        </is>
      </c>
      <c r="D2090" s="195" t="n"/>
      <c r="E2090" s="195" t="n">
        <v>274.87</v>
      </c>
      <c r="F2090" s="195" t="n">
        <v>286.7</v>
      </c>
      <c r="G2090" s="195" t="n">
        <v>280.78</v>
      </c>
    </row>
    <row r="2091">
      <c r="A2091" s="196" t="inlineStr">
        <is>
          <t>2026-06-03 18:00:15</t>
        </is>
      </c>
      <c r="B2091" s="196" t="inlineStr">
        <is>
          <t>JPY</t>
        </is>
      </c>
      <c r="C2091" s="196" t="inlineStr">
        <is>
          <t>YEN</t>
        </is>
      </c>
      <c r="D2091" s="184" t="n">
        <v>158.95</v>
      </c>
      <c r="E2091" s="184" t="n">
        <v>160.56</v>
      </c>
      <c r="F2091" s="184" t="n">
        <v>169.05</v>
      </c>
      <c r="G2091" s="184" t="n">
        <v>164.8</v>
      </c>
    </row>
    <row r="2092">
      <c r="A2092" s="194" t="inlineStr">
        <is>
          <t>2026-06-03 18:00:15</t>
        </is>
      </c>
      <c r="B2092" s="194" t="inlineStr">
        <is>
          <t>KRW</t>
        </is>
      </c>
      <c r="C2092" s="194" t="inlineStr">
        <is>
          <t>KOREAN WON</t>
        </is>
      </c>
      <c r="D2092" s="195" t="n">
        <v>15</v>
      </c>
      <c r="E2092" s="195" t="n">
        <v>16.67</v>
      </c>
      <c r="F2092" s="195" t="n">
        <v>18.09</v>
      </c>
      <c r="G2092" s="195" t="n">
        <v>17.38</v>
      </c>
    </row>
    <row r="2093">
      <c r="A2093" s="196" t="inlineStr">
        <is>
          <t>2026-06-03 18:00:15</t>
        </is>
      </c>
      <c r="B2093" s="196" t="inlineStr">
        <is>
          <t>KWD</t>
        </is>
      </c>
      <c r="C2093" s="196" t="inlineStr">
        <is>
          <t>KUWAITI DINAR</t>
        </is>
      </c>
      <c r="D2093" s="184" t="n"/>
      <c r="E2093" s="184" t="n">
        <v>85345.75999999999</v>
      </c>
      <c r="F2093" s="184" t="n">
        <v>89482.14999999999</v>
      </c>
      <c r="G2093" s="184" t="n">
        <v>87413.95</v>
      </c>
    </row>
    <row r="2094">
      <c r="A2094" s="194" t="inlineStr">
        <is>
          <t>2026-06-03 18:00:15</t>
        </is>
      </c>
      <c r="B2094" s="194" t="inlineStr">
        <is>
          <t>MYR</t>
        </is>
      </c>
      <c r="C2094" s="194" t="inlineStr">
        <is>
          <t>MALAYSIAN RINGGIT</t>
        </is>
      </c>
      <c r="D2094" s="195" t="n"/>
      <c r="E2094" s="195" t="n">
        <v>6562.84</v>
      </c>
      <c r="F2094" s="195" t="n">
        <v>6705.59</v>
      </c>
      <c r="G2094" s="195" t="n">
        <v>6634.22</v>
      </c>
    </row>
    <row r="2095">
      <c r="A2095" s="196" t="inlineStr">
        <is>
          <t>2026-06-03 18:00:15</t>
        </is>
      </c>
      <c r="B2095" s="196" t="inlineStr">
        <is>
          <t>NOK</t>
        </is>
      </c>
      <c r="C2095" s="196" t="inlineStr">
        <is>
          <t>NORWEGIAN KRONER</t>
        </is>
      </c>
      <c r="D2095" s="184" t="n"/>
      <c r="E2095" s="184" t="n">
        <v>2779.14</v>
      </c>
      <c r="F2095" s="184" t="n">
        <v>2896.97</v>
      </c>
      <c r="G2095" s="184" t="n">
        <v>2838.06</v>
      </c>
    </row>
    <row r="2096">
      <c r="A2096" s="194" t="inlineStr">
        <is>
          <t>2026-06-03 18:00:15</t>
        </is>
      </c>
      <c r="B2096" s="194" t="inlineStr">
        <is>
          <t>RUB</t>
        </is>
      </c>
      <c r="C2096" s="194" t="inlineStr">
        <is>
          <t>RUSSIAN RUBLE</t>
        </is>
      </c>
      <c r="D2096" s="195" t="n"/>
      <c r="E2096" s="195" t="n">
        <v>343.31</v>
      </c>
      <c r="F2096" s="195" t="n">
        <v>380.03</v>
      </c>
      <c r="G2096" s="195" t="n">
        <v>361.67</v>
      </c>
    </row>
    <row r="2097">
      <c r="A2097" s="196" t="inlineStr">
        <is>
          <t>2026-06-03 18:00:15</t>
        </is>
      </c>
      <c r="B2097" s="196" t="inlineStr">
        <is>
          <t>SAR</t>
        </is>
      </c>
      <c r="C2097" s="196" t="inlineStr">
        <is>
          <t>SAUDI RIAL</t>
        </is>
      </c>
      <c r="D2097" s="184" t="n"/>
      <c r="E2097" s="184" t="n">
        <v>6976.65</v>
      </c>
      <c r="F2097" s="184" t="n">
        <v>7276.89</v>
      </c>
      <c r="G2097" s="184" t="n">
        <v>7126.77</v>
      </c>
    </row>
    <row r="2098">
      <c r="A2098" s="194" t="inlineStr">
        <is>
          <t>2026-06-03 18:00:15</t>
        </is>
      </c>
      <c r="B2098" s="194" t="inlineStr">
        <is>
          <t>SEK</t>
        </is>
      </c>
      <c r="C2098" s="194" t="inlineStr">
        <is>
          <t>SWEDISH KRONA</t>
        </is>
      </c>
      <c r="D2098" s="195" t="n"/>
      <c r="E2098" s="195" t="n">
        <v>2768.25</v>
      </c>
      <c r="F2098" s="195" t="n">
        <v>2885.62</v>
      </c>
      <c r="G2098" s="195" t="n">
        <v>2826.94</v>
      </c>
    </row>
    <row r="2099">
      <c r="A2099" s="196" t="inlineStr">
        <is>
          <t>2026-06-03 18:00:15</t>
        </is>
      </c>
      <c r="B2099" s="196" t="inlineStr">
        <is>
          <t>SGD</t>
        </is>
      </c>
      <c r="C2099" s="196" t="inlineStr">
        <is>
          <t>SINGAPORE DOLLAR</t>
        </is>
      </c>
      <c r="D2099" s="184" t="n">
        <v>20045.02</v>
      </c>
      <c r="E2099" s="184" t="n">
        <v>20247.49</v>
      </c>
      <c r="F2099" s="184" t="n">
        <v>20937.72</v>
      </c>
      <c r="G2099" s="184" t="n">
        <v>20592.61</v>
      </c>
    </row>
    <row r="2100">
      <c r="A2100" s="194" t="inlineStr">
        <is>
          <t>2026-06-03 18:00:15</t>
        </is>
      </c>
      <c r="B2100" s="194" t="inlineStr">
        <is>
          <t>THB</t>
        </is>
      </c>
      <c r="C2100" s="194" t="inlineStr">
        <is>
          <t>THAILAND BAHT</t>
        </is>
      </c>
      <c r="D2100" s="195" t="n">
        <v>710.9299999999999</v>
      </c>
      <c r="E2100" s="195" t="n">
        <v>789.9299999999999</v>
      </c>
      <c r="F2100" s="195" t="n">
        <v>823.42</v>
      </c>
      <c r="G2100" s="195" t="n">
        <v>806.6799999999999</v>
      </c>
    </row>
    <row r="2101">
      <c r="A2101" s="196" t="inlineStr">
        <is>
          <t>2026-06-03 18:00:15</t>
        </is>
      </c>
      <c r="B2101" s="196" t="inlineStr">
        <is>
          <t>USD</t>
        </is>
      </c>
      <c r="C2101" s="196" t="inlineStr">
        <is>
          <t>US DOLLAR</t>
        </is>
      </c>
      <c r="D2101" s="184" t="n">
        <v>26092</v>
      </c>
      <c r="E2101" s="184" t="n">
        <v>26122</v>
      </c>
      <c r="F2101" s="184" t="n">
        <v>26402</v>
      </c>
      <c r="G2101" s="184" t="n">
        <v>26262</v>
      </c>
    </row>
    <row r="2102">
      <c r="A2102" s="194" t="inlineStr">
        <is>
          <t>2026-06-02 18:00:15</t>
        </is>
      </c>
      <c r="B2102" s="194" t="inlineStr">
        <is>
          <t>AUD</t>
        </is>
      </c>
      <c r="C2102" s="194" t="inlineStr">
        <is>
          <t>AUSTRALIAN DOLLAR</t>
        </is>
      </c>
      <c r="D2102" s="195" t="n">
        <v>18361.42</v>
      </c>
      <c r="E2102" s="195" t="n">
        <v>18546.89</v>
      </c>
      <c r="F2102" s="195" t="n">
        <v>19140.81</v>
      </c>
      <c r="G2102" s="195" t="n">
        <v>18843.85</v>
      </c>
    </row>
    <row r="2103">
      <c r="A2103" s="196" t="inlineStr">
        <is>
          <t>2026-06-02 18:00:15</t>
        </is>
      </c>
      <c r="B2103" s="196" t="inlineStr">
        <is>
          <t>CAD</t>
        </is>
      </c>
      <c r="C2103" s="196" t="inlineStr">
        <is>
          <t>CANADIAN DOLLAR</t>
        </is>
      </c>
      <c r="D2103" s="184" t="n">
        <v>18540.9</v>
      </c>
      <c r="E2103" s="184" t="n">
        <v>18728.18</v>
      </c>
      <c r="F2103" s="184" t="n">
        <v>19327.91</v>
      </c>
      <c r="G2103" s="184" t="n">
        <v>19028.04</v>
      </c>
    </row>
    <row r="2104">
      <c r="A2104" s="194" t="inlineStr">
        <is>
          <t>2026-06-02 18:00:15</t>
        </is>
      </c>
      <c r="B2104" s="194" t="inlineStr">
        <is>
          <t>CHF</t>
        </is>
      </c>
      <c r="C2104" s="194" t="inlineStr">
        <is>
          <t>SWISS FRANC</t>
        </is>
      </c>
      <c r="D2104" s="195" t="n">
        <v>32636.31</v>
      </c>
      <c r="E2104" s="195" t="n">
        <v>32965.97</v>
      </c>
      <c r="F2104" s="195" t="n">
        <v>34021.64</v>
      </c>
      <c r="G2104" s="195" t="n">
        <v>33493.8</v>
      </c>
    </row>
    <row r="2105">
      <c r="A2105" s="196" t="inlineStr">
        <is>
          <t>2026-06-02 18:00:15</t>
        </is>
      </c>
      <c r="B2105" s="196" t="inlineStr">
        <is>
          <t>CNY</t>
        </is>
      </c>
      <c r="C2105" s="196" t="inlineStr">
        <is>
          <t>YUAN RENMINBI</t>
        </is>
      </c>
      <c r="D2105" s="184" t="n">
        <v>3795.46</v>
      </c>
      <c r="E2105" s="184" t="n">
        <v>3833.8</v>
      </c>
      <c r="F2105" s="184" t="n">
        <v>3956.57</v>
      </c>
      <c r="G2105" s="184" t="n">
        <v>3895.19</v>
      </c>
    </row>
    <row r="2106">
      <c r="A2106" s="194" t="inlineStr">
        <is>
          <t>2026-06-02 18:00:15</t>
        </is>
      </c>
      <c r="B2106" s="194" t="inlineStr">
        <is>
          <t>DKK</t>
        </is>
      </c>
      <c r="C2106" s="194" t="inlineStr">
        <is>
          <t>DANISH KRONE</t>
        </is>
      </c>
      <c r="D2106" s="195" t="n"/>
      <c r="E2106" s="195" t="n">
        <v>4024</v>
      </c>
      <c r="F2106" s="195" t="n">
        <v>4177.86</v>
      </c>
      <c r="G2106" s="195" t="n">
        <v>4100.93</v>
      </c>
    </row>
    <row r="2107">
      <c r="A2107" s="196" t="inlineStr">
        <is>
          <t>2026-06-02 18:00:15</t>
        </is>
      </c>
      <c r="B2107" s="196" t="inlineStr">
        <is>
          <t>EUR</t>
        </is>
      </c>
      <c r="C2107" s="196" t="inlineStr">
        <is>
          <t>EURO</t>
        </is>
      </c>
      <c r="D2107" s="184" t="n">
        <v>29849.5</v>
      </c>
      <c r="E2107" s="184" t="n">
        <v>30151.01</v>
      </c>
      <c r="F2107" s="184" t="n">
        <v>31423.1</v>
      </c>
      <c r="G2107" s="184" t="n">
        <v>30787.06</v>
      </c>
    </row>
    <row r="2108">
      <c r="A2108" s="194" t="inlineStr">
        <is>
          <t>2026-06-02 18:00:15</t>
        </is>
      </c>
      <c r="B2108" s="194" t="inlineStr">
        <is>
          <t>GBP</t>
        </is>
      </c>
      <c r="C2108" s="194" t="inlineStr">
        <is>
          <t>POUND STERLING</t>
        </is>
      </c>
      <c r="D2108" s="195" t="n">
        <v>34520.7</v>
      </c>
      <c r="E2108" s="195" t="n">
        <v>34869.39</v>
      </c>
      <c r="F2108" s="195" t="n">
        <v>35986.01</v>
      </c>
      <c r="G2108" s="195" t="n">
        <v>35427.7</v>
      </c>
    </row>
    <row r="2109">
      <c r="A2109" s="196" t="inlineStr">
        <is>
          <t>2026-06-02 18:00:15</t>
        </is>
      </c>
      <c r="B2109" s="196" t="inlineStr">
        <is>
          <t>HKD</t>
        </is>
      </c>
      <c r="C2109" s="196" t="inlineStr">
        <is>
          <t>HONGKONG DOLLAR</t>
        </is>
      </c>
      <c r="D2109" s="184" t="n">
        <v>3265.39</v>
      </c>
      <c r="E2109" s="184" t="n">
        <v>3298.37</v>
      </c>
      <c r="F2109" s="184" t="n">
        <v>3424.49</v>
      </c>
      <c r="G2109" s="184" t="n">
        <v>3361.43</v>
      </c>
    </row>
    <row r="2110">
      <c r="A2110" s="194" t="inlineStr">
        <is>
          <t>2026-06-02 18:00:15</t>
        </is>
      </c>
      <c r="B2110" s="194" t="inlineStr">
        <is>
          <t>INR</t>
        </is>
      </c>
      <c r="C2110" s="194" t="inlineStr">
        <is>
          <t>INDIAN RUPEE</t>
        </is>
      </c>
      <c r="D2110" s="195" t="n"/>
      <c r="E2110" s="195" t="n">
        <v>275.7</v>
      </c>
      <c r="F2110" s="195" t="n">
        <v>287.57</v>
      </c>
      <c r="G2110" s="195" t="n">
        <v>281.64</v>
      </c>
    </row>
    <row r="2111">
      <c r="A2111" s="196" t="inlineStr">
        <is>
          <t>2026-06-02 18:00:15</t>
        </is>
      </c>
      <c r="B2111" s="196" t="inlineStr">
        <is>
          <t>JPY</t>
        </is>
      </c>
      <c r="C2111" s="196" t="inlineStr">
        <is>
          <t>YEN</t>
        </is>
      </c>
      <c r="D2111" s="184" t="n">
        <v>159.75</v>
      </c>
      <c r="E2111" s="184" t="n">
        <v>161.37</v>
      </c>
      <c r="F2111" s="184" t="n">
        <v>169.9</v>
      </c>
      <c r="G2111" s="184" t="n">
        <v>165.64</v>
      </c>
    </row>
    <row r="2112">
      <c r="A2112" s="194" t="inlineStr">
        <is>
          <t>2026-06-02 18:00:15</t>
        </is>
      </c>
      <c r="B2112" s="194" t="inlineStr">
        <is>
          <t>KRW</t>
        </is>
      </c>
      <c r="C2112" s="194" t="inlineStr">
        <is>
          <t>KOREAN WON</t>
        </is>
      </c>
      <c r="D2112" s="195" t="n">
        <v>15.02</v>
      </c>
      <c r="E2112" s="195" t="n">
        <v>16.69</v>
      </c>
      <c r="F2112" s="195" t="n">
        <v>18.11</v>
      </c>
      <c r="G2112" s="195" t="n">
        <v>17.4</v>
      </c>
    </row>
    <row r="2113">
      <c r="A2113" s="196" t="inlineStr">
        <is>
          <t>2026-06-02 18:00:15</t>
        </is>
      </c>
      <c r="B2113" s="196" t="inlineStr">
        <is>
          <t>KWD</t>
        </is>
      </c>
      <c r="C2113" s="196" t="inlineStr">
        <is>
          <t>KUWAITI DINAR</t>
        </is>
      </c>
      <c r="D2113" s="184" t="n"/>
      <c r="E2113" s="184" t="n">
        <v>85417.66</v>
      </c>
      <c r="F2113" s="184" t="n">
        <v>89557.50999999999</v>
      </c>
      <c r="G2113" s="184" t="n">
        <v>87487.58</v>
      </c>
    </row>
    <row r="2114">
      <c r="A2114" s="194" t="inlineStr">
        <is>
          <t>2026-06-02 18:00:15</t>
        </is>
      </c>
      <c r="B2114" s="194" t="inlineStr">
        <is>
          <t>MYR</t>
        </is>
      </c>
      <c r="C2114" s="194" t="inlineStr">
        <is>
          <t>MALAYSIAN RINGGIT</t>
        </is>
      </c>
      <c r="D2114" s="195" t="n"/>
      <c r="E2114" s="195" t="n">
        <v>6575.68</v>
      </c>
      <c r="F2114" s="195" t="n">
        <v>6718.71</v>
      </c>
      <c r="G2114" s="195" t="n">
        <v>6647.2</v>
      </c>
    </row>
    <row r="2115">
      <c r="A2115" s="196" t="inlineStr">
        <is>
          <t>2026-06-02 18:00:15</t>
        </is>
      </c>
      <c r="B2115" s="196" t="inlineStr">
        <is>
          <t>NOK</t>
        </is>
      </c>
      <c r="C2115" s="196" t="inlineStr">
        <is>
          <t>NORWEGIAN KRONER</t>
        </is>
      </c>
      <c r="D2115" s="184" t="n"/>
      <c r="E2115" s="184" t="n">
        <v>2777.66</v>
      </c>
      <c r="F2115" s="184" t="n">
        <v>2895.43</v>
      </c>
      <c r="G2115" s="184" t="n">
        <v>2836.54</v>
      </c>
    </row>
    <row r="2116">
      <c r="A2116" s="194" t="inlineStr">
        <is>
          <t>2026-06-02 18:00:15</t>
        </is>
      </c>
      <c r="B2116" s="194" t="inlineStr">
        <is>
          <t>RUB</t>
        </is>
      </c>
      <c r="C2116" s="194" t="inlineStr">
        <is>
          <t>RUSSIAN RUBLE</t>
        </is>
      </c>
      <c r="D2116" s="195" t="n"/>
      <c r="E2116" s="195" t="n">
        <v>348.39</v>
      </c>
      <c r="F2116" s="195" t="n">
        <v>385.65</v>
      </c>
      <c r="G2116" s="195" t="n">
        <v>367.02</v>
      </c>
    </row>
    <row r="2117">
      <c r="A2117" s="196" t="inlineStr">
        <is>
          <t>2026-06-02 18:00:15</t>
        </is>
      </c>
      <c r="B2117" s="196" t="inlineStr">
        <is>
          <t>SAR</t>
        </is>
      </c>
      <c r="C2117" s="196" t="inlineStr">
        <is>
          <t>SAUDI RIAL</t>
        </is>
      </c>
      <c r="D2117" s="184" t="n"/>
      <c r="E2117" s="184" t="n">
        <v>6978.72</v>
      </c>
      <c r="F2117" s="184" t="n">
        <v>7279.04</v>
      </c>
      <c r="G2117" s="184" t="n">
        <v>7128.88</v>
      </c>
    </row>
    <row r="2118">
      <c r="A2118" s="194" t="inlineStr">
        <is>
          <t>2026-06-02 18:00:15</t>
        </is>
      </c>
      <c r="B2118" s="194" t="inlineStr">
        <is>
          <t>SEK</t>
        </is>
      </c>
      <c r="C2118" s="194" t="inlineStr">
        <is>
          <t>SWEDISH KRONA</t>
        </is>
      </c>
      <c r="D2118" s="195" t="n"/>
      <c r="E2118" s="195" t="n">
        <v>2771.1</v>
      </c>
      <c r="F2118" s="195" t="n">
        <v>2888.59</v>
      </c>
      <c r="G2118" s="195" t="n">
        <v>2829.84</v>
      </c>
    </row>
    <row r="2119">
      <c r="A2119" s="196" t="inlineStr">
        <is>
          <t>2026-06-02 18:00:15</t>
        </is>
      </c>
      <c r="B2119" s="196" t="inlineStr">
        <is>
          <t>SGD</t>
        </is>
      </c>
      <c r="C2119" s="196" t="inlineStr">
        <is>
          <t>SINGAPORE DOLLAR</t>
        </is>
      </c>
      <c r="D2119" s="184" t="n">
        <v>20056.66</v>
      </c>
      <c r="E2119" s="184" t="n">
        <v>20259.26</v>
      </c>
      <c r="F2119" s="184" t="n">
        <v>20949.88</v>
      </c>
      <c r="G2119" s="184" t="n">
        <v>20604.57</v>
      </c>
    </row>
    <row r="2120">
      <c r="A2120" s="194" t="inlineStr">
        <is>
          <t>2026-06-02 18:00:15</t>
        </is>
      </c>
      <c r="B2120" s="194" t="inlineStr">
        <is>
          <t>THB</t>
        </is>
      </c>
      <c r="C2120" s="194" t="inlineStr">
        <is>
          <t>THAILAND BAHT</t>
        </is>
      </c>
      <c r="D2120" s="195" t="n">
        <v>713.03</v>
      </c>
      <c r="E2120" s="195" t="n">
        <v>792.26</v>
      </c>
      <c r="F2120" s="195" t="n">
        <v>825.85</v>
      </c>
      <c r="G2120" s="195" t="n">
        <v>809.0599999999999</v>
      </c>
    </row>
    <row r="2121">
      <c r="A2121" s="196" t="inlineStr">
        <is>
          <t>2026-06-02 18:00:15</t>
        </is>
      </c>
      <c r="B2121" s="196" t="inlineStr">
        <is>
          <t>USD</t>
        </is>
      </c>
      <c r="C2121" s="196" t="inlineStr">
        <is>
          <t>US DOLLAR</t>
        </is>
      </c>
      <c r="D2121" s="184" t="n">
        <v>26088</v>
      </c>
      <c r="E2121" s="184" t="n">
        <v>26118</v>
      </c>
      <c r="F2121" s="184" t="n">
        <v>26398</v>
      </c>
      <c r="G2121" s="184" t="n">
        <v>26258</v>
      </c>
    </row>
    <row r="2122">
      <c r="A2122" s="194" t="inlineStr">
        <is>
          <t>2026-06-01 18:00:08</t>
        </is>
      </c>
      <c r="B2122" s="194" t="inlineStr">
        <is>
          <t>AUD</t>
        </is>
      </c>
      <c r="C2122" s="194" t="inlineStr">
        <is>
          <t>AUSTRALIAN DOLLAR</t>
        </is>
      </c>
      <c r="D2122" s="195" t="n">
        <v>18423.71</v>
      </c>
      <c r="E2122" s="195" t="n">
        <v>18609.81</v>
      </c>
      <c r="F2122" s="195" t="n">
        <v>19205.76</v>
      </c>
      <c r="G2122" s="195" t="n">
        <v>18907.78</v>
      </c>
    </row>
    <row r="2123">
      <c r="A2123" s="196" t="inlineStr">
        <is>
          <t>2026-06-01 18:00:08</t>
        </is>
      </c>
      <c r="B2123" s="196" t="inlineStr">
        <is>
          <t>CAD</t>
        </is>
      </c>
      <c r="C2123" s="196" t="inlineStr">
        <is>
          <t>CANADIAN DOLLAR</t>
        </is>
      </c>
      <c r="D2123" s="184" t="n">
        <v>18587.55</v>
      </c>
      <c r="E2123" s="184" t="n">
        <v>18775.3</v>
      </c>
      <c r="F2123" s="184" t="n">
        <v>19376.55</v>
      </c>
      <c r="G2123" s="184" t="n">
        <v>19075.92</v>
      </c>
    </row>
    <row r="2124">
      <c r="A2124" s="194" t="inlineStr">
        <is>
          <t>2026-06-01 18:00:08</t>
        </is>
      </c>
      <c r="B2124" s="194" t="inlineStr">
        <is>
          <t>CHF</t>
        </is>
      </c>
      <c r="C2124" s="194" t="inlineStr">
        <is>
          <t>SWISS FRANC</t>
        </is>
      </c>
      <c r="D2124" s="195" t="n">
        <v>32811.62</v>
      </c>
      <c r="E2124" s="195" t="n">
        <v>33143.05</v>
      </c>
      <c r="F2124" s="195" t="n">
        <v>34204.41</v>
      </c>
      <c r="G2124" s="195" t="n">
        <v>33673.73</v>
      </c>
    </row>
    <row r="2125">
      <c r="A2125" s="196" t="inlineStr">
        <is>
          <t>2026-06-01 18:00:08</t>
        </is>
      </c>
      <c r="B2125" s="196" t="inlineStr">
        <is>
          <t>CNY</t>
        </is>
      </c>
      <c r="C2125" s="196" t="inlineStr">
        <is>
          <t>YUAN RENMINBI</t>
        </is>
      </c>
      <c r="D2125" s="184" t="n">
        <v>3792.9</v>
      </c>
      <c r="E2125" s="184" t="n">
        <v>3831.21</v>
      </c>
      <c r="F2125" s="184" t="n">
        <v>3953.9</v>
      </c>
      <c r="G2125" s="184" t="n">
        <v>3892.56</v>
      </c>
    </row>
    <row r="2126">
      <c r="A2126" s="194" t="inlineStr">
        <is>
          <t>2026-06-01 18:00:08</t>
        </is>
      </c>
      <c r="B2126" s="194" t="inlineStr">
        <is>
          <t>DKK</t>
        </is>
      </c>
      <c r="C2126" s="194" t="inlineStr">
        <is>
          <t>DANISH KRONE</t>
        </is>
      </c>
      <c r="D2126" s="195" t="n"/>
      <c r="E2126" s="195" t="n">
        <v>4032.07</v>
      </c>
      <c r="F2126" s="195" t="n">
        <v>4186.25</v>
      </c>
      <c r="G2126" s="195" t="n">
        <v>4109.16</v>
      </c>
    </row>
    <row r="2127">
      <c r="A2127" s="196" t="inlineStr">
        <is>
          <t>2026-06-01 18:00:08</t>
        </is>
      </c>
      <c r="B2127" s="196" t="inlineStr">
        <is>
          <t>EUR</t>
        </is>
      </c>
      <c r="C2127" s="196" t="inlineStr">
        <is>
          <t>EURO</t>
        </is>
      </c>
      <c r="D2127" s="184" t="n">
        <v>29907.43</v>
      </c>
      <c r="E2127" s="184" t="n">
        <v>30209.52</v>
      </c>
      <c r="F2127" s="184" t="n">
        <v>31484.1</v>
      </c>
      <c r="G2127" s="184" t="n">
        <v>30846.81</v>
      </c>
    </row>
    <row r="2128">
      <c r="A2128" s="194" t="inlineStr">
        <is>
          <t>2026-06-01 18:00:08</t>
        </is>
      </c>
      <c r="B2128" s="194" t="inlineStr">
        <is>
          <t>GBP</t>
        </is>
      </c>
      <c r="C2128" s="194" t="inlineStr">
        <is>
          <t>POUND STERLING</t>
        </is>
      </c>
      <c r="D2128" s="195" t="n">
        <v>34546.07</v>
      </c>
      <c r="E2128" s="195" t="n">
        <v>34895.02</v>
      </c>
      <c r="F2128" s="195" t="n">
        <v>36012.48</v>
      </c>
      <c r="G2128" s="195" t="n">
        <v>35453.75</v>
      </c>
    </row>
    <row r="2129">
      <c r="A2129" s="196" t="inlineStr">
        <is>
          <t>2026-06-01 18:00:08</t>
        </is>
      </c>
      <c r="B2129" s="196" t="inlineStr">
        <is>
          <t>HKD</t>
        </is>
      </c>
      <c r="C2129" s="196" t="inlineStr">
        <is>
          <t>HONGKONG DOLLAR</t>
        </is>
      </c>
      <c r="D2129" s="184" t="n">
        <v>3264.81</v>
      </c>
      <c r="E2129" s="184" t="n">
        <v>3297.79</v>
      </c>
      <c r="F2129" s="184" t="n">
        <v>3423.89</v>
      </c>
      <c r="G2129" s="184" t="n">
        <v>3360.84</v>
      </c>
    </row>
    <row r="2130">
      <c r="A2130" s="194" t="inlineStr">
        <is>
          <t>2026-06-01 18:00:08</t>
        </is>
      </c>
      <c r="B2130" s="194" t="inlineStr">
        <is>
          <t>INR</t>
        </is>
      </c>
      <c r="C2130" s="194" t="inlineStr">
        <is>
          <t>INDIAN RUPEE</t>
        </is>
      </c>
      <c r="D2130" s="195" t="n"/>
      <c r="E2130" s="195" t="n">
        <v>275.68</v>
      </c>
      <c r="F2130" s="195" t="n">
        <v>287.54</v>
      </c>
      <c r="G2130" s="195" t="n">
        <v>281.61</v>
      </c>
    </row>
    <row r="2131">
      <c r="A2131" s="196" t="inlineStr">
        <is>
          <t>2026-06-01 18:00:08</t>
        </is>
      </c>
      <c r="B2131" s="196" t="inlineStr">
        <is>
          <t>JPY</t>
        </is>
      </c>
      <c r="C2131" s="196" t="inlineStr">
        <is>
          <t>YEN</t>
        </is>
      </c>
      <c r="D2131" s="184" t="n">
        <v>159.37</v>
      </c>
      <c r="E2131" s="184" t="n">
        <v>160.98</v>
      </c>
      <c r="F2131" s="184" t="n">
        <v>169.49</v>
      </c>
      <c r="G2131" s="184" t="n">
        <v>165.24</v>
      </c>
    </row>
    <row r="2132">
      <c r="A2132" s="194" t="inlineStr">
        <is>
          <t>2026-06-01 18:00:08</t>
        </is>
      </c>
      <c r="B2132" s="194" t="inlineStr">
        <is>
          <t>KRW</t>
        </is>
      </c>
      <c r="C2132" s="194" t="inlineStr">
        <is>
          <t>KOREAN WON</t>
        </is>
      </c>
      <c r="D2132" s="195" t="n">
        <v>15.12</v>
      </c>
      <c r="E2132" s="195" t="n">
        <v>16.8</v>
      </c>
      <c r="F2132" s="195" t="n">
        <v>18.23</v>
      </c>
      <c r="G2132" s="195" t="n">
        <v>17.52</v>
      </c>
    </row>
    <row r="2133">
      <c r="A2133" s="196" t="inlineStr">
        <is>
          <t>2026-06-01 18:00:08</t>
        </is>
      </c>
      <c r="B2133" s="196" t="inlineStr">
        <is>
          <t>KWD</t>
        </is>
      </c>
      <c r="C2133" s="196" t="inlineStr">
        <is>
          <t>KUWAITI DINAR</t>
        </is>
      </c>
      <c r="D2133" s="184" t="n"/>
      <c r="E2133" s="184" t="n">
        <v>85385.21000000001</v>
      </c>
      <c r="F2133" s="184" t="n">
        <v>89523.53999999999</v>
      </c>
      <c r="G2133" s="184" t="n">
        <v>87454.38</v>
      </c>
    </row>
    <row r="2134">
      <c r="A2134" s="194" t="inlineStr">
        <is>
          <t>2026-06-01 18:00:08</t>
        </is>
      </c>
      <c r="B2134" s="194" t="inlineStr">
        <is>
          <t>MYR</t>
        </is>
      </c>
      <c r="C2134" s="194" t="inlineStr">
        <is>
          <t>MALAYSIAN RINGGIT</t>
        </is>
      </c>
      <c r="D2134" s="195" t="n"/>
      <c r="E2134" s="195" t="n">
        <v>6573.18</v>
      </c>
      <c r="F2134" s="195" t="n">
        <v>6716.16</v>
      </c>
      <c r="G2134" s="195" t="n">
        <v>6644.67</v>
      </c>
    </row>
    <row r="2135">
      <c r="A2135" s="196" t="inlineStr">
        <is>
          <t>2026-06-01 18:00:08</t>
        </is>
      </c>
      <c r="B2135" s="196" t="inlineStr">
        <is>
          <t>NOK</t>
        </is>
      </c>
      <c r="C2135" s="196" t="inlineStr">
        <is>
          <t>NORWEGIAN KRONER</t>
        </is>
      </c>
      <c r="D2135" s="184" t="n"/>
      <c r="E2135" s="184" t="n">
        <v>2791.51</v>
      </c>
      <c r="F2135" s="184" t="n">
        <v>2909.87</v>
      </c>
      <c r="G2135" s="184" t="n">
        <v>2850.69</v>
      </c>
    </row>
    <row r="2136">
      <c r="A2136" s="194" t="inlineStr">
        <is>
          <t>2026-06-01 18:00:08</t>
        </is>
      </c>
      <c r="B2136" s="194" t="inlineStr">
        <is>
          <t>RUB</t>
        </is>
      </c>
      <c r="C2136" s="194" t="inlineStr">
        <is>
          <t>RUSSIAN RUBLE</t>
        </is>
      </c>
      <c r="D2136" s="195" t="n"/>
      <c r="E2136" s="195" t="n">
        <v>350.2</v>
      </c>
      <c r="F2136" s="195" t="n">
        <v>387.66</v>
      </c>
      <c r="G2136" s="195" t="n">
        <v>368.93</v>
      </c>
    </row>
    <row r="2137">
      <c r="A2137" s="196" t="inlineStr">
        <is>
          <t>2026-06-01 18:00:08</t>
        </is>
      </c>
      <c r="B2137" s="196" t="inlineStr">
        <is>
          <t>SAR</t>
        </is>
      </c>
      <c r="C2137" s="196" t="inlineStr">
        <is>
          <t>SAUDI RIAL</t>
        </is>
      </c>
      <c r="D2137" s="184" t="n"/>
      <c r="E2137" s="184" t="n">
        <v>6976.44</v>
      </c>
      <c r="F2137" s="184" t="n">
        <v>7276.67</v>
      </c>
      <c r="G2137" s="184" t="n">
        <v>7126.56</v>
      </c>
    </row>
    <row r="2138">
      <c r="A2138" s="194" t="inlineStr">
        <is>
          <t>2026-06-01 18:00:08</t>
        </is>
      </c>
      <c r="B2138" s="194" t="inlineStr">
        <is>
          <t>SEK</t>
        </is>
      </c>
      <c r="C2138" s="194" t="inlineStr">
        <is>
          <t>SWEDISH KRONA</t>
        </is>
      </c>
      <c r="D2138" s="195" t="n"/>
      <c r="E2138" s="195" t="n">
        <v>2791.54</v>
      </c>
      <c r="F2138" s="195" t="n">
        <v>2909.9</v>
      </c>
      <c r="G2138" s="195" t="n">
        <v>2850.72</v>
      </c>
    </row>
    <row r="2139">
      <c r="A2139" s="196" t="inlineStr">
        <is>
          <t>2026-06-01 18:00:08</t>
        </is>
      </c>
      <c r="B2139" s="196" t="inlineStr">
        <is>
          <t>SGD</t>
        </is>
      </c>
      <c r="C2139" s="196" t="inlineStr">
        <is>
          <t>SINGAPORE DOLLAR</t>
        </is>
      </c>
      <c r="D2139" s="184" t="n">
        <v>20077.31</v>
      </c>
      <c r="E2139" s="184" t="n">
        <v>20280.11</v>
      </c>
      <c r="F2139" s="184" t="n">
        <v>20971.46</v>
      </c>
      <c r="G2139" s="184" t="n">
        <v>20625.78</v>
      </c>
    </row>
    <row r="2140">
      <c r="A2140" s="194" t="inlineStr">
        <is>
          <t>2026-06-01 18:00:08</t>
        </is>
      </c>
      <c r="B2140" s="194" t="inlineStr">
        <is>
          <t>THB</t>
        </is>
      </c>
      <c r="C2140" s="194" t="inlineStr">
        <is>
          <t>THAILAND BAHT</t>
        </is>
      </c>
      <c r="D2140" s="195" t="n">
        <v>713.64</v>
      </c>
      <c r="E2140" s="195" t="n">
        <v>792.9299999999999</v>
      </c>
      <c r="F2140" s="195" t="n">
        <v>826.55</v>
      </c>
      <c r="G2140" s="195" t="n">
        <v>809.74</v>
      </c>
    </row>
    <row r="2141">
      <c r="A2141" s="196" t="inlineStr">
        <is>
          <t>2026-06-01 18:00:08</t>
        </is>
      </c>
      <c r="B2141" s="196" t="inlineStr">
        <is>
          <t>USD</t>
        </is>
      </c>
      <c r="C2141" s="196" t="inlineStr">
        <is>
          <t>US DOLLAR</t>
        </is>
      </c>
      <c r="D2141" s="184" t="n">
        <v>26084</v>
      </c>
      <c r="E2141" s="184" t="n">
        <v>26114</v>
      </c>
      <c r="F2141" s="184" t="n">
        <v>26394</v>
      </c>
      <c r="G2141" s="184" t="n">
        <v>26254</v>
      </c>
    </row>
    <row r="2142">
      <c r="A2142" s="194" t="inlineStr">
        <is>
          <t>2026-05-30 18:00:35</t>
        </is>
      </c>
      <c r="B2142" s="194" t="inlineStr">
        <is>
          <t>AUD</t>
        </is>
      </c>
      <c r="C2142" s="194" t="inlineStr">
        <is>
          <t>AUSTRALIAN DOLLAR</t>
        </is>
      </c>
      <c r="D2142" s="195" t="n">
        <v>18354.02</v>
      </c>
      <c r="E2142" s="195" t="n">
        <v>18539.41</v>
      </c>
      <c r="F2142" s="195" t="n">
        <v>19133.14</v>
      </c>
      <c r="G2142" s="195" t="n">
        <v>18836.28</v>
      </c>
    </row>
    <row r="2143">
      <c r="A2143" s="196" t="inlineStr">
        <is>
          <t>2026-05-30 18:00:35</t>
        </is>
      </c>
      <c r="B2143" s="196" t="inlineStr">
        <is>
          <t>CAD</t>
        </is>
      </c>
      <c r="C2143" s="196" t="inlineStr">
        <is>
          <t>CANADIAN DOLLAR</t>
        </is>
      </c>
      <c r="D2143" s="184" t="n">
        <v>18579.81</v>
      </c>
      <c r="E2143" s="184" t="n">
        <v>18767.49</v>
      </c>
      <c r="F2143" s="184" t="n">
        <v>19368.52</v>
      </c>
      <c r="G2143" s="184" t="n">
        <v>19068</v>
      </c>
    </row>
    <row r="2144">
      <c r="A2144" s="194" t="inlineStr">
        <is>
          <t>2026-05-30 18:00:35</t>
        </is>
      </c>
      <c r="B2144" s="194" t="inlineStr">
        <is>
          <t>CHF</t>
        </is>
      </c>
      <c r="C2144" s="194" t="inlineStr">
        <is>
          <t>SWISS FRANC</t>
        </is>
      </c>
      <c r="D2144" s="195" t="n">
        <v>32719.82</v>
      </c>
      <c r="E2144" s="195" t="n">
        <v>33050.33</v>
      </c>
      <c r="F2144" s="195" t="n">
        <v>34108.77</v>
      </c>
      <c r="G2144" s="195" t="n">
        <v>33579.55</v>
      </c>
    </row>
    <row r="2145">
      <c r="A2145" s="196" t="inlineStr">
        <is>
          <t>2026-05-30 18:00:35</t>
        </is>
      </c>
      <c r="B2145" s="196" t="inlineStr">
        <is>
          <t>CNY</t>
        </is>
      </c>
      <c r="C2145" s="196" t="inlineStr">
        <is>
          <t>YUAN RENMINBI</t>
        </is>
      </c>
      <c r="D2145" s="184" t="n">
        <v>3786.56</v>
      </c>
      <c r="E2145" s="184" t="n">
        <v>3824.8</v>
      </c>
      <c r="F2145" s="184" t="n">
        <v>3947.29</v>
      </c>
      <c r="G2145" s="184" t="n">
        <v>3886.04</v>
      </c>
    </row>
    <row r="2146">
      <c r="A2146" s="194" t="inlineStr">
        <is>
          <t>2026-05-30 18:00:35</t>
        </is>
      </c>
      <c r="B2146" s="194" t="inlineStr">
        <is>
          <t>DKK</t>
        </is>
      </c>
      <c r="C2146" s="194" t="inlineStr">
        <is>
          <t>DANISH KRONE</t>
        </is>
      </c>
      <c r="D2146" s="195" t="n"/>
      <c r="E2146" s="195" t="n">
        <v>4024.65</v>
      </c>
      <c r="F2146" s="195" t="n">
        <v>4178.55</v>
      </c>
      <c r="G2146" s="195" t="n">
        <v>4101.6</v>
      </c>
    </row>
    <row r="2147">
      <c r="A2147" s="196" t="inlineStr">
        <is>
          <t>2026-05-30 18:00:35</t>
        </is>
      </c>
      <c r="B2147" s="196" t="inlineStr">
        <is>
          <t>EUR</t>
        </is>
      </c>
      <c r="C2147" s="196" t="inlineStr">
        <is>
          <t>EURO</t>
        </is>
      </c>
      <c r="D2147" s="184" t="n">
        <v>29855.39</v>
      </c>
      <c r="E2147" s="184" t="n">
        <v>30156.96</v>
      </c>
      <c r="F2147" s="184" t="n">
        <v>31429.37</v>
      </c>
      <c r="G2147" s="184" t="n">
        <v>30793.16</v>
      </c>
    </row>
    <row r="2148">
      <c r="A2148" s="194" t="inlineStr">
        <is>
          <t>2026-05-30 18:00:35</t>
        </is>
      </c>
      <c r="B2148" s="194" t="inlineStr">
        <is>
          <t>GBP</t>
        </is>
      </c>
      <c r="C2148" s="194" t="inlineStr">
        <is>
          <t>POUND STERLING</t>
        </is>
      </c>
      <c r="D2148" s="195" t="n">
        <v>34414.42</v>
      </c>
      <c r="E2148" s="195" t="n">
        <v>34762.04</v>
      </c>
      <c r="F2148" s="195" t="n">
        <v>35875.3</v>
      </c>
      <c r="G2148" s="195" t="n">
        <v>35318.67</v>
      </c>
    </row>
    <row r="2149">
      <c r="A2149" s="196" t="inlineStr">
        <is>
          <t>2026-05-30 18:00:35</t>
        </is>
      </c>
      <c r="B2149" s="196" t="inlineStr">
        <is>
          <t>HKD</t>
        </is>
      </c>
      <c r="C2149" s="196" t="inlineStr">
        <is>
          <t>HONGKONG DOLLAR</t>
        </is>
      </c>
      <c r="D2149" s="184" t="n">
        <v>3262.21</v>
      </c>
      <c r="E2149" s="184" t="n">
        <v>3295.17</v>
      </c>
      <c r="F2149" s="184" t="n">
        <v>3421.17</v>
      </c>
      <c r="G2149" s="184" t="n">
        <v>3358.17</v>
      </c>
    </row>
    <row r="2150">
      <c r="A2150" s="194" t="inlineStr">
        <is>
          <t>2026-05-30 18:00:35</t>
        </is>
      </c>
      <c r="B2150" s="194" t="inlineStr">
        <is>
          <t>INR</t>
        </is>
      </c>
      <c r="C2150" s="194" t="inlineStr">
        <is>
          <t>INDIAN RUPEE</t>
        </is>
      </c>
      <c r="D2150" s="195" t="n"/>
      <c r="E2150" s="195" t="n">
        <v>274</v>
      </c>
      <c r="F2150" s="195" t="n">
        <v>285.79</v>
      </c>
      <c r="G2150" s="195" t="n">
        <v>279.9</v>
      </c>
    </row>
    <row r="2151">
      <c r="A2151" s="196" t="inlineStr">
        <is>
          <t>2026-05-30 18:00:35</t>
        </is>
      </c>
      <c r="B2151" s="196" t="inlineStr">
        <is>
          <t>JPY</t>
        </is>
      </c>
      <c r="C2151" s="196" t="inlineStr">
        <is>
          <t>YEN</t>
        </is>
      </c>
      <c r="D2151" s="184" t="n">
        <v>159.44</v>
      </c>
      <c r="E2151" s="184" t="n">
        <v>161.05</v>
      </c>
      <c r="F2151" s="184" t="n">
        <v>169.57</v>
      </c>
      <c r="G2151" s="184" t="n">
        <v>165.31</v>
      </c>
    </row>
    <row r="2152">
      <c r="A2152" s="194" t="inlineStr">
        <is>
          <t>2026-05-30 18:00:35</t>
        </is>
      </c>
      <c r="B2152" s="194" t="inlineStr">
        <is>
          <t>KRW</t>
        </is>
      </c>
      <c r="C2152" s="194" t="inlineStr">
        <is>
          <t>KOREAN WON</t>
        </is>
      </c>
      <c r="D2152" s="195" t="n">
        <v>15.09</v>
      </c>
      <c r="E2152" s="195" t="n">
        <v>16.76</v>
      </c>
      <c r="F2152" s="195" t="n">
        <v>18.19</v>
      </c>
      <c r="G2152" s="195" t="n">
        <v>17.48</v>
      </c>
    </row>
    <row r="2153">
      <c r="A2153" s="196" t="inlineStr">
        <is>
          <t>2026-05-30 18:00:35</t>
        </is>
      </c>
      <c r="B2153" s="196" t="inlineStr">
        <is>
          <t>KWD</t>
        </is>
      </c>
      <c r="C2153" s="196" t="inlineStr">
        <is>
          <t>KUWAITI DINAR</t>
        </is>
      </c>
      <c r="D2153" s="184" t="n"/>
      <c r="E2153" s="184" t="n">
        <v>85287.85000000001</v>
      </c>
      <c r="F2153" s="184" t="n">
        <v>89421.61</v>
      </c>
      <c r="G2153" s="184" t="n">
        <v>87354.73</v>
      </c>
    </row>
    <row r="2154">
      <c r="A2154" s="194" t="inlineStr">
        <is>
          <t>2026-05-30 18:00:35</t>
        </is>
      </c>
      <c r="B2154" s="194" t="inlineStr">
        <is>
          <t>MYR</t>
        </is>
      </c>
      <c r="C2154" s="194" t="inlineStr">
        <is>
          <t>MALAYSIAN RINGGIT</t>
        </is>
      </c>
      <c r="D2154" s="195" t="n"/>
      <c r="E2154" s="195" t="n">
        <v>6564.03</v>
      </c>
      <c r="F2154" s="195" t="n">
        <v>6706.83</v>
      </c>
      <c r="G2154" s="195" t="n">
        <v>6635.43</v>
      </c>
    </row>
    <row r="2155">
      <c r="A2155" s="196" t="inlineStr">
        <is>
          <t>2026-05-30 18:00:35</t>
        </is>
      </c>
      <c r="B2155" s="196" t="inlineStr">
        <is>
          <t>NOK</t>
        </is>
      </c>
      <c r="C2155" s="196" t="inlineStr">
        <is>
          <t>NORWEGIAN KRONER</t>
        </is>
      </c>
      <c r="D2155" s="184" t="n"/>
      <c r="E2155" s="184" t="n">
        <v>2783.51</v>
      </c>
      <c r="F2155" s="184" t="n">
        <v>2901.53</v>
      </c>
      <c r="G2155" s="184" t="n">
        <v>2842.52</v>
      </c>
    </row>
    <row r="2156">
      <c r="A2156" s="194" t="inlineStr">
        <is>
          <t>2026-05-30 18:00:35</t>
        </is>
      </c>
      <c r="B2156" s="194" t="inlineStr">
        <is>
          <t>RUB</t>
        </is>
      </c>
      <c r="C2156" s="194" t="inlineStr">
        <is>
          <t>RUSSIAN RUBLE</t>
        </is>
      </c>
      <c r="D2156" s="195" t="n"/>
      <c r="E2156" s="195" t="n">
        <v>351.52</v>
      </c>
      <c r="F2156" s="195" t="n">
        <v>389.12</v>
      </c>
      <c r="G2156" s="195" t="n">
        <v>370.32</v>
      </c>
    </row>
    <row r="2157">
      <c r="A2157" s="196" t="inlineStr">
        <is>
          <t>2026-05-30 18:00:35</t>
        </is>
      </c>
      <c r="B2157" s="196" t="inlineStr">
        <is>
          <t>SAR</t>
        </is>
      </c>
      <c r="C2157" s="196" t="inlineStr">
        <is>
          <t>SAUDI RIAL</t>
        </is>
      </c>
      <c r="D2157" s="184" t="n"/>
      <c r="E2157" s="184" t="n">
        <v>6968.3</v>
      </c>
      <c r="F2157" s="184" t="n">
        <v>7268.19</v>
      </c>
      <c r="G2157" s="184" t="n">
        <v>7118.24</v>
      </c>
    </row>
    <row r="2158">
      <c r="A2158" s="194" t="inlineStr">
        <is>
          <t>2026-05-30 18:00:35</t>
        </is>
      </c>
      <c r="B2158" s="194" t="inlineStr">
        <is>
          <t>SEK</t>
        </is>
      </c>
      <c r="C2158" s="194" t="inlineStr">
        <is>
          <t>SWEDISH KRONA</t>
        </is>
      </c>
      <c r="D2158" s="195" t="n"/>
      <c r="E2158" s="195" t="n">
        <v>2787.6</v>
      </c>
      <c r="F2158" s="195" t="n">
        <v>2905.8</v>
      </c>
      <c r="G2158" s="195" t="n">
        <v>2846.7</v>
      </c>
    </row>
    <row r="2159">
      <c r="A2159" s="196" t="inlineStr">
        <is>
          <t>2026-05-30 18:00:35</t>
        </is>
      </c>
      <c r="B2159" s="196" t="inlineStr">
        <is>
          <t>SGD</t>
        </is>
      </c>
      <c r="C2159" s="196" t="inlineStr">
        <is>
          <t>SINGAPORE DOLLAR</t>
        </is>
      </c>
      <c r="D2159" s="184" t="n">
        <v>20055.98</v>
      </c>
      <c r="E2159" s="184" t="n">
        <v>20258.57</v>
      </c>
      <c r="F2159" s="184" t="n">
        <v>20949.22</v>
      </c>
      <c r="G2159" s="184" t="n">
        <v>20603.9</v>
      </c>
    </row>
    <row r="2160">
      <c r="A2160" s="194" t="inlineStr">
        <is>
          <t>2026-05-30 18:00:35</t>
        </is>
      </c>
      <c r="B2160" s="194" t="inlineStr">
        <is>
          <t>THB</t>
        </is>
      </c>
      <c r="C2160" s="194" t="inlineStr">
        <is>
          <t>THAILAND BAHT</t>
        </is>
      </c>
      <c r="D2160" s="195" t="n">
        <v>712.39</v>
      </c>
      <c r="E2160" s="195" t="n">
        <v>791.54</v>
      </c>
      <c r="F2160" s="195" t="n">
        <v>825.1</v>
      </c>
      <c r="G2160" s="195" t="n">
        <v>808.3200000000001</v>
      </c>
    </row>
    <row r="2161">
      <c r="A2161" s="196" t="inlineStr">
        <is>
          <t>2026-05-30 18:00:35</t>
        </is>
      </c>
      <c r="B2161" s="196" t="inlineStr">
        <is>
          <t>USD</t>
        </is>
      </c>
      <c r="C2161" s="196" t="inlineStr">
        <is>
          <t>US DOLLAR</t>
        </is>
      </c>
      <c r="D2161" s="184" t="n">
        <v>26085</v>
      </c>
      <c r="E2161" s="184" t="n">
        <v>26115</v>
      </c>
      <c r="F2161" s="184" t="n">
        <v>26395</v>
      </c>
      <c r="G2161" s="184" t="n">
        <v>26255</v>
      </c>
    </row>
    <row r="2162">
      <c r="A2162" s="194" t="inlineStr">
        <is>
          <t>2026-05-29 18:00:15</t>
        </is>
      </c>
      <c r="B2162" s="194" t="inlineStr">
        <is>
          <t>AUD</t>
        </is>
      </c>
      <c r="C2162" s="194" t="inlineStr">
        <is>
          <t>AUSTRALIAN DOLLAR</t>
        </is>
      </c>
      <c r="D2162" s="195" t="n">
        <v>18354.02</v>
      </c>
      <c r="E2162" s="195" t="n">
        <v>18539.41</v>
      </c>
      <c r="F2162" s="195" t="n">
        <v>19133.14</v>
      </c>
      <c r="G2162" s="195" t="n">
        <v>18836.28</v>
      </c>
    </row>
    <row r="2163">
      <c r="A2163" s="196" t="inlineStr">
        <is>
          <t>2026-05-29 18:00:15</t>
        </is>
      </c>
      <c r="B2163" s="196" t="inlineStr">
        <is>
          <t>CAD</t>
        </is>
      </c>
      <c r="C2163" s="196" t="inlineStr">
        <is>
          <t>CANADIAN DOLLAR</t>
        </is>
      </c>
      <c r="D2163" s="184" t="n">
        <v>18579.81</v>
      </c>
      <c r="E2163" s="184" t="n">
        <v>18767.49</v>
      </c>
      <c r="F2163" s="184" t="n">
        <v>19368.52</v>
      </c>
      <c r="G2163" s="184" t="n">
        <v>19068</v>
      </c>
    </row>
    <row r="2164">
      <c r="A2164" s="194" t="inlineStr">
        <is>
          <t>2026-05-29 18:00:15</t>
        </is>
      </c>
      <c r="B2164" s="194" t="inlineStr">
        <is>
          <t>CHF</t>
        </is>
      </c>
      <c r="C2164" s="194" t="inlineStr">
        <is>
          <t>SWISS FRANC</t>
        </is>
      </c>
      <c r="D2164" s="195" t="n">
        <v>32719.82</v>
      </c>
      <c r="E2164" s="195" t="n">
        <v>33050.33</v>
      </c>
      <c r="F2164" s="195" t="n">
        <v>34108.77</v>
      </c>
      <c r="G2164" s="195" t="n">
        <v>33579.55</v>
      </c>
    </row>
    <row r="2165">
      <c r="A2165" s="196" t="inlineStr">
        <is>
          <t>2026-05-29 18:00:15</t>
        </is>
      </c>
      <c r="B2165" s="196" t="inlineStr">
        <is>
          <t>CNY</t>
        </is>
      </c>
      <c r="C2165" s="196" t="inlineStr">
        <is>
          <t>YUAN RENMINBI</t>
        </is>
      </c>
      <c r="D2165" s="184" t="n">
        <v>3786.56</v>
      </c>
      <c r="E2165" s="184" t="n">
        <v>3824.8</v>
      </c>
      <c r="F2165" s="184" t="n">
        <v>3947.29</v>
      </c>
      <c r="G2165" s="184" t="n">
        <v>3886.04</v>
      </c>
    </row>
    <row r="2166">
      <c r="A2166" s="194" t="inlineStr">
        <is>
          <t>2026-05-29 18:00:15</t>
        </is>
      </c>
      <c r="B2166" s="194" t="inlineStr">
        <is>
          <t>DKK</t>
        </is>
      </c>
      <c r="C2166" s="194" t="inlineStr">
        <is>
          <t>DANISH KRONE</t>
        </is>
      </c>
      <c r="D2166" s="195" t="n"/>
      <c r="E2166" s="195" t="n">
        <v>4024.65</v>
      </c>
      <c r="F2166" s="195" t="n">
        <v>4178.55</v>
      </c>
      <c r="G2166" s="195" t="n">
        <v>4101.6</v>
      </c>
    </row>
    <row r="2167">
      <c r="A2167" s="196" t="inlineStr">
        <is>
          <t>2026-05-29 18:00:15</t>
        </is>
      </c>
      <c r="B2167" s="196" t="inlineStr">
        <is>
          <t>EUR</t>
        </is>
      </c>
      <c r="C2167" s="196" t="inlineStr">
        <is>
          <t>EURO</t>
        </is>
      </c>
      <c r="D2167" s="184" t="n">
        <v>29855.39</v>
      </c>
      <c r="E2167" s="184" t="n">
        <v>30156.96</v>
      </c>
      <c r="F2167" s="184" t="n">
        <v>31429.37</v>
      </c>
      <c r="G2167" s="184" t="n">
        <v>30793.16</v>
      </c>
    </row>
    <row r="2168">
      <c r="A2168" s="194" t="inlineStr">
        <is>
          <t>2026-05-29 18:00:15</t>
        </is>
      </c>
      <c r="B2168" s="194" t="inlineStr">
        <is>
          <t>GBP</t>
        </is>
      </c>
      <c r="C2168" s="194" t="inlineStr">
        <is>
          <t>POUND STERLING</t>
        </is>
      </c>
      <c r="D2168" s="195" t="n">
        <v>34414.42</v>
      </c>
      <c r="E2168" s="195" t="n">
        <v>34762.04</v>
      </c>
      <c r="F2168" s="195" t="n">
        <v>35875.3</v>
      </c>
      <c r="G2168" s="195" t="n">
        <v>35318.67</v>
      </c>
    </row>
    <row r="2169">
      <c r="A2169" s="196" t="inlineStr">
        <is>
          <t>2026-05-29 18:00:15</t>
        </is>
      </c>
      <c r="B2169" s="196" t="inlineStr">
        <is>
          <t>HKD</t>
        </is>
      </c>
      <c r="C2169" s="196" t="inlineStr">
        <is>
          <t>HONGKONG DOLLAR</t>
        </is>
      </c>
      <c r="D2169" s="184" t="n">
        <v>3262.21</v>
      </c>
      <c r="E2169" s="184" t="n">
        <v>3295.17</v>
      </c>
      <c r="F2169" s="184" t="n">
        <v>3421.17</v>
      </c>
      <c r="G2169" s="184" t="n">
        <v>3358.17</v>
      </c>
    </row>
    <row r="2170">
      <c r="A2170" s="194" t="inlineStr">
        <is>
          <t>2026-05-29 18:00:15</t>
        </is>
      </c>
      <c r="B2170" s="194" t="inlineStr">
        <is>
          <t>INR</t>
        </is>
      </c>
      <c r="C2170" s="194" t="inlineStr">
        <is>
          <t>INDIAN RUPEE</t>
        </is>
      </c>
      <c r="D2170" s="195" t="n"/>
      <c r="E2170" s="195" t="n">
        <v>274</v>
      </c>
      <c r="F2170" s="195" t="n">
        <v>285.79</v>
      </c>
      <c r="G2170" s="195" t="n">
        <v>279.9</v>
      </c>
    </row>
    <row r="2171">
      <c r="A2171" s="196" t="inlineStr">
        <is>
          <t>2026-05-29 18:00:15</t>
        </is>
      </c>
      <c r="B2171" s="196" t="inlineStr">
        <is>
          <t>JPY</t>
        </is>
      </c>
      <c r="C2171" s="196" t="inlineStr">
        <is>
          <t>YEN</t>
        </is>
      </c>
      <c r="D2171" s="184" t="n">
        <v>159.44</v>
      </c>
      <c r="E2171" s="184" t="n">
        <v>161.05</v>
      </c>
      <c r="F2171" s="184" t="n">
        <v>169.57</v>
      </c>
      <c r="G2171" s="184" t="n">
        <v>165.31</v>
      </c>
    </row>
    <row r="2172">
      <c r="A2172" s="194" t="inlineStr">
        <is>
          <t>2026-05-29 18:00:15</t>
        </is>
      </c>
      <c r="B2172" s="194" t="inlineStr">
        <is>
          <t>KRW</t>
        </is>
      </c>
      <c r="C2172" s="194" t="inlineStr">
        <is>
          <t>KOREAN WON</t>
        </is>
      </c>
      <c r="D2172" s="195" t="n">
        <v>15.09</v>
      </c>
      <c r="E2172" s="195" t="n">
        <v>16.76</v>
      </c>
      <c r="F2172" s="195" t="n">
        <v>18.19</v>
      </c>
      <c r="G2172" s="195" t="n">
        <v>17.48</v>
      </c>
    </row>
    <row r="2173">
      <c r="A2173" s="196" t="inlineStr">
        <is>
          <t>2026-05-29 18:00:15</t>
        </is>
      </c>
      <c r="B2173" s="196" t="inlineStr">
        <is>
          <t>KWD</t>
        </is>
      </c>
      <c r="C2173" s="196" t="inlineStr">
        <is>
          <t>KUWAITI DINAR</t>
        </is>
      </c>
      <c r="D2173" s="184" t="n"/>
      <c r="E2173" s="184" t="n">
        <v>85287.85000000001</v>
      </c>
      <c r="F2173" s="184" t="n">
        <v>89421.61</v>
      </c>
      <c r="G2173" s="184" t="n">
        <v>87354.73</v>
      </c>
    </row>
    <row r="2174">
      <c r="A2174" s="194" t="inlineStr">
        <is>
          <t>2026-05-29 18:00:15</t>
        </is>
      </c>
      <c r="B2174" s="194" t="inlineStr">
        <is>
          <t>MYR</t>
        </is>
      </c>
      <c r="C2174" s="194" t="inlineStr">
        <is>
          <t>MALAYSIAN RINGGIT</t>
        </is>
      </c>
      <c r="D2174" s="195" t="n"/>
      <c r="E2174" s="195" t="n">
        <v>6564.03</v>
      </c>
      <c r="F2174" s="195" t="n">
        <v>6706.83</v>
      </c>
      <c r="G2174" s="195" t="n">
        <v>6635.43</v>
      </c>
    </row>
    <row r="2175">
      <c r="A2175" s="196" t="inlineStr">
        <is>
          <t>2026-05-29 18:00:15</t>
        </is>
      </c>
      <c r="B2175" s="196" t="inlineStr">
        <is>
          <t>NOK</t>
        </is>
      </c>
      <c r="C2175" s="196" t="inlineStr">
        <is>
          <t>NORWEGIAN KRONER</t>
        </is>
      </c>
      <c r="D2175" s="184" t="n"/>
      <c r="E2175" s="184" t="n">
        <v>2783.51</v>
      </c>
      <c r="F2175" s="184" t="n">
        <v>2901.53</v>
      </c>
      <c r="G2175" s="184" t="n">
        <v>2842.52</v>
      </c>
    </row>
    <row r="2176">
      <c r="A2176" s="194" t="inlineStr">
        <is>
          <t>2026-05-29 18:00:15</t>
        </is>
      </c>
      <c r="B2176" s="194" t="inlineStr">
        <is>
          <t>RUB</t>
        </is>
      </c>
      <c r="C2176" s="194" t="inlineStr">
        <is>
          <t>RUSSIAN RUBLE</t>
        </is>
      </c>
      <c r="D2176" s="195" t="n"/>
      <c r="E2176" s="195" t="n">
        <v>351.52</v>
      </c>
      <c r="F2176" s="195" t="n">
        <v>389.12</v>
      </c>
      <c r="G2176" s="195" t="n">
        <v>370.32</v>
      </c>
    </row>
    <row r="2177">
      <c r="A2177" s="196" t="inlineStr">
        <is>
          <t>2026-05-29 18:00:15</t>
        </is>
      </c>
      <c r="B2177" s="196" t="inlineStr">
        <is>
          <t>SAR</t>
        </is>
      </c>
      <c r="C2177" s="196" t="inlineStr">
        <is>
          <t>SAUDI RIAL</t>
        </is>
      </c>
      <c r="D2177" s="184" t="n"/>
      <c r="E2177" s="184" t="n">
        <v>6968.3</v>
      </c>
      <c r="F2177" s="184" t="n">
        <v>7268.19</v>
      </c>
      <c r="G2177" s="184" t="n">
        <v>7118.24</v>
      </c>
    </row>
    <row r="2178">
      <c r="A2178" s="194" t="inlineStr">
        <is>
          <t>2026-05-29 18:00:15</t>
        </is>
      </c>
      <c r="B2178" s="194" t="inlineStr">
        <is>
          <t>SEK</t>
        </is>
      </c>
      <c r="C2178" s="194" t="inlineStr">
        <is>
          <t>SWEDISH KRONA</t>
        </is>
      </c>
      <c r="D2178" s="195" t="n"/>
      <c r="E2178" s="195" t="n">
        <v>2787.6</v>
      </c>
      <c r="F2178" s="195" t="n">
        <v>2905.8</v>
      </c>
      <c r="G2178" s="195" t="n">
        <v>2846.7</v>
      </c>
    </row>
    <row r="2179">
      <c r="A2179" s="196" t="inlineStr">
        <is>
          <t>2026-05-29 18:00:15</t>
        </is>
      </c>
      <c r="B2179" s="196" t="inlineStr">
        <is>
          <t>SGD</t>
        </is>
      </c>
      <c r="C2179" s="196" t="inlineStr">
        <is>
          <t>SINGAPORE DOLLAR</t>
        </is>
      </c>
      <c r="D2179" s="184" t="n">
        <v>20055.98</v>
      </c>
      <c r="E2179" s="184" t="n">
        <v>20258.57</v>
      </c>
      <c r="F2179" s="184" t="n">
        <v>20949.22</v>
      </c>
      <c r="G2179" s="184" t="n">
        <v>20603.9</v>
      </c>
    </row>
    <row r="2180">
      <c r="A2180" s="194" t="inlineStr">
        <is>
          <t>2026-05-29 18:00:15</t>
        </is>
      </c>
      <c r="B2180" s="194" t="inlineStr">
        <is>
          <t>THB</t>
        </is>
      </c>
      <c r="C2180" s="194" t="inlineStr">
        <is>
          <t>THAILAND BAHT</t>
        </is>
      </c>
      <c r="D2180" s="195" t="n">
        <v>712.39</v>
      </c>
      <c r="E2180" s="195" t="n">
        <v>791.54</v>
      </c>
      <c r="F2180" s="195" t="n">
        <v>825.1</v>
      </c>
      <c r="G2180" s="195" t="n">
        <v>808.3200000000001</v>
      </c>
    </row>
    <row r="2181">
      <c r="A2181" s="196" t="inlineStr">
        <is>
          <t>2026-05-29 18:00:15</t>
        </is>
      </c>
      <c r="B2181" s="196" t="inlineStr">
        <is>
          <t>USD</t>
        </is>
      </c>
      <c r="C2181" s="196" t="inlineStr">
        <is>
          <t>US DOLLAR</t>
        </is>
      </c>
      <c r="D2181" s="184" t="n">
        <v>26085</v>
      </c>
      <c r="E2181" s="184" t="n">
        <v>26115</v>
      </c>
      <c r="F2181" s="184" t="n">
        <v>26395</v>
      </c>
      <c r="G2181" s="184" t="n">
        <v>26255</v>
      </c>
    </row>
    <row r="2182">
      <c r="A2182" s="194" t="inlineStr">
        <is>
          <t>2026-05-28 18:00:08</t>
        </is>
      </c>
      <c r="B2182" s="194" t="inlineStr">
        <is>
          <t>AUD</t>
        </is>
      </c>
      <c r="C2182" s="194" t="inlineStr">
        <is>
          <t>AUSTRALIAN DOLLAR</t>
        </is>
      </c>
      <c r="D2182" s="195" t="n">
        <v>18294.69</v>
      </c>
      <c r="E2182" s="195" t="n">
        <v>18479.48</v>
      </c>
      <c r="F2182" s="195" t="n">
        <v>19071.25</v>
      </c>
      <c r="G2182" s="195" t="n">
        <v>18775.36</v>
      </c>
    </row>
    <row r="2183">
      <c r="A2183" s="196" t="inlineStr">
        <is>
          <t>2026-05-28 18:00:08</t>
        </is>
      </c>
      <c r="B2183" s="196" t="inlineStr">
        <is>
          <t>CAD</t>
        </is>
      </c>
      <c r="C2183" s="196" t="inlineStr">
        <is>
          <t>CANADIAN DOLLAR</t>
        </is>
      </c>
      <c r="D2183" s="184" t="n">
        <v>18538.22</v>
      </c>
      <c r="E2183" s="184" t="n">
        <v>18725.47</v>
      </c>
      <c r="F2183" s="184" t="n">
        <v>19325.12</v>
      </c>
      <c r="G2183" s="184" t="n">
        <v>19025.29</v>
      </c>
    </row>
    <row r="2184">
      <c r="A2184" s="194" t="inlineStr">
        <is>
          <t>2026-05-28 18:00:08</t>
        </is>
      </c>
      <c r="B2184" s="194" t="inlineStr">
        <is>
          <t>CHF</t>
        </is>
      </c>
      <c r="C2184" s="194" t="inlineStr">
        <is>
          <t>SWISS FRANC</t>
        </is>
      </c>
      <c r="D2184" s="195" t="n">
        <v>32586.6</v>
      </c>
      <c r="E2184" s="195" t="n">
        <v>32915.76</v>
      </c>
      <c r="F2184" s="195" t="n">
        <v>33969.82</v>
      </c>
      <c r="G2184" s="195" t="n">
        <v>33442.79</v>
      </c>
    </row>
    <row r="2185">
      <c r="A2185" s="196" t="inlineStr">
        <is>
          <t>2026-05-28 18:00:08</t>
        </is>
      </c>
      <c r="B2185" s="196" t="inlineStr">
        <is>
          <t>CNY</t>
        </is>
      </c>
      <c r="C2185" s="196" t="inlineStr">
        <is>
          <t>YUAN RENMINBI</t>
        </is>
      </c>
      <c r="D2185" s="184" t="n">
        <v>3787.06</v>
      </c>
      <c r="E2185" s="184" t="n">
        <v>3825.31</v>
      </c>
      <c r="F2185" s="184" t="n">
        <v>3947.81</v>
      </c>
      <c r="G2185" s="184" t="n">
        <v>3886.56</v>
      </c>
    </row>
    <row r="2186">
      <c r="A2186" s="194" t="inlineStr">
        <is>
          <t>2026-05-28 18:00:08</t>
        </is>
      </c>
      <c r="B2186" s="194" t="inlineStr">
        <is>
          <t>DKK</t>
        </is>
      </c>
      <c r="C2186" s="194" t="inlineStr">
        <is>
          <t>DANISH KRONE</t>
        </is>
      </c>
      <c r="D2186" s="195" t="n"/>
      <c r="E2186" s="195" t="n">
        <v>4019.62</v>
      </c>
      <c r="F2186" s="195" t="n">
        <v>4173.31</v>
      </c>
      <c r="G2186" s="195" t="n">
        <v>4096.46</v>
      </c>
    </row>
    <row r="2187">
      <c r="A2187" s="196" t="inlineStr">
        <is>
          <t>2026-05-28 18:00:08</t>
        </is>
      </c>
      <c r="B2187" s="196" t="inlineStr">
        <is>
          <t>EUR</t>
        </is>
      </c>
      <c r="C2187" s="196" t="inlineStr">
        <is>
          <t>EURO</t>
        </is>
      </c>
      <c r="D2187" s="184" t="n">
        <v>29816.13</v>
      </c>
      <c r="E2187" s="184" t="n">
        <v>30117.3</v>
      </c>
      <c r="F2187" s="184" t="n">
        <v>31387.97</v>
      </c>
      <c r="G2187" s="184" t="n">
        <v>30752.64</v>
      </c>
    </row>
    <row r="2188">
      <c r="A2188" s="194" t="inlineStr">
        <is>
          <t>2026-05-28 18:00:08</t>
        </is>
      </c>
      <c r="B2188" s="194" t="inlineStr">
        <is>
          <t>GBP</t>
        </is>
      </c>
      <c r="C2188" s="194" t="inlineStr">
        <is>
          <t>POUND STERLING</t>
        </is>
      </c>
      <c r="D2188" s="195" t="n">
        <v>34415.47</v>
      </c>
      <c r="E2188" s="195" t="n">
        <v>34763.1</v>
      </c>
      <c r="F2188" s="195" t="n">
        <v>35876.32</v>
      </c>
      <c r="G2188" s="195" t="n">
        <v>35319.71</v>
      </c>
    </row>
    <row r="2189">
      <c r="A2189" s="196" t="inlineStr">
        <is>
          <t>2026-05-28 18:00:08</t>
        </is>
      </c>
      <c r="B2189" s="196" t="inlineStr">
        <is>
          <t>HKD</t>
        </is>
      </c>
      <c r="C2189" s="196" t="inlineStr">
        <is>
          <t>HONGKONG DOLLAR</t>
        </is>
      </c>
      <c r="D2189" s="184" t="n">
        <v>3267.56</v>
      </c>
      <c r="E2189" s="184" t="n">
        <v>3300.56</v>
      </c>
      <c r="F2189" s="184" t="n">
        <v>3426.76</v>
      </c>
      <c r="G2189" s="184" t="n">
        <v>3363.66</v>
      </c>
    </row>
    <row r="2190">
      <c r="A2190" s="194" t="inlineStr">
        <is>
          <t>2026-05-28 18:00:08</t>
        </is>
      </c>
      <c r="B2190" s="194" t="inlineStr">
        <is>
          <t>INR</t>
        </is>
      </c>
      <c r="C2190" s="194" t="inlineStr">
        <is>
          <t>INDIAN RUPEE</t>
        </is>
      </c>
      <c r="D2190" s="195" t="n"/>
      <c r="E2190" s="195" t="n">
        <v>273.69</v>
      </c>
      <c r="F2190" s="195" t="n">
        <v>285.46</v>
      </c>
      <c r="G2190" s="195" t="n">
        <v>279.58</v>
      </c>
    </row>
    <row r="2191">
      <c r="A2191" s="196" t="inlineStr">
        <is>
          <t>2026-05-28 18:00:08</t>
        </is>
      </c>
      <c r="B2191" s="196" t="inlineStr">
        <is>
          <t>JPY</t>
        </is>
      </c>
      <c r="C2191" s="196" t="inlineStr">
        <is>
          <t>YEN</t>
        </is>
      </c>
      <c r="D2191" s="184" t="n">
        <v>159.31</v>
      </c>
      <c r="E2191" s="184" t="n">
        <v>160.92</v>
      </c>
      <c r="F2191" s="184" t="n">
        <v>169.43</v>
      </c>
      <c r="G2191" s="184" t="n">
        <v>165.18</v>
      </c>
    </row>
    <row r="2192">
      <c r="A2192" s="194" t="inlineStr">
        <is>
          <t>2026-05-28 18:00:08</t>
        </is>
      </c>
      <c r="B2192" s="194" t="inlineStr">
        <is>
          <t>KRW</t>
        </is>
      </c>
      <c r="C2192" s="194" t="inlineStr">
        <is>
          <t>KOREAN WON</t>
        </is>
      </c>
      <c r="D2192" s="195" t="n">
        <v>15.14</v>
      </c>
      <c r="E2192" s="195" t="n">
        <v>16.83</v>
      </c>
      <c r="F2192" s="195" t="n">
        <v>18.26</v>
      </c>
      <c r="G2192" s="195" t="n">
        <v>17.55</v>
      </c>
    </row>
    <row r="2193">
      <c r="A2193" s="196" t="inlineStr">
        <is>
          <t>2026-05-28 18:00:08</t>
        </is>
      </c>
      <c r="B2193" s="196" t="inlineStr">
        <is>
          <t>KWD</t>
        </is>
      </c>
      <c r="C2193" s="196" t="inlineStr">
        <is>
          <t>KUWAITI DINAR</t>
        </is>
      </c>
      <c r="D2193" s="184" t="n"/>
      <c r="E2193" s="184" t="n">
        <v>85417.66</v>
      </c>
      <c r="F2193" s="184" t="n">
        <v>89557.50999999999</v>
      </c>
      <c r="G2193" s="184" t="n">
        <v>87487.58</v>
      </c>
    </row>
    <row r="2194">
      <c r="A2194" s="194" t="inlineStr">
        <is>
          <t>2026-05-28 18:00:08</t>
        </is>
      </c>
      <c r="B2194" s="194" t="inlineStr">
        <is>
          <t>MYR</t>
        </is>
      </c>
      <c r="C2194" s="194" t="inlineStr">
        <is>
          <t>MALAYSIAN RINGGIT</t>
        </is>
      </c>
      <c r="D2194" s="195" t="n"/>
      <c r="E2194" s="195" t="n">
        <v>6572.36</v>
      </c>
      <c r="F2194" s="195" t="n">
        <v>6715.32</v>
      </c>
      <c r="G2194" s="195" t="n">
        <v>6643.84</v>
      </c>
    </row>
    <row r="2195">
      <c r="A2195" s="196" t="inlineStr">
        <is>
          <t>2026-05-28 18:00:08</t>
        </is>
      </c>
      <c r="B2195" s="196" t="inlineStr">
        <is>
          <t>NOK</t>
        </is>
      </c>
      <c r="C2195" s="196" t="inlineStr">
        <is>
          <t>NORWEGIAN KRONER</t>
        </is>
      </c>
      <c r="D2195" s="184" t="n"/>
      <c r="E2195" s="184" t="n">
        <v>2779.85</v>
      </c>
      <c r="F2195" s="184" t="n">
        <v>2897.71</v>
      </c>
      <c r="G2195" s="184" t="n">
        <v>2838.78</v>
      </c>
    </row>
    <row r="2196">
      <c r="A2196" s="194" t="inlineStr">
        <is>
          <t>2026-05-28 18:00:08</t>
        </is>
      </c>
      <c r="B2196" s="194" t="inlineStr">
        <is>
          <t>RUB</t>
        </is>
      </c>
      <c r="C2196" s="194" t="inlineStr">
        <is>
          <t>RUSSIAN RUBLE</t>
        </is>
      </c>
      <c r="D2196" s="195" t="n"/>
      <c r="E2196" s="195" t="n">
        <v>353.57</v>
      </c>
      <c r="F2196" s="195" t="n">
        <v>391.38</v>
      </c>
      <c r="G2196" s="195" t="n">
        <v>372.48</v>
      </c>
    </row>
    <row r="2197">
      <c r="A2197" s="196" t="inlineStr">
        <is>
          <t>2026-05-28 18:00:08</t>
        </is>
      </c>
      <c r="B2197" s="196" t="inlineStr">
        <is>
          <t>SAR</t>
        </is>
      </c>
      <c r="C2197" s="196" t="inlineStr">
        <is>
          <t>SAUDI RIAL</t>
        </is>
      </c>
      <c r="D2197" s="184" t="n"/>
      <c r="E2197" s="184" t="n">
        <v>6979.1</v>
      </c>
      <c r="F2197" s="184" t="n">
        <v>7279.43</v>
      </c>
      <c r="G2197" s="184" t="n">
        <v>7129.26</v>
      </c>
    </row>
    <row r="2198">
      <c r="A2198" s="194" t="inlineStr">
        <is>
          <t>2026-05-28 18:00:08</t>
        </is>
      </c>
      <c r="B2198" s="194" t="inlineStr">
        <is>
          <t>SEK</t>
        </is>
      </c>
      <c r="C2198" s="194" t="inlineStr">
        <is>
          <t>SWEDISH KRONA</t>
        </is>
      </c>
      <c r="D2198" s="195" t="n"/>
      <c r="E2198" s="195" t="n">
        <v>2771.66</v>
      </c>
      <c r="F2198" s="195" t="n">
        <v>2889.18</v>
      </c>
      <c r="G2198" s="195" t="n">
        <v>2830.42</v>
      </c>
    </row>
    <row r="2199">
      <c r="A2199" s="196" t="inlineStr">
        <is>
          <t>2026-05-28 18:00:08</t>
        </is>
      </c>
      <c r="B2199" s="196" t="inlineStr">
        <is>
          <t>SGD</t>
        </is>
      </c>
      <c r="C2199" s="196" t="inlineStr">
        <is>
          <t>SINGAPORE DOLLAR</t>
        </is>
      </c>
      <c r="D2199" s="184" t="n">
        <v>20062.94</v>
      </c>
      <c r="E2199" s="184" t="n">
        <v>20265.6</v>
      </c>
      <c r="F2199" s="184" t="n">
        <v>20956.44</v>
      </c>
      <c r="G2199" s="184" t="n">
        <v>20611.02</v>
      </c>
    </row>
    <row r="2200">
      <c r="A2200" s="194" t="inlineStr">
        <is>
          <t>2026-05-28 18:00:08</t>
        </is>
      </c>
      <c r="B2200" s="194" t="inlineStr">
        <is>
          <t>THB</t>
        </is>
      </c>
      <c r="C2200" s="194" t="inlineStr">
        <is>
          <t>THAILAND BAHT</t>
        </is>
      </c>
      <c r="D2200" s="195" t="n">
        <v>711.72</v>
      </c>
      <c r="E2200" s="195" t="n">
        <v>790.8</v>
      </c>
      <c r="F2200" s="195" t="n">
        <v>824.33</v>
      </c>
      <c r="G2200" s="195" t="n">
        <v>807.5599999999999</v>
      </c>
    </row>
    <row r="2201">
      <c r="A2201" s="196" t="inlineStr">
        <is>
          <t>2026-05-28 18:00:08</t>
        </is>
      </c>
      <c r="B2201" s="196" t="inlineStr">
        <is>
          <t>USD</t>
        </is>
      </c>
      <c r="C2201" s="196" t="inlineStr">
        <is>
          <t>US DOLLAR</t>
        </is>
      </c>
      <c r="D2201" s="184" t="n">
        <v>26113</v>
      </c>
      <c r="E2201" s="184" t="n">
        <v>26143</v>
      </c>
      <c r="F2201" s="184" t="n">
        <v>26393</v>
      </c>
      <c r="G2201" s="184" t="n">
        <v>26268</v>
      </c>
    </row>
    <row r="2202">
      <c r="A2202" s="194" t="inlineStr">
        <is>
          <t>2026-05-27</t>
        </is>
      </c>
      <c r="B2202" s="194" t="inlineStr">
        <is>
          <t>AUD</t>
        </is>
      </c>
      <c r="C2202" s="194" t="inlineStr">
        <is>
          <t>AUSTRALIAN DOLLAR</t>
        </is>
      </c>
      <c r="D2202" s="195" t="n">
        <v>18419.52</v>
      </c>
      <c r="E2202" s="195" t="n">
        <v>18605.57</v>
      </c>
      <c r="F2202" s="195" t="n">
        <v>19201.38</v>
      </c>
      <c r="G2202" s="195" t="n">
        <v>18903.47</v>
      </c>
    </row>
    <row r="2203">
      <c r="A2203" s="196" t="inlineStr">
        <is>
          <t>2026-05-27</t>
        </is>
      </c>
      <c r="B2203" s="196" t="inlineStr">
        <is>
          <t>CAD</t>
        </is>
      </c>
      <c r="C2203" s="196" t="inlineStr">
        <is>
          <t>CANADIAN DOLLAR</t>
        </is>
      </c>
      <c r="D2203" s="184" t="n">
        <v>18596.47</v>
      </c>
      <c r="E2203" s="184" t="n">
        <v>18784.31</v>
      </c>
      <c r="F2203" s="184" t="n">
        <v>19385.85</v>
      </c>
      <c r="G2203" s="184" t="n">
        <v>19085.08</v>
      </c>
    </row>
    <row r="2204">
      <c r="A2204" s="194" t="inlineStr">
        <is>
          <t>2026-05-27</t>
        </is>
      </c>
      <c r="B2204" s="194" t="inlineStr">
        <is>
          <t>CHF</t>
        </is>
      </c>
      <c r="C2204" s="194" t="inlineStr">
        <is>
          <t>SWISS FRANC</t>
        </is>
      </c>
      <c r="D2204" s="195" t="n">
        <v>32704.95</v>
      </c>
      <c r="E2204" s="195" t="n">
        <v>33035.31</v>
      </c>
      <c r="F2204" s="195" t="n">
        <v>34093.2</v>
      </c>
      <c r="G2204" s="195" t="n">
        <v>33564.25</v>
      </c>
    </row>
    <row r="2205">
      <c r="A2205" s="196" t="inlineStr">
        <is>
          <t>2026-05-27</t>
        </is>
      </c>
      <c r="B2205" s="196" t="inlineStr">
        <is>
          <t>CNY</t>
        </is>
      </c>
      <c r="C2205" s="196" t="inlineStr">
        <is>
          <t>YUAN RENMINBI</t>
        </is>
      </c>
      <c r="D2205" s="184" t="n">
        <v>3782.32</v>
      </c>
      <c r="E2205" s="184" t="n">
        <v>3820.53</v>
      </c>
      <c r="F2205" s="184" t="n">
        <v>3942.87</v>
      </c>
      <c r="G2205" s="184" t="n">
        <v>3881.7</v>
      </c>
    </row>
    <row r="2206">
      <c r="A2206" s="194" t="inlineStr">
        <is>
          <t>2026-05-27</t>
        </is>
      </c>
      <c r="B2206" s="194" t="inlineStr">
        <is>
          <t>DKK</t>
        </is>
      </c>
      <c r="C2206" s="194" t="inlineStr">
        <is>
          <t>DANISH KRONE</t>
        </is>
      </c>
      <c r="D2206" s="195" t="n"/>
      <c r="E2206" s="195" t="n">
        <v>4027.31</v>
      </c>
      <c r="F2206" s="195" t="n">
        <v>4181.3</v>
      </c>
      <c r="G2206" s="195" t="n">
        <v>4104.3</v>
      </c>
    </row>
    <row r="2207">
      <c r="A2207" s="196" t="inlineStr">
        <is>
          <t>2026-05-27</t>
        </is>
      </c>
      <c r="B2207" s="196" t="inlineStr">
        <is>
          <t>EUR</t>
        </is>
      </c>
      <c r="C2207" s="196" t="inlineStr">
        <is>
          <t>EURO</t>
        </is>
      </c>
      <c r="D2207" s="184" t="n">
        <v>29866.92</v>
      </c>
      <c r="E2207" s="184" t="n">
        <v>30168.61</v>
      </c>
      <c r="F2207" s="184" t="n">
        <v>31441.45</v>
      </c>
      <c r="G2207" s="184" t="n">
        <v>30805.03</v>
      </c>
    </row>
    <row r="2208">
      <c r="A2208" s="194" t="inlineStr">
        <is>
          <t>2026-05-27</t>
        </is>
      </c>
      <c r="B2208" s="194" t="inlineStr">
        <is>
          <t>GBP</t>
        </is>
      </c>
      <c r="C2208" s="194" t="inlineStr">
        <is>
          <t>POUND STERLING</t>
        </is>
      </c>
      <c r="D2208" s="195" t="n">
        <v>34524.41</v>
      </c>
      <c r="E2208" s="195" t="n">
        <v>34873.14</v>
      </c>
      <c r="F2208" s="195" t="n">
        <v>35989.89</v>
      </c>
      <c r="G2208" s="195" t="n">
        <v>35431.52</v>
      </c>
    </row>
    <row r="2209">
      <c r="A2209" s="196" t="inlineStr">
        <is>
          <t>2026-05-27</t>
        </is>
      </c>
      <c r="B2209" s="196" t="inlineStr">
        <is>
          <t>HKD</t>
        </is>
      </c>
      <c r="C2209" s="196" t="inlineStr">
        <is>
          <t>HONGKONG DOLLAR</t>
        </is>
      </c>
      <c r="D2209" s="184" t="n">
        <v>3265.77</v>
      </c>
      <c r="E2209" s="184" t="n">
        <v>3298.76</v>
      </c>
      <c r="F2209" s="184" t="n">
        <v>3424.89</v>
      </c>
      <c r="G2209" s="184" t="n">
        <v>3361.82</v>
      </c>
    </row>
    <row r="2210">
      <c r="A2210" s="194" t="inlineStr">
        <is>
          <t>2026-05-27</t>
        </is>
      </c>
      <c r="B2210" s="194" t="inlineStr">
        <is>
          <t>INR</t>
        </is>
      </c>
      <c r="C2210" s="194" t="inlineStr">
        <is>
          <t>INDIAN RUPEE</t>
        </is>
      </c>
      <c r="D2210" s="195" t="n"/>
      <c r="E2210" s="195" t="n">
        <v>273.66</v>
      </c>
      <c r="F2210" s="195" t="n">
        <v>285.44</v>
      </c>
      <c r="G2210" s="195" t="n">
        <v>279.55</v>
      </c>
    </row>
    <row r="2211">
      <c r="A2211" s="196" t="inlineStr">
        <is>
          <t>2026-05-27</t>
        </is>
      </c>
      <c r="B2211" s="196" t="inlineStr">
        <is>
          <t>JPY</t>
        </is>
      </c>
      <c r="C2211" s="196" t="inlineStr">
        <is>
          <t>YEN</t>
        </is>
      </c>
      <c r="D2211" s="184" t="n">
        <v>159.65</v>
      </c>
      <c r="E2211" s="184" t="n">
        <v>161.26</v>
      </c>
      <c r="F2211" s="184" t="n">
        <v>169.79</v>
      </c>
      <c r="G2211" s="184" t="n">
        <v>165.52</v>
      </c>
    </row>
    <row r="2212">
      <c r="A2212" s="194" t="inlineStr">
        <is>
          <t>2026-05-27</t>
        </is>
      </c>
      <c r="B2212" s="194" t="inlineStr">
        <is>
          <t>KRW</t>
        </is>
      </c>
      <c r="C2212" s="194" t="inlineStr">
        <is>
          <t>KOREAN WON</t>
        </is>
      </c>
      <c r="D2212" s="195" t="n">
        <v>15.15</v>
      </c>
      <c r="E2212" s="195" t="n">
        <v>16.83</v>
      </c>
      <c r="F2212" s="195" t="n">
        <v>18.26</v>
      </c>
      <c r="G2212" s="195" t="n">
        <v>17.55</v>
      </c>
    </row>
    <row r="2213">
      <c r="A2213" s="196" t="inlineStr">
        <is>
          <t>2026-05-27</t>
        </is>
      </c>
      <c r="B2213" s="196" t="inlineStr">
        <is>
          <t>KWD</t>
        </is>
      </c>
      <c r="C2213" s="196" t="inlineStr">
        <is>
          <t>KUWAITI DINAR</t>
        </is>
      </c>
      <c r="D2213" s="184" t="n"/>
      <c r="E2213" s="184" t="n">
        <v>85401.42999999999</v>
      </c>
      <c r="F2213" s="184" t="n">
        <v>89540.53</v>
      </c>
      <c r="G2213" s="184" t="n">
        <v>87470.98</v>
      </c>
    </row>
    <row r="2214">
      <c r="A2214" s="194" t="inlineStr">
        <is>
          <t>2026-05-27</t>
        </is>
      </c>
      <c r="B2214" s="194" t="inlineStr">
        <is>
          <t>MYR</t>
        </is>
      </c>
      <c r="C2214" s="194" t="inlineStr">
        <is>
          <t>MALAYSIAN RINGGIT</t>
        </is>
      </c>
      <c r="D2214" s="195" t="n"/>
      <c r="E2214" s="195" t="n">
        <v>6579.41</v>
      </c>
      <c r="F2214" s="195" t="n">
        <v>6722.53</v>
      </c>
      <c r="G2214" s="195" t="n">
        <v>6650.97</v>
      </c>
    </row>
    <row r="2215">
      <c r="A2215" s="196" t="inlineStr">
        <is>
          <t>2026-05-27</t>
        </is>
      </c>
      <c r="B2215" s="196" t="inlineStr">
        <is>
          <t>NOK</t>
        </is>
      </c>
      <c r="C2215" s="196" t="inlineStr">
        <is>
          <t>NORWEGIAN KRONER</t>
        </is>
      </c>
      <c r="D2215" s="184" t="n"/>
      <c r="E2215" s="184" t="n">
        <v>2786.73</v>
      </c>
      <c r="F2215" s="184" t="n">
        <v>2904.89</v>
      </c>
      <c r="G2215" s="184" t="n">
        <v>2845.81</v>
      </c>
    </row>
    <row r="2216">
      <c r="A2216" s="194" t="inlineStr">
        <is>
          <t>2026-05-27</t>
        </is>
      </c>
      <c r="B2216" s="194" t="inlineStr">
        <is>
          <t>RUB</t>
        </is>
      </c>
      <c r="C2216" s="194" t="inlineStr">
        <is>
          <t>RUSSIAN RUBLE</t>
        </is>
      </c>
      <c r="D2216" s="195" t="n"/>
      <c r="E2216" s="195" t="n">
        <v>348.1</v>
      </c>
      <c r="F2216" s="195" t="n">
        <v>385.33</v>
      </c>
      <c r="G2216" s="195" t="n">
        <v>366.72</v>
      </c>
    </row>
    <row r="2217">
      <c r="A2217" s="196" t="inlineStr">
        <is>
          <t>2026-05-27</t>
        </is>
      </c>
      <c r="B2217" s="196" t="inlineStr">
        <is>
          <t>SAR</t>
        </is>
      </c>
      <c r="C2217" s="196" t="inlineStr">
        <is>
          <t>SAUDI RIAL</t>
        </is>
      </c>
      <c r="D2217" s="184" t="n"/>
      <c r="E2217" s="184" t="n">
        <v>6977.77</v>
      </c>
      <c r="F2217" s="184" t="n">
        <v>7278.05</v>
      </c>
      <c r="G2217" s="184" t="n">
        <v>7127.91</v>
      </c>
    </row>
    <row r="2218">
      <c r="A2218" s="194" t="inlineStr">
        <is>
          <t>2026-05-27</t>
        </is>
      </c>
      <c r="B2218" s="194" t="inlineStr">
        <is>
          <t>SEK</t>
        </is>
      </c>
      <c r="C2218" s="194" t="inlineStr">
        <is>
          <t>SWEDISH KRONA</t>
        </is>
      </c>
      <c r="D2218" s="195" t="n"/>
      <c r="E2218" s="195" t="n">
        <v>2776.78</v>
      </c>
      <c r="F2218" s="195" t="n">
        <v>2894.51</v>
      </c>
      <c r="G2218" s="195" t="n">
        <v>2835.65</v>
      </c>
    </row>
    <row r="2219">
      <c r="A2219" s="196" t="inlineStr">
        <is>
          <t>2026-05-27</t>
        </is>
      </c>
      <c r="B2219" s="196" t="inlineStr">
        <is>
          <t>SGD</t>
        </is>
      </c>
      <c r="C2219" s="196" t="inlineStr">
        <is>
          <t>SINGAPORE DOLLAR</t>
        </is>
      </c>
      <c r="D2219" s="184" t="n">
        <v>20090.56</v>
      </c>
      <c r="E2219" s="184" t="n">
        <v>20293.5</v>
      </c>
      <c r="F2219" s="184" t="n">
        <v>20985.3</v>
      </c>
      <c r="G2219" s="184" t="n">
        <v>20639.4</v>
      </c>
    </row>
    <row r="2220">
      <c r="A2220" s="194" t="inlineStr">
        <is>
          <t>2026-05-27</t>
        </is>
      </c>
      <c r="B2220" s="194" t="inlineStr">
        <is>
          <t>THB</t>
        </is>
      </c>
      <c r="C2220" s="194" t="inlineStr">
        <is>
          <t>THAILAND BAHT</t>
        </is>
      </c>
      <c r="D2220" s="195" t="n">
        <v>712.24</v>
      </c>
      <c r="E2220" s="195" t="n">
        <v>791.38</v>
      </c>
      <c r="F2220" s="195" t="n">
        <v>824.9299999999999</v>
      </c>
      <c r="G2220" s="195" t="n">
        <v>808.16</v>
      </c>
    </row>
    <row r="2221">
      <c r="A2221" s="196" t="inlineStr">
        <is>
          <t>2026-05-27</t>
        </is>
      </c>
      <c r="B2221" s="196" t="inlineStr">
        <is>
          <t>USD</t>
        </is>
      </c>
      <c r="C2221" s="196" t="inlineStr">
        <is>
          <t>US DOLLAR</t>
        </is>
      </c>
      <c r="D2221" s="184" t="n">
        <v>26113</v>
      </c>
      <c r="E2221" s="184" t="n">
        <v>26143</v>
      </c>
      <c r="F2221" s="184" t="n">
        <v>26393</v>
      </c>
      <c r="G2221" s="184" t="n">
        <v>26268</v>
      </c>
    </row>
    <row r="2222">
      <c r="A2222" s="194" t="inlineStr">
        <is>
          <t>2026-05-26 08:14:17</t>
        </is>
      </c>
      <c r="B2222" s="194" t="inlineStr">
        <is>
          <t>AUD</t>
        </is>
      </c>
      <c r="C2222" s="194" t="inlineStr">
        <is>
          <t>AUSTRALIAN DOLLAR</t>
        </is>
      </c>
      <c r="D2222" s="195" t="n">
        <v>18400.33</v>
      </c>
      <c r="E2222" s="195" t="n">
        <v>18586.2</v>
      </c>
      <c r="F2222" s="195" t="n">
        <v>19181.35</v>
      </c>
      <c r="G2222" s="195" t="n">
        <v>18883.78</v>
      </c>
    </row>
    <row r="2223">
      <c r="A2223" s="196" t="inlineStr">
        <is>
          <t>2026-05-26 08:14:17</t>
        </is>
      </c>
      <c r="B2223" s="196" t="inlineStr">
        <is>
          <t>CAD</t>
        </is>
      </c>
      <c r="C2223" s="196" t="inlineStr">
        <is>
          <t>CANADIAN DOLLAR</t>
        </is>
      </c>
      <c r="D2223" s="184" t="n">
        <v>18622.55</v>
      </c>
      <c r="E2223" s="184" t="n">
        <v>18810.66</v>
      </c>
      <c r="F2223" s="184" t="n">
        <v>19413</v>
      </c>
      <c r="G2223" s="184" t="n">
        <v>19111.83</v>
      </c>
    </row>
    <row r="2224">
      <c r="A2224" s="194" t="inlineStr">
        <is>
          <t>2026-05-26 08:14:17</t>
        </is>
      </c>
      <c r="B2224" s="194" t="inlineStr">
        <is>
          <t>CHF</t>
        </is>
      </c>
      <c r="C2224" s="194" t="inlineStr">
        <is>
          <t>SWISS FRANC</t>
        </is>
      </c>
      <c r="D2224" s="195" t="n">
        <v>32869.91</v>
      </c>
      <c r="E2224" s="195" t="n">
        <v>33201.93</v>
      </c>
      <c r="F2224" s="195" t="n">
        <v>34265.1</v>
      </c>
      <c r="G2224" s="195" t="n">
        <v>33733.52</v>
      </c>
    </row>
    <row r="2225">
      <c r="A2225" s="196" t="inlineStr">
        <is>
          <t>2026-05-26 08:14:17</t>
        </is>
      </c>
      <c r="B2225" s="196" t="inlineStr">
        <is>
          <t>CNY</t>
        </is>
      </c>
      <c r="C2225" s="196" t="inlineStr">
        <is>
          <t>YUAN RENMINBI</t>
        </is>
      </c>
      <c r="D2225" s="184" t="n">
        <v>3782.62</v>
      </c>
      <c r="E2225" s="184" t="n">
        <v>3820.82</v>
      </c>
      <c r="F2225" s="184" t="n">
        <v>3943.17</v>
      </c>
      <c r="G2225" s="184" t="n">
        <v>3882</v>
      </c>
    </row>
    <row r="2226">
      <c r="A2226" s="194" t="inlineStr">
        <is>
          <t>2026-05-26 08:14:17</t>
        </is>
      </c>
      <c r="B2226" s="194" t="inlineStr">
        <is>
          <t>DKK</t>
        </is>
      </c>
      <c r="C2226" s="194" t="inlineStr">
        <is>
          <t>DANISH KRONE</t>
        </is>
      </c>
      <c r="D2226" s="195" t="n"/>
      <c r="E2226" s="195" t="n">
        <v>4032.98</v>
      </c>
      <c r="F2226" s="195" t="n">
        <v>4187.18</v>
      </c>
      <c r="G2226" s="195" t="n">
        <v>4110.08</v>
      </c>
    </row>
    <row r="2227">
      <c r="A2227" s="196" t="inlineStr">
        <is>
          <t>2026-05-26 08:14:17</t>
        </is>
      </c>
      <c r="B2227" s="196" t="inlineStr">
        <is>
          <t>EUR</t>
        </is>
      </c>
      <c r="C2227" s="196" t="inlineStr">
        <is>
          <t>EURO</t>
        </is>
      </c>
      <c r="D2227" s="184" t="n">
        <v>29911.79</v>
      </c>
      <c r="E2227" s="184" t="n">
        <v>30213.92</v>
      </c>
      <c r="F2227" s="184" t="n">
        <v>31488.61</v>
      </c>
      <c r="G2227" s="184" t="n">
        <v>30851.26</v>
      </c>
    </row>
    <row r="2228">
      <c r="A2228" s="194" t="inlineStr">
        <is>
          <t>2026-05-26 08:14:17</t>
        </is>
      </c>
      <c r="B2228" s="194" t="inlineStr">
        <is>
          <t>GBP</t>
        </is>
      </c>
      <c r="C2228" s="194" t="inlineStr">
        <is>
          <t>POUND STERLING</t>
        </is>
      </c>
      <c r="D2228" s="195" t="n">
        <v>34642.27</v>
      </c>
      <c r="E2228" s="195" t="n">
        <v>34992.19</v>
      </c>
      <c r="F2228" s="195" t="n">
        <v>36112.68</v>
      </c>
      <c r="G2228" s="195" t="n">
        <v>35552.44</v>
      </c>
    </row>
    <row r="2229">
      <c r="A2229" s="196" t="inlineStr">
        <is>
          <t>2026-05-26 08:14:17</t>
        </is>
      </c>
      <c r="B2229" s="196" t="inlineStr">
        <is>
          <t>HKD</t>
        </is>
      </c>
      <c r="C2229" s="196" t="inlineStr">
        <is>
          <t>HONGKONG DOLLAR</t>
        </is>
      </c>
      <c r="D2229" s="184" t="n">
        <v>3271.07</v>
      </c>
      <c r="E2229" s="184" t="n">
        <v>3304.11</v>
      </c>
      <c r="F2229" s="184" t="n">
        <v>3430.44</v>
      </c>
      <c r="G2229" s="184" t="n">
        <v>3367.28</v>
      </c>
    </row>
    <row r="2230">
      <c r="A2230" s="194" t="inlineStr">
        <is>
          <t>2026-05-26 08:14:17</t>
        </is>
      </c>
      <c r="B2230" s="194" t="inlineStr">
        <is>
          <t>INR</t>
        </is>
      </c>
      <c r="C2230" s="194" t="inlineStr">
        <is>
          <t>INDIAN RUPEE</t>
        </is>
      </c>
      <c r="D2230" s="195" t="n"/>
      <c r="E2230" s="195" t="n">
        <v>274</v>
      </c>
      <c r="F2230" s="195" t="n">
        <v>285.79</v>
      </c>
      <c r="G2230" s="195" t="n">
        <v>279.9</v>
      </c>
    </row>
    <row r="2231">
      <c r="A2231" s="196" t="inlineStr">
        <is>
          <t>2026-05-26 08:14:17</t>
        </is>
      </c>
      <c r="B2231" s="196" t="inlineStr">
        <is>
          <t>JPY</t>
        </is>
      </c>
      <c r="C2231" s="196" t="inlineStr">
        <is>
          <t>YEN</t>
        </is>
      </c>
      <c r="D2231" s="184" t="n">
        <v>160.22</v>
      </c>
      <c r="E2231" s="184" t="n">
        <v>161.83</v>
      </c>
      <c r="F2231" s="184" t="n">
        <v>170.39</v>
      </c>
      <c r="G2231" s="184" t="n">
        <v>166.11</v>
      </c>
    </row>
    <row r="2232">
      <c r="A2232" s="194" t="inlineStr">
        <is>
          <t>2026-05-26 08:14:17</t>
        </is>
      </c>
      <c r="B2232" s="194" t="inlineStr">
        <is>
          <t>KRW</t>
        </is>
      </c>
      <c r="C2232" s="194" t="inlineStr">
        <is>
          <t>KOREAN WON</t>
        </is>
      </c>
      <c r="D2232" s="195" t="n">
        <v>15.1</v>
      </c>
      <c r="E2232" s="195" t="n">
        <v>16.78</v>
      </c>
      <c r="F2232" s="195" t="n">
        <v>18.21</v>
      </c>
      <c r="G2232" s="195" t="n">
        <v>17.5</v>
      </c>
    </row>
    <row r="2233">
      <c r="A2233" s="196" t="inlineStr">
        <is>
          <t>2026-05-26 08:14:17</t>
        </is>
      </c>
      <c r="B2233" s="196" t="inlineStr">
        <is>
          <t>KWD</t>
        </is>
      </c>
      <c r="C2233" s="196" t="inlineStr">
        <is>
          <t>KUWAITI DINAR</t>
        </is>
      </c>
      <c r="D2233" s="184" t="n"/>
      <c r="E2233" s="184" t="n">
        <v>85459.27</v>
      </c>
      <c r="F2233" s="184" t="n">
        <v>89600.99000000001</v>
      </c>
      <c r="G2233" s="184" t="n">
        <v>87530.13</v>
      </c>
    </row>
    <row r="2234">
      <c r="A2234" s="194" t="inlineStr">
        <is>
          <t>2026-05-26 08:14:17</t>
        </is>
      </c>
      <c r="B2234" s="194" t="inlineStr">
        <is>
          <t>MYR</t>
        </is>
      </c>
      <c r="C2234" s="194" t="inlineStr">
        <is>
          <t>MALAYSIAN RINGGIT</t>
        </is>
      </c>
      <c r="D2234" s="195" t="n"/>
      <c r="E2234" s="195" t="n">
        <v>6613.21</v>
      </c>
      <c r="F2234" s="195" t="n">
        <v>6757.05</v>
      </c>
      <c r="G2234" s="195" t="n">
        <v>6685.13</v>
      </c>
    </row>
    <row r="2235">
      <c r="A2235" s="196" t="inlineStr">
        <is>
          <t>2026-05-26 08:14:17</t>
        </is>
      </c>
      <c r="B2235" s="196" t="inlineStr">
        <is>
          <t>NOK</t>
        </is>
      </c>
      <c r="C2235" s="196" t="inlineStr">
        <is>
          <t>NORWEGIAN KRONER</t>
        </is>
      </c>
      <c r="D2235" s="184" t="n"/>
      <c r="E2235" s="184" t="n">
        <v>2790.8</v>
      </c>
      <c r="F2235" s="184" t="n">
        <v>2909.12</v>
      </c>
      <c r="G2235" s="184" t="n">
        <v>2849.96</v>
      </c>
    </row>
    <row r="2236">
      <c r="A2236" s="194" t="inlineStr">
        <is>
          <t>2026-05-26 08:14:17</t>
        </is>
      </c>
      <c r="B2236" s="194" t="inlineStr">
        <is>
          <t>RUB</t>
        </is>
      </c>
      <c r="C2236" s="194" t="inlineStr">
        <is>
          <t>RUSSIAN RUBLE</t>
        </is>
      </c>
      <c r="D2236" s="195" t="n"/>
      <c r="E2236" s="195" t="n">
        <v>350.76</v>
      </c>
      <c r="F2236" s="195" t="n">
        <v>388.27</v>
      </c>
      <c r="G2236" s="195" t="n">
        <v>369.52</v>
      </c>
    </row>
    <row r="2237">
      <c r="A2237" s="196" t="inlineStr">
        <is>
          <t>2026-05-26 08:14:17</t>
        </is>
      </c>
      <c r="B2237" s="196" t="inlineStr">
        <is>
          <t>SAR</t>
        </is>
      </c>
      <c r="C2237" s="196" t="inlineStr">
        <is>
          <t>SAUDI RIAL</t>
        </is>
      </c>
      <c r="D2237" s="184" t="n"/>
      <c r="E2237" s="184" t="n">
        <v>6987.05</v>
      </c>
      <c r="F2237" s="184" t="n">
        <v>7287.71</v>
      </c>
      <c r="G2237" s="184" t="n">
        <v>7137.38</v>
      </c>
    </row>
    <row r="2238">
      <c r="A2238" s="194" t="inlineStr">
        <is>
          <t>2026-05-26 08:14:17</t>
        </is>
      </c>
      <c r="B2238" s="194" t="inlineStr">
        <is>
          <t>SEK</t>
        </is>
      </c>
      <c r="C2238" s="194" t="inlineStr">
        <is>
          <t>SWEDISH KRONA</t>
        </is>
      </c>
      <c r="D2238" s="195" t="n"/>
      <c r="E2238" s="195" t="n">
        <v>2778.44</v>
      </c>
      <c r="F2238" s="195" t="n">
        <v>2896.23</v>
      </c>
      <c r="G2238" s="195" t="n">
        <v>2837.34</v>
      </c>
    </row>
    <row r="2239">
      <c r="A2239" s="196" t="inlineStr">
        <is>
          <t>2026-05-26 08:14:17</t>
        </is>
      </c>
      <c r="B2239" s="196" t="inlineStr">
        <is>
          <t>SGD</t>
        </is>
      </c>
      <c r="C2239" s="196" t="inlineStr">
        <is>
          <t>SINGAPORE DOLLAR</t>
        </is>
      </c>
      <c r="D2239" s="184" t="n">
        <v>20117.28</v>
      </c>
      <c r="E2239" s="184" t="n">
        <v>20320.49</v>
      </c>
      <c r="F2239" s="184" t="n">
        <v>21013.17</v>
      </c>
      <c r="G2239" s="184" t="n">
        <v>20666.83</v>
      </c>
    </row>
    <row r="2240">
      <c r="A2240" s="194" t="inlineStr">
        <is>
          <t>2026-05-26 08:14:17</t>
        </is>
      </c>
      <c r="B2240" s="194" t="inlineStr">
        <is>
          <t>THB</t>
        </is>
      </c>
      <c r="C2240" s="194" t="inlineStr">
        <is>
          <t>THAILAND BAHT</t>
        </is>
      </c>
      <c r="D2240" s="195" t="n">
        <v>717.37</v>
      </c>
      <c r="E2240" s="195" t="n">
        <v>797.08</v>
      </c>
      <c r="F2240" s="195" t="n">
        <v>830.87</v>
      </c>
      <c r="G2240" s="195" t="n">
        <v>813.98</v>
      </c>
    </row>
    <row r="2241">
      <c r="A2241" s="196" t="inlineStr">
        <is>
          <t>2026-05-26 08:14:17</t>
        </is>
      </c>
      <c r="B2241" s="196" t="inlineStr">
        <is>
          <t>USD</t>
        </is>
      </c>
      <c r="C2241" s="196" t="inlineStr">
        <is>
          <t>US DOLLAR</t>
        </is>
      </c>
      <c r="D2241" s="184" t="n">
        <v>26132</v>
      </c>
      <c r="E2241" s="184" t="n">
        <v>26162</v>
      </c>
      <c r="F2241" s="184" t="n">
        <v>26392</v>
      </c>
      <c r="G2241" s="184" t="n">
        <v>26277</v>
      </c>
    </row>
    <row r="2242">
      <c r="A2242" s="194" t="inlineStr">
        <is>
          <t>2026-05-25</t>
        </is>
      </c>
      <c r="B2242" s="194" t="inlineStr">
        <is>
          <t>AUD</t>
        </is>
      </c>
      <c r="C2242" s="194" t="inlineStr">
        <is>
          <t>AUSTRALIAN DOLLAR</t>
        </is>
      </c>
      <c r="D2242" s="195" t="n">
        <v>18400.33</v>
      </c>
      <c r="E2242" s="195" t="n">
        <v>18586.2</v>
      </c>
      <c r="F2242" s="195" t="n">
        <v>19181.35</v>
      </c>
      <c r="G2242" s="195" t="n">
        <v>18883.78</v>
      </c>
    </row>
    <row r="2243">
      <c r="A2243" s="196" t="inlineStr">
        <is>
          <t>2026-05-25</t>
        </is>
      </c>
      <c r="B2243" s="196" t="inlineStr">
        <is>
          <t>CAD</t>
        </is>
      </c>
      <c r="C2243" s="196" t="inlineStr">
        <is>
          <t>CANADIAN DOLLAR</t>
        </is>
      </c>
      <c r="D2243" s="184" t="n">
        <v>18622.55</v>
      </c>
      <c r="E2243" s="184" t="n">
        <v>18810.66</v>
      </c>
      <c r="F2243" s="184" t="n">
        <v>19413</v>
      </c>
      <c r="G2243" s="184" t="n">
        <v>19111.83</v>
      </c>
    </row>
    <row r="2244">
      <c r="A2244" s="194" t="inlineStr">
        <is>
          <t>2026-05-25</t>
        </is>
      </c>
      <c r="B2244" s="194" t="inlineStr">
        <is>
          <t>CHF</t>
        </is>
      </c>
      <c r="C2244" s="194" t="inlineStr">
        <is>
          <t>SWISS FRANC</t>
        </is>
      </c>
      <c r="D2244" s="195" t="n">
        <v>32869.91</v>
      </c>
      <c r="E2244" s="195" t="n">
        <v>33201.93</v>
      </c>
      <c r="F2244" s="195" t="n">
        <v>34265.1</v>
      </c>
      <c r="G2244" s="195" t="n">
        <v>33733.52</v>
      </c>
    </row>
    <row r="2245">
      <c r="A2245" s="196" t="inlineStr">
        <is>
          <t>2026-05-25</t>
        </is>
      </c>
      <c r="B2245" s="196" t="inlineStr">
        <is>
          <t>CNY</t>
        </is>
      </c>
      <c r="C2245" s="196" t="inlineStr">
        <is>
          <t>YUAN RENMINBI</t>
        </is>
      </c>
      <c r="D2245" s="184" t="n">
        <v>3782.62</v>
      </c>
      <c r="E2245" s="184" t="n">
        <v>3820.82</v>
      </c>
      <c r="F2245" s="184" t="n">
        <v>3943.17</v>
      </c>
      <c r="G2245" s="184" t="n">
        <v>3882</v>
      </c>
    </row>
    <row r="2246">
      <c r="A2246" s="194" t="inlineStr">
        <is>
          <t>2026-05-25</t>
        </is>
      </c>
      <c r="B2246" s="194" t="inlineStr">
        <is>
          <t>DKK</t>
        </is>
      </c>
      <c r="C2246" s="194" t="inlineStr">
        <is>
          <t>DANISH KRONE</t>
        </is>
      </c>
      <c r="D2246" s="195" t="n"/>
      <c r="E2246" s="195" t="n">
        <v>4032.98</v>
      </c>
      <c r="F2246" s="195" t="n">
        <v>4187.18</v>
      </c>
      <c r="G2246" s="195" t="n">
        <v>4110.08</v>
      </c>
    </row>
    <row r="2247">
      <c r="A2247" s="196" t="inlineStr">
        <is>
          <t>2026-05-25</t>
        </is>
      </c>
      <c r="B2247" s="196" t="inlineStr">
        <is>
          <t>EUR</t>
        </is>
      </c>
      <c r="C2247" s="196" t="inlineStr">
        <is>
          <t>EURO</t>
        </is>
      </c>
      <c r="D2247" s="184" t="n">
        <v>29911.79</v>
      </c>
      <c r="E2247" s="184" t="n">
        <v>30213.92</v>
      </c>
      <c r="F2247" s="184" t="n">
        <v>31488.61</v>
      </c>
      <c r="G2247" s="184" t="n">
        <v>30851.26</v>
      </c>
    </row>
    <row r="2248">
      <c r="A2248" s="194" t="inlineStr">
        <is>
          <t>2026-05-25</t>
        </is>
      </c>
      <c r="B2248" s="194" t="inlineStr">
        <is>
          <t>GBP</t>
        </is>
      </c>
      <c r="C2248" s="194" t="inlineStr">
        <is>
          <t>POUND STERLING</t>
        </is>
      </c>
      <c r="D2248" s="195" t="n">
        <v>34642.27</v>
      </c>
      <c r="E2248" s="195" t="n">
        <v>34992.19</v>
      </c>
      <c r="F2248" s="195" t="n">
        <v>36112.68</v>
      </c>
      <c r="G2248" s="195" t="n">
        <v>35552.44</v>
      </c>
    </row>
    <row r="2249">
      <c r="A2249" s="196" t="inlineStr">
        <is>
          <t>2026-05-25</t>
        </is>
      </c>
      <c r="B2249" s="196" t="inlineStr">
        <is>
          <t>HKD</t>
        </is>
      </c>
      <c r="C2249" s="196" t="inlineStr">
        <is>
          <t>HONGKONG DOLLAR</t>
        </is>
      </c>
      <c r="D2249" s="184" t="n">
        <v>3271.07</v>
      </c>
      <c r="E2249" s="184" t="n">
        <v>3304.11</v>
      </c>
      <c r="F2249" s="184" t="n">
        <v>3430.44</v>
      </c>
      <c r="G2249" s="184" t="n">
        <v>3367.28</v>
      </c>
    </row>
    <row r="2250">
      <c r="A2250" s="194" t="inlineStr">
        <is>
          <t>2026-05-25</t>
        </is>
      </c>
      <c r="B2250" s="194" t="inlineStr">
        <is>
          <t>INR</t>
        </is>
      </c>
      <c r="C2250" s="194" t="inlineStr">
        <is>
          <t>INDIAN RUPEE</t>
        </is>
      </c>
      <c r="D2250" s="195" t="n"/>
      <c r="E2250" s="195" t="n">
        <v>274</v>
      </c>
      <c r="F2250" s="195" t="n">
        <v>285.79</v>
      </c>
      <c r="G2250" s="195" t="n">
        <v>279.9</v>
      </c>
    </row>
    <row r="2251">
      <c r="A2251" s="196" t="inlineStr">
        <is>
          <t>2026-05-25</t>
        </is>
      </c>
      <c r="B2251" s="196" t="inlineStr">
        <is>
          <t>JPY</t>
        </is>
      </c>
      <c r="C2251" s="196" t="inlineStr">
        <is>
          <t>YEN</t>
        </is>
      </c>
      <c r="D2251" s="184" t="n">
        <v>160.22</v>
      </c>
      <c r="E2251" s="184" t="n">
        <v>161.83</v>
      </c>
      <c r="F2251" s="184" t="n">
        <v>170.39</v>
      </c>
      <c r="G2251" s="184" t="n">
        <v>166.11</v>
      </c>
    </row>
    <row r="2252">
      <c r="A2252" s="194" t="inlineStr">
        <is>
          <t>2026-05-25</t>
        </is>
      </c>
      <c r="B2252" s="194" t="inlineStr">
        <is>
          <t>KRW</t>
        </is>
      </c>
      <c r="C2252" s="194" t="inlineStr">
        <is>
          <t>KOREAN WON</t>
        </is>
      </c>
      <c r="D2252" s="195" t="n">
        <v>15.1</v>
      </c>
      <c r="E2252" s="195" t="n">
        <v>16.78</v>
      </c>
      <c r="F2252" s="195" t="n">
        <v>18.21</v>
      </c>
      <c r="G2252" s="195" t="n">
        <v>17.5</v>
      </c>
    </row>
    <row r="2253">
      <c r="A2253" s="196" t="inlineStr">
        <is>
          <t>2026-05-25</t>
        </is>
      </c>
      <c r="B2253" s="196" t="inlineStr">
        <is>
          <t>KWD</t>
        </is>
      </c>
      <c r="C2253" s="196" t="inlineStr">
        <is>
          <t>KUWAITI DINAR</t>
        </is>
      </c>
      <c r="D2253" s="184" t="n"/>
      <c r="E2253" s="184" t="n">
        <v>85459.27</v>
      </c>
      <c r="F2253" s="184" t="n">
        <v>89600.99000000001</v>
      </c>
      <c r="G2253" s="184" t="n">
        <v>87530.13</v>
      </c>
    </row>
    <row r="2254">
      <c r="A2254" s="194" t="inlineStr">
        <is>
          <t>2026-05-25</t>
        </is>
      </c>
      <c r="B2254" s="194" t="inlineStr">
        <is>
          <t>MYR</t>
        </is>
      </c>
      <c r="C2254" s="194" t="inlineStr">
        <is>
          <t>MALAYSIAN RINGGIT</t>
        </is>
      </c>
      <c r="D2254" s="195" t="n"/>
      <c r="E2254" s="195" t="n">
        <v>6613.21</v>
      </c>
      <c r="F2254" s="195" t="n">
        <v>6757.05</v>
      </c>
      <c r="G2254" s="195" t="n">
        <v>6685.13</v>
      </c>
    </row>
    <row r="2255">
      <c r="A2255" s="196" t="inlineStr">
        <is>
          <t>2026-05-25</t>
        </is>
      </c>
      <c r="B2255" s="196" t="inlineStr">
        <is>
          <t>NOK</t>
        </is>
      </c>
      <c r="C2255" s="196" t="inlineStr">
        <is>
          <t>NORWEGIAN KRONER</t>
        </is>
      </c>
      <c r="D2255" s="184" t="n"/>
      <c r="E2255" s="184" t="n">
        <v>2790.8</v>
      </c>
      <c r="F2255" s="184" t="n">
        <v>2909.12</v>
      </c>
      <c r="G2255" s="184" t="n">
        <v>2849.96</v>
      </c>
    </row>
    <row r="2256">
      <c r="A2256" s="194" t="inlineStr">
        <is>
          <t>2026-05-25</t>
        </is>
      </c>
      <c r="B2256" s="194" t="inlineStr">
        <is>
          <t>RUB</t>
        </is>
      </c>
      <c r="C2256" s="194" t="inlineStr">
        <is>
          <t>RUSSIAN RUBLE</t>
        </is>
      </c>
      <c r="D2256" s="195" t="n"/>
      <c r="E2256" s="195" t="n">
        <v>350.76</v>
      </c>
      <c r="F2256" s="195" t="n">
        <v>388.27</v>
      </c>
      <c r="G2256" s="195" t="n">
        <v>369.52</v>
      </c>
    </row>
    <row r="2257">
      <c r="A2257" s="196" t="inlineStr">
        <is>
          <t>2026-05-25</t>
        </is>
      </c>
      <c r="B2257" s="196" t="inlineStr">
        <is>
          <t>SAR</t>
        </is>
      </c>
      <c r="C2257" s="196" t="inlineStr">
        <is>
          <t>SAUDI RIAL</t>
        </is>
      </c>
      <c r="D2257" s="184" t="n"/>
      <c r="E2257" s="184" t="n">
        <v>6987.05</v>
      </c>
      <c r="F2257" s="184" t="n">
        <v>7287.71</v>
      </c>
      <c r="G2257" s="184" t="n">
        <v>7137.38</v>
      </c>
    </row>
    <row r="2258">
      <c r="A2258" s="194" t="inlineStr">
        <is>
          <t>2026-05-25</t>
        </is>
      </c>
      <c r="B2258" s="194" t="inlineStr">
        <is>
          <t>SEK</t>
        </is>
      </c>
      <c r="C2258" s="194" t="inlineStr">
        <is>
          <t>SWEDISH KRONA</t>
        </is>
      </c>
      <c r="D2258" s="195" t="n"/>
      <c r="E2258" s="195" t="n">
        <v>2778.44</v>
      </c>
      <c r="F2258" s="195" t="n">
        <v>2896.23</v>
      </c>
      <c r="G2258" s="195" t="n">
        <v>2837.34</v>
      </c>
    </row>
    <row r="2259">
      <c r="A2259" s="196" t="inlineStr">
        <is>
          <t>2026-05-25</t>
        </is>
      </c>
      <c r="B2259" s="196" t="inlineStr">
        <is>
          <t>SGD</t>
        </is>
      </c>
      <c r="C2259" s="196" t="inlineStr">
        <is>
          <t>SINGAPORE DOLLAR</t>
        </is>
      </c>
      <c r="D2259" s="184" t="n">
        <v>20117.28</v>
      </c>
      <c r="E2259" s="184" t="n">
        <v>20320.49</v>
      </c>
      <c r="F2259" s="184" t="n">
        <v>21013.17</v>
      </c>
      <c r="G2259" s="184" t="n">
        <v>20666.83</v>
      </c>
    </row>
    <row r="2260">
      <c r="A2260" s="194" t="inlineStr">
        <is>
          <t>2026-05-25</t>
        </is>
      </c>
      <c r="B2260" s="194" t="inlineStr">
        <is>
          <t>THB</t>
        </is>
      </c>
      <c r="C2260" s="194" t="inlineStr">
        <is>
          <t>THAILAND BAHT</t>
        </is>
      </c>
      <c r="D2260" s="195" t="n">
        <v>717.37</v>
      </c>
      <c r="E2260" s="195" t="n">
        <v>797.08</v>
      </c>
      <c r="F2260" s="195" t="n">
        <v>830.87</v>
      </c>
      <c r="G2260" s="195" t="n">
        <v>813.98</v>
      </c>
    </row>
    <row r="2261">
      <c r="A2261" s="196" t="inlineStr">
        <is>
          <t>2026-05-25</t>
        </is>
      </c>
      <c r="B2261" s="196" t="inlineStr">
        <is>
          <t>USD</t>
        </is>
      </c>
      <c r="C2261" s="196" t="inlineStr">
        <is>
          <t>US DOLLAR</t>
        </is>
      </c>
      <c r="D2261" s="184" t="n">
        <v>26132</v>
      </c>
      <c r="E2261" s="184" t="n">
        <v>26162</v>
      </c>
      <c r="F2261" s="184" t="n">
        <v>26392</v>
      </c>
      <c r="G2261" s="184" t="n">
        <v>26277</v>
      </c>
    </row>
    <row r="2262">
      <c r="A2262" s="194" t="inlineStr">
        <is>
          <t>2026-05-24</t>
        </is>
      </c>
      <c r="B2262" s="194" t="inlineStr">
        <is>
          <t>AUD</t>
        </is>
      </c>
      <c r="C2262" s="194" t="inlineStr">
        <is>
          <t>AUSTRALIAN DOLLAR</t>
        </is>
      </c>
      <c r="D2262" s="195" t="n">
        <v>18270.06</v>
      </c>
      <c r="E2262" s="195" t="n">
        <v>18454.61</v>
      </c>
      <c r="F2262" s="195" t="n">
        <v>19045.56</v>
      </c>
      <c r="G2262" s="195" t="n">
        <v>18750.08</v>
      </c>
    </row>
    <row r="2263">
      <c r="A2263" s="196" t="inlineStr">
        <is>
          <t>2026-05-24</t>
        </is>
      </c>
      <c r="B2263" s="196" t="inlineStr">
        <is>
          <t>CAD</t>
        </is>
      </c>
      <c r="C2263" s="196" t="inlineStr">
        <is>
          <t>CANADIAN DOLLAR</t>
        </is>
      </c>
      <c r="D2263" s="184" t="n">
        <v>18673.67</v>
      </c>
      <c r="E2263" s="184" t="n">
        <v>18862.29</v>
      </c>
      <c r="F2263" s="184" t="n">
        <v>19466.29</v>
      </c>
      <c r="G2263" s="184" t="n">
        <v>19164.29</v>
      </c>
    </row>
    <row r="2264">
      <c r="A2264" s="194" t="inlineStr">
        <is>
          <t>2026-05-24</t>
        </is>
      </c>
      <c r="B2264" s="194" t="inlineStr">
        <is>
          <t>CHF</t>
        </is>
      </c>
      <c r="C2264" s="194" t="inlineStr">
        <is>
          <t>SWISS FRANC</t>
        </is>
      </c>
      <c r="D2264" s="195" t="n">
        <v>32652.81</v>
      </c>
      <c r="E2264" s="195" t="n">
        <v>32982.64</v>
      </c>
      <c r="F2264" s="195" t="n">
        <v>34038.8</v>
      </c>
      <c r="G2264" s="195" t="n">
        <v>33510.72</v>
      </c>
    </row>
    <row r="2265">
      <c r="A2265" s="196" t="inlineStr">
        <is>
          <t>2026-05-24</t>
        </is>
      </c>
      <c r="B2265" s="196" t="inlineStr">
        <is>
          <t>CNY</t>
        </is>
      </c>
      <c r="C2265" s="196" t="inlineStr">
        <is>
          <t>YUAN RENMINBI</t>
        </is>
      </c>
      <c r="D2265" s="184" t="n">
        <v>3779.07</v>
      </c>
      <c r="E2265" s="184" t="n">
        <v>3817.24</v>
      </c>
      <c r="F2265" s="184" t="n">
        <v>3939.47</v>
      </c>
      <c r="G2265" s="184" t="n">
        <v>3878.35</v>
      </c>
    </row>
    <row r="2266">
      <c r="A2266" s="194" t="inlineStr">
        <is>
          <t>2026-05-24</t>
        </is>
      </c>
      <c r="B2266" s="194" t="inlineStr">
        <is>
          <t>DKK</t>
        </is>
      </c>
      <c r="C2266" s="194" t="inlineStr">
        <is>
          <t>DANISH KRONE</t>
        </is>
      </c>
      <c r="D2266" s="195" t="n"/>
      <c r="E2266" s="195" t="n">
        <v>4024.18</v>
      </c>
      <c r="F2266" s="195" t="n">
        <v>4178.04</v>
      </c>
      <c r="G2266" s="195" t="n">
        <v>4101.11</v>
      </c>
    </row>
    <row r="2267">
      <c r="A2267" s="196" t="inlineStr">
        <is>
          <t>2026-05-24</t>
        </is>
      </c>
      <c r="B2267" s="196" t="inlineStr">
        <is>
          <t>EUR</t>
        </is>
      </c>
      <c r="C2267" s="196" t="inlineStr">
        <is>
          <t>EURO</t>
        </is>
      </c>
      <c r="D2267" s="184" t="n">
        <v>29849.06</v>
      </c>
      <c r="E2267" s="184" t="n">
        <v>30150.57</v>
      </c>
      <c r="F2267" s="184" t="n">
        <v>31422.6</v>
      </c>
      <c r="G2267" s="184" t="n">
        <v>30786.58</v>
      </c>
    </row>
    <row r="2268">
      <c r="A2268" s="194" t="inlineStr">
        <is>
          <t>2026-05-24</t>
        </is>
      </c>
      <c r="B2268" s="194" t="inlineStr">
        <is>
          <t>GBP</t>
        </is>
      </c>
      <c r="C2268" s="194" t="inlineStr">
        <is>
          <t>POUND STERLING</t>
        </is>
      </c>
      <c r="D2268" s="195" t="n">
        <v>34482.72</v>
      </c>
      <c r="E2268" s="195" t="n">
        <v>34831.03</v>
      </c>
      <c r="F2268" s="195" t="n">
        <v>35946.38</v>
      </c>
      <c r="G2268" s="195" t="n">
        <v>35388.7</v>
      </c>
    </row>
    <row r="2269">
      <c r="A2269" s="196" t="inlineStr">
        <is>
          <t>2026-05-24</t>
        </is>
      </c>
      <c r="B2269" s="196" t="inlineStr">
        <is>
          <t>HKD</t>
        </is>
      </c>
      <c r="C2269" s="196" t="inlineStr">
        <is>
          <t>HONGKONG DOLLAR</t>
        </is>
      </c>
      <c r="D2269" s="184" t="n">
        <v>3271</v>
      </c>
      <c r="E2269" s="184" t="n">
        <v>3304.04</v>
      </c>
      <c r="F2269" s="184" t="n">
        <v>3430.37</v>
      </c>
      <c r="G2269" s="184" t="n">
        <v>3367.2</v>
      </c>
    </row>
    <row r="2270">
      <c r="A2270" s="194" t="inlineStr">
        <is>
          <t>2026-05-24</t>
        </is>
      </c>
      <c r="B2270" s="194" t="inlineStr">
        <is>
          <t>INR</t>
        </is>
      </c>
      <c r="C2270" s="194" t="inlineStr">
        <is>
          <t>INDIAN RUPEE</t>
        </is>
      </c>
      <c r="D2270" s="195" t="n"/>
      <c r="E2270" s="195" t="n">
        <v>270.7</v>
      </c>
      <c r="F2270" s="195" t="n">
        <v>282.35</v>
      </c>
      <c r="G2270" s="195" t="n">
        <v>276.52</v>
      </c>
    </row>
    <row r="2271">
      <c r="A2271" s="196" t="inlineStr">
        <is>
          <t>2026-05-24</t>
        </is>
      </c>
      <c r="B2271" s="196" t="inlineStr">
        <is>
          <t>JPY</t>
        </is>
      </c>
      <c r="C2271" s="196" t="inlineStr">
        <is>
          <t>YEN</t>
        </is>
      </c>
      <c r="D2271" s="184" t="n">
        <v>160.67</v>
      </c>
      <c r="E2271" s="184" t="n">
        <v>162.29</v>
      </c>
      <c r="F2271" s="184" t="n">
        <v>170.88</v>
      </c>
      <c r="G2271" s="184" t="n">
        <v>166.58</v>
      </c>
    </row>
    <row r="2272">
      <c r="A2272" s="194" t="inlineStr">
        <is>
          <t>2026-05-24</t>
        </is>
      </c>
      <c r="B2272" s="194" t="inlineStr">
        <is>
          <t>KRW</t>
        </is>
      </c>
      <c r="C2272" s="194" t="inlineStr">
        <is>
          <t>KOREAN WON</t>
        </is>
      </c>
      <c r="D2272" s="195" t="n">
        <v>15.17</v>
      </c>
      <c r="E2272" s="195" t="n">
        <v>16.86</v>
      </c>
      <c r="F2272" s="195" t="n">
        <v>18.29</v>
      </c>
      <c r="G2272" s="195" t="n">
        <v>17.58</v>
      </c>
    </row>
    <row r="2273">
      <c r="A2273" s="196" t="inlineStr">
        <is>
          <t>2026-05-24</t>
        </is>
      </c>
      <c r="B2273" s="196" t="inlineStr">
        <is>
          <t>KWD</t>
        </is>
      </c>
      <c r="C2273" s="196" t="inlineStr">
        <is>
          <t>KUWAITI DINAR</t>
        </is>
      </c>
      <c r="D2273" s="184" t="n"/>
      <c r="E2273" s="184" t="n">
        <v>85426.84</v>
      </c>
      <c r="F2273" s="184" t="n">
        <v>89567.03999999999</v>
      </c>
      <c r="G2273" s="184" t="n">
        <v>87496.94</v>
      </c>
    </row>
    <row r="2274">
      <c r="A2274" s="194" t="inlineStr">
        <is>
          <t>2026-05-24</t>
        </is>
      </c>
      <c r="B2274" s="194" t="inlineStr">
        <is>
          <t>MYR</t>
        </is>
      </c>
      <c r="C2274" s="194" t="inlineStr">
        <is>
          <t>MALAYSIAN RINGGIT</t>
        </is>
      </c>
      <c r="D2274" s="195" t="n"/>
      <c r="E2274" s="195" t="n">
        <v>6570.73</v>
      </c>
      <c r="F2274" s="195" t="n">
        <v>6713.65</v>
      </c>
      <c r="G2274" s="195" t="n">
        <v>6642.19</v>
      </c>
    </row>
    <row r="2275">
      <c r="A2275" s="196" t="inlineStr">
        <is>
          <t>2026-05-24</t>
        </is>
      </c>
      <c r="B2275" s="196" t="inlineStr">
        <is>
          <t>NOK</t>
        </is>
      </c>
      <c r="C2275" s="196" t="inlineStr">
        <is>
          <t>NORWEGIAN KRONER</t>
        </is>
      </c>
      <c r="D2275" s="184" t="n"/>
      <c r="E2275" s="184" t="n">
        <v>2785.05</v>
      </c>
      <c r="F2275" s="184" t="n">
        <v>2903.13</v>
      </c>
      <c r="G2275" s="184" t="n">
        <v>2844.09</v>
      </c>
    </row>
    <row r="2276">
      <c r="A2276" s="194" t="inlineStr">
        <is>
          <t>2026-05-24</t>
        </is>
      </c>
      <c r="B2276" s="194" t="inlineStr">
        <is>
          <t>RUB</t>
        </is>
      </c>
      <c r="C2276" s="194" t="inlineStr">
        <is>
          <t>RUSSIAN RUBLE</t>
        </is>
      </c>
      <c r="D2276" s="195" t="n"/>
      <c r="E2276" s="195" t="n">
        <v>350.85</v>
      </c>
      <c r="F2276" s="195" t="n">
        <v>388.37</v>
      </c>
      <c r="G2276" s="195" t="n">
        <v>369.61</v>
      </c>
    </row>
    <row r="2277">
      <c r="A2277" s="196" t="inlineStr">
        <is>
          <t>2026-05-24</t>
        </is>
      </c>
      <c r="B2277" s="196" t="inlineStr">
        <is>
          <t>SAR</t>
        </is>
      </c>
      <c r="C2277" s="196" t="inlineStr">
        <is>
          <t>SAUDI RIAL</t>
        </is>
      </c>
      <c r="D2277" s="184" t="n"/>
      <c r="E2277" s="184" t="n">
        <v>6984.58</v>
      </c>
      <c r="F2277" s="184" t="n">
        <v>7285.15</v>
      </c>
      <c r="G2277" s="184" t="n">
        <v>7134.86</v>
      </c>
    </row>
    <row r="2278">
      <c r="A2278" s="194" t="inlineStr">
        <is>
          <t>2026-05-24</t>
        </is>
      </c>
      <c r="B2278" s="194" t="inlineStr">
        <is>
          <t>SEK</t>
        </is>
      </c>
      <c r="C2278" s="194" t="inlineStr">
        <is>
          <t>SWEDISH KRONA</t>
        </is>
      </c>
      <c r="D2278" s="195" t="n"/>
      <c r="E2278" s="195" t="n">
        <v>2762.82</v>
      </c>
      <c r="F2278" s="195" t="n">
        <v>2879.96</v>
      </c>
      <c r="G2278" s="195" t="n">
        <v>2821.39</v>
      </c>
    </row>
    <row r="2279">
      <c r="A2279" s="196" t="inlineStr">
        <is>
          <t>2026-05-24</t>
        </is>
      </c>
      <c r="B2279" s="196" t="inlineStr">
        <is>
          <t>SGD</t>
        </is>
      </c>
      <c r="C2279" s="196" t="inlineStr">
        <is>
          <t>SINGAPORE DOLLAR</t>
        </is>
      </c>
      <c r="D2279" s="184" t="n">
        <v>20070.34</v>
      </c>
      <c r="E2279" s="184" t="n">
        <v>20273.07</v>
      </c>
      <c r="F2279" s="184" t="n">
        <v>20964.14</v>
      </c>
      <c r="G2279" s="184" t="n">
        <v>20618.6</v>
      </c>
    </row>
    <row r="2280">
      <c r="A2280" s="194" t="inlineStr">
        <is>
          <t>2026-05-24</t>
        </is>
      </c>
      <c r="B2280" s="194" t="inlineStr">
        <is>
          <t>THB</t>
        </is>
      </c>
      <c r="C2280" s="194" t="inlineStr">
        <is>
          <t>THAILAND BAHT</t>
        </is>
      </c>
      <c r="D2280" s="195" t="n">
        <v>712.26</v>
      </c>
      <c r="E2280" s="195" t="n">
        <v>791.4</v>
      </c>
      <c r="F2280" s="195" t="n">
        <v>824.96</v>
      </c>
      <c r="G2280" s="195" t="n">
        <v>808.1799999999999</v>
      </c>
    </row>
    <row r="2281">
      <c r="A2281" s="196" t="inlineStr">
        <is>
          <t>2026-05-24</t>
        </is>
      </c>
      <c r="B2281" s="196" t="inlineStr">
        <is>
          <t>USD</t>
        </is>
      </c>
      <c r="C2281" s="196" t="inlineStr">
        <is>
          <t>US DOLLAR</t>
        </is>
      </c>
      <c r="D2281" s="184" t="n">
        <v>26130</v>
      </c>
      <c r="E2281" s="184" t="n">
        <v>26160</v>
      </c>
      <c r="F2281" s="184" t="n">
        <v>26390</v>
      </c>
      <c r="G2281" s="184" t="n">
        <v>26275</v>
      </c>
    </row>
    <row r="2282">
      <c r="A2282" s="194" t="inlineStr">
        <is>
          <t>2026-05-23</t>
        </is>
      </c>
      <c r="B2282" s="194" t="inlineStr">
        <is>
          <t>AUD</t>
        </is>
      </c>
      <c r="C2282" s="194" t="inlineStr">
        <is>
          <t>AUSTRALIAN DOLLAR</t>
        </is>
      </c>
      <c r="D2282" s="195" t="n">
        <v>18270.06</v>
      </c>
      <c r="E2282" s="195" t="n">
        <v>18454.61</v>
      </c>
      <c r="F2282" s="195" t="n">
        <v>19045.56</v>
      </c>
      <c r="G2282" s="195" t="n">
        <v>18750.08</v>
      </c>
    </row>
    <row r="2283">
      <c r="A2283" s="196" t="inlineStr">
        <is>
          <t>2026-05-23</t>
        </is>
      </c>
      <c r="B2283" s="196" t="inlineStr">
        <is>
          <t>CAD</t>
        </is>
      </c>
      <c r="C2283" s="196" t="inlineStr">
        <is>
          <t>CANADIAN DOLLAR</t>
        </is>
      </c>
      <c r="D2283" s="184" t="n">
        <v>18673.67</v>
      </c>
      <c r="E2283" s="184" t="n">
        <v>18862.29</v>
      </c>
      <c r="F2283" s="184" t="n">
        <v>19466.29</v>
      </c>
      <c r="G2283" s="184" t="n">
        <v>19164.29</v>
      </c>
    </row>
    <row r="2284">
      <c r="A2284" s="194" t="inlineStr">
        <is>
          <t>2026-05-23</t>
        </is>
      </c>
      <c r="B2284" s="194" t="inlineStr">
        <is>
          <t>CHF</t>
        </is>
      </c>
      <c r="C2284" s="194" t="inlineStr">
        <is>
          <t>SWISS FRANC</t>
        </is>
      </c>
      <c r="D2284" s="195" t="n">
        <v>32652.81</v>
      </c>
      <c r="E2284" s="195" t="n">
        <v>32982.64</v>
      </c>
      <c r="F2284" s="195" t="n">
        <v>34038.8</v>
      </c>
      <c r="G2284" s="195" t="n">
        <v>33510.72</v>
      </c>
    </row>
    <row r="2285">
      <c r="A2285" s="196" t="inlineStr">
        <is>
          <t>2026-05-23</t>
        </is>
      </c>
      <c r="B2285" s="196" t="inlineStr">
        <is>
          <t>CNY</t>
        </is>
      </c>
      <c r="C2285" s="196" t="inlineStr">
        <is>
          <t>YUAN RENMINBI</t>
        </is>
      </c>
      <c r="D2285" s="184" t="n">
        <v>3779.07</v>
      </c>
      <c r="E2285" s="184" t="n">
        <v>3817.24</v>
      </c>
      <c r="F2285" s="184" t="n">
        <v>3939.47</v>
      </c>
      <c r="G2285" s="184" t="n">
        <v>3878.35</v>
      </c>
    </row>
    <row r="2286">
      <c r="A2286" s="194" t="inlineStr">
        <is>
          <t>2026-05-23</t>
        </is>
      </c>
      <c r="B2286" s="194" t="inlineStr">
        <is>
          <t>DKK</t>
        </is>
      </c>
      <c r="C2286" s="194" t="inlineStr">
        <is>
          <t>DANISH KRONE</t>
        </is>
      </c>
      <c r="D2286" s="195" t="n"/>
      <c r="E2286" s="195" t="n">
        <v>4024.18</v>
      </c>
      <c r="F2286" s="195" t="n">
        <v>4178.04</v>
      </c>
      <c r="G2286" s="195" t="n">
        <v>4101.11</v>
      </c>
    </row>
    <row r="2287">
      <c r="A2287" s="196" t="inlineStr">
        <is>
          <t>2026-05-23</t>
        </is>
      </c>
      <c r="B2287" s="196" t="inlineStr">
        <is>
          <t>EUR</t>
        </is>
      </c>
      <c r="C2287" s="196" t="inlineStr">
        <is>
          <t>EURO</t>
        </is>
      </c>
      <c r="D2287" s="184" t="n">
        <v>29849.06</v>
      </c>
      <c r="E2287" s="184" t="n">
        <v>30150.57</v>
      </c>
      <c r="F2287" s="184" t="n">
        <v>31422.6</v>
      </c>
      <c r="G2287" s="184" t="n">
        <v>30786.58</v>
      </c>
    </row>
    <row r="2288">
      <c r="A2288" s="194" t="inlineStr">
        <is>
          <t>2026-05-23</t>
        </is>
      </c>
      <c r="B2288" s="194" t="inlineStr">
        <is>
          <t>GBP</t>
        </is>
      </c>
      <c r="C2288" s="194" t="inlineStr">
        <is>
          <t>POUND STERLING</t>
        </is>
      </c>
      <c r="D2288" s="195" t="n">
        <v>34482.72</v>
      </c>
      <c r="E2288" s="195" t="n">
        <v>34831.03</v>
      </c>
      <c r="F2288" s="195" t="n">
        <v>35946.38</v>
      </c>
      <c r="G2288" s="195" t="n">
        <v>35388.7</v>
      </c>
    </row>
    <row r="2289">
      <c r="A2289" s="196" t="inlineStr">
        <is>
          <t>2026-05-23</t>
        </is>
      </c>
      <c r="B2289" s="196" t="inlineStr">
        <is>
          <t>HKD</t>
        </is>
      </c>
      <c r="C2289" s="196" t="inlineStr">
        <is>
          <t>HONGKONG DOLLAR</t>
        </is>
      </c>
      <c r="D2289" s="184" t="n">
        <v>3271</v>
      </c>
      <c r="E2289" s="184" t="n">
        <v>3304.04</v>
      </c>
      <c r="F2289" s="184" t="n">
        <v>3430.37</v>
      </c>
      <c r="G2289" s="184" t="n">
        <v>3367.2</v>
      </c>
    </row>
    <row r="2290">
      <c r="A2290" s="194" t="inlineStr">
        <is>
          <t>2026-05-23</t>
        </is>
      </c>
      <c r="B2290" s="194" t="inlineStr">
        <is>
          <t>INR</t>
        </is>
      </c>
      <c r="C2290" s="194" t="inlineStr">
        <is>
          <t>INDIAN RUPEE</t>
        </is>
      </c>
      <c r="D2290" s="195" t="n"/>
      <c r="E2290" s="195" t="n">
        <v>270.7</v>
      </c>
      <c r="F2290" s="195" t="n">
        <v>282.35</v>
      </c>
      <c r="G2290" s="195" t="n">
        <v>276.52</v>
      </c>
    </row>
    <row r="2291">
      <c r="A2291" s="196" t="inlineStr">
        <is>
          <t>2026-05-23</t>
        </is>
      </c>
      <c r="B2291" s="196" t="inlineStr">
        <is>
          <t>JPY</t>
        </is>
      </c>
      <c r="C2291" s="196" t="inlineStr">
        <is>
          <t>YEN</t>
        </is>
      </c>
      <c r="D2291" s="184" t="n">
        <v>160.67</v>
      </c>
      <c r="E2291" s="184" t="n">
        <v>162.29</v>
      </c>
      <c r="F2291" s="184" t="n">
        <v>170.88</v>
      </c>
      <c r="G2291" s="184" t="n">
        <v>166.58</v>
      </c>
    </row>
    <row r="2292">
      <c r="A2292" s="194" t="inlineStr">
        <is>
          <t>2026-05-23</t>
        </is>
      </c>
      <c r="B2292" s="194" t="inlineStr">
        <is>
          <t>KRW</t>
        </is>
      </c>
      <c r="C2292" s="194" t="inlineStr">
        <is>
          <t>KOREAN WON</t>
        </is>
      </c>
      <c r="D2292" s="195" t="n">
        <v>15.17</v>
      </c>
      <c r="E2292" s="195" t="n">
        <v>16.86</v>
      </c>
      <c r="F2292" s="195" t="n">
        <v>18.29</v>
      </c>
      <c r="G2292" s="195" t="n">
        <v>17.58</v>
      </c>
    </row>
    <row r="2293">
      <c r="A2293" s="196" t="inlineStr">
        <is>
          <t>2026-05-23</t>
        </is>
      </c>
      <c r="B2293" s="196" t="inlineStr">
        <is>
          <t>KWD</t>
        </is>
      </c>
      <c r="C2293" s="196" t="inlineStr">
        <is>
          <t>KUWAITI DINAR</t>
        </is>
      </c>
      <c r="D2293" s="184" t="n"/>
      <c r="E2293" s="184" t="n">
        <v>85426.84</v>
      </c>
      <c r="F2293" s="184" t="n">
        <v>89567.03999999999</v>
      </c>
      <c r="G2293" s="184" t="n">
        <v>87496.94</v>
      </c>
    </row>
    <row r="2294">
      <c r="A2294" s="194" t="inlineStr">
        <is>
          <t>2026-05-23</t>
        </is>
      </c>
      <c r="B2294" s="194" t="inlineStr">
        <is>
          <t>MYR</t>
        </is>
      </c>
      <c r="C2294" s="194" t="inlineStr">
        <is>
          <t>MALAYSIAN RINGGIT</t>
        </is>
      </c>
      <c r="D2294" s="195" t="n"/>
      <c r="E2294" s="195" t="n">
        <v>6570.73</v>
      </c>
      <c r="F2294" s="195" t="n">
        <v>6713.65</v>
      </c>
      <c r="G2294" s="195" t="n">
        <v>6642.19</v>
      </c>
    </row>
    <row r="2295">
      <c r="A2295" s="196" t="inlineStr">
        <is>
          <t>2026-05-23</t>
        </is>
      </c>
      <c r="B2295" s="196" t="inlineStr">
        <is>
          <t>NOK</t>
        </is>
      </c>
      <c r="C2295" s="196" t="inlineStr">
        <is>
          <t>NORWEGIAN KRONER</t>
        </is>
      </c>
      <c r="D2295" s="184" t="n"/>
      <c r="E2295" s="184" t="n">
        <v>2785.05</v>
      </c>
      <c r="F2295" s="184" t="n">
        <v>2903.13</v>
      </c>
      <c r="G2295" s="184" t="n">
        <v>2844.09</v>
      </c>
    </row>
    <row r="2296">
      <c r="A2296" s="194" t="inlineStr">
        <is>
          <t>2026-05-23</t>
        </is>
      </c>
      <c r="B2296" s="194" t="inlineStr">
        <is>
          <t>RUB</t>
        </is>
      </c>
      <c r="C2296" s="194" t="inlineStr">
        <is>
          <t>RUSSIAN RUBLE</t>
        </is>
      </c>
      <c r="D2296" s="195" t="n"/>
      <c r="E2296" s="195" t="n">
        <v>350.85</v>
      </c>
      <c r="F2296" s="195" t="n">
        <v>388.37</v>
      </c>
      <c r="G2296" s="195" t="n">
        <v>369.61</v>
      </c>
    </row>
    <row r="2297">
      <c r="A2297" s="196" t="inlineStr">
        <is>
          <t>2026-05-23</t>
        </is>
      </c>
      <c r="B2297" s="196" t="inlineStr">
        <is>
          <t>SAR</t>
        </is>
      </c>
      <c r="C2297" s="196" t="inlineStr">
        <is>
          <t>SAUDI RIAL</t>
        </is>
      </c>
      <c r="D2297" s="184" t="n"/>
      <c r="E2297" s="184" t="n">
        <v>6984.58</v>
      </c>
      <c r="F2297" s="184" t="n">
        <v>7285.15</v>
      </c>
      <c r="G2297" s="184" t="n">
        <v>7134.86</v>
      </c>
    </row>
    <row r="2298">
      <c r="A2298" s="194" t="inlineStr">
        <is>
          <t>2026-05-23</t>
        </is>
      </c>
      <c r="B2298" s="194" t="inlineStr">
        <is>
          <t>SEK</t>
        </is>
      </c>
      <c r="C2298" s="194" t="inlineStr">
        <is>
          <t>SWEDISH KRONA</t>
        </is>
      </c>
      <c r="D2298" s="195" t="n"/>
      <c r="E2298" s="195" t="n">
        <v>2762.82</v>
      </c>
      <c r="F2298" s="195" t="n">
        <v>2879.96</v>
      </c>
      <c r="G2298" s="195" t="n">
        <v>2821.39</v>
      </c>
    </row>
    <row r="2299">
      <c r="A2299" s="196" t="inlineStr">
        <is>
          <t>2026-05-23</t>
        </is>
      </c>
      <c r="B2299" s="196" t="inlineStr">
        <is>
          <t>SGD</t>
        </is>
      </c>
      <c r="C2299" s="196" t="inlineStr">
        <is>
          <t>SINGAPORE DOLLAR</t>
        </is>
      </c>
      <c r="D2299" s="184" t="n">
        <v>20070.34</v>
      </c>
      <c r="E2299" s="184" t="n">
        <v>20273.07</v>
      </c>
      <c r="F2299" s="184" t="n">
        <v>20964.14</v>
      </c>
      <c r="G2299" s="184" t="n">
        <v>20618.6</v>
      </c>
    </row>
    <row r="2300">
      <c r="A2300" s="194" t="inlineStr">
        <is>
          <t>2026-05-23</t>
        </is>
      </c>
      <c r="B2300" s="194" t="inlineStr">
        <is>
          <t>THB</t>
        </is>
      </c>
      <c r="C2300" s="194" t="inlineStr">
        <is>
          <t>THAILAND BAHT</t>
        </is>
      </c>
      <c r="D2300" s="195" t="n">
        <v>712.26</v>
      </c>
      <c r="E2300" s="195" t="n">
        <v>791.4</v>
      </c>
      <c r="F2300" s="195" t="n">
        <v>824.96</v>
      </c>
      <c r="G2300" s="195" t="n">
        <v>808.1799999999999</v>
      </c>
    </row>
    <row r="2301">
      <c r="A2301" s="196" t="inlineStr">
        <is>
          <t>2026-05-23</t>
        </is>
      </c>
      <c r="B2301" s="196" t="inlineStr">
        <is>
          <t>USD</t>
        </is>
      </c>
      <c r="C2301" s="196" t="inlineStr">
        <is>
          <t>US DOLLAR</t>
        </is>
      </c>
      <c r="D2301" s="184" t="n">
        <v>26130</v>
      </c>
      <c r="E2301" s="184" t="n">
        <v>26160</v>
      </c>
      <c r="F2301" s="184" t="n">
        <v>26390</v>
      </c>
      <c r="G2301" s="184" t="n">
        <v>26275</v>
      </c>
    </row>
    <row r="2302">
      <c r="A2302" s="194" t="inlineStr">
        <is>
          <t>2026-05-22</t>
        </is>
      </c>
      <c r="B2302" s="194" t="inlineStr">
        <is>
          <t>AUD</t>
        </is>
      </c>
      <c r="C2302" s="194" t="inlineStr">
        <is>
          <t>AUSTRALIAN DOLLAR</t>
        </is>
      </c>
      <c r="D2302" s="195" t="n">
        <v>18270.06</v>
      </c>
      <c r="E2302" s="195" t="n">
        <v>18454.61</v>
      </c>
      <c r="F2302" s="195" t="n">
        <v>19045.56</v>
      </c>
      <c r="G2302" s="195" t="n">
        <v>18750.08</v>
      </c>
    </row>
    <row r="2303">
      <c r="A2303" s="196" t="inlineStr">
        <is>
          <t>2026-05-22</t>
        </is>
      </c>
      <c r="B2303" s="196" t="inlineStr">
        <is>
          <t>CAD</t>
        </is>
      </c>
      <c r="C2303" s="196" t="inlineStr">
        <is>
          <t>CANADIAN DOLLAR</t>
        </is>
      </c>
      <c r="D2303" s="184" t="n">
        <v>18673.67</v>
      </c>
      <c r="E2303" s="184" t="n">
        <v>18862.29</v>
      </c>
      <c r="F2303" s="184" t="n">
        <v>19466.29</v>
      </c>
      <c r="G2303" s="184" t="n">
        <v>19164.29</v>
      </c>
    </row>
    <row r="2304">
      <c r="A2304" s="194" t="inlineStr">
        <is>
          <t>2026-05-22</t>
        </is>
      </c>
      <c r="B2304" s="194" t="inlineStr">
        <is>
          <t>CHF</t>
        </is>
      </c>
      <c r="C2304" s="194" t="inlineStr">
        <is>
          <t>SWISS FRANC</t>
        </is>
      </c>
      <c r="D2304" s="195" t="n">
        <v>32652.81</v>
      </c>
      <c r="E2304" s="195" t="n">
        <v>32982.64</v>
      </c>
      <c r="F2304" s="195" t="n">
        <v>34038.8</v>
      </c>
      <c r="G2304" s="195" t="n">
        <v>33510.72</v>
      </c>
    </row>
    <row r="2305">
      <c r="A2305" s="196" t="inlineStr">
        <is>
          <t>2026-05-22</t>
        </is>
      </c>
      <c r="B2305" s="196" t="inlineStr">
        <is>
          <t>CNY</t>
        </is>
      </c>
      <c r="C2305" s="196" t="inlineStr">
        <is>
          <t>YUAN RENMINBI</t>
        </is>
      </c>
      <c r="D2305" s="184" t="n">
        <v>3779.07</v>
      </c>
      <c r="E2305" s="184" t="n">
        <v>3817.24</v>
      </c>
      <c r="F2305" s="184" t="n">
        <v>3939.47</v>
      </c>
      <c r="G2305" s="184" t="n">
        <v>3878.35</v>
      </c>
    </row>
    <row r="2306">
      <c r="A2306" s="194" t="inlineStr">
        <is>
          <t>2026-05-22</t>
        </is>
      </c>
      <c r="B2306" s="194" t="inlineStr">
        <is>
          <t>DKK</t>
        </is>
      </c>
      <c r="C2306" s="194" t="inlineStr">
        <is>
          <t>DANISH KRONE</t>
        </is>
      </c>
      <c r="D2306" s="195" t="n"/>
      <c r="E2306" s="195" t="n">
        <v>4024.18</v>
      </c>
      <c r="F2306" s="195" t="n">
        <v>4178.04</v>
      </c>
      <c r="G2306" s="195" t="n">
        <v>4101.11</v>
      </c>
    </row>
    <row r="2307">
      <c r="A2307" s="196" t="inlineStr">
        <is>
          <t>2026-05-22</t>
        </is>
      </c>
      <c r="B2307" s="196" t="inlineStr">
        <is>
          <t>EUR</t>
        </is>
      </c>
      <c r="C2307" s="196" t="inlineStr">
        <is>
          <t>EURO</t>
        </is>
      </c>
      <c r="D2307" s="184" t="n">
        <v>29849.06</v>
      </c>
      <c r="E2307" s="184" t="n">
        <v>30150.57</v>
      </c>
      <c r="F2307" s="184" t="n">
        <v>31422.6</v>
      </c>
      <c r="G2307" s="184" t="n">
        <v>30786.58</v>
      </c>
    </row>
    <row r="2308">
      <c r="A2308" s="194" t="inlineStr">
        <is>
          <t>2026-05-22</t>
        </is>
      </c>
      <c r="B2308" s="194" t="inlineStr">
        <is>
          <t>GBP</t>
        </is>
      </c>
      <c r="C2308" s="194" t="inlineStr">
        <is>
          <t>POUND STERLING</t>
        </is>
      </c>
      <c r="D2308" s="195" t="n">
        <v>34482.72</v>
      </c>
      <c r="E2308" s="195" t="n">
        <v>34831.03</v>
      </c>
      <c r="F2308" s="195" t="n">
        <v>35946.38</v>
      </c>
      <c r="G2308" s="195" t="n">
        <v>35388.7</v>
      </c>
    </row>
    <row r="2309">
      <c r="A2309" s="196" t="inlineStr">
        <is>
          <t>2026-05-22</t>
        </is>
      </c>
      <c r="B2309" s="196" t="inlineStr">
        <is>
          <t>HKD</t>
        </is>
      </c>
      <c r="C2309" s="196" t="inlineStr">
        <is>
          <t>HONGKONG DOLLAR</t>
        </is>
      </c>
      <c r="D2309" s="184" t="n">
        <v>3271</v>
      </c>
      <c r="E2309" s="184" t="n">
        <v>3304.04</v>
      </c>
      <c r="F2309" s="184" t="n">
        <v>3430.37</v>
      </c>
      <c r="G2309" s="184" t="n">
        <v>3367.2</v>
      </c>
    </row>
    <row r="2310">
      <c r="A2310" s="194" t="inlineStr">
        <is>
          <t>2026-05-22</t>
        </is>
      </c>
      <c r="B2310" s="194" t="inlineStr">
        <is>
          <t>INR</t>
        </is>
      </c>
      <c r="C2310" s="194" t="inlineStr">
        <is>
          <t>INDIAN RUPEE</t>
        </is>
      </c>
      <c r="D2310" s="195" t="n"/>
      <c r="E2310" s="195" t="n">
        <v>270.7</v>
      </c>
      <c r="F2310" s="195" t="n">
        <v>282.35</v>
      </c>
      <c r="G2310" s="195" t="n">
        <v>276.52</v>
      </c>
    </row>
    <row r="2311">
      <c r="A2311" s="196" t="inlineStr">
        <is>
          <t>2026-05-22</t>
        </is>
      </c>
      <c r="B2311" s="196" t="inlineStr">
        <is>
          <t>JPY</t>
        </is>
      </c>
      <c r="C2311" s="196" t="inlineStr">
        <is>
          <t>YEN</t>
        </is>
      </c>
      <c r="D2311" s="184" t="n">
        <v>160.67</v>
      </c>
      <c r="E2311" s="184" t="n">
        <v>162.29</v>
      </c>
      <c r="F2311" s="184" t="n">
        <v>170.88</v>
      </c>
      <c r="G2311" s="184" t="n">
        <v>166.58</v>
      </c>
    </row>
    <row r="2312">
      <c r="A2312" s="194" t="inlineStr">
        <is>
          <t>2026-05-22</t>
        </is>
      </c>
      <c r="B2312" s="194" t="inlineStr">
        <is>
          <t>KRW</t>
        </is>
      </c>
      <c r="C2312" s="194" t="inlineStr">
        <is>
          <t>KOREAN WON</t>
        </is>
      </c>
      <c r="D2312" s="195" t="n">
        <v>15.17</v>
      </c>
      <c r="E2312" s="195" t="n">
        <v>16.86</v>
      </c>
      <c r="F2312" s="195" t="n">
        <v>18.29</v>
      </c>
      <c r="G2312" s="195" t="n">
        <v>17.58</v>
      </c>
    </row>
    <row r="2313">
      <c r="A2313" s="196" t="inlineStr">
        <is>
          <t>2026-05-22</t>
        </is>
      </c>
      <c r="B2313" s="196" t="inlineStr">
        <is>
          <t>KWD</t>
        </is>
      </c>
      <c r="C2313" s="196" t="inlineStr">
        <is>
          <t>KUWAITI DINAR</t>
        </is>
      </c>
      <c r="D2313" s="184" t="n"/>
      <c r="E2313" s="184" t="n">
        <v>85426.84</v>
      </c>
      <c r="F2313" s="184" t="n">
        <v>89567.03999999999</v>
      </c>
      <c r="G2313" s="184" t="n">
        <v>87496.94</v>
      </c>
    </row>
    <row r="2314">
      <c r="A2314" s="194" t="inlineStr">
        <is>
          <t>2026-05-22</t>
        </is>
      </c>
      <c r="B2314" s="194" t="inlineStr">
        <is>
          <t>MYR</t>
        </is>
      </c>
      <c r="C2314" s="194" t="inlineStr">
        <is>
          <t>MALAYSIAN RINGGIT</t>
        </is>
      </c>
      <c r="D2314" s="195" t="n"/>
      <c r="E2314" s="195" t="n">
        <v>6570.73</v>
      </c>
      <c r="F2314" s="195" t="n">
        <v>6713.65</v>
      </c>
      <c r="G2314" s="195" t="n">
        <v>6642.19</v>
      </c>
    </row>
    <row r="2315">
      <c r="A2315" s="196" t="inlineStr">
        <is>
          <t>2026-05-22</t>
        </is>
      </c>
      <c r="B2315" s="196" t="inlineStr">
        <is>
          <t>NOK</t>
        </is>
      </c>
      <c r="C2315" s="196" t="inlineStr">
        <is>
          <t>NORWEGIAN KRONER</t>
        </is>
      </c>
      <c r="D2315" s="184" t="n"/>
      <c r="E2315" s="184" t="n">
        <v>2785.05</v>
      </c>
      <c r="F2315" s="184" t="n">
        <v>2903.13</v>
      </c>
      <c r="G2315" s="184" t="n">
        <v>2844.09</v>
      </c>
    </row>
    <row r="2316">
      <c r="A2316" s="194" t="inlineStr">
        <is>
          <t>2026-05-22</t>
        </is>
      </c>
      <c r="B2316" s="194" t="inlineStr">
        <is>
          <t>RUB</t>
        </is>
      </c>
      <c r="C2316" s="194" t="inlineStr">
        <is>
          <t>RUSSIAN RUBLE</t>
        </is>
      </c>
      <c r="D2316" s="195" t="n"/>
      <c r="E2316" s="195" t="n">
        <v>350.85</v>
      </c>
      <c r="F2316" s="195" t="n">
        <v>388.37</v>
      </c>
      <c r="G2316" s="195" t="n">
        <v>369.61</v>
      </c>
    </row>
    <row r="2317">
      <c r="A2317" s="196" t="inlineStr">
        <is>
          <t>2026-05-22</t>
        </is>
      </c>
      <c r="B2317" s="196" t="inlineStr">
        <is>
          <t>SAR</t>
        </is>
      </c>
      <c r="C2317" s="196" t="inlineStr">
        <is>
          <t>SAUDI RIAL</t>
        </is>
      </c>
      <c r="D2317" s="184" t="n"/>
      <c r="E2317" s="184" t="n">
        <v>6984.58</v>
      </c>
      <c r="F2317" s="184" t="n">
        <v>7285.15</v>
      </c>
      <c r="G2317" s="184" t="n">
        <v>7134.86</v>
      </c>
    </row>
    <row r="2318">
      <c r="A2318" s="194" t="inlineStr">
        <is>
          <t>2026-05-22</t>
        </is>
      </c>
      <c r="B2318" s="194" t="inlineStr">
        <is>
          <t>SEK</t>
        </is>
      </c>
      <c r="C2318" s="194" t="inlineStr">
        <is>
          <t>SWEDISH KRONA</t>
        </is>
      </c>
      <c r="D2318" s="195" t="n"/>
      <c r="E2318" s="195" t="n">
        <v>2762.82</v>
      </c>
      <c r="F2318" s="195" t="n">
        <v>2879.96</v>
      </c>
      <c r="G2318" s="195" t="n">
        <v>2821.39</v>
      </c>
    </row>
    <row r="2319">
      <c r="A2319" s="196" t="inlineStr">
        <is>
          <t>2026-05-22</t>
        </is>
      </c>
      <c r="B2319" s="196" t="inlineStr">
        <is>
          <t>SGD</t>
        </is>
      </c>
      <c r="C2319" s="196" t="inlineStr">
        <is>
          <t>SINGAPORE DOLLAR</t>
        </is>
      </c>
      <c r="D2319" s="184" t="n">
        <v>20070.34</v>
      </c>
      <c r="E2319" s="184" t="n">
        <v>20273.07</v>
      </c>
      <c r="F2319" s="184" t="n">
        <v>20964.14</v>
      </c>
      <c r="G2319" s="184" t="n">
        <v>20618.6</v>
      </c>
    </row>
    <row r="2320">
      <c r="A2320" s="194" t="inlineStr">
        <is>
          <t>2026-05-22</t>
        </is>
      </c>
      <c r="B2320" s="194" t="inlineStr">
        <is>
          <t>THB</t>
        </is>
      </c>
      <c r="C2320" s="194" t="inlineStr">
        <is>
          <t>THAILAND BAHT</t>
        </is>
      </c>
      <c r="D2320" s="195" t="n">
        <v>712.26</v>
      </c>
      <c r="E2320" s="195" t="n">
        <v>791.4</v>
      </c>
      <c r="F2320" s="195" t="n">
        <v>824.96</v>
      </c>
      <c r="G2320" s="195" t="n">
        <v>808.1799999999999</v>
      </c>
    </row>
    <row r="2321">
      <c r="A2321" s="196" t="inlineStr">
        <is>
          <t>2026-05-22</t>
        </is>
      </c>
      <c r="B2321" s="196" t="inlineStr">
        <is>
          <t>USD</t>
        </is>
      </c>
      <c r="C2321" s="196" t="inlineStr">
        <is>
          <t>US DOLLAR</t>
        </is>
      </c>
      <c r="D2321" s="184" t="n">
        <v>26130</v>
      </c>
      <c r="E2321" s="184" t="n">
        <v>26160</v>
      </c>
      <c r="F2321" s="184" t="n">
        <v>26390</v>
      </c>
      <c r="G2321" s="184" t="n">
        <v>26275</v>
      </c>
    </row>
    <row r="2322">
      <c r="A2322" s="194" t="inlineStr">
        <is>
          <t>2026-05-21</t>
        </is>
      </c>
      <c r="B2322" s="194" t="inlineStr">
        <is>
          <t>AUD</t>
        </is>
      </c>
      <c r="C2322" s="194" t="inlineStr">
        <is>
          <t>AUSTRALIAN DOLLAR</t>
        </is>
      </c>
      <c r="D2322" s="195" t="n">
        <v>18277</v>
      </c>
      <c r="E2322" s="195" t="n">
        <v>18461.61</v>
      </c>
      <c r="F2322" s="195" t="n">
        <v>19052.78</v>
      </c>
      <c r="G2322" s="195" t="n">
        <v>18757.2</v>
      </c>
    </row>
    <row r="2323">
      <c r="A2323" s="196" t="inlineStr">
        <is>
          <t>2026-05-21</t>
        </is>
      </c>
      <c r="B2323" s="196" t="inlineStr">
        <is>
          <t>CAD</t>
        </is>
      </c>
      <c r="C2323" s="196" t="inlineStr">
        <is>
          <t>CANADIAN DOLLAR</t>
        </is>
      </c>
      <c r="D2323" s="184" t="n">
        <v>18680.76</v>
      </c>
      <c r="E2323" s="184" t="n">
        <v>18869.45</v>
      </c>
      <c r="F2323" s="184" t="n">
        <v>19473.67</v>
      </c>
      <c r="G2323" s="184" t="n">
        <v>19171.56</v>
      </c>
    </row>
    <row r="2324">
      <c r="A2324" s="194" t="inlineStr">
        <is>
          <t>2026-05-21</t>
        </is>
      </c>
      <c r="B2324" s="194" t="inlineStr">
        <is>
          <t>CHF</t>
        </is>
      </c>
      <c r="C2324" s="194" t="inlineStr">
        <is>
          <t>SWISS FRANC</t>
        </is>
      </c>
      <c r="D2324" s="195" t="n">
        <v>32665.21</v>
      </c>
      <c r="E2324" s="195" t="n">
        <v>32995.16</v>
      </c>
      <c r="F2324" s="195" t="n">
        <v>34051.7</v>
      </c>
      <c r="G2324" s="195" t="n">
        <v>33523.43</v>
      </c>
    </row>
    <row r="2325">
      <c r="A2325" s="196" t="inlineStr">
        <is>
          <t>2026-05-21</t>
        </is>
      </c>
      <c r="B2325" s="196" t="inlineStr">
        <is>
          <t>CNY</t>
        </is>
      </c>
      <c r="C2325" s="196" t="inlineStr">
        <is>
          <t>YUAN RENMINBI</t>
        </is>
      </c>
      <c r="D2325" s="184" t="n">
        <v>3780.5</v>
      </c>
      <c r="E2325" s="184" t="n">
        <v>3818.69</v>
      </c>
      <c r="F2325" s="184" t="n">
        <v>3940.97</v>
      </c>
      <c r="G2325" s="184" t="n">
        <v>3879.83</v>
      </c>
    </row>
    <row r="2326">
      <c r="A2326" s="194" t="inlineStr">
        <is>
          <t>2026-05-21</t>
        </is>
      </c>
      <c r="B2326" s="194" t="inlineStr">
        <is>
          <t>DKK</t>
        </is>
      </c>
      <c r="C2326" s="194" t="inlineStr">
        <is>
          <t>DANISH KRONE</t>
        </is>
      </c>
      <c r="D2326" s="195" t="n"/>
      <c r="E2326" s="195" t="n">
        <v>4025.71</v>
      </c>
      <c r="F2326" s="195" t="n">
        <v>4179.62</v>
      </c>
      <c r="G2326" s="195" t="n">
        <v>4102.66</v>
      </c>
    </row>
    <row r="2327">
      <c r="A2327" s="196" t="inlineStr">
        <is>
          <t>2026-05-21</t>
        </is>
      </c>
      <c r="B2327" s="196" t="inlineStr">
        <is>
          <t>EUR</t>
        </is>
      </c>
      <c r="C2327" s="196" t="inlineStr">
        <is>
          <t>EURO</t>
        </is>
      </c>
      <c r="D2327" s="184" t="n">
        <v>29860.39</v>
      </c>
      <c r="E2327" s="184" t="n">
        <v>30162.01</v>
      </c>
      <c r="F2327" s="184" t="n">
        <v>31434.51</v>
      </c>
      <c r="G2327" s="184" t="n">
        <v>30798.26</v>
      </c>
    </row>
    <row r="2328">
      <c r="A2328" s="194" t="inlineStr">
        <is>
          <t>2026-05-21</t>
        </is>
      </c>
      <c r="B2328" s="194" t="inlineStr">
        <is>
          <t>GBP</t>
        </is>
      </c>
      <c r="C2328" s="194" t="inlineStr">
        <is>
          <t>POUND STERLING</t>
        </is>
      </c>
      <c r="D2328" s="195" t="n">
        <v>34495.81</v>
      </c>
      <c r="E2328" s="195" t="n">
        <v>34844.25</v>
      </c>
      <c r="F2328" s="195" t="n">
        <v>35960</v>
      </c>
      <c r="G2328" s="195" t="n">
        <v>35402.12</v>
      </c>
    </row>
    <row r="2329">
      <c r="A2329" s="196" t="inlineStr">
        <is>
          <t>2026-05-21</t>
        </is>
      </c>
      <c r="B2329" s="196" t="inlineStr">
        <is>
          <t>HKD</t>
        </is>
      </c>
      <c r="C2329" s="196" t="inlineStr">
        <is>
          <t>HONGKONG DOLLAR</t>
        </is>
      </c>
      <c r="D2329" s="184" t="n">
        <v>3272.24</v>
      </c>
      <c r="E2329" s="184" t="n">
        <v>3305.29</v>
      </c>
      <c r="F2329" s="184" t="n">
        <v>3431.67</v>
      </c>
      <c r="G2329" s="184" t="n">
        <v>3368.48</v>
      </c>
    </row>
    <row r="2330">
      <c r="A2330" s="194" t="inlineStr">
        <is>
          <t>2026-05-21</t>
        </is>
      </c>
      <c r="B2330" s="194" t="inlineStr">
        <is>
          <t>INR</t>
        </is>
      </c>
      <c r="C2330" s="194" t="inlineStr">
        <is>
          <t>INDIAN RUPEE</t>
        </is>
      </c>
      <c r="D2330" s="195" t="n"/>
      <c r="E2330" s="195" t="n">
        <v>270.8</v>
      </c>
      <c r="F2330" s="195" t="n">
        <v>282.45</v>
      </c>
      <c r="G2330" s="195" t="n">
        <v>276.62</v>
      </c>
    </row>
    <row r="2331">
      <c r="A2331" s="196" t="inlineStr">
        <is>
          <t>2026-05-21</t>
        </is>
      </c>
      <c r="B2331" s="196" t="inlineStr">
        <is>
          <t>JPY</t>
        </is>
      </c>
      <c r="C2331" s="196" t="inlineStr">
        <is>
          <t>YEN</t>
        </is>
      </c>
      <c r="D2331" s="184" t="n">
        <v>160.73</v>
      </c>
      <c r="E2331" s="184" t="n">
        <v>162.36</v>
      </c>
      <c r="F2331" s="184" t="n">
        <v>170.94</v>
      </c>
      <c r="G2331" s="184" t="n">
        <v>166.65</v>
      </c>
    </row>
    <row r="2332">
      <c r="A2332" s="194" t="inlineStr">
        <is>
          <t>2026-05-21</t>
        </is>
      </c>
      <c r="B2332" s="194" t="inlineStr">
        <is>
          <t>KRW</t>
        </is>
      </c>
      <c r="C2332" s="194" t="inlineStr">
        <is>
          <t>KOREAN WON</t>
        </is>
      </c>
      <c r="D2332" s="195" t="n">
        <v>15.18</v>
      </c>
      <c r="E2332" s="195" t="n">
        <v>16.86</v>
      </c>
      <c r="F2332" s="195" t="n">
        <v>18.3</v>
      </c>
      <c r="G2332" s="195" t="n">
        <v>17.58</v>
      </c>
    </row>
    <row r="2333">
      <c r="A2333" s="196" t="inlineStr">
        <is>
          <t>2026-05-21</t>
        </is>
      </c>
      <c r="B2333" s="196" t="inlineStr">
        <is>
          <t>KWD</t>
        </is>
      </c>
      <c r="C2333" s="196" t="inlineStr">
        <is>
          <t>KUWAITI DINAR</t>
        </is>
      </c>
      <c r="D2333" s="184" t="n"/>
      <c r="E2333" s="184" t="n">
        <v>85459.27</v>
      </c>
      <c r="F2333" s="184" t="n">
        <v>89600.99000000001</v>
      </c>
      <c r="G2333" s="184" t="n">
        <v>87530.13</v>
      </c>
    </row>
    <row r="2334">
      <c r="A2334" s="194" t="inlineStr">
        <is>
          <t>2026-05-21</t>
        </is>
      </c>
      <c r="B2334" s="194" t="inlineStr">
        <is>
          <t>MYR</t>
        </is>
      </c>
      <c r="C2334" s="194" t="inlineStr">
        <is>
          <t>MALAYSIAN RINGGIT</t>
        </is>
      </c>
      <c r="D2334" s="195" t="n"/>
      <c r="E2334" s="195" t="n">
        <v>6573.22</v>
      </c>
      <c r="F2334" s="195" t="n">
        <v>6716.19</v>
      </c>
      <c r="G2334" s="195" t="n">
        <v>6644.7</v>
      </c>
    </row>
    <row r="2335">
      <c r="A2335" s="196" t="inlineStr">
        <is>
          <t>2026-05-21</t>
        </is>
      </c>
      <c r="B2335" s="196" t="inlineStr">
        <is>
          <t>NOK</t>
        </is>
      </c>
      <c r="C2335" s="196" t="inlineStr">
        <is>
          <t>NORWEGIAN KRONER</t>
        </is>
      </c>
      <c r="D2335" s="184" t="n"/>
      <c r="E2335" s="184" t="n">
        <v>2786.11</v>
      </c>
      <c r="F2335" s="184" t="n">
        <v>2904.23</v>
      </c>
      <c r="G2335" s="184" t="n">
        <v>2845.17</v>
      </c>
    </row>
    <row r="2336">
      <c r="A2336" s="194" t="inlineStr">
        <is>
          <t>2026-05-21</t>
        </is>
      </c>
      <c r="B2336" s="194" t="inlineStr">
        <is>
          <t>RUB</t>
        </is>
      </c>
      <c r="C2336" s="194" t="inlineStr">
        <is>
          <t>RUSSIAN RUBLE</t>
        </is>
      </c>
      <c r="D2336" s="195" t="n"/>
      <c r="E2336" s="195" t="n">
        <v>350.98</v>
      </c>
      <c r="F2336" s="195" t="n">
        <v>388.52</v>
      </c>
      <c r="G2336" s="195" t="n">
        <v>369.75</v>
      </c>
    </row>
    <row r="2337">
      <c r="A2337" s="196" t="inlineStr">
        <is>
          <t>2026-05-21</t>
        </is>
      </c>
      <c r="B2337" s="196" t="inlineStr">
        <is>
          <t>SAR</t>
        </is>
      </c>
      <c r="C2337" s="196" t="inlineStr">
        <is>
          <t>SAUDI RIAL</t>
        </is>
      </c>
      <c r="D2337" s="184" t="n"/>
      <c r="E2337" s="184" t="n">
        <v>6987.24</v>
      </c>
      <c r="F2337" s="184" t="n">
        <v>7287.91</v>
      </c>
      <c r="G2337" s="184" t="n">
        <v>7137.58</v>
      </c>
    </row>
    <row r="2338">
      <c r="A2338" s="194" t="inlineStr">
        <is>
          <t>2026-05-21</t>
        </is>
      </c>
      <c r="B2338" s="194" t="inlineStr">
        <is>
          <t>SEK</t>
        </is>
      </c>
      <c r="C2338" s="194" t="inlineStr">
        <is>
          <t>SWEDISH KRONA</t>
        </is>
      </c>
      <c r="D2338" s="195" t="n"/>
      <c r="E2338" s="195" t="n">
        <v>2763.87</v>
      </c>
      <c r="F2338" s="195" t="n">
        <v>2881.05</v>
      </c>
      <c r="G2338" s="195" t="n">
        <v>2822.46</v>
      </c>
    </row>
    <row r="2339">
      <c r="A2339" s="196" t="inlineStr">
        <is>
          <t>2026-05-21</t>
        </is>
      </c>
      <c r="B2339" s="196" t="inlineStr">
        <is>
          <t>SGD</t>
        </is>
      </c>
      <c r="C2339" s="196" t="inlineStr">
        <is>
          <t>SINGAPORE DOLLAR</t>
        </is>
      </c>
      <c r="D2339" s="184" t="n">
        <v>20077.96</v>
      </c>
      <c r="E2339" s="184" t="n">
        <v>20280.76</v>
      </c>
      <c r="F2339" s="184" t="n">
        <v>20972.09</v>
      </c>
      <c r="G2339" s="184" t="n">
        <v>20626.42</v>
      </c>
    </row>
    <row r="2340">
      <c r="A2340" s="194" t="inlineStr">
        <is>
          <t>2026-05-21</t>
        </is>
      </c>
      <c r="B2340" s="194" t="inlineStr">
        <is>
          <t>THB</t>
        </is>
      </c>
      <c r="C2340" s="194" t="inlineStr">
        <is>
          <t>THAILAND BAHT</t>
        </is>
      </c>
      <c r="D2340" s="195" t="n">
        <v>712.53</v>
      </c>
      <c r="E2340" s="195" t="n">
        <v>791.7</v>
      </c>
      <c r="F2340" s="195" t="n">
        <v>825.27</v>
      </c>
      <c r="G2340" s="195" t="n">
        <v>808.48</v>
      </c>
    </row>
    <row r="2341">
      <c r="A2341" s="196" t="inlineStr">
        <is>
          <t>2026-05-21</t>
        </is>
      </c>
      <c r="B2341" s="196" t="inlineStr">
        <is>
          <t>USD</t>
        </is>
      </c>
      <c r="C2341" s="196" t="inlineStr">
        <is>
          <t>US DOLLAR</t>
        </is>
      </c>
      <c r="D2341" s="184" t="n">
        <v>26131</v>
      </c>
      <c r="E2341" s="184" t="n">
        <v>26161</v>
      </c>
      <c r="F2341" s="184" t="n">
        <v>26391</v>
      </c>
      <c r="G2341" s="184" t="n">
        <v>26276</v>
      </c>
    </row>
    <row r="2342">
      <c r="A2342" s="194" t="inlineStr">
        <is>
          <t>2026-05-20</t>
        </is>
      </c>
      <c r="B2342" s="194" t="inlineStr">
        <is>
          <t>AUD</t>
        </is>
      </c>
      <c r="C2342" s="194" t="inlineStr">
        <is>
          <t>AUSTRALIAN DOLLAR</t>
        </is>
      </c>
      <c r="D2342" s="195" t="n">
        <v>18269.29</v>
      </c>
      <c r="E2342" s="195" t="n">
        <v>18453.83</v>
      </c>
      <c r="F2342" s="195" t="n">
        <v>19044.74</v>
      </c>
      <c r="G2342" s="195" t="n">
        <v>18749.29</v>
      </c>
    </row>
    <row r="2343">
      <c r="A2343" s="196" t="inlineStr">
        <is>
          <t>2026-05-20</t>
        </is>
      </c>
      <c r="B2343" s="196" t="inlineStr">
        <is>
          <t>CAD</t>
        </is>
      </c>
      <c r="C2343" s="196" t="inlineStr">
        <is>
          <t>CANADIAN DOLLAR</t>
        </is>
      </c>
      <c r="D2343" s="184" t="n">
        <v>18659.06</v>
      </c>
      <c r="E2343" s="184" t="n">
        <v>18847.53</v>
      </c>
      <c r="F2343" s="184" t="n">
        <v>19451.05</v>
      </c>
      <c r="G2343" s="184" t="n">
        <v>19149.29</v>
      </c>
    </row>
    <row r="2344">
      <c r="A2344" s="194" t="inlineStr">
        <is>
          <t>2026-05-20</t>
        </is>
      </c>
      <c r="B2344" s="194" t="inlineStr">
        <is>
          <t>CHF</t>
        </is>
      </c>
      <c r="C2344" s="194" t="inlineStr">
        <is>
          <t>SWISS FRANC</t>
        </is>
      </c>
      <c r="D2344" s="195" t="n">
        <v>32520.54</v>
      </c>
      <c r="E2344" s="195" t="n">
        <v>32849.03</v>
      </c>
      <c r="F2344" s="195" t="n">
        <v>33900.9</v>
      </c>
      <c r="G2344" s="195" t="n">
        <v>33374.96</v>
      </c>
    </row>
    <row r="2345">
      <c r="A2345" s="196" t="inlineStr">
        <is>
          <t>2026-05-20</t>
        </is>
      </c>
      <c r="B2345" s="196" t="inlineStr">
        <is>
          <t>CNY</t>
        </is>
      </c>
      <c r="C2345" s="196" t="inlineStr">
        <is>
          <t>YUAN RENMINBI</t>
        </is>
      </c>
      <c r="D2345" s="184" t="n">
        <v>3778.06</v>
      </c>
      <c r="E2345" s="184" t="n">
        <v>3816.22</v>
      </c>
      <c r="F2345" s="184" t="n">
        <v>3938.42</v>
      </c>
      <c r="G2345" s="184" t="n">
        <v>3877.32</v>
      </c>
    </row>
    <row r="2346">
      <c r="A2346" s="194" t="inlineStr">
        <is>
          <t>2026-05-20</t>
        </is>
      </c>
      <c r="B2346" s="194" t="inlineStr">
        <is>
          <t>DKK</t>
        </is>
      </c>
      <c r="C2346" s="194" t="inlineStr">
        <is>
          <t>DANISH KRONE</t>
        </is>
      </c>
      <c r="D2346" s="195" t="n"/>
      <c r="E2346" s="195" t="n">
        <v>4014.97</v>
      </c>
      <c r="F2346" s="195" t="n">
        <v>4168.47</v>
      </c>
      <c r="G2346" s="195" t="n">
        <v>4091.72</v>
      </c>
    </row>
    <row r="2347">
      <c r="A2347" s="196" t="inlineStr">
        <is>
          <t>2026-05-20</t>
        </is>
      </c>
      <c r="B2347" s="196" t="inlineStr">
        <is>
          <t>EUR</t>
        </is>
      </c>
      <c r="C2347" s="196" t="inlineStr">
        <is>
          <t>EURO</t>
        </is>
      </c>
      <c r="D2347" s="184" t="n">
        <v>29780.74</v>
      </c>
      <c r="E2347" s="184" t="n">
        <v>30081.56</v>
      </c>
      <c r="F2347" s="184" t="n">
        <v>31350.66</v>
      </c>
      <c r="G2347" s="184" t="n">
        <v>30716.11</v>
      </c>
    </row>
    <row r="2348">
      <c r="A2348" s="194" t="inlineStr">
        <is>
          <t>2026-05-20</t>
        </is>
      </c>
      <c r="B2348" s="194" t="inlineStr">
        <is>
          <t>GBP</t>
        </is>
      </c>
      <c r="C2348" s="194" t="inlineStr">
        <is>
          <t>POUND STERLING</t>
        </is>
      </c>
      <c r="D2348" s="195" t="n">
        <v>34385.32</v>
      </c>
      <c r="E2348" s="195" t="n">
        <v>34732.65</v>
      </c>
      <c r="F2348" s="195" t="n">
        <v>35844.82</v>
      </c>
      <c r="G2348" s="195" t="n">
        <v>35288.74</v>
      </c>
    </row>
    <row r="2349">
      <c r="A2349" s="196" t="inlineStr">
        <is>
          <t>2026-05-20</t>
        </is>
      </c>
      <c r="B2349" s="196" t="inlineStr">
        <is>
          <t>HKD</t>
        </is>
      </c>
      <c r="C2349" s="196" t="inlineStr">
        <is>
          <t>HONGKONG DOLLAR</t>
        </is>
      </c>
      <c r="D2349" s="184" t="n">
        <v>3271.53</v>
      </c>
      <c r="E2349" s="184" t="n">
        <v>3304.58</v>
      </c>
      <c r="F2349" s="184" t="n">
        <v>3430.92</v>
      </c>
      <c r="G2349" s="184" t="n">
        <v>3367.75</v>
      </c>
    </row>
    <row r="2350">
      <c r="A2350" s="194" t="inlineStr">
        <is>
          <t>2026-05-20</t>
        </is>
      </c>
      <c r="B2350" s="194" t="inlineStr">
        <is>
          <t>INR</t>
        </is>
      </c>
      <c r="C2350" s="194" t="inlineStr">
        <is>
          <t>INDIAN RUPEE</t>
        </is>
      </c>
      <c r="D2350" s="195" t="n"/>
      <c r="E2350" s="195" t="n">
        <v>270.8</v>
      </c>
      <c r="F2350" s="195" t="n">
        <v>282.45</v>
      </c>
      <c r="G2350" s="195" t="n">
        <v>276.62</v>
      </c>
    </row>
    <row r="2351">
      <c r="A2351" s="196" t="inlineStr">
        <is>
          <t>2026-05-20</t>
        </is>
      </c>
      <c r="B2351" s="196" t="inlineStr">
        <is>
          <t>JPY</t>
        </is>
      </c>
      <c r="C2351" s="196" t="inlineStr">
        <is>
          <t>YEN</t>
        </is>
      </c>
      <c r="D2351" s="184" t="n">
        <v>160.01</v>
      </c>
      <c r="E2351" s="184" t="n">
        <v>161.63</v>
      </c>
      <c r="F2351" s="184" t="n">
        <v>170.18</v>
      </c>
      <c r="G2351" s="184" t="n">
        <v>165.9</v>
      </c>
    </row>
    <row r="2352">
      <c r="A2352" s="194" t="inlineStr">
        <is>
          <t>2026-05-20</t>
        </is>
      </c>
      <c r="B2352" s="194" t="inlineStr">
        <is>
          <t>KRW</t>
        </is>
      </c>
      <c r="C2352" s="194" t="inlineStr">
        <is>
          <t>KOREAN WON</t>
        </is>
      </c>
      <c r="D2352" s="195" t="n">
        <v>15.14</v>
      </c>
      <c r="E2352" s="195" t="n">
        <v>16.82</v>
      </c>
      <c r="F2352" s="195" t="n">
        <v>18.25</v>
      </c>
      <c r="G2352" s="195" t="n">
        <v>17.54</v>
      </c>
    </row>
    <row r="2353">
      <c r="A2353" s="196" t="inlineStr">
        <is>
          <t>2026-05-20</t>
        </is>
      </c>
      <c r="B2353" s="196" t="inlineStr">
        <is>
          <t>KWD</t>
        </is>
      </c>
      <c r="C2353" s="196" t="inlineStr">
        <is>
          <t>KUWAITI DINAR</t>
        </is>
      </c>
      <c r="D2353" s="184" t="n"/>
      <c r="E2353" s="184" t="n">
        <v>85459.27</v>
      </c>
      <c r="F2353" s="184" t="n">
        <v>89600.99000000001</v>
      </c>
      <c r="G2353" s="184" t="n">
        <v>87530.13</v>
      </c>
    </row>
    <row r="2354">
      <c r="A2354" s="194" t="inlineStr">
        <is>
          <t>2026-05-20</t>
        </is>
      </c>
      <c r="B2354" s="194" t="inlineStr">
        <is>
          <t>MYR</t>
        </is>
      </c>
      <c r="C2354" s="194" t="inlineStr">
        <is>
          <t>MALAYSIAN RINGGIT</t>
        </is>
      </c>
      <c r="D2354" s="195" t="n"/>
      <c r="E2354" s="195" t="n">
        <v>6578.19</v>
      </c>
      <c r="F2354" s="195" t="n">
        <v>6721.27</v>
      </c>
      <c r="G2354" s="195" t="n">
        <v>6649.73</v>
      </c>
    </row>
    <row r="2355">
      <c r="A2355" s="196" t="inlineStr">
        <is>
          <t>2026-05-20</t>
        </is>
      </c>
      <c r="B2355" s="196" t="inlineStr">
        <is>
          <t>NOK</t>
        </is>
      </c>
      <c r="C2355" s="196" t="inlineStr">
        <is>
          <t>NORWEGIAN KRONER</t>
        </is>
      </c>
      <c r="D2355" s="184" t="n"/>
      <c r="E2355" s="184" t="n">
        <v>2780.71</v>
      </c>
      <c r="F2355" s="184" t="n">
        <v>2898.6</v>
      </c>
      <c r="G2355" s="184" t="n">
        <v>2839.66</v>
      </c>
    </row>
    <row r="2356">
      <c r="A2356" s="194" t="inlineStr">
        <is>
          <t>2026-05-20</t>
        </is>
      </c>
      <c r="B2356" s="194" t="inlineStr">
        <is>
          <t>RUB</t>
        </is>
      </c>
      <c r="C2356" s="194" t="inlineStr">
        <is>
          <t>RUSSIAN RUBLE</t>
        </is>
      </c>
      <c r="D2356" s="195" t="n"/>
      <c r="E2356" s="195" t="n">
        <v>352.71</v>
      </c>
      <c r="F2356" s="195" t="n">
        <v>390.43</v>
      </c>
      <c r="G2356" s="195" t="n">
        <v>371.57</v>
      </c>
    </row>
    <row r="2357">
      <c r="A2357" s="196" t="inlineStr">
        <is>
          <t>2026-05-20</t>
        </is>
      </c>
      <c r="B2357" s="196" t="inlineStr">
        <is>
          <t>SAR</t>
        </is>
      </c>
      <c r="C2357" s="196" t="inlineStr">
        <is>
          <t>SAUDI RIAL</t>
        </is>
      </c>
      <c r="D2357" s="184" t="n"/>
      <c r="E2357" s="184" t="n">
        <v>6987.24</v>
      </c>
      <c r="F2357" s="184" t="n">
        <v>7287.91</v>
      </c>
      <c r="G2357" s="184" t="n">
        <v>7137.58</v>
      </c>
    </row>
    <row r="2358">
      <c r="A2358" s="194" t="inlineStr">
        <is>
          <t>2026-05-20</t>
        </is>
      </c>
      <c r="B2358" s="194" t="inlineStr">
        <is>
          <t>SEK</t>
        </is>
      </c>
      <c r="C2358" s="194" t="inlineStr">
        <is>
          <t>SWEDISH KRONA</t>
        </is>
      </c>
      <c r="D2358" s="195" t="n"/>
      <c r="E2358" s="195" t="n">
        <v>2746.68</v>
      </c>
      <c r="F2358" s="195" t="n">
        <v>2863.13</v>
      </c>
      <c r="G2358" s="195" t="n">
        <v>2804.9</v>
      </c>
    </row>
    <row r="2359">
      <c r="A2359" s="196" t="inlineStr">
        <is>
          <t>2026-05-20</t>
        </is>
      </c>
      <c r="B2359" s="196" t="inlineStr">
        <is>
          <t>SGD</t>
        </is>
      </c>
      <c r="C2359" s="196" t="inlineStr">
        <is>
          <t>SINGAPORE DOLLAR</t>
        </is>
      </c>
      <c r="D2359" s="184" t="n">
        <v>20049.73</v>
      </c>
      <c r="E2359" s="184" t="n">
        <v>20252.26</v>
      </c>
      <c r="F2359" s="184" t="n">
        <v>20942.61</v>
      </c>
      <c r="G2359" s="184" t="n">
        <v>20597.43</v>
      </c>
    </row>
    <row r="2360">
      <c r="A2360" s="194" t="inlineStr">
        <is>
          <t>2026-05-20</t>
        </is>
      </c>
      <c r="B2360" s="194" t="inlineStr">
        <is>
          <t>THB</t>
        </is>
      </c>
      <c r="C2360" s="194" t="inlineStr">
        <is>
          <t>THAILAND BAHT</t>
        </is>
      </c>
      <c r="D2360" s="195" t="n">
        <v>711.4400000000001</v>
      </c>
      <c r="E2360" s="195" t="n">
        <v>790.49</v>
      </c>
      <c r="F2360" s="195" t="n">
        <v>824.01</v>
      </c>
      <c r="G2360" s="195" t="n">
        <v>807.25</v>
      </c>
    </row>
    <row r="2361">
      <c r="A2361" s="196" t="inlineStr">
        <is>
          <t>2026-05-20</t>
        </is>
      </c>
      <c r="B2361" s="196" t="inlineStr">
        <is>
          <t>USD</t>
        </is>
      </c>
      <c r="C2361" s="196" t="inlineStr">
        <is>
          <t>US DOLLAR</t>
        </is>
      </c>
      <c r="D2361" s="184" t="n">
        <v>26131</v>
      </c>
      <c r="E2361" s="184" t="n">
        <v>26161</v>
      </c>
      <c r="F2361" s="184" t="n">
        <v>26391</v>
      </c>
      <c r="G2361" s="184" t="n">
        <v>26276</v>
      </c>
    </row>
    <row r="2362">
      <c r="A2362" s="194" t="inlineStr">
        <is>
          <t>2026-05-19</t>
        </is>
      </c>
      <c r="B2362" s="194" t="inlineStr">
        <is>
          <t>AUD</t>
        </is>
      </c>
      <c r="C2362" s="194" t="inlineStr">
        <is>
          <t>AUSTRALIAN DOLLAR</t>
        </is>
      </c>
      <c r="D2362" s="195" t="n">
        <v>18266.11</v>
      </c>
      <c r="E2362" s="195" t="n">
        <v>18450.61</v>
      </c>
      <c r="F2362" s="195" t="n">
        <v>19041.43</v>
      </c>
      <c r="G2362" s="195" t="n">
        <v>18746.02</v>
      </c>
    </row>
    <row r="2363">
      <c r="A2363" s="196" t="inlineStr">
        <is>
          <t>2026-05-19</t>
        </is>
      </c>
      <c r="B2363" s="196" t="inlineStr">
        <is>
          <t>CAD</t>
        </is>
      </c>
      <c r="C2363" s="196" t="inlineStr">
        <is>
          <t>CANADIAN DOLLAR</t>
        </is>
      </c>
      <c r="D2363" s="184" t="n">
        <v>18666.82</v>
      </c>
      <c r="E2363" s="184" t="n">
        <v>18855.38</v>
      </c>
      <c r="F2363" s="184" t="n">
        <v>19459.16</v>
      </c>
      <c r="G2363" s="184" t="n">
        <v>19157.27</v>
      </c>
    </row>
    <row r="2364">
      <c r="A2364" s="194" t="inlineStr">
        <is>
          <t>2026-05-19</t>
        </is>
      </c>
      <c r="B2364" s="194" t="inlineStr">
        <is>
          <t>CHF</t>
        </is>
      </c>
      <c r="C2364" s="194" t="inlineStr">
        <is>
          <t>SWISS FRANC</t>
        </is>
      </c>
      <c r="D2364" s="195" t="n">
        <v>32637.89</v>
      </c>
      <c r="E2364" s="195" t="n">
        <v>32967.56</v>
      </c>
      <c r="F2364" s="195" t="n">
        <v>34023.24</v>
      </c>
      <c r="G2364" s="195" t="n">
        <v>33495.4</v>
      </c>
    </row>
    <row r="2365">
      <c r="A2365" s="196" t="inlineStr">
        <is>
          <t>2026-05-19</t>
        </is>
      </c>
      <c r="B2365" s="196" t="inlineStr">
        <is>
          <t>CNY</t>
        </is>
      </c>
      <c r="C2365" s="196" t="inlineStr">
        <is>
          <t>YUAN RENMINBI</t>
        </is>
      </c>
      <c r="D2365" s="184" t="n">
        <v>3774.23</v>
      </c>
      <c r="E2365" s="184" t="n">
        <v>3812.35</v>
      </c>
      <c r="F2365" s="184" t="n">
        <v>3934.43</v>
      </c>
      <c r="G2365" s="184" t="n">
        <v>3873.39</v>
      </c>
    </row>
    <row r="2366">
      <c r="A2366" s="194" t="inlineStr">
        <is>
          <t>2026-05-19</t>
        </is>
      </c>
      <c r="B2366" s="194" t="inlineStr">
        <is>
          <t>DKK</t>
        </is>
      </c>
      <c r="C2366" s="194" t="inlineStr">
        <is>
          <t>DANISH KRONE</t>
        </is>
      </c>
      <c r="D2366" s="195" t="n"/>
      <c r="E2366" s="195" t="n">
        <v>4022.31</v>
      </c>
      <c r="F2366" s="195" t="n">
        <v>4176.1</v>
      </c>
      <c r="G2366" s="195" t="n">
        <v>4099.2</v>
      </c>
    </row>
    <row r="2367">
      <c r="A2367" s="196" t="inlineStr">
        <is>
          <t>2026-05-19</t>
        </is>
      </c>
      <c r="B2367" s="196" t="inlineStr">
        <is>
          <t>EUR</t>
        </is>
      </c>
      <c r="C2367" s="196" t="inlineStr">
        <is>
          <t>EURO</t>
        </is>
      </c>
      <c r="D2367" s="184" t="n">
        <v>29833.95</v>
      </c>
      <c r="E2367" s="184" t="n">
        <v>30135.31</v>
      </c>
      <c r="F2367" s="184" t="n">
        <v>31406.7</v>
      </c>
      <c r="G2367" s="184" t="n">
        <v>30771</v>
      </c>
    </row>
    <row r="2368">
      <c r="A2368" s="194" t="inlineStr">
        <is>
          <t>2026-05-19</t>
        </is>
      </c>
      <c r="B2368" s="194" t="inlineStr">
        <is>
          <t>GBP</t>
        </is>
      </c>
      <c r="C2368" s="194" t="inlineStr">
        <is>
          <t>POUND STERLING</t>
        </is>
      </c>
      <c r="D2368" s="195" t="n">
        <v>34410.75</v>
      </c>
      <c r="E2368" s="195" t="n">
        <v>34758.34</v>
      </c>
      <c r="F2368" s="195" t="n">
        <v>35871.36</v>
      </c>
      <c r="G2368" s="195" t="n">
        <v>35314.85</v>
      </c>
    </row>
    <row r="2369">
      <c r="A2369" s="196" t="inlineStr">
        <is>
          <t>2026-05-19</t>
        </is>
      </c>
      <c r="B2369" s="196" t="inlineStr">
        <is>
          <t>HKD</t>
        </is>
      </c>
      <c r="C2369" s="196" t="inlineStr">
        <is>
          <t>HONGKONG DOLLAR</t>
        </is>
      </c>
      <c r="D2369" s="184" t="n">
        <v>3270.46</v>
      </c>
      <c r="E2369" s="184" t="n">
        <v>3303.49</v>
      </c>
      <c r="F2369" s="184" t="n">
        <v>3429.8</v>
      </c>
      <c r="G2369" s="184" t="n">
        <v>3366.64</v>
      </c>
    </row>
    <row r="2370">
      <c r="A2370" s="194" t="inlineStr">
        <is>
          <t>2026-05-19</t>
        </is>
      </c>
      <c r="B2370" s="194" t="inlineStr">
        <is>
          <t>INR</t>
        </is>
      </c>
      <c r="C2370" s="194" t="inlineStr">
        <is>
          <t>INDIAN RUPEE</t>
        </is>
      </c>
      <c r="D2370" s="195" t="n"/>
      <c r="E2370" s="195" t="n">
        <v>271.53</v>
      </c>
      <c r="F2370" s="195" t="n">
        <v>283.21</v>
      </c>
      <c r="G2370" s="195" t="n">
        <v>277.37</v>
      </c>
    </row>
    <row r="2371">
      <c r="A2371" s="196" t="inlineStr">
        <is>
          <t>2026-05-19</t>
        </is>
      </c>
      <c r="B2371" s="196" t="inlineStr">
        <is>
          <t>JPY</t>
        </is>
      </c>
      <c r="C2371" s="196" t="inlineStr">
        <is>
          <t>YEN</t>
        </is>
      </c>
      <c r="D2371" s="184" t="n">
        <v>159.86</v>
      </c>
      <c r="E2371" s="184" t="n">
        <v>161.48</v>
      </c>
      <c r="F2371" s="184" t="n">
        <v>170.01</v>
      </c>
      <c r="G2371" s="184" t="n">
        <v>165.74</v>
      </c>
    </row>
    <row r="2372">
      <c r="A2372" s="194" t="inlineStr">
        <is>
          <t>2026-05-19</t>
        </is>
      </c>
      <c r="B2372" s="194" t="inlineStr">
        <is>
          <t>KRW</t>
        </is>
      </c>
      <c r="C2372" s="194" t="inlineStr">
        <is>
          <t>KOREAN WON</t>
        </is>
      </c>
      <c r="D2372" s="195" t="n">
        <v>15.11</v>
      </c>
      <c r="E2372" s="195" t="n">
        <v>16.78</v>
      </c>
      <c r="F2372" s="195" t="n">
        <v>18.21</v>
      </c>
      <c r="G2372" s="195" t="n">
        <v>17.5</v>
      </c>
    </row>
    <row r="2373">
      <c r="A2373" s="196" t="inlineStr">
        <is>
          <t>2026-05-19</t>
        </is>
      </c>
      <c r="B2373" s="196" t="inlineStr">
        <is>
          <t>KWD</t>
        </is>
      </c>
      <c r="C2373" s="196" t="inlineStr">
        <is>
          <t>KUWAITI DINAR</t>
        </is>
      </c>
      <c r="D2373" s="184" t="n"/>
      <c r="E2373" s="184" t="n">
        <v>85420.36</v>
      </c>
      <c r="F2373" s="184" t="n">
        <v>89560.25</v>
      </c>
      <c r="G2373" s="184" t="n">
        <v>87490.3</v>
      </c>
    </row>
    <row r="2374">
      <c r="A2374" s="194" t="inlineStr">
        <is>
          <t>2026-05-19</t>
        </is>
      </c>
      <c r="B2374" s="194" t="inlineStr">
        <is>
          <t>MYR</t>
        </is>
      </c>
      <c r="C2374" s="194" t="inlineStr">
        <is>
          <t>MALAYSIAN RINGGIT</t>
        </is>
      </c>
      <c r="D2374" s="195" t="n"/>
      <c r="E2374" s="195" t="n">
        <v>6560.31</v>
      </c>
      <c r="F2374" s="195" t="n">
        <v>6703</v>
      </c>
      <c r="G2374" s="195" t="n">
        <v>6631.66</v>
      </c>
    </row>
    <row r="2375">
      <c r="A2375" s="196" t="inlineStr">
        <is>
          <t>2026-05-19</t>
        </is>
      </c>
      <c r="B2375" s="196" t="inlineStr">
        <is>
          <t>NOK</t>
        </is>
      </c>
      <c r="C2375" s="196" t="inlineStr">
        <is>
          <t>NORWEGIAN KRONER</t>
        </is>
      </c>
      <c r="D2375" s="184" t="n"/>
      <c r="E2375" s="184" t="n">
        <v>2784.48</v>
      </c>
      <c r="F2375" s="184" t="n">
        <v>2902.53</v>
      </c>
      <c r="G2375" s="184" t="n">
        <v>2843.5</v>
      </c>
    </row>
    <row r="2376">
      <c r="A2376" s="194" t="inlineStr">
        <is>
          <t>2026-05-19</t>
        </is>
      </c>
      <c r="B2376" s="194" t="inlineStr">
        <is>
          <t>RUB</t>
        </is>
      </c>
      <c r="C2376" s="194" t="inlineStr">
        <is>
          <t>RUSSIAN RUBLE</t>
        </is>
      </c>
      <c r="D2376" s="195" t="n"/>
      <c r="E2376" s="195" t="n">
        <v>351.81</v>
      </c>
      <c r="F2376" s="195" t="n">
        <v>389.43</v>
      </c>
      <c r="G2376" s="195" t="n">
        <v>370.62</v>
      </c>
    </row>
    <row r="2377">
      <c r="A2377" s="196" t="inlineStr">
        <is>
          <t>2026-05-19</t>
        </is>
      </c>
      <c r="B2377" s="196" t="inlineStr">
        <is>
          <t>SAR</t>
        </is>
      </c>
      <c r="C2377" s="196" t="inlineStr">
        <is>
          <t>SAUDI RIAL</t>
        </is>
      </c>
      <c r="D2377" s="184" t="n"/>
      <c r="E2377" s="184" t="n">
        <v>6983.5</v>
      </c>
      <c r="F2377" s="184" t="n">
        <v>7284.01</v>
      </c>
      <c r="G2377" s="184" t="n">
        <v>7133.76</v>
      </c>
    </row>
    <row r="2378">
      <c r="A2378" s="194" t="inlineStr">
        <is>
          <t>2026-05-19</t>
        </is>
      </c>
      <c r="B2378" s="194" t="inlineStr">
        <is>
          <t>SEK</t>
        </is>
      </c>
      <c r="C2378" s="194" t="inlineStr">
        <is>
          <t>SWEDISH KRONA</t>
        </is>
      </c>
      <c r="D2378" s="195" t="n"/>
      <c r="E2378" s="195" t="n">
        <v>2743.71</v>
      </c>
      <c r="F2378" s="195" t="n">
        <v>2860.03</v>
      </c>
      <c r="G2378" s="195" t="n">
        <v>2801.87</v>
      </c>
    </row>
    <row r="2379">
      <c r="A2379" s="196" t="inlineStr">
        <is>
          <t>2026-05-19</t>
        </is>
      </c>
      <c r="B2379" s="196" t="inlineStr">
        <is>
          <t>SGD</t>
        </is>
      </c>
      <c r="C2379" s="196" t="inlineStr">
        <is>
          <t>SINGAPORE DOLLAR</t>
        </is>
      </c>
      <c r="D2379" s="184" t="n">
        <v>20035.91</v>
      </c>
      <c r="E2379" s="184" t="n">
        <v>20238.29</v>
      </c>
      <c r="F2379" s="184" t="n">
        <v>20928.18</v>
      </c>
      <c r="G2379" s="184" t="n">
        <v>20583.24</v>
      </c>
    </row>
    <row r="2380">
      <c r="A2380" s="194" t="inlineStr">
        <is>
          <t>2026-05-19</t>
        </is>
      </c>
      <c r="B2380" s="194" t="inlineStr">
        <is>
          <t>THB</t>
        </is>
      </c>
      <c r="C2380" s="194" t="inlineStr">
        <is>
          <t>THAILAND BAHT</t>
        </is>
      </c>
      <c r="D2380" s="195" t="n">
        <v>711.77</v>
      </c>
      <c r="E2380" s="195" t="n">
        <v>790.86</v>
      </c>
      <c r="F2380" s="195" t="n">
        <v>824.39</v>
      </c>
      <c r="G2380" s="195" t="n">
        <v>807.62</v>
      </c>
    </row>
    <row r="2381">
      <c r="A2381" s="196" t="inlineStr">
        <is>
          <t>2026-05-19</t>
        </is>
      </c>
      <c r="B2381" s="196" t="inlineStr">
        <is>
          <t>USD</t>
        </is>
      </c>
      <c r="C2381" s="196" t="inlineStr">
        <is>
          <t>US DOLLAR</t>
        </is>
      </c>
      <c r="D2381" s="184" t="n">
        <v>26119</v>
      </c>
      <c r="E2381" s="184" t="n">
        <v>26149</v>
      </c>
      <c r="F2381" s="184" t="n">
        <v>26389</v>
      </c>
      <c r="G2381" s="184" t="n">
        <v>26269</v>
      </c>
    </row>
    <row r="2382">
      <c r="A2382" s="194" t="inlineStr">
        <is>
          <t>2026-05-18</t>
        </is>
      </c>
      <c r="B2382" s="194" t="inlineStr">
        <is>
          <t>AUD</t>
        </is>
      </c>
      <c r="C2382" s="194" t="inlineStr">
        <is>
          <t>AUSTRALIAN DOLLAR</t>
        </is>
      </c>
      <c r="D2382" s="195" t="n">
        <v>18303.45</v>
      </c>
      <c r="E2382" s="195" t="n">
        <v>18488.34</v>
      </c>
      <c r="F2382" s="195" t="n">
        <v>19080.36</v>
      </c>
      <c r="G2382" s="195" t="n">
        <v>18784.35</v>
      </c>
    </row>
    <row r="2383">
      <c r="A2383" s="196" t="inlineStr">
        <is>
          <t>2026-05-18</t>
        </is>
      </c>
      <c r="B2383" s="196" t="inlineStr">
        <is>
          <t>CAD</t>
        </is>
      </c>
      <c r="C2383" s="196" t="inlineStr">
        <is>
          <t>CANADIAN DOLLAR</t>
        </is>
      </c>
      <c r="D2383" s="184" t="n">
        <v>18676.38</v>
      </c>
      <c r="E2383" s="184" t="n">
        <v>18865.03</v>
      </c>
      <c r="F2383" s="184" t="n">
        <v>19469.12</v>
      </c>
      <c r="G2383" s="184" t="n">
        <v>19167.07</v>
      </c>
    </row>
    <row r="2384">
      <c r="A2384" s="194" t="inlineStr">
        <is>
          <t>2026-05-18</t>
        </is>
      </c>
      <c r="B2384" s="194" t="inlineStr">
        <is>
          <t>CHF</t>
        </is>
      </c>
      <c r="C2384" s="194" t="inlineStr">
        <is>
          <t>SWISS FRANC</t>
        </is>
      </c>
      <c r="D2384" s="195" t="n">
        <v>32640.37</v>
      </c>
      <c r="E2384" s="195" t="n">
        <v>32970.07</v>
      </c>
      <c r="F2384" s="195" t="n">
        <v>34025.82</v>
      </c>
      <c r="G2384" s="195" t="n">
        <v>33497.94</v>
      </c>
    </row>
    <row r="2385">
      <c r="A2385" s="196" t="inlineStr">
        <is>
          <t>2026-05-18</t>
        </is>
      </c>
      <c r="B2385" s="196" t="inlineStr">
        <is>
          <t>CNY</t>
        </is>
      </c>
      <c r="C2385" s="196" t="inlineStr">
        <is>
          <t>YUAN RENMINBI</t>
        </is>
      </c>
      <c r="D2385" s="184" t="n">
        <v>3768.65</v>
      </c>
      <c r="E2385" s="184" t="n">
        <v>3806.71</v>
      </c>
      <c r="F2385" s="184" t="n">
        <v>3928.61</v>
      </c>
      <c r="G2385" s="184" t="n">
        <v>3867.66</v>
      </c>
    </row>
    <row r="2386">
      <c r="A2386" s="194" t="inlineStr">
        <is>
          <t>2026-05-18</t>
        </is>
      </c>
      <c r="B2386" s="194" t="inlineStr">
        <is>
          <t>DKK</t>
        </is>
      </c>
      <c r="C2386" s="194" t="inlineStr">
        <is>
          <t>DANISH KRONE</t>
        </is>
      </c>
      <c r="D2386" s="195" t="n"/>
      <c r="E2386" s="195" t="n">
        <v>4021.93</v>
      </c>
      <c r="F2386" s="195" t="n">
        <v>4175.7</v>
      </c>
      <c r="G2386" s="195" t="n">
        <v>4098.81</v>
      </c>
    </row>
    <row r="2387">
      <c r="A2387" s="196" t="inlineStr">
        <is>
          <t>2026-05-18</t>
        </is>
      </c>
      <c r="B2387" s="196" t="inlineStr">
        <is>
          <t>EUR</t>
        </is>
      </c>
      <c r="C2387" s="196" t="inlineStr">
        <is>
          <t>EURO</t>
        </is>
      </c>
      <c r="D2387" s="184" t="n">
        <v>29833.65</v>
      </c>
      <c r="E2387" s="184" t="n">
        <v>30135</v>
      </c>
      <c r="F2387" s="184" t="n">
        <v>31406.38</v>
      </c>
      <c r="G2387" s="184" t="n">
        <v>30770.69</v>
      </c>
    </row>
    <row r="2388">
      <c r="A2388" s="194" t="inlineStr">
        <is>
          <t>2026-05-18</t>
        </is>
      </c>
      <c r="B2388" s="194" t="inlineStr">
        <is>
          <t>GBP</t>
        </is>
      </c>
      <c r="C2388" s="194" t="inlineStr">
        <is>
          <t>POUND STERLING</t>
        </is>
      </c>
      <c r="D2388" s="195" t="n">
        <v>34182.2</v>
      </c>
      <c r="E2388" s="195" t="n">
        <v>34527.47</v>
      </c>
      <c r="F2388" s="195" t="n">
        <v>35633.1</v>
      </c>
      <c r="G2388" s="195" t="n">
        <v>35080.29</v>
      </c>
    </row>
    <row r="2389">
      <c r="A2389" s="196" t="inlineStr">
        <is>
          <t>2026-05-18</t>
        </is>
      </c>
      <c r="B2389" s="196" t="inlineStr">
        <is>
          <t>HKD</t>
        </is>
      </c>
      <c r="C2389" s="196" t="inlineStr">
        <is>
          <t>HONGKONG DOLLAR</t>
        </is>
      </c>
      <c r="D2389" s="184" t="n">
        <v>3271.46</v>
      </c>
      <c r="E2389" s="184" t="n">
        <v>3304.5</v>
      </c>
      <c r="F2389" s="184" t="n">
        <v>3430.85</v>
      </c>
      <c r="G2389" s="184" t="n">
        <v>3367.68</v>
      </c>
    </row>
    <row r="2390">
      <c r="A2390" s="194" t="inlineStr">
        <is>
          <t>2026-05-18</t>
        </is>
      </c>
      <c r="B2390" s="194" t="inlineStr">
        <is>
          <t>INR</t>
        </is>
      </c>
      <c r="C2390" s="194" t="inlineStr">
        <is>
          <t>INDIAN RUPEE</t>
        </is>
      </c>
      <c r="D2390" s="195" t="n"/>
      <c r="E2390" s="195" t="n">
        <v>273.12</v>
      </c>
      <c r="F2390" s="195" t="n">
        <v>284.88</v>
      </c>
      <c r="G2390" s="195" t="n">
        <v>279</v>
      </c>
    </row>
    <row r="2391">
      <c r="A2391" s="196" t="inlineStr">
        <is>
          <t>2026-05-18</t>
        </is>
      </c>
      <c r="B2391" s="196" t="inlineStr">
        <is>
          <t>JPY</t>
        </is>
      </c>
      <c r="C2391" s="196" t="inlineStr">
        <is>
          <t>YEN</t>
        </is>
      </c>
      <c r="D2391" s="184" t="n">
        <v>160.61</v>
      </c>
      <c r="E2391" s="184" t="n">
        <v>162.23</v>
      </c>
      <c r="F2391" s="184" t="n">
        <v>170.81</v>
      </c>
      <c r="G2391" s="184" t="n">
        <v>166.52</v>
      </c>
    </row>
    <row r="2392">
      <c r="A2392" s="194" t="inlineStr">
        <is>
          <t>2026-05-18</t>
        </is>
      </c>
      <c r="B2392" s="194" t="inlineStr">
        <is>
          <t>KRW</t>
        </is>
      </c>
      <c r="C2392" s="194" t="inlineStr">
        <is>
          <t>KOREAN WON</t>
        </is>
      </c>
      <c r="D2392" s="195" t="n">
        <v>15.33</v>
      </c>
      <c r="E2392" s="195" t="n">
        <v>17.03</v>
      </c>
      <c r="F2392" s="195" t="n">
        <v>18.48</v>
      </c>
      <c r="G2392" s="195" t="n">
        <v>17.76</v>
      </c>
    </row>
    <row r="2393">
      <c r="A2393" s="196" t="inlineStr">
        <is>
          <t>2026-05-18</t>
        </is>
      </c>
      <c r="B2393" s="196" t="inlineStr">
        <is>
          <t>KWD</t>
        </is>
      </c>
      <c r="C2393" s="196" t="inlineStr">
        <is>
          <t>KUWAITI DINAR</t>
        </is>
      </c>
      <c r="D2393" s="184" t="n"/>
      <c r="E2393" s="184" t="n">
        <v>85426.84</v>
      </c>
      <c r="F2393" s="184" t="n">
        <v>89567.03999999999</v>
      </c>
      <c r="G2393" s="184" t="n">
        <v>87496.94</v>
      </c>
    </row>
    <row r="2394">
      <c r="A2394" s="194" t="inlineStr">
        <is>
          <t>2026-05-18</t>
        </is>
      </c>
      <c r="B2394" s="194" t="inlineStr">
        <is>
          <t>MYR</t>
        </is>
      </c>
      <c r="C2394" s="194" t="inlineStr">
        <is>
          <t>MALAYSIAN RINGGIT</t>
        </is>
      </c>
      <c r="D2394" s="195" t="n"/>
      <c r="E2394" s="195" t="n">
        <v>6560.81</v>
      </c>
      <c r="F2394" s="195" t="n">
        <v>6703.51</v>
      </c>
      <c r="G2394" s="195" t="n">
        <v>6632.16</v>
      </c>
    </row>
    <row r="2395">
      <c r="A2395" s="196" t="inlineStr">
        <is>
          <t>2026-05-18</t>
        </is>
      </c>
      <c r="B2395" s="196" t="inlineStr">
        <is>
          <t>NOK</t>
        </is>
      </c>
      <c r="C2395" s="196" t="inlineStr">
        <is>
          <t>NORWEGIAN KRONER</t>
        </is>
      </c>
      <c r="D2395" s="184" t="n"/>
      <c r="E2395" s="184" t="n">
        <v>2771.57</v>
      </c>
      <c r="F2395" s="184" t="n">
        <v>2889.07</v>
      </c>
      <c r="G2395" s="184" t="n">
        <v>2830.32</v>
      </c>
    </row>
    <row r="2396">
      <c r="A2396" s="194" t="inlineStr">
        <is>
          <t>2026-05-18</t>
        </is>
      </c>
      <c r="B2396" s="194" t="inlineStr">
        <is>
          <t>RUB</t>
        </is>
      </c>
      <c r="C2396" s="194" t="inlineStr">
        <is>
          <t>RUSSIAN RUBLE</t>
        </is>
      </c>
      <c r="D2396" s="195" t="n"/>
      <c r="E2396" s="195" t="n">
        <v>344.37</v>
      </c>
      <c r="F2396" s="195" t="n">
        <v>381.2</v>
      </c>
      <c r="G2396" s="195" t="n">
        <v>362.78</v>
      </c>
    </row>
    <row r="2397">
      <c r="A2397" s="196" t="inlineStr">
        <is>
          <t>2026-05-18</t>
        </is>
      </c>
      <c r="B2397" s="196" t="inlineStr">
        <is>
          <t>SAR</t>
        </is>
      </c>
      <c r="C2397" s="196" t="inlineStr">
        <is>
          <t>SAUDI RIAL</t>
        </is>
      </c>
      <c r="D2397" s="184" t="n"/>
      <c r="E2397" s="184" t="n">
        <v>6984.58</v>
      </c>
      <c r="F2397" s="184" t="n">
        <v>7285.15</v>
      </c>
      <c r="G2397" s="184" t="n">
        <v>7134.86</v>
      </c>
    </row>
    <row r="2398">
      <c r="A2398" s="194" t="inlineStr">
        <is>
          <t>2026-05-18</t>
        </is>
      </c>
      <c r="B2398" s="194" t="inlineStr">
        <is>
          <t>SEK</t>
        </is>
      </c>
      <c r="C2398" s="194" t="inlineStr">
        <is>
          <t>SWEDISH KRONA</t>
        </is>
      </c>
      <c r="D2398" s="195" t="n"/>
      <c r="E2398" s="195" t="n">
        <v>2727.83</v>
      </c>
      <c r="F2398" s="195" t="n">
        <v>2843.48</v>
      </c>
      <c r="G2398" s="195" t="n">
        <v>2785.66</v>
      </c>
    </row>
    <row r="2399">
      <c r="A2399" s="196" t="inlineStr">
        <is>
          <t>2026-05-18</t>
        </is>
      </c>
      <c r="B2399" s="196" t="inlineStr">
        <is>
          <t>SGD</t>
        </is>
      </c>
      <c r="C2399" s="196" t="inlineStr">
        <is>
          <t>SINGAPORE DOLLAR</t>
        </is>
      </c>
      <c r="D2399" s="184" t="n">
        <v>20032.74</v>
      </c>
      <c r="E2399" s="184" t="n">
        <v>20235.09</v>
      </c>
      <c r="F2399" s="184" t="n">
        <v>20924.87</v>
      </c>
      <c r="G2399" s="184" t="n">
        <v>20579.98</v>
      </c>
    </row>
    <row r="2400">
      <c r="A2400" s="194" t="inlineStr">
        <is>
          <t>2026-05-18</t>
        </is>
      </c>
      <c r="B2400" s="194" t="inlineStr">
        <is>
          <t>THB</t>
        </is>
      </c>
      <c r="C2400" s="194" t="inlineStr">
        <is>
          <t>THAILAND BAHT</t>
        </is>
      </c>
      <c r="D2400" s="195" t="n">
        <v>710.52</v>
      </c>
      <c r="E2400" s="195" t="n">
        <v>789.47</v>
      </c>
      <c r="F2400" s="195" t="n">
        <v>822.9400000000001</v>
      </c>
      <c r="G2400" s="195" t="n">
        <v>806.2</v>
      </c>
    </row>
    <row r="2401">
      <c r="A2401" s="196" t="inlineStr">
        <is>
          <t>2026-05-18</t>
        </is>
      </c>
      <c r="B2401" s="196" t="inlineStr">
        <is>
          <t>USD</t>
        </is>
      </c>
      <c r="C2401" s="196" t="inlineStr">
        <is>
          <t>US DOLLAR</t>
        </is>
      </c>
      <c r="D2401" s="184" t="n">
        <v>26107</v>
      </c>
      <c r="E2401" s="184" t="n">
        <v>26137</v>
      </c>
      <c r="F2401" s="184" t="n">
        <v>26387</v>
      </c>
      <c r="G2401" s="184" t="n">
        <v>26262</v>
      </c>
    </row>
    <row r="2402">
      <c r="A2402" s="194" t="inlineStr">
        <is>
          <t>2026-05-17</t>
        </is>
      </c>
      <c r="B2402" s="194" t="inlineStr">
        <is>
          <t>AUD</t>
        </is>
      </c>
      <c r="C2402" s="194" t="inlineStr">
        <is>
          <t>AUSTRALIAN DOLLAR</t>
        </is>
      </c>
      <c r="D2402" s="195" t="n">
        <v>18380.51</v>
      </c>
      <c r="E2402" s="195" t="n">
        <v>18566.17</v>
      </c>
      <c r="F2402" s="195" t="n">
        <v>19160.69</v>
      </c>
      <c r="G2402" s="195" t="n">
        <v>18863.43</v>
      </c>
    </row>
    <row r="2403">
      <c r="A2403" s="196" t="inlineStr">
        <is>
          <t>2026-05-17</t>
        </is>
      </c>
      <c r="B2403" s="196" t="inlineStr">
        <is>
          <t>CAD</t>
        </is>
      </c>
      <c r="C2403" s="196" t="inlineStr">
        <is>
          <t>CANADIAN DOLLAR</t>
        </is>
      </c>
      <c r="D2403" s="184" t="n">
        <v>18685.89</v>
      </c>
      <c r="E2403" s="184" t="n">
        <v>18874.64</v>
      </c>
      <c r="F2403" s="184" t="n">
        <v>19479.04</v>
      </c>
      <c r="G2403" s="184" t="n">
        <v>19176.84</v>
      </c>
    </row>
    <row r="2404">
      <c r="A2404" s="194" t="inlineStr">
        <is>
          <t>2026-05-17</t>
        </is>
      </c>
      <c r="B2404" s="194" t="inlineStr">
        <is>
          <t>CHF</t>
        </is>
      </c>
      <c r="C2404" s="194" t="inlineStr">
        <is>
          <t>SWISS FRANC</t>
        </is>
      </c>
      <c r="D2404" s="195" t="n">
        <v>32690.2</v>
      </c>
      <c r="E2404" s="195" t="n">
        <v>33020.41</v>
      </c>
      <c r="F2404" s="195" t="n">
        <v>34077.78</v>
      </c>
      <c r="G2404" s="195" t="n">
        <v>33549.1</v>
      </c>
    </row>
    <row r="2405">
      <c r="A2405" s="196" t="inlineStr">
        <is>
          <t>2026-05-17</t>
        </is>
      </c>
      <c r="B2405" s="196" t="inlineStr">
        <is>
          <t>CNY</t>
        </is>
      </c>
      <c r="C2405" s="196" t="inlineStr">
        <is>
          <t>YUAN RENMINBI</t>
        </is>
      </c>
      <c r="D2405" s="184" t="n">
        <v>3776.29</v>
      </c>
      <c r="E2405" s="184" t="n">
        <v>3814.43</v>
      </c>
      <c r="F2405" s="184" t="n">
        <v>3936.58</v>
      </c>
      <c r="G2405" s="184" t="n">
        <v>3875.5</v>
      </c>
    </row>
    <row r="2406">
      <c r="A2406" s="194" t="inlineStr">
        <is>
          <t>2026-05-17</t>
        </is>
      </c>
      <c r="B2406" s="194" t="inlineStr">
        <is>
          <t>DKK</t>
        </is>
      </c>
      <c r="C2406" s="194" t="inlineStr">
        <is>
          <t>DANISH KRONE</t>
        </is>
      </c>
      <c r="D2406" s="195" t="n"/>
      <c r="E2406" s="195" t="n">
        <v>4028.38</v>
      </c>
      <c r="F2406" s="195" t="n">
        <v>4182.4</v>
      </c>
      <c r="G2406" s="195" t="n">
        <v>4105.39</v>
      </c>
    </row>
    <row r="2407">
      <c r="A2407" s="196" t="inlineStr">
        <is>
          <t>2026-05-17</t>
        </is>
      </c>
      <c r="B2407" s="196" t="inlineStr">
        <is>
          <t>EUR</t>
        </is>
      </c>
      <c r="C2407" s="196" t="inlineStr">
        <is>
          <t>EURO</t>
        </is>
      </c>
      <c r="D2407" s="184" t="n">
        <v>29882.45</v>
      </c>
      <c r="E2407" s="184" t="n">
        <v>30184.3</v>
      </c>
      <c r="F2407" s="184" t="n">
        <v>31457.75</v>
      </c>
      <c r="G2407" s="184" t="n">
        <v>30821.02</v>
      </c>
    </row>
    <row r="2408">
      <c r="A2408" s="194" t="inlineStr">
        <is>
          <t>2026-05-17</t>
        </is>
      </c>
      <c r="B2408" s="194" t="inlineStr">
        <is>
          <t>GBP</t>
        </is>
      </c>
      <c r="C2408" s="194" t="inlineStr">
        <is>
          <t>POUND STERLING</t>
        </is>
      </c>
      <c r="D2408" s="195" t="n">
        <v>34284.94</v>
      </c>
      <c r="E2408" s="195" t="n">
        <v>34631.25</v>
      </c>
      <c r="F2408" s="195" t="n">
        <v>35740.2</v>
      </c>
      <c r="G2408" s="195" t="n">
        <v>35185.72</v>
      </c>
    </row>
    <row r="2409">
      <c r="A2409" s="196" t="inlineStr">
        <is>
          <t>2026-05-17</t>
        </is>
      </c>
      <c r="B2409" s="196" t="inlineStr">
        <is>
          <t>HKD</t>
        </is>
      </c>
      <c r="C2409" s="196" t="inlineStr">
        <is>
          <t>HONGKONG DOLLAR</t>
        </is>
      </c>
      <c r="D2409" s="184" t="n">
        <v>3271.54</v>
      </c>
      <c r="E2409" s="184" t="n">
        <v>3304.59</v>
      </c>
      <c r="F2409" s="184" t="n">
        <v>3430.94</v>
      </c>
      <c r="G2409" s="184" t="n">
        <v>3367.77</v>
      </c>
    </row>
    <row r="2410">
      <c r="A2410" s="194" t="inlineStr">
        <is>
          <t>2026-05-17</t>
        </is>
      </c>
      <c r="B2410" s="194" t="inlineStr">
        <is>
          <t>INR</t>
        </is>
      </c>
      <c r="C2410" s="194" t="inlineStr">
        <is>
          <t>INDIAN RUPEE</t>
        </is>
      </c>
      <c r="D2410" s="195" t="n"/>
      <c r="E2410" s="195" t="n">
        <v>273.25</v>
      </c>
      <c r="F2410" s="195" t="n">
        <v>285.01</v>
      </c>
      <c r="G2410" s="195" t="n">
        <v>279.13</v>
      </c>
    </row>
    <row r="2411">
      <c r="A2411" s="196" t="inlineStr">
        <is>
          <t>2026-05-17</t>
        </is>
      </c>
      <c r="B2411" s="196" t="inlineStr">
        <is>
          <t>JPY</t>
        </is>
      </c>
      <c r="C2411" s="196" t="inlineStr">
        <is>
          <t>YEN</t>
        </is>
      </c>
      <c r="D2411" s="184" t="n">
        <v>160.53</v>
      </c>
      <c r="E2411" s="184" t="n">
        <v>162.15</v>
      </c>
      <c r="F2411" s="184" t="n">
        <v>170.72</v>
      </c>
      <c r="G2411" s="184" t="n">
        <v>166.44</v>
      </c>
    </row>
    <row r="2412">
      <c r="A2412" s="194" t="inlineStr">
        <is>
          <t>2026-05-17</t>
        </is>
      </c>
      <c r="B2412" s="194" t="inlineStr">
        <is>
          <t>KRW</t>
        </is>
      </c>
      <c r="C2412" s="194" t="inlineStr">
        <is>
          <t>KOREAN WON</t>
        </is>
      </c>
      <c r="D2412" s="195" t="n">
        <v>15.18</v>
      </c>
      <c r="E2412" s="195" t="n">
        <v>16.87</v>
      </c>
      <c r="F2412" s="195" t="n">
        <v>18.3</v>
      </c>
      <c r="G2412" s="195" t="n">
        <v>17.58</v>
      </c>
    </row>
    <row r="2413">
      <c r="A2413" s="196" t="inlineStr">
        <is>
          <t>2026-05-17</t>
        </is>
      </c>
      <c r="B2413" s="196" t="inlineStr">
        <is>
          <t>KWD</t>
        </is>
      </c>
      <c r="C2413" s="196" t="inlineStr">
        <is>
          <t>KUWAITI DINAR</t>
        </is>
      </c>
      <c r="D2413" s="184" t="n"/>
      <c r="E2413" s="184" t="n">
        <v>85566.28999999999</v>
      </c>
      <c r="F2413" s="184" t="n">
        <v>89713.24000000001</v>
      </c>
      <c r="G2413" s="184" t="n">
        <v>87639.75999999999</v>
      </c>
    </row>
    <row r="2414">
      <c r="A2414" s="194" t="inlineStr">
        <is>
          <t>2026-05-17</t>
        </is>
      </c>
      <c r="B2414" s="194" t="inlineStr">
        <is>
          <t>MYR</t>
        </is>
      </c>
      <c r="C2414" s="194" t="inlineStr">
        <is>
          <t>MALAYSIAN RINGGIT</t>
        </is>
      </c>
      <c r="D2414" s="195" t="n"/>
      <c r="E2414" s="195" t="n">
        <v>6607.35</v>
      </c>
      <c r="F2414" s="195" t="n">
        <v>6751.07</v>
      </c>
      <c r="G2414" s="195" t="n">
        <v>6679.21</v>
      </c>
    </row>
    <row r="2415">
      <c r="A2415" s="196" t="inlineStr">
        <is>
          <t>2026-05-17</t>
        </is>
      </c>
      <c r="B2415" s="196" t="inlineStr">
        <is>
          <t>NOK</t>
        </is>
      </c>
      <c r="C2415" s="196" t="inlineStr">
        <is>
          <t>NORWEGIAN KRONER</t>
        </is>
      </c>
      <c r="D2415" s="184" t="n"/>
      <c r="E2415" s="184" t="n">
        <v>2773.89</v>
      </c>
      <c r="F2415" s="184" t="n">
        <v>2891.49</v>
      </c>
      <c r="G2415" s="184" t="n">
        <v>2832.69</v>
      </c>
    </row>
    <row r="2416">
      <c r="A2416" s="194" t="inlineStr">
        <is>
          <t>2026-05-17</t>
        </is>
      </c>
      <c r="B2416" s="194" t="inlineStr">
        <is>
          <t>RUB</t>
        </is>
      </c>
      <c r="C2416" s="194" t="inlineStr">
        <is>
          <t>RUSSIAN RUBLE</t>
        </is>
      </c>
      <c r="D2416" s="195" t="n"/>
      <c r="E2416" s="195" t="n">
        <v>341.3</v>
      </c>
      <c r="F2416" s="195" t="n">
        <v>377.8</v>
      </c>
      <c r="G2416" s="195" t="n">
        <v>359.55</v>
      </c>
    </row>
    <row r="2417">
      <c r="A2417" s="196" t="inlineStr">
        <is>
          <t>2026-05-17</t>
        </is>
      </c>
      <c r="B2417" s="196" t="inlineStr">
        <is>
          <t>SAR</t>
        </is>
      </c>
      <c r="C2417" s="196" t="inlineStr">
        <is>
          <t>SAUDI RIAL</t>
        </is>
      </c>
      <c r="D2417" s="184" t="n"/>
      <c r="E2417" s="184" t="n">
        <v>6984.4</v>
      </c>
      <c r="F2417" s="184" t="n">
        <v>7284.95</v>
      </c>
      <c r="G2417" s="184" t="n">
        <v>7134.67</v>
      </c>
    </row>
    <row r="2418">
      <c r="A2418" s="194" t="inlineStr">
        <is>
          <t>2026-05-17</t>
        </is>
      </c>
      <c r="B2418" s="194" t="inlineStr">
        <is>
          <t>SEK</t>
        </is>
      </c>
      <c r="C2418" s="194" t="inlineStr">
        <is>
          <t>SWEDISH KRONA</t>
        </is>
      </c>
      <c r="D2418" s="195" t="n"/>
      <c r="E2418" s="195" t="n">
        <v>2738.88</v>
      </c>
      <c r="F2418" s="195" t="n">
        <v>2855</v>
      </c>
      <c r="G2418" s="195" t="n">
        <v>2796.94</v>
      </c>
    </row>
    <row r="2419">
      <c r="A2419" s="196" t="inlineStr">
        <is>
          <t>2026-05-17</t>
        </is>
      </c>
      <c r="B2419" s="196" t="inlineStr">
        <is>
          <t>SGD</t>
        </is>
      </c>
      <c r="C2419" s="196" t="inlineStr">
        <is>
          <t>SINGAPORE DOLLAR</t>
        </is>
      </c>
      <c r="D2419" s="184" t="n">
        <v>20070.34</v>
      </c>
      <c r="E2419" s="184" t="n">
        <v>20273.07</v>
      </c>
      <c r="F2419" s="184" t="n">
        <v>20964.14</v>
      </c>
      <c r="G2419" s="184" t="n">
        <v>20618.6</v>
      </c>
    </row>
    <row r="2420">
      <c r="A2420" s="194" t="inlineStr">
        <is>
          <t>2026-05-17</t>
        </is>
      </c>
      <c r="B2420" s="194" t="inlineStr">
        <is>
          <t>THB</t>
        </is>
      </c>
      <c r="C2420" s="194" t="inlineStr">
        <is>
          <t>THAILAND BAHT</t>
        </is>
      </c>
      <c r="D2420" s="195" t="n">
        <v>713.58</v>
      </c>
      <c r="E2420" s="195" t="n">
        <v>792.86</v>
      </c>
      <c r="F2420" s="195" t="n">
        <v>826.48</v>
      </c>
      <c r="G2420" s="195" t="n">
        <v>809.67</v>
      </c>
    </row>
    <row r="2421">
      <c r="A2421" s="196" t="inlineStr">
        <is>
          <t>2026-05-17</t>
        </is>
      </c>
      <c r="B2421" s="196" t="inlineStr">
        <is>
          <t>USD</t>
        </is>
      </c>
      <c r="C2421" s="196" t="inlineStr">
        <is>
          <t>US DOLLAR</t>
        </is>
      </c>
      <c r="D2421" s="184" t="n">
        <v>26107</v>
      </c>
      <c r="E2421" s="184" t="n">
        <v>26137</v>
      </c>
      <c r="F2421" s="184" t="n">
        <v>26387</v>
      </c>
      <c r="G2421" s="184" t="n">
        <v>26262</v>
      </c>
    </row>
    <row r="2422">
      <c r="A2422" s="194" t="inlineStr">
        <is>
          <t>2026-05-16</t>
        </is>
      </c>
      <c r="B2422" s="194" t="inlineStr">
        <is>
          <t>AUD</t>
        </is>
      </c>
      <c r="C2422" s="194" t="inlineStr">
        <is>
          <t>AUSTRALIAN DOLLAR</t>
        </is>
      </c>
      <c r="D2422" s="195" t="n">
        <v>18380.51</v>
      </c>
      <c r="E2422" s="195" t="n">
        <v>18566.17</v>
      </c>
      <c r="F2422" s="195" t="n">
        <v>19160.69</v>
      </c>
      <c r="G2422" s="195" t="n">
        <v>18863.43</v>
      </c>
    </row>
    <row r="2423">
      <c r="A2423" s="196" t="inlineStr">
        <is>
          <t>2026-05-16</t>
        </is>
      </c>
      <c r="B2423" s="196" t="inlineStr">
        <is>
          <t>CAD</t>
        </is>
      </c>
      <c r="C2423" s="196" t="inlineStr">
        <is>
          <t>CANADIAN DOLLAR</t>
        </is>
      </c>
      <c r="D2423" s="184" t="n">
        <v>18685.89</v>
      </c>
      <c r="E2423" s="184" t="n">
        <v>18874.64</v>
      </c>
      <c r="F2423" s="184" t="n">
        <v>19479.04</v>
      </c>
      <c r="G2423" s="184" t="n">
        <v>19176.84</v>
      </c>
    </row>
    <row r="2424">
      <c r="A2424" s="194" t="inlineStr">
        <is>
          <t>2026-05-16</t>
        </is>
      </c>
      <c r="B2424" s="194" t="inlineStr">
        <is>
          <t>CHF</t>
        </is>
      </c>
      <c r="C2424" s="194" t="inlineStr">
        <is>
          <t>SWISS FRANC</t>
        </is>
      </c>
      <c r="D2424" s="195" t="n">
        <v>32690.2</v>
      </c>
      <c r="E2424" s="195" t="n">
        <v>33020.41</v>
      </c>
      <c r="F2424" s="195" t="n">
        <v>34077.78</v>
      </c>
      <c r="G2424" s="195" t="n">
        <v>33549.1</v>
      </c>
    </row>
    <row r="2425">
      <c r="A2425" s="196" t="inlineStr">
        <is>
          <t>2026-05-16</t>
        </is>
      </c>
      <c r="B2425" s="196" t="inlineStr">
        <is>
          <t>CNY</t>
        </is>
      </c>
      <c r="C2425" s="196" t="inlineStr">
        <is>
          <t>YUAN RENMINBI</t>
        </is>
      </c>
      <c r="D2425" s="184" t="n">
        <v>3776.29</v>
      </c>
      <c r="E2425" s="184" t="n">
        <v>3814.43</v>
      </c>
      <c r="F2425" s="184" t="n">
        <v>3936.58</v>
      </c>
      <c r="G2425" s="184" t="n">
        <v>3875.5</v>
      </c>
    </row>
    <row r="2426">
      <c r="A2426" s="194" t="inlineStr">
        <is>
          <t>2026-05-16</t>
        </is>
      </c>
      <c r="B2426" s="194" t="inlineStr">
        <is>
          <t>DKK</t>
        </is>
      </c>
      <c r="C2426" s="194" t="inlineStr">
        <is>
          <t>DANISH KRONE</t>
        </is>
      </c>
      <c r="D2426" s="195" t="n"/>
      <c r="E2426" s="195" t="n">
        <v>4028.38</v>
      </c>
      <c r="F2426" s="195" t="n">
        <v>4182.4</v>
      </c>
      <c r="G2426" s="195" t="n">
        <v>4105.39</v>
      </c>
    </row>
    <row r="2427">
      <c r="A2427" s="196" t="inlineStr">
        <is>
          <t>2026-05-16</t>
        </is>
      </c>
      <c r="B2427" s="196" t="inlineStr">
        <is>
          <t>EUR</t>
        </is>
      </c>
      <c r="C2427" s="196" t="inlineStr">
        <is>
          <t>EURO</t>
        </is>
      </c>
      <c r="D2427" s="184" t="n">
        <v>29882.45</v>
      </c>
      <c r="E2427" s="184" t="n">
        <v>30184.3</v>
      </c>
      <c r="F2427" s="184" t="n">
        <v>31457.75</v>
      </c>
      <c r="G2427" s="184" t="n">
        <v>30821.02</v>
      </c>
    </row>
    <row r="2428">
      <c r="A2428" s="194" t="inlineStr">
        <is>
          <t>2026-05-16</t>
        </is>
      </c>
      <c r="B2428" s="194" t="inlineStr">
        <is>
          <t>GBP</t>
        </is>
      </c>
      <c r="C2428" s="194" t="inlineStr">
        <is>
          <t>POUND STERLING</t>
        </is>
      </c>
      <c r="D2428" s="195" t="n">
        <v>34284.94</v>
      </c>
      <c r="E2428" s="195" t="n">
        <v>34631.25</v>
      </c>
      <c r="F2428" s="195" t="n">
        <v>35740.2</v>
      </c>
      <c r="G2428" s="195" t="n">
        <v>35185.72</v>
      </c>
    </row>
    <row r="2429">
      <c r="A2429" s="196" t="inlineStr">
        <is>
          <t>2026-05-16</t>
        </is>
      </c>
      <c r="B2429" s="196" t="inlineStr">
        <is>
          <t>HKD</t>
        </is>
      </c>
      <c r="C2429" s="196" t="inlineStr">
        <is>
          <t>HONGKONG DOLLAR</t>
        </is>
      </c>
      <c r="D2429" s="184" t="n">
        <v>3271.54</v>
      </c>
      <c r="E2429" s="184" t="n">
        <v>3304.59</v>
      </c>
      <c r="F2429" s="184" t="n">
        <v>3430.94</v>
      </c>
      <c r="G2429" s="184" t="n">
        <v>3367.77</v>
      </c>
    </row>
    <row r="2430">
      <c r="A2430" s="194" t="inlineStr">
        <is>
          <t>2026-05-16</t>
        </is>
      </c>
      <c r="B2430" s="194" t="inlineStr">
        <is>
          <t>INR</t>
        </is>
      </c>
      <c r="C2430" s="194" t="inlineStr">
        <is>
          <t>INDIAN RUPEE</t>
        </is>
      </c>
      <c r="D2430" s="195" t="n"/>
      <c r="E2430" s="195" t="n">
        <v>273.25</v>
      </c>
      <c r="F2430" s="195" t="n">
        <v>285.01</v>
      </c>
      <c r="G2430" s="195" t="n">
        <v>279.13</v>
      </c>
    </row>
    <row r="2431">
      <c r="A2431" s="196" t="inlineStr">
        <is>
          <t>2026-05-16</t>
        </is>
      </c>
      <c r="B2431" s="196" t="inlineStr">
        <is>
          <t>JPY</t>
        </is>
      </c>
      <c r="C2431" s="196" t="inlineStr">
        <is>
          <t>YEN</t>
        </is>
      </c>
      <c r="D2431" s="184" t="n">
        <v>160.53</v>
      </c>
      <c r="E2431" s="184" t="n">
        <v>162.15</v>
      </c>
      <c r="F2431" s="184" t="n">
        <v>170.72</v>
      </c>
      <c r="G2431" s="184" t="n">
        <v>166.44</v>
      </c>
    </row>
    <row r="2432">
      <c r="A2432" s="194" t="inlineStr">
        <is>
          <t>2026-05-16</t>
        </is>
      </c>
      <c r="B2432" s="194" t="inlineStr">
        <is>
          <t>KRW</t>
        </is>
      </c>
      <c r="C2432" s="194" t="inlineStr">
        <is>
          <t>KOREAN WON</t>
        </is>
      </c>
      <c r="D2432" s="195" t="n">
        <v>15.18</v>
      </c>
      <c r="E2432" s="195" t="n">
        <v>16.87</v>
      </c>
      <c r="F2432" s="195" t="n">
        <v>18.3</v>
      </c>
      <c r="G2432" s="195" t="n">
        <v>17.58</v>
      </c>
    </row>
    <row r="2433">
      <c r="A2433" s="196" t="inlineStr">
        <is>
          <t>2026-05-16</t>
        </is>
      </c>
      <c r="B2433" s="196" t="inlineStr">
        <is>
          <t>KWD</t>
        </is>
      </c>
      <c r="C2433" s="196" t="inlineStr">
        <is>
          <t>KUWAITI DINAR</t>
        </is>
      </c>
      <c r="D2433" s="184" t="n"/>
      <c r="E2433" s="184" t="n">
        <v>85566.28999999999</v>
      </c>
      <c r="F2433" s="184" t="n">
        <v>89713.24000000001</v>
      </c>
      <c r="G2433" s="184" t="n">
        <v>87639.75999999999</v>
      </c>
    </row>
    <row r="2434">
      <c r="A2434" s="194" t="inlineStr">
        <is>
          <t>2026-05-16</t>
        </is>
      </c>
      <c r="B2434" s="194" t="inlineStr">
        <is>
          <t>MYR</t>
        </is>
      </c>
      <c r="C2434" s="194" t="inlineStr">
        <is>
          <t>MALAYSIAN RINGGIT</t>
        </is>
      </c>
      <c r="D2434" s="195" t="n"/>
      <c r="E2434" s="195" t="n">
        <v>6607.35</v>
      </c>
      <c r="F2434" s="195" t="n">
        <v>6751.07</v>
      </c>
      <c r="G2434" s="195" t="n">
        <v>6679.21</v>
      </c>
    </row>
    <row r="2435">
      <c r="A2435" s="196" t="inlineStr">
        <is>
          <t>2026-05-16</t>
        </is>
      </c>
      <c r="B2435" s="196" t="inlineStr">
        <is>
          <t>NOK</t>
        </is>
      </c>
      <c r="C2435" s="196" t="inlineStr">
        <is>
          <t>NORWEGIAN KRONER</t>
        </is>
      </c>
      <c r="D2435" s="184" t="n"/>
      <c r="E2435" s="184" t="n">
        <v>2773.89</v>
      </c>
      <c r="F2435" s="184" t="n">
        <v>2891.49</v>
      </c>
      <c r="G2435" s="184" t="n">
        <v>2832.69</v>
      </c>
    </row>
    <row r="2436">
      <c r="A2436" s="194" t="inlineStr">
        <is>
          <t>2026-05-16</t>
        </is>
      </c>
      <c r="B2436" s="194" t="inlineStr">
        <is>
          <t>RUB</t>
        </is>
      </c>
      <c r="C2436" s="194" t="inlineStr">
        <is>
          <t>RUSSIAN RUBLE</t>
        </is>
      </c>
      <c r="D2436" s="195" t="n"/>
      <c r="E2436" s="195" t="n">
        <v>341.3</v>
      </c>
      <c r="F2436" s="195" t="n">
        <v>377.8</v>
      </c>
      <c r="G2436" s="195" t="n">
        <v>359.55</v>
      </c>
    </row>
    <row r="2437">
      <c r="A2437" s="196" t="inlineStr">
        <is>
          <t>2026-05-16</t>
        </is>
      </c>
      <c r="B2437" s="196" t="inlineStr">
        <is>
          <t>SAR</t>
        </is>
      </c>
      <c r="C2437" s="196" t="inlineStr">
        <is>
          <t>SAUDI RIAL</t>
        </is>
      </c>
      <c r="D2437" s="184" t="n"/>
      <c r="E2437" s="184" t="n">
        <v>6984.4</v>
      </c>
      <c r="F2437" s="184" t="n">
        <v>7284.95</v>
      </c>
      <c r="G2437" s="184" t="n">
        <v>7134.67</v>
      </c>
    </row>
    <row r="2438">
      <c r="A2438" s="194" t="inlineStr">
        <is>
          <t>2026-05-16</t>
        </is>
      </c>
      <c r="B2438" s="194" t="inlineStr">
        <is>
          <t>SEK</t>
        </is>
      </c>
      <c r="C2438" s="194" t="inlineStr">
        <is>
          <t>SWEDISH KRONA</t>
        </is>
      </c>
      <c r="D2438" s="195" t="n"/>
      <c r="E2438" s="195" t="n">
        <v>2738.88</v>
      </c>
      <c r="F2438" s="195" t="n">
        <v>2855</v>
      </c>
      <c r="G2438" s="195" t="n">
        <v>2796.94</v>
      </c>
    </row>
    <row r="2439">
      <c r="A2439" s="196" t="inlineStr">
        <is>
          <t>2026-05-16</t>
        </is>
      </c>
      <c r="B2439" s="196" t="inlineStr">
        <is>
          <t>SGD</t>
        </is>
      </c>
      <c r="C2439" s="196" t="inlineStr">
        <is>
          <t>SINGAPORE DOLLAR</t>
        </is>
      </c>
      <c r="D2439" s="184" t="n">
        <v>20070.34</v>
      </c>
      <c r="E2439" s="184" t="n">
        <v>20273.07</v>
      </c>
      <c r="F2439" s="184" t="n">
        <v>20964.14</v>
      </c>
      <c r="G2439" s="184" t="n">
        <v>20618.6</v>
      </c>
    </row>
    <row r="2440">
      <c r="A2440" s="194" t="inlineStr">
        <is>
          <t>2026-05-16</t>
        </is>
      </c>
      <c r="B2440" s="194" t="inlineStr">
        <is>
          <t>THB</t>
        </is>
      </c>
      <c r="C2440" s="194" t="inlineStr">
        <is>
          <t>THAILAND BAHT</t>
        </is>
      </c>
      <c r="D2440" s="195" t="n">
        <v>713.58</v>
      </c>
      <c r="E2440" s="195" t="n">
        <v>792.86</v>
      </c>
      <c r="F2440" s="195" t="n">
        <v>826.48</v>
      </c>
      <c r="G2440" s="195" t="n">
        <v>809.67</v>
      </c>
    </row>
    <row r="2441">
      <c r="A2441" s="196" t="inlineStr">
        <is>
          <t>2026-05-16</t>
        </is>
      </c>
      <c r="B2441" s="196" t="inlineStr">
        <is>
          <t>USD</t>
        </is>
      </c>
      <c r="C2441" s="196" t="inlineStr">
        <is>
          <t>US DOLLAR</t>
        </is>
      </c>
      <c r="D2441" s="184" t="n">
        <v>26107</v>
      </c>
      <c r="E2441" s="184" t="n">
        <v>26137</v>
      </c>
      <c r="F2441" s="184" t="n">
        <v>26387</v>
      </c>
      <c r="G2441" s="184" t="n">
        <v>26262</v>
      </c>
    </row>
    <row r="2442">
      <c r="A2442" s="194" t="inlineStr">
        <is>
          <t>2026-05-15</t>
        </is>
      </c>
      <c r="B2442" s="194" t="inlineStr">
        <is>
          <t>AUD</t>
        </is>
      </c>
      <c r="C2442" s="194" t="inlineStr">
        <is>
          <t>AUSTRALIAN DOLLAR</t>
        </is>
      </c>
      <c r="D2442" s="195" t="n">
        <v>18380.51</v>
      </c>
      <c r="E2442" s="195" t="n">
        <v>18566.17</v>
      </c>
      <c r="F2442" s="195" t="n">
        <v>19160.69</v>
      </c>
      <c r="G2442" s="195" t="n">
        <v>18863.43</v>
      </c>
    </row>
    <row r="2443">
      <c r="A2443" s="196" t="inlineStr">
        <is>
          <t>2026-05-15</t>
        </is>
      </c>
      <c r="B2443" s="196" t="inlineStr">
        <is>
          <t>CAD</t>
        </is>
      </c>
      <c r="C2443" s="196" t="inlineStr">
        <is>
          <t>CANADIAN DOLLAR</t>
        </is>
      </c>
      <c r="D2443" s="184" t="n">
        <v>18685.89</v>
      </c>
      <c r="E2443" s="184" t="n">
        <v>18874.64</v>
      </c>
      <c r="F2443" s="184" t="n">
        <v>19479.04</v>
      </c>
      <c r="G2443" s="184" t="n">
        <v>19176.84</v>
      </c>
    </row>
    <row r="2444">
      <c r="A2444" s="194" t="inlineStr">
        <is>
          <t>2026-05-15</t>
        </is>
      </c>
      <c r="B2444" s="194" t="inlineStr">
        <is>
          <t>CHF</t>
        </is>
      </c>
      <c r="C2444" s="194" t="inlineStr">
        <is>
          <t>SWISS FRANC</t>
        </is>
      </c>
      <c r="D2444" s="195" t="n">
        <v>32690.2</v>
      </c>
      <c r="E2444" s="195" t="n">
        <v>33020.41</v>
      </c>
      <c r="F2444" s="195" t="n">
        <v>34077.78</v>
      </c>
      <c r="G2444" s="195" t="n">
        <v>33549.1</v>
      </c>
    </row>
    <row r="2445">
      <c r="A2445" s="196" t="inlineStr">
        <is>
          <t>2026-05-15</t>
        </is>
      </c>
      <c r="B2445" s="196" t="inlineStr">
        <is>
          <t>CNY</t>
        </is>
      </c>
      <c r="C2445" s="196" t="inlineStr">
        <is>
          <t>YUAN RENMINBI</t>
        </is>
      </c>
      <c r="D2445" s="184" t="n">
        <v>3776.29</v>
      </c>
      <c r="E2445" s="184" t="n">
        <v>3814.43</v>
      </c>
      <c r="F2445" s="184" t="n">
        <v>3936.58</v>
      </c>
      <c r="G2445" s="184" t="n">
        <v>3875.5</v>
      </c>
    </row>
    <row r="2446">
      <c r="A2446" s="194" t="inlineStr">
        <is>
          <t>2026-05-15</t>
        </is>
      </c>
      <c r="B2446" s="194" t="inlineStr">
        <is>
          <t>DKK</t>
        </is>
      </c>
      <c r="C2446" s="194" t="inlineStr">
        <is>
          <t>DANISH KRONE</t>
        </is>
      </c>
      <c r="D2446" s="195" t="n"/>
      <c r="E2446" s="195" t="n">
        <v>4028.38</v>
      </c>
      <c r="F2446" s="195" t="n">
        <v>4182.4</v>
      </c>
      <c r="G2446" s="195" t="n">
        <v>4105.39</v>
      </c>
    </row>
    <row r="2447">
      <c r="A2447" s="196" t="inlineStr">
        <is>
          <t>2026-05-15</t>
        </is>
      </c>
      <c r="B2447" s="196" t="inlineStr">
        <is>
          <t>EUR</t>
        </is>
      </c>
      <c r="C2447" s="196" t="inlineStr">
        <is>
          <t>EURO</t>
        </is>
      </c>
      <c r="D2447" s="184" t="n">
        <v>29882.45</v>
      </c>
      <c r="E2447" s="184" t="n">
        <v>30184.3</v>
      </c>
      <c r="F2447" s="184" t="n">
        <v>31457.75</v>
      </c>
      <c r="G2447" s="184" t="n">
        <v>30821.02</v>
      </c>
    </row>
    <row r="2448">
      <c r="A2448" s="194" t="inlineStr">
        <is>
          <t>2026-05-15</t>
        </is>
      </c>
      <c r="B2448" s="194" t="inlineStr">
        <is>
          <t>GBP</t>
        </is>
      </c>
      <c r="C2448" s="194" t="inlineStr">
        <is>
          <t>POUND STERLING</t>
        </is>
      </c>
      <c r="D2448" s="195" t="n">
        <v>34284.94</v>
      </c>
      <c r="E2448" s="195" t="n">
        <v>34631.25</v>
      </c>
      <c r="F2448" s="195" t="n">
        <v>35740.2</v>
      </c>
      <c r="G2448" s="195" t="n">
        <v>35185.72</v>
      </c>
    </row>
    <row r="2449">
      <c r="A2449" s="196" t="inlineStr">
        <is>
          <t>2026-05-15</t>
        </is>
      </c>
      <c r="B2449" s="196" t="inlineStr">
        <is>
          <t>HKD</t>
        </is>
      </c>
      <c r="C2449" s="196" t="inlineStr">
        <is>
          <t>HONGKONG DOLLAR</t>
        </is>
      </c>
      <c r="D2449" s="184" t="n">
        <v>3271.54</v>
      </c>
      <c r="E2449" s="184" t="n">
        <v>3304.59</v>
      </c>
      <c r="F2449" s="184" t="n">
        <v>3430.94</v>
      </c>
      <c r="G2449" s="184" t="n">
        <v>3367.77</v>
      </c>
    </row>
    <row r="2450">
      <c r="A2450" s="194" t="inlineStr">
        <is>
          <t>2026-05-15</t>
        </is>
      </c>
      <c r="B2450" s="194" t="inlineStr">
        <is>
          <t>INR</t>
        </is>
      </c>
      <c r="C2450" s="194" t="inlineStr">
        <is>
          <t>INDIAN RUPEE</t>
        </is>
      </c>
      <c r="D2450" s="195" t="n"/>
      <c r="E2450" s="195" t="n">
        <v>273.25</v>
      </c>
      <c r="F2450" s="195" t="n">
        <v>285.01</v>
      </c>
      <c r="G2450" s="195" t="n">
        <v>279.13</v>
      </c>
    </row>
    <row r="2451">
      <c r="A2451" s="196" t="inlineStr">
        <is>
          <t>2026-05-15</t>
        </is>
      </c>
      <c r="B2451" s="196" t="inlineStr">
        <is>
          <t>JPY</t>
        </is>
      </c>
      <c r="C2451" s="196" t="inlineStr">
        <is>
          <t>YEN</t>
        </is>
      </c>
      <c r="D2451" s="184" t="n">
        <v>160.53</v>
      </c>
      <c r="E2451" s="184" t="n">
        <v>162.15</v>
      </c>
      <c r="F2451" s="184" t="n">
        <v>170.72</v>
      </c>
      <c r="G2451" s="184" t="n">
        <v>166.44</v>
      </c>
    </row>
    <row r="2452">
      <c r="A2452" s="194" t="inlineStr">
        <is>
          <t>2026-05-15</t>
        </is>
      </c>
      <c r="B2452" s="194" t="inlineStr">
        <is>
          <t>KRW</t>
        </is>
      </c>
      <c r="C2452" s="194" t="inlineStr">
        <is>
          <t>KOREAN WON</t>
        </is>
      </c>
      <c r="D2452" s="195" t="n">
        <v>15.18</v>
      </c>
      <c r="E2452" s="195" t="n">
        <v>16.87</v>
      </c>
      <c r="F2452" s="195" t="n">
        <v>18.3</v>
      </c>
      <c r="G2452" s="195" t="n">
        <v>17.58</v>
      </c>
    </row>
    <row r="2453">
      <c r="A2453" s="196" t="inlineStr">
        <is>
          <t>2026-05-15</t>
        </is>
      </c>
      <c r="B2453" s="196" t="inlineStr">
        <is>
          <t>KWD</t>
        </is>
      </c>
      <c r="C2453" s="196" t="inlineStr">
        <is>
          <t>KUWAITI DINAR</t>
        </is>
      </c>
      <c r="D2453" s="184" t="n"/>
      <c r="E2453" s="184" t="n">
        <v>85566.28999999999</v>
      </c>
      <c r="F2453" s="184" t="n">
        <v>89713.24000000001</v>
      </c>
      <c r="G2453" s="184" t="n">
        <v>87639.75999999999</v>
      </c>
    </row>
    <row r="2454">
      <c r="A2454" s="194" t="inlineStr">
        <is>
          <t>2026-05-15</t>
        </is>
      </c>
      <c r="B2454" s="194" t="inlineStr">
        <is>
          <t>MYR</t>
        </is>
      </c>
      <c r="C2454" s="194" t="inlineStr">
        <is>
          <t>MALAYSIAN RINGGIT</t>
        </is>
      </c>
      <c r="D2454" s="195" t="n"/>
      <c r="E2454" s="195" t="n">
        <v>6607.35</v>
      </c>
      <c r="F2454" s="195" t="n">
        <v>6751.07</v>
      </c>
      <c r="G2454" s="195" t="n">
        <v>6679.21</v>
      </c>
    </row>
    <row r="2455">
      <c r="A2455" s="196" t="inlineStr">
        <is>
          <t>2026-05-15</t>
        </is>
      </c>
      <c r="B2455" s="196" t="inlineStr">
        <is>
          <t>NOK</t>
        </is>
      </c>
      <c r="C2455" s="196" t="inlineStr">
        <is>
          <t>NORWEGIAN KRONER</t>
        </is>
      </c>
      <c r="D2455" s="184" t="n"/>
      <c r="E2455" s="184" t="n">
        <v>2773.89</v>
      </c>
      <c r="F2455" s="184" t="n">
        <v>2891.49</v>
      </c>
      <c r="G2455" s="184" t="n">
        <v>2832.69</v>
      </c>
    </row>
    <row r="2456">
      <c r="A2456" s="194" t="inlineStr">
        <is>
          <t>2026-05-15</t>
        </is>
      </c>
      <c r="B2456" s="194" t="inlineStr">
        <is>
          <t>RUB</t>
        </is>
      </c>
      <c r="C2456" s="194" t="inlineStr">
        <is>
          <t>RUSSIAN RUBLE</t>
        </is>
      </c>
      <c r="D2456" s="195" t="n"/>
      <c r="E2456" s="195" t="n">
        <v>341.3</v>
      </c>
      <c r="F2456" s="195" t="n">
        <v>377.8</v>
      </c>
      <c r="G2456" s="195" t="n">
        <v>359.55</v>
      </c>
    </row>
    <row r="2457">
      <c r="A2457" s="196" t="inlineStr">
        <is>
          <t>2026-05-15</t>
        </is>
      </c>
      <c r="B2457" s="196" t="inlineStr">
        <is>
          <t>SAR</t>
        </is>
      </c>
      <c r="C2457" s="196" t="inlineStr">
        <is>
          <t>SAUDI RIAL</t>
        </is>
      </c>
      <c r="D2457" s="184" t="n"/>
      <c r="E2457" s="184" t="n">
        <v>6984.4</v>
      </c>
      <c r="F2457" s="184" t="n">
        <v>7284.95</v>
      </c>
      <c r="G2457" s="184" t="n">
        <v>7134.67</v>
      </c>
    </row>
    <row r="2458">
      <c r="A2458" s="194" t="inlineStr">
        <is>
          <t>2026-05-15</t>
        </is>
      </c>
      <c r="B2458" s="194" t="inlineStr">
        <is>
          <t>SEK</t>
        </is>
      </c>
      <c r="C2458" s="194" t="inlineStr">
        <is>
          <t>SWEDISH KRONA</t>
        </is>
      </c>
      <c r="D2458" s="195" t="n"/>
      <c r="E2458" s="195" t="n">
        <v>2738.88</v>
      </c>
      <c r="F2458" s="195" t="n">
        <v>2855</v>
      </c>
      <c r="G2458" s="195" t="n">
        <v>2796.94</v>
      </c>
    </row>
    <row r="2459">
      <c r="A2459" s="196" t="inlineStr">
        <is>
          <t>2026-05-15</t>
        </is>
      </c>
      <c r="B2459" s="196" t="inlineStr">
        <is>
          <t>SGD</t>
        </is>
      </c>
      <c r="C2459" s="196" t="inlineStr">
        <is>
          <t>SINGAPORE DOLLAR</t>
        </is>
      </c>
      <c r="D2459" s="184" t="n">
        <v>20070.34</v>
      </c>
      <c r="E2459" s="184" t="n">
        <v>20273.07</v>
      </c>
      <c r="F2459" s="184" t="n">
        <v>20964.14</v>
      </c>
      <c r="G2459" s="184" t="n">
        <v>20618.6</v>
      </c>
    </row>
    <row r="2460">
      <c r="A2460" s="194" t="inlineStr">
        <is>
          <t>2026-05-15</t>
        </is>
      </c>
      <c r="B2460" s="194" t="inlineStr">
        <is>
          <t>THB</t>
        </is>
      </c>
      <c r="C2460" s="194" t="inlineStr">
        <is>
          <t>THAILAND BAHT</t>
        </is>
      </c>
      <c r="D2460" s="195" t="n">
        <v>713.58</v>
      </c>
      <c r="E2460" s="195" t="n">
        <v>792.86</v>
      </c>
      <c r="F2460" s="195" t="n">
        <v>826.48</v>
      </c>
      <c r="G2460" s="195" t="n">
        <v>809.67</v>
      </c>
    </row>
    <row r="2461">
      <c r="A2461" s="196" t="inlineStr">
        <is>
          <t>2026-05-15</t>
        </is>
      </c>
      <c r="B2461" s="196" t="inlineStr">
        <is>
          <t>USD</t>
        </is>
      </c>
      <c r="C2461" s="196" t="inlineStr">
        <is>
          <t>US DOLLAR</t>
        </is>
      </c>
      <c r="D2461" s="184" t="n">
        <v>26107</v>
      </c>
      <c r="E2461" s="184" t="n">
        <v>26137</v>
      </c>
      <c r="F2461" s="184" t="n">
        <v>26387</v>
      </c>
      <c r="G2461" s="184" t="n">
        <v>26262</v>
      </c>
    </row>
    <row r="2462">
      <c r="A2462" s="194" t="inlineStr">
        <is>
          <t>2026-05-14</t>
        </is>
      </c>
      <c r="B2462" s="194" t="inlineStr">
        <is>
          <t>AUD</t>
        </is>
      </c>
      <c r="C2462" s="194" t="inlineStr">
        <is>
          <t>AUSTRALIAN DOLLAR</t>
        </is>
      </c>
      <c r="D2462" s="195" t="n">
        <v>18614.88</v>
      </c>
      <c r="E2462" s="195" t="n">
        <v>18802.91</v>
      </c>
      <c r="F2462" s="195" t="n">
        <v>19405.02</v>
      </c>
      <c r="G2462" s="195" t="n">
        <v>19103.96</v>
      </c>
    </row>
    <row r="2463">
      <c r="A2463" s="196" t="inlineStr">
        <is>
          <t>2026-05-14</t>
        </is>
      </c>
      <c r="B2463" s="196" t="inlineStr">
        <is>
          <t>CAD</t>
        </is>
      </c>
      <c r="C2463" s="196" t="inlineStr">
        <is>
          <t>CANADIAN DOLLAR</t>
        </is>
      </c>
      <c r="D2463" s="184" t="n">
        <v>18737.4</v>
      </c>
      <c r="E2463" s="184" t="n">
        <v>18926.66</v>
      </c>
      <c r="F2463" s="184" t="n">
        <v>19532.74</v>
      </c>
      <c r="G2463" s="184" t="n">
        <v>19229.7</v>
      </c>
    </row>
    <row r="2464">
      <c r="A2464" s="194" t="inlineStr">
        <is>
          <t>2026-05-14</t>
        </is>
      </c>
      <c r="B2464" s="194" t="inlineStr">
        <is>
          <t>CHF</t>
        </is>
      </c>
      <c r="C2464" s="194" t="inlineStr">
        <is>
          <t>SWISS FRANC</t>
        </is>
      </c>
      <c r="D2464" s="195" t="n">
        <v>32865.98</v>
      </c>
      <c r="E2464" s="195" t="n">
        <v>33197.96</v>
      </c>
      <c r="F2464" s="195" t="n">
        <v>34261.04</v>
      </c>
      <c r="G2464" s="195" t="n">
        <v>33729.5</v>
      </c>
    </row>
    <row r="2465">
      <c r="A2465" s="196" t="inlineStr">
        <is>
          <t>2026-05-14</t>
        </is>
      </c>
      <c r="B2465" s="196" t="inlineStr">
        <is>
          <t>CNY</t>
        </is>
      </c>
      <c r="C2465" s="196" t="inlineStr">
        <is>
          <t>YUAN RENMINBI</t>
        </is>
      </c>
      <c r="D2465" s="184" t="n">
        <v>3784.14</v>
      </c>
      <c r="E2465" s="184" t="n">
        <v>3822.37</v>
      </c>
      <c r="F2465" s="184" t="n">
        <v>3944.77</v>
      </c>
      <c r="G2465" s="184" t="n">
        <v>3883.57</v>
      </c>
    </row>
    <row r="2466">
      <c r="A2466" s="194" t="inlineStr">
        <is>
          <t>2026-05-14</t>
        </is>
      </c>
      <c r="B2466" s="194" t="inlineStr">
        <is>
          <t>DKK</t>
        </is>
      </c>
      <c r="C2466" s="194" t="inlineStr">
        <is>
          <t>DANISH KRONE</t>
        </is>
      </c>
      <c r="D2466" s="195" t="n"/>
      <c r="E2466" s="195" t="n">
        <v>4054.5</v>
      </c>
      <c r="F2466" s="195" t="n">
        <v>4209.52</v>
      </c>
      <c r="G2466" s="195" t="n">
        <v>4132.01</v>
      </c>
    </row>
    <row r="2467">
      <c r="A2467" s="196" t="inlineStr">
        <is>
          <t>2026-05-14</t>
        </is>
      </c>
      <c r="B2467" s="196" t="inlineStr">
        <is>
          <t>EUR</t>
        </is>
      </c>
      <c r="C2467" s="196" t="inlineStr">
        <is>
          <t>EURO</t>
        </is>
      </c>
      <c r="D2467" s="184" t="n">
        <v>30073.95</v>
      </c>
      <c r="E2467" s="184" t="n">
        <v>30377.72</v>
      </c>
      <c r="F2467" s="184" t="n">
        <v>31659.36</v>
      </c>
      <c r="G2467" s="184" t="n">
        <v>31018.54</v>
      </c>
    </row>
    <row r="2468">
      <c r="A2468" s="194" t="inlineStr">
        <is>
          <t>2026-05-14</t>
        </is>
      </c>
      <c r="B2468" s="194" t="inlineStr">
        <is>
          <t>GBP</t>
        </is>
      </c>
      <c r="C2468" s="194" t="inlineStr">
        <is>
          <t>POUND STERLING</t>
        </is>
      </c>
      <c r="D2468" s="195" t="n">
        <v>34718.68</v>
      </c>
      <c r="E2468" s="195" t="n">
        <v>35069.37</v>
      </c>
      <c r="F2468" s="195" t="n">
        <v>36192.38</v>
      </c>
      <c r="G2468" s="195" t="n">
        <v>35630.88</v>
      </c>
    </row>
    <row r="2469">
      <c r="A2469" s="196" t="inlineStr">
        <is>
          <t>2026-05-14</t>
        </is>
      </c>
      <c r="B2469" s="196" t="inlineStr">
        <is>
          <t>HKD</t>
        </is>
      </c>
      <c r="C2469" s="196" t="inlineStr">
        <is>
          <t>HONGKONG DOLLAR</t>
        </is>
      </c>
      <c r="D2469" s="184" t="n">
        <v>3270.05</v>
      </c>
      <c r="E2469" s="184" t="n">
        <v>3303.08</v>
      </c>
      <c r="F2469" s="184" t="n">
        <v>3429.37</v>
      </c>
      <c r="G2469" s="184" t="n">
        <v>3366.22</v>
      </c>
    </row>
    <row r="2470">
      <c r="A2470" s="194" t="inlineStr">
        <is>
          <t>2026-05-14</t>
        </is>
      </c>
      <c r="B2470" s="194" t="inlineStr">
        <is>
          <t>INR</t>
        </is>
      </c>
      <c r="C2470" s="194" t="inlineStr">
        <is>
          <t>INDIAN RUPEE</t>
        </is>
      </c>
      <c r="D2470" s="195" t="n"/>
      <c r="E2470" s="195" t="n">
        <v>273.79</v>
      </c>
      <c r="F2470" s="195" t="n">
        <v>285.57</v>
      </c>
      <c r="G2470" s="195" t="n">
        <v>279.68</v>
      </c>
    </row>
    <row r="2471">
      <c r="A2471" s="196" t="inlineStr">
        <is>
          <t>2026-05-14</t>
        </is>
      </c>
      <c r="B2471" s="196" t="inlineStr">
        <is>
          <t>JPY</t>
        </is>
      </c>
      <c r="C2471" s="196" t="inlineStr">
        <is>
          <t>YEN</t>
        </is>
      </c>
      <c r="D2471" s="184" t="n">
        <v>161.57</v>
      </c>
      <c r="E2471" s="184" t="n">
        <v>163.2</v>
      </c>
      <c r="F2471" s="184" t="n">
        <v>171.83</v>
      </c>
      <c r="G2471" s="184" t="n">
        <v>167.52</v>
      </c>
    </row>
    <row r="2472">
      <c r="A2472" s="194" t="inlineStr">
        <is>
          <t>2026-05-14</t>
        </is>
      </c>
      <c r="B2472" s="194" t="inlineStr">
        <is>
          <t>KRW</t>
        </is>
      </c>
      <c r="C2472" s="194" t="inlineStr">
        <is>
          <t>KOREAN WON</t>
        </is>
      </c>
      <c r="D2472" s="195" t="n">
        <v>15.29</v>
      </c>
      <c r="E2472" s="195" t="n">
        <v>16.99</v>
      </c>
      <c r="F2472" s="195" t="n">
        <v>18.44</v>
      </c>
      <c r="G2472" s="195" t="n">
        <v>17.72</v>
      </c>
    </row>
    <row r="2473">
      <c r="A2473" s="196" t="inlineStr">
        <is>
          <t>2026-05-14</t>
        </is>
      </c>
      <c r="B2473" s="196" t="inlineStr">
        <is>
          <t>KWD</t>
        </is>
      </c>
      <c r="C2473" s="196" t="inlineStr">
        <is>
          <t>KUWAITI DINAR</t>
        </is>
      </c>
      <c r="D2473" s="184" t="n"/>
      <c r="E2473" s="184" t="n">
        <v>85533.81</v>
      </c>
      <c r="F2473" s="184" t="n">
        <v>89679.24000000001</v>
      </c>
      <c r="G2473" s="184" t="n">
        <v>87606.52</v>
      </c>
    </row>
    <row r="2474">
      <c r="A2474" s="194" t="inlineStr">
        <is>
          <t>2026-05-14</t>
        </is>
      </c>
      <c r="B2474" s="194" t="inlineStr">
        <is>
          <t>MYR</t>
        </is>
      </c>
      <c r="C2474" s="194" t="inlineStr">
        <is>
          <t>MALAYSIAN RINGGIT</t>
        </is>
      </c>
      <c r="D2474" s="195" t="n"/>
      <c r="E2474" s="195" t="n">
        <v>6640.17</v>
      </c>
      <c r="F2474" s="195" t="n">
        <v>6784.61</v>
      </c>
      <c r="G2474" s="195" t="n">
        <v>6712.39</v>
      </c>
    </row>
    <row r="2475">
      <c r="A2475" s="196" t="inlineStr">
        <is>
          <t>2026-05-14</t>
        </is>
      </c>
      <c r="B2475" s="196" t="inlineStr">
        <is>
          <t>NOK</t>
        </is>
      </c>
      <c r="C2475" s="196" t="inlineStr">
        <is>
          <t>NORWEGIAN KRONER</t>
        </is>
      </c>
      <c r="D2475" s="184" t="n"/>
      <c r="E2475" s="184" t="n">
        <v>2815.42</v>
      </c>
      <c r="F2475" s="184" t="n">
        <v>2934.79</v>
      </c>
      <c r="G2475" s="184" t="n">
        <v>2875.1</v>
      </c>
    </row>
    <row r="2476">
      <c r="A2476" s="194" t="inlineStr">
        <is>
          <t>2026-05-14</t>
        </is>
      </c>
      <c r="B2476" s="194" t="inlineStr">
        <is>
          <t>RUB</t>
        </is>
      </c>
      <c r="C2476" s="194" t="inlineStr">
        <is>
          <t>RUSSIAN RUBLE</t>
        </is>
      </c>
      <c r="D2476" s="195" t="n"/>
      <c r="E2476" s="195" t="n">
        <v>340.71</v>
      </c>
      <c r="F2476" s="195" t="n">
        <v>377.15</v>
      </c>
      <c r="G2476" s="195" t="n">
        <v>358.93</v>
      </c>
    </row>
    <row r="2477">
      <c r="A2477" s="196" t="inlineStr">
        <is>
          <t>2026-05-14</t>
        </is>
      </c>
      <c r="B2477" s="196" t="inlineStr">
        <is>
          <t>SAR</t>
        </is>
      </c>
      <c r="C2477" s="196" t="inlineStr">
        <is>
          <t>SAUDI RIAL</t>
        </is>
      </c>
      <c r="D2477" s="184" t="n"/>
      <c r="E2477" s="184" t="n">
        <v>6982.86</v>
      </c>
      <c r="F2477" s="184" t="n">
        <v>7283.36</v>
      </c>
      <c r="G2477" s="184" t="n">
        <v>7133.11</v>
      </c>
    </row>
    <row r="2478">
      <c r="A2478" s="194" t="inlineStr">
        <is>
          <t>2026-05-14</t>
        </is>
      </c>
      <c r="B2478" s="194" t="inlineStr">
        <is>
          <t>SEK</t>
        </is>
      </c>
      <c r="C2478" s="194" t="inlineStr">
        <is>
          <t>SWEDISH KRONA</t>
        </is>
      </c>
      <c r="D2478" s="195" t="n"/>
      <c r="E2478" s="195" t="n">
        <v>2769.21</v>
      </c>
      <c r="F2478" s="195" t="n">
        <v>2886.62</v>
      </c>
      <c r="G2478" s="195" t="n">
        <v>2827.92</v>
      </c>
    </row>
    <row r="2479">
      <c r="A2479" s="196" t="inlineStr">
        <is>
          <t>2026-05-14</t>
        </is>
      </c>
      <c r="B2479" s="196" t="inlineStr">
        <is>
          <t>SGD</t>
        </is>
      </c>
      <c r="C2479" s="196" t="inlineStr">
        <is>
          <t>SINGAPORE DOLLAR</t>
        </is>
      </c>
      <c r="D2479" s="184" t="n">
        <v>20166.8</v>
      </c>
      <c r="E2479" s="184" t="n">
        <v>20370.5</v>
      </c>
      <c r="F2479" s="184" t="n">
        <v>21064.91</v>
      </c>
      <c r="G2479" s="184" t="n">
        <v>20717.71</v>
      </c>
    </row>
    <row r="2480">
      <c r="A2480" s="194" t="inlineStr">
        <is>
          <t>2026-05-14</t>
        </is>
      </c>
      <c r="B2480" s="194" t="inlineStr">
        <is>
          <t>THB</t>
        </is>
      </c>
      <c r="C2480" s="194" t="inlineStr">
        <is>
          <t>THAILAND BAHT</t>
        </is>
      </c>
      <c r="D2480" s="195" t="n">
        <v>719.05</v>
      </c>
      <c r="E2480" s="195" t="n">
        <v>798.9400000000001</v>
      </c>
      <c r="F2480" s="195" t="n">
        <v>832.8099999999999</v>
      </c>
      <c r="G2480" s="195" t="n">
        <v>815.88</v>
      </c>
    </row>
    <row r="2481">
      <c r="A2481" s="196" t="inlineStr">
        <is>
          <t>2026-05-14</t>
        </is>
      </c>
      <c r="B2481" s="196" t="inlineStr">
        <is>
          <t>USD</t>
        </is>
      </c>
      <c r="C2481" s="196" t="inlineStr">
        <is>
          <t>US DOLLAR</t>
        </is>
      </c>
      <c r="D2481" s="184" t="n">
        <v>26102</v>
      </c>
      <c r="E2481" s="184" t="n">
        <v>26132</v>
      </c>
      <c r="F2481" s="184" t="n">
        <v>26382</v>
      </c>
      <c r="G2481" s="184" t="n">
        <v>26257</v>
      </c>
    </row>
    <row r="2482">
      <c r="A2482" s="194" t="inlineStr">
        <is>
          <t>2026-05-13</t>
        </is>
      </c>
      <c r="B2482" s="194" t="inlineStr">
        <is>
          <t>AUD</t>
        </is>
      </c>
      <c r="C2482" s="194" t="inlineStr">
        <is>
          <t>AUSTRALIAN DOLLAR</t>
        </is>
      </c>
      <c r="D2482" s="195" t="n">
        <v>18564.18</v>
      </c>
      <c r="E2482" s="195" t="n">
        <v>18751.7</v>
      </c>
      <c r="F2482" s="195" t="n">
        <v>19352.18</v>
      </c>
      <c r="G2482" s="195" t="n">
        <v>19051.94</v>
      </c>
    </row>
    <row r="2483">
      <c r="A2483" s="196" t="inlineStr">
        <is>
          <t>2026-05-13</t>
        </is>
      </c>
      <c r="B2483" s="196" t="inlineStr">
        <is>
          <t>CAD</t>
        </is>
      </c>
      <c r="C2483" s="196" t="inlineStr">
        <is>
          <t>CANADIAN DOLLAR</t>
        </is>
      </c>
      <c r="D2483" s="184" t="n">
        <v>18742.59</v>
      </c>
      <c r="E2483" s="184" t="n">
        <v>18931.91</v>
      </c>
      <c r="F2483" s="184" t="n">
        <v>19538.16</v>
      </c>
      <c r="G2483" s="184" t="n">
        <v>19235.04</v>
      </c>
    </row>
    <row r="2484">
      <c r="A2484" s="194" t="inlineStr">
        <is>
          <t>2026-05-13</t>
        </is>
      </c>
      <c r="B2484" s="194" t="inlineStr">
        <is>
          <t>CHF</t>
        </is>
      </c>
      <c r="C2484" s="194" t="inlineStr">
        <is>
          <t>SWISS FRANC</t>
        </is>
      </c>
      <c r="D2484" s="195" t="n">
        <v>32891.38</v>
      </c>
      <c r="E2484" s="195" t="n">
        <v>33223.62</v>
      </c>
      <c r="F2484" s="195" t="n">
        <v>34287.54</v>
      </c>
      <c r="G2484" s="195" t="n">
        <v>33755.58</v>
      </c>
    </row>
    <row r="2485">
      <c r="A2485" s="196" t="inlineStr">
        <is>
          <t>2026-05-13</t>
        </is>
      </c>
      <c r="B2485" s="196" t="inlineStr">
        <is>
          <t>CNY</t>
        </is>
      </c>
      <c r="C2485" s="196" t="inlineStr">
        <is>
          <t>YUAN RENMINBI</t>
        </is>
      </c>
      <c r="D2485" s="184" t="n">
        <v>3779.7</v>
      </c>
      <c r="E2485" s="184" t="n">
        <v>3817.88</v>
      </c>
      <c r="F2485" s="184" t="n">
        <v>3940.14</v>
      </c>
      <c r="G2485" s="184" t="n">
        <v>3879.01</v>
      </c>
    </row>
    <row r="2486">
      <c r="A2486" s="194" t="inlineStr">
        <is>
          <t>2026-05-13</t>
        </is>
      </c>
      <c r="B2486" s="194" t="inlineStr">
        <is>
          <t>DKK</t>
        </is>
      </c>
      <c r="C2486" s="194" t="inlineStr">
        <is>
          <t>DANISH KRONE</t>
        </is>
      </c>
      <c r="D2486" s="195" t="n"/>
      <c r="E2486" s="195" t="n">
        <v>4061.04</v>
      </c>
      <c r="F2486" s="195" t="n">
        <v>4216.32</v>
      </c>
      <c r="G2486" s="195" t="n">
        <v>4138.68</v>
      </c>
    </row>
    <row r="2487">
      <c r="A2487" s="196" t="inlineStr">
        <is>
          <t>2026-05-13</t>
        </is>
      </c>
      <c r="B2487" s="196" t="inlineStr">
        <is>
          <t>EUR</t>
        </is>
      </c>
      <c r="C2487" s="196" t="inlineStr">
        <is>
          <t>EURO</t>
        </is>
      </c>
      <c r="D2487" s="184" t="n">
        <v>30113.86</v>
      </c>
      <c r="E2487" s="184" t="n">
        <v>30418.04</v>
      </c>
      <c r="F2487" s="184" t="n">
        <v>31701.39</v>
      </c>
      <c r="G2487" s="184" t="n">
        <v>31059.72</v>
      </c>
    </row>
    <row r="2488">
      <c r="A2488" s="194" t="inlineStr">
        <is>
          <t>2026-05-13</t>
        </is>
      </c>
      <c r="B2488" s="194" t="inlineStr">
        <is>
          <t>GBP</t>
        </is>
      </c>
      <c r="C2488" s="194" t="inlineStr">
        <is>
          <t>POUND STERLING</t>
        </is>
      </c>
      <c r="D2488" s="195" t="n">
        <v>34728.59</v>
      </c>
      <c r="E2488" s="195" t="n">
        <v>35079.39</v>
      </c>
      <c r="F2488" s="195" t="n">
        <v>36202.73</v>
      </c>
      <c r="G2488" s="195" t="n">
        <v>35641.06</v>
      </c>
    </row>
    <row r="2489">
      <c r="A2489" s="196" t="inlineStr">
        <is>
          <t>2026-05-13</t>
        </is>
      </c>
      <c r="B2489" s="196" t="inlineStr">
        <is>
          <t>HKD</t>
        </is>
      </c>
      <c r="C2489" s="196" t="inlineStr">
        <is>
          <t>HONGKONG DOLLAR</t>
        </is>
      </c>
      <c r="D2489" s="184" t="n">
        <v>3269.73</v>
      </c>
      <c r="E2489" s="184" t="n">
        <v>3302.75</v>
      </c>
      <c r="F2489" s="184" t="n">
        <v>3429.04</v>
      </c>
      <c r="G2489" s="184" t="n">
        <v>3365.9</v>
      </c>
    </row>
    <row r="2490">
      <c r="A2490" s="194" t="inlineStr">
        <is>
          <t>2026-05-13</t>
        </is>
      </c>
      <c r="B2490" s="194" t="inlineStr">
        <is>
          <t>INR</t>
        </is>
      </c>
      <c r="C2490" s="194" t="inlineStr">
        <is>
          <t>INDIAN RUPEE</t>
        </is>
      </c>
      <c r="D2490" s="195" t="n"/>
      <c r="E2490" s="195" t="n">
        <v>273.86</v>
      </c>
      <c r="F2490" s="195" t="n">
        <v>285.64</v>
      </c>
      <c r="G2490" s="195" t="n">
        <v>279.75</v>
      </c>
    </row>
    <row r="2491">
      <c r="A2491" s="196" t="inlineStr">
        <is>
          <t>2026-05-13</t>
        </is>
      </c>
      <c r="B2491" s="196" t="inlineStr">
        <is>
          <t>JPY</t>
        </is>
      </c>
      <c r="C2491" s="196" t="inlineStr">
        <is>
          <t>YEN</t>
        </is>
      </c>
      <c r="D2491" s="184" t="n">
        <v>161.19</v>
      </c>
      <c r="E2491" s="184" t="n">
        <v>162.82</v>
      </c>
      <c r="F2491" s="184" t="n">
        <v>171.43</v>
      </c>
      <c r="G2491" s="184" t="n">
        <v>167.12</v>
      </c>
    </row>
    <row r="2492">
      <c r="A2492" s="194" t="inlineStr">
        <is>
          <t>2026-05-13</t>
        </is>
      </c>
      <c r="B2492" s="194" t="inlineStr">
        <is>
          <t>KRW</t>
        </is>
      </c>
      <c r="C2492" s="194" t="inlineStr">
        <is>
          <t>KOREAN WON</t>
        </is>
      </c>
      <c r="D2492" s="195" t="n">
        <v>15.24</v>
      </c>
      <c r="E2492" s="195" t="n">
        <v>16.93</v>
      </c>
      <c r="F2492" s="195" t="n">
        <v>18.37</v>
      </c>
      <c r="G2492" s="195" t="n">
        <v>17.65</v>
      </c>
    </row>
    <row r="2493">
      <c r="A2493" s="196" t="inlineStr">
        <is>
          <t>2026-05-13</t>
        </is>
      </c>
      <c r="B2493" s="196" t="inlineStr">
        <is>
          <t>KWD</t>
        </is>
      </c>
      <c r="C2493" s="196" t="inlineStr">
        <is>
          <t>KUWAITI DINAR</t>
        </is>
      </c>
      <c r="D2493" s="184" t="n"/>
      <c r="E2493" s="184" t="n">
        <v>85529.24000000001</v>
      </c>
      <c r="F2493" s="184" t="n">
        <v>89674.5</v>
      </c>
      <c r="G2493" s="184" t="n">
        <v>87601.87</v>
      </c>
    </row>
    <row r="2494">
      <c r="A2494" s="194" t="inlineStr">
        <is>
          <t>2026-05-13</t>
        </is>
      </c>
      <c r="B2494" s="194" t="inlineStr">
        <is>
          <t>MYR</t>
        </is>
      </c>
      <c r="C2494" s="194" t="inlineStr">
        <is>
          <t>MALAYSIAN RINGGIT</t>
        </is>
      </c>
      <c r="D2494" s="195" t="n"/>
      <c r="E2494" s="195" t="n">
        <v>6630.89</v>
      </c>
      <c r="F2494" s="195" t="n">
        <v>6775.13</v>
      </c>
      <c r="G2494" s="195" t="n">
        <v>6703.01</v>
      </c>
    </row>
    <row r="2495">
      <c r="A2495" s="196" t="inlineStr">
        <is>
          <t>2026-05-13</t>
        </is>
      </c>
      <c r="B2495" s="196" t="inlineStr">
        <is>
          <t>NOK</t>
        </is>
      </c>
      <c r="C2495" s="196" t="inlineStr">
        <is>
          <t>NORWEGIAN KRONER</t>
        </is>
      </c>
      <c r="D2495" s="184" t="n"/>
      <c r="E2495" s="184" t="n">
        <v>2809.35</v>
      </c>
      <c r="F2495" s="184" t="n">
        <v>2928.47</v>
      </c>
      <c r="G2495" s="184" t="n">
        <v>2868.91</v>
      </c>
    </row>
    <row r="2496">
      <c r="A2496" s="194" t="inlineStr">
        <is>
          <t>2026-05-13</t>
        </is>
      </c>
      <c r="B2496" s="194" t="inlineStr">
        <is>
          <t>RUB</t>
        </is>
      </c>
      <c r="C2496" s="194" t="inlineStr">
        <is>
          <t>RUSSIAN RUBLE</t>
        </is>
      </c>
      <c r="D2496" s="195" t="n"/>
      <c r="E2496" s="195" t="n">
        <v>339.66</v>
      </c>
      <c r="F2496" s="195" t="n">
        <v>375.98</v>
      </c>
      <c r="G2496" s="195" t="n">
        <v>357.82</v>
      </c>
    </row>
    <row r="2497">
      <c r="A2497" s="196" t="inlineStr">
        <is>
          <t>2026-05-13</t>
        </is>
      </c>
      <c r="B2497" s="196" t="inlineStr">
        <is>
          <t>SAR</t>
        </is>
      </c>
      <c r="C2497" s="196" t="inlineStr">
        <is>
          <t>SAUDI RIAL</t>
        </is>
      </c>
      <c r="D2497" s="184" t="n"/>
      <c r="E2497" s="184" t="n">
        <v>6979.84</v>
      </c>
      <c r="F2497" s="184" t="n">
        <v>7280.21</v>
      </c>
      <c r="G2497" s="184" t="n">
        <v>7130.02</v>
      </c>
    </row>
    <row r="2498">
      <c r="A2498" s="194" t="inlineStr">
        <is>
          <t>2026-05-13</t>
        </is>
      </c>
      <c r="B2498" s="194" t="inlineStr">
        <is>
          <t>SEK</t>
        </is>
      </c>
      <c r="C2498" s="194" t="inlineStr">
        <is>
          <t>SWEDISH KRONA</t>
        </is>
      </c>
      <c r="D2498" s="195" t="n"/>
      <c r="E2498" s="195" t="n">
        <v>2775.36</v>
      </c>
      <c r="F2498" s="195" t="n">
        <v>2893.03</v>
      </c>
      <c r="G2498" s="195" t="n">
        <v>2834.2</v>
      </c>
    </row>
    <row r="2499">
      <c r="A2499" s="196" t="inlineStr">
        <is>
          <t>2026-05-13</t>
        </is>
      </c>
      <c r="B2499" s="196" t="inlineStr">
        <is>
          <t>SGD</t>
        </is>
      </c>
      <c r="C2499" s="196" t="inlineStr">
        <is>
          <t>SINGAPORE DOLLAR</t>
        </is>
      </c>
      <c r="D2499" s="184" t="n">
        <v>20165.48</v>
      </c>
      <c r="E2499" s="184" t="n">
        <v>20369.17</v>
      </c>
      <c r="F2499" s="184" t="n">
        <v>21063.55</v>
      </c>
      <c r="G2499" s="184" t="n">
        <v>20716.36</v>
      </c>
    </row>
    <row r="2500">
      <c r="A2500" s="194" t="inlineStr">
        <is>
          <t>2026-05-13</t>
        </is>
      </c>
      <c r="B2500" s="194" t="inlineStr">
        <is>
          <t>THB</t>
        </is>
      </c>
      <c r="C2500" s="194" t="inlineStr">
        <is>
          <t>THAILAND BAHT</t>
        </is>
      </c>
      <c r="D2500" s="195" t="n">
        <v>717.4400000000001</v>
      </c>
      <c r="E2500" s="195" t="n">
        <v>797.16</v>
      </c>
      <c r="F2500" s="195" t="n">
        <v>830.95</v>
      </c>
      <c r="G2500" s="195" t="n">
        <v>814.0599999999999</v>
      </c>
    </row>
    <row r="2501">
      <c r="A2501" s="196" t="inlineStr">
        <is>
          <t>2026-05-13</t>
        </is>
      </c>
      <c r="B2501" s="196" t="inlineStr">
        <is>
          <t>USD</t>
        </is>
      </c>
      <c r="C2501" s="196" t="inlineStr">
        <is>
          <t>US DOLLAR</t>
        </is>
      </c>
      <c r="D2501" s="184" t="n">
        <v>26099</v>
      </c>
      <c r="E2501" s="184" t="n">
        <v>26129</v>
      </c>
      <c r="F2501" s="184" t="n">
        <v>26379</v>
      </c>
      <c r="G2501" s="184" t="n">
        <v>26254</v>
      </c>
    </row>
    <row r="2502">
      <c r="A2502" s="194" t="inlineStr">
        <is>
          <t>2026-05-12</t>
        </is>
      </c>
      <c r="B2502" s="194" t="inlineStr">
        <is>
          <t>AUD</t>
        </is>
      </c>
      <c r="C2502" s="194" t="inlineStr">
        <is>
          <t>AUSTRALIAN DOLLAR</t>
        </is>
      </c>
      <c r="D2502" s="195" t="n">
        <v>18522.16</v>
      </c>
      <c r="E2502" s="195" t="n">
        <v>18709.25</v>
      </c>
      <c r="F2502" s="195" t="n">
        <v>19308.38</v>
      </c>
      <c r="G2502" s="195" t="n">
        <v>19008.82</v>
      </c>
    </row>
    <row r="2503">
      <c r="A2503" s="196" t="inlineStr">
        <is>
          <t>2026-05-12</t>
        </is>
      </c>
      <c r="B2503" s="196" t="inlineStr">
        <is>
          <t>CAD</t>
        </is>
      </c>
      <c r="C2503" s="196" t="inlineStr">
        <is>
          <t>CANADIAN DOLLAR</t>
        </is>
      </c>
      <c r="D2503" s="184" t="n">
        <v>18728.09</v>
      </c>
      <c r="E2503" s="184" t="n">
        <v>18917.26</v>
      </c>
      <c r="F2503" s="184" t="n">
        <v>19523.05</v>
      </c>
      <c r="G2503" s="184" t="n">
        <v>19220.16</v>
      </c>
    </row>
    <row r="2504">
      <c r="A2504" s="194" t="inlineStr">
        <is>
          <t>2026-05-12</t>
        </is>
      </c>
      <c r="B2504" s="194" t="inlineStr">
        <is>
          <t>CHF</t>
        </is>
      </c>
      <c r="C2504" s="194" t="inlineStr">
        <is>
          <t>SWISS FRANC</t>
        </is>
      </c>
      <c r="D2504" s="195" t="n">
        <v>32889.35</v>
      </c>
      <c r="E2504" s="195" t="n">
        <v>33221.56</v>
      </c>
      <c r="F2504" s="195" t="n">
        <v>34285.42</v>
      </c>
      <c r="G2504" s="195" t="n">
        <v>33753.49</v>
      </c>
    </row>
    <row r="2505">
      <c r="A2505" s="196" t="inlineStr">
        <is>
          <t>2026-05-12</t>
        </is>
      </c>
      <c r="B2505" s="196" t="inlineStr">
        <is>
          <t>CNY</t>
        </is>
      </c>
      <c r="C2505" s="196" t="inlineStr">
        <is>
          <t>YUAN RENMINBI</t>
        </is>
      </c>
      <c r="D2505" s="184" t="n">
        <v>3777.26</v>
      </c>
      <c r="E2505" s="184" t="n">
        <v>3815.41</v>
      </c>
      <c r="F2505" s="184" t="n">
        <v>3937.59</v>
      </c>
      <c r="G2505" s="184" t="n">
        <v>3876.5</v>
      </c>
    </row>
    <row r="2506">
      <c r="A2506" s="194" t="inlineStr">
        <is>
          <t>2026-05-12</t>
        </is>
      </c>
      <c r="B2506" s="194" t="inlineStr">
        <is>
          <t>DKK</t>
        </is>
      </c>
      <c r="C2506" s="194" t="inlineStr">
        <is>
          <t>DANISH KRONE</t>
        </is>
      </c>
      <c r="D2506" s="195" t="n"/>
      <c r="E2506" s="195" t="n">
        <v>4064.23</v>
      </c>
      <c r="F2506" s="195" t="n">
        <v>4219.63</v>
      </c>
      <c r="G2506" s="195" t="n">
        <v>4141.93</v>
      </c>
    </row>
    <row r="2507">
      <c r="A2507" s="196" t="inlineStr">
        <is>
          <t>2026-05-12</t>
        </is>
      </c>
      <c r="B2507" s="196" t="inlineStr">
        <is>
          <t>EUR</t>
        </is>
      </c>
      <c r="C2507" s="196" t="inlineStr">
        <is>
          <t>EURO</t>
        </is>
      </c>
      <c r="D2507" s="184" t="n">
        <v>30138.93</v>
      </c>
      <c r="E2507" s="184" t="n">
        <v>30443.36</v>
      </c>
      <c r="F2507" s="184" t="n">
        <v>31727.8</v>
      </c>
      <c r="G2507" s="184" t="n">
        <v>31085.58</v>
      </c>
    </row>
    <row r="2508">
      <c r="A2508" s="194" t="inlineStr">
        <is>
          <t>2026-05-12</t>
        </is>
      </c>
      <c r="B2508" s="194" t="inlineStr">
        <is>
          <t>GBP</t>
        </is>
      </c>
      <c r="C2508" s="194" t="inlineStr">
        <is>
          <t>POUND STERLING</t>
        </is>
      </c>
      <c r="D2508" s="195" t="n">
        <v>34711.73</v>
      </c>
      <c r="E2508" s="195" t="n">
        <v>35062.36</v>
      </c>
      <c r="F2508" s="195" t="n">
        <v>36185.16</v>
      </c>
      <c r="G2508" s="195" t="n">
        <v>35623.76</v>
      </c>
    </row>
    <row r="2509">
      <c r="A2509" s="196" t="inlineStr">
        <is>
          <t>2026-05-12</t>
        </is>
      </c>
      <c r="B2509" s="196" t="inlineStr">
        <is>
          <t>HKD</t>
        </is>
      </c>
      <c r="C2509" s="196" t="inlineStr">
        <is>
          <t>HONGKONG DOLLAR</t>
        </is>
      </c>
      <c r="D2509" s="184" t="n">
        <v>3268.81</v>
      </c>
      <c r="E2509" s="184" t="n">
        <v>3301.83</v>
      </c>
      <c r="F2509" s="184" t="n">
        <v>3428.08</v>
      </c>
      <c r="G2509" s="184" t="n">
        <v>3364.96</v>
      </c>
    </row>
    <row r="2510">
      <c r="A2510" s="194" t="inlineStr">
        <is>
          <t>2026-05-12</t>
        </is>
      </c>
      <c r="B2510" s="194" t="inlineStr">
        <is>
          <t>INR</t>
        </is>
      </c>
      <c r="C2510" s="194" t="inlineStr">
        <is>
          <t>INDIAN RUPEE</t>
        </is>
      </c>
      <c r="D2510" s="195" t="n"/>
      <c r="E2510" s="195" t="n">
        <v>273.76</v>
      </c>
      <c r="F2510" s="195" t="n">
        <v>285.54</v>
      </c>
      <c r="G2510" s="195" t="n">
        <v>279.65</v>
      </c>
    </row>
    <row r="2511">
      <c r="A2511" s="196" t="inlineStr">
        <is>
          <t>2026-05-12</t>
        </is>
      </c>
      <c r="B2511" s="196" t="inlineStr">
        <is>
          <t>JPY</t>
        </is>
      </c>
      <c r="C2511" s="196" t="inlineStr">
        <is>
          <t>YEN</t>
        </is>
      </c>
      <c r="D2511" s="184" t="n">
        <v>161.3</v>
      </c>
      <c r="E2511" s="184" t="n">
        <v>162.93</v>
      </c>
      <c r="F2511" s="184" t="n">
        <v>171.55</v>
      </c>
      <c r="G2511" s="184" t="n">
        <v>167.24</v>
      </c>
    </row>
    <row r="2512">
      <c r="A2512" s="194" t="inlineStr">
        <is>
          <t>2026-05-12</t>
        </is>
      </c>
      <c r="B2512" s="194" t="inlineStr">
        <is>
          <t>KRW</t>
        </is>
      </c>
      <c r="C2512" s="194" t="inlineStr">
        <is>
          <t>KOREAN WON</t>
        </is>
      </c>
      <c r="D2512" s="195" t="n">
        <v>15.28</v>
      </c>
      <c r="E2512" s="195" t="n">
        <v>16.98</v>
      </c>
      <c r="F2512" s="195" t="n">
        <v>18.42</v>
      </c>
      <c r="G2512" s="195" t="n">
        <v>17.7</v>
      </c>
    </row>
    <row r="2513">
      <c r="A2513" s="196" t="inlineStr">
        <is>
          <t>2026-05-12</t>
        </is>
      </c>
      <c r="B2513" s="196" t="inlineStr">
        <is>
          <t>KWD</t>
        </is>
      </c>
      <c r="C2513" s="196" t="inlineStr">
        <is>
          <t>KUWAITI DINAR</t>
        </is>
      </c>
      <c r="D2513" s="184" t="n"/>
      <c r="E2513" s="184" t="n">
        <v>85513</v>
      </c>
      <c r="F2513" s="184" t="n">
        <v>89657.5</v>
      </c>
      <c r="G2513" s="184" t="n">
        <v>87585.25</v>
      </c>
    </row>
    <row r="2514">
      <c r="A2514" s="194" t="inlineStr">
        <is>
          <t>2026-05-12</t>
        </is>
      </c>
      <c r="B2514" s="194" t="inlineStr">
        <is>
          <t>MYR</t>
        </is>
      </c>
      <c r="C2514" s="194" t="inlineStr">
        <is>
          <t>MALAYSIAN RINGGIT</t>
        </is>
      </c>
      <c r="D2514" s="195" t="n"/>
      <c r="E2514" s="195" t="n">
        <v>6627.95</v>
      </c>
      <c r="F2514" s="195" t="n">
        <v>6772.12</v>
      </c>
      <c r="G2514" s="195" t="n">
        <v>6700.04</v>
      </c>
    </row>
    <row r="2515">
      <c r="A2515" s="196" t="inlineStr">
        <is>
          <t>2026-05-12</t>
        </is>
      </c>
      <c r="B2515" s="196" t="inlineStr">
        <is>
          <t>NOK</t>
        </is>
      </c>
      <c r="C2515" s="196" t="inlineStr">
        <is>
          <t>NORWEGIAN KRONER</t>
        </is>
      </c>
      <c r="D2515" s="184" t="n"/>
      <c r="E2515" s="184" t="n">
        <v>2813.85</v>
      </c>
      <c r="F2515" s="184" t="n">
        <v>2933.15</v>
      </c>
      <c r="G2515" s="184" t="n">
        <v>2873.5</v>
      </c>
    </row>
    <row r="2516">
      <c r="A2516" s="194" t="inlineStr">
        <is>
          <t>2026-05-12</t>
        </is>
      </c>
      <c r="B2516" s="194" t="inlineStr">
        <is>
          <t>RUB</t>
        </is>
      </c>
      <c r="C2516" s="194" t="inlineStr">
        <is>
          <t>RUSSIAN RUBLE</t>
        </is>
      </c>
      <c r="D2516" s="195" t="n"/>
      <c r="E2516" s="195" t="n">
        <v>338.67</v>
      </c>
      <c r="F2516" s="195" t="n">
        <v>374.89</v>
      </c>
      <c r="G2516" s="195" t="n">
        <v>356.78</v>
      </c>
    </row>
    <row r="2517">
      <c r="A2517" s="196" t="inlineStr">
        <is>
          <t>2026-05-12</t>
        </is>
      </c>
      <c r="B2517" s="196" t="inlineStr">
        <is>
          <t>SAR</t>
        </is>
      </c>
      <c r="C2517" s="196" t="inlineStr">
        <is>
          <t>SAUDI RIAL</t>
        </is>
      </c>
      <c r="D2517" s="184" t="n"/>
      <c r="E2517" s="184" t="n">
        <v>6978.51</v>
      </c>
      <c r="F2517" s="184" t="n">
        <v>7278.83</v>
      </c>
      <c r="G2517" s="184" t="n">
        <v>7128.67</v>
      </c>
    </row>
    <row r="2518">
      <c r="A2518" s="194" t="inlineStr">
        <is>
          <t>2026-05-12</t>
        </is>
      </c>
      <c r="B2518" s="194" t="inlineStr">
        <is>
          <t>SEK</t>
        </is>
      </c>
      <c r="C2518" s="194" t="inlineStr">
        <is>
          <t>SWEDISH KRONA</t>
        </is>
      </c>
      <c r="D2518" s="195" t="n"/>
      <c r="E2518" s="195" t="n">
        <v>2783.49</v>
      </c>
      <c r="F2518" s="195" t="n">
        <v>2901.5</v>
      </c>
      <c r="G2518" s="195" t="n">
        <v>2842.5</v>
      </c>
    </row>
    <row r="2519">
      <c r="A2519" s="196" t="inlineStr">
        <is>
          <t>2026-05-12</t>
        </is>
      </c>
      <c r="B2519" s="196" t="inlineStr">
        <is>
          <t>SGD</t>
        </is>
      </c>
      <c r="C2519" s="196" t="inlineStr">
        <is>
          <t>SINGAPORE DOLLAR</t>
        </is>
      </c>
      <c r="D2519" s="184" t="n">
        <v>20148.97</v>
      </c>
      <c r="E2519" s="184" t="n">
        <v>20352.5</v>
      </c>
      <c r="F2519" s="184" t="n">
        <v>21046.31</v>
      </c>
      <c r="G2519" s="184" t="n">
        <v>20699.4</v>
      </c>
    </row>
    <row r="2520">
      <c r="A2520" s="194" t="inlineStr">
        <is>
          <t>2026-05-12</t>
        </is>
      </c>
      <c r="B2520" s="194" t="inlineStr">
        <is>
          <t>THB</t>
        </is>
      </c>
      <c r="C2520" s="194" t="inlineStr">
        <is>
          <t>THAILAND BAHT</t>
        </is>
      </c>
      <c r="D2520" s="195" t="n">
        <v>716.86</v>
      </c>
      <c r="E2520" s="195" t="n">
        <v>796.51</v>
      </c>
      <c r="F2520" s="195" t="n">
        <v>830.28</v>
      </c>
      <c r="G2520" s="195" t="n">
        <v>813.4</v>
      </c>
    </row>
    <row r="2521">
      <c r="A2521" s="196" t="inlineStr">
        <is>
          <t>2026-05-12</t>
        </is>
      </c>
      <c r="B2521" s="196" t="inlineStr">
        <is>
          <t>USD</t>
        </is>
      </c>
      <c r="C2521" s="196" t="inlineStr">
        <is>
          <t>US DOLLAR</t>
        </is>
      </c>
      <c r="D2521" s="184" t="n">
        <v>26099</v>
      </c>
      <c r="E2521" s="184" t="n">
        <v>26129</v>
      </c>
      <c r="F2521" s="184" t="n">
        <v>26379</v>
      </c>
      <c r="G2521" s="184" t="n">
        <v>26254</v>
      </c>
    </row>
    <row r="2522">
      <c r="A2522" s="194" t="inlineStr">
        <is>
          <t>2026-05-11</t>
        </is>
      </c>
      <c r="B2522" s="194" t="inlineStr">
        <is>
          <t>AUD</t>
        </is>
      </c>
      <c r="C2522" s="194" t="inlineStr">
        <is>
          <t>AUSTRALIAN DOLLAR</t>
        </is>
      </c>
      <c r="D2522" s="195" t="n">
        <v>18553.28</v>
      </c>
      <c r="E2522" s="195" t="n">
        <v>18740.68</v>
      </c>
      <c r="F2522" s="195" t="n">
        <v>19340.85</v>
      </c>
      <c r="G2522" s="195" t="n">
        <v>19040.76</v>
      </c>
    </row>
    <row r="2523">
      <c r="A2523" s="196" t="inlineStr">
        <is>
          <t>2026-05-11</t>
        </is>
      </c>
      <c r="B2523" s="196" t="inlineStr">
        <is>
          <t>CAD</t>
        </is>
      </c>
      <c r="C2523" s="196" t="inlineStr">
        <is>
          <t>CANADIAN DOLLAR</t>
        </is>
      </c>
      <c r="D2523" s="184" t="n">
        <v>18741.75</v>
      </c>
      <c r="E2523" s="184" t="n">
        <v>18931.06</v>
      </c>
      <c r="F2523" s="184" t="n">
        <v>19537.32</v>
      </c>
      <c r="G2523" s="184" t="n">
        <v>19234.19</v>
      </c>
    </row>
    <row r="2524">
      <c r="A2524" s="194" t="inlineStr">
        <is>
          <t>2026-05-11</t>
        </is>
      </c>
      <c r="B2524" s="194" t="inlineStr">
        <is>
          <t>CHF</t>
        </is>
      </c>
      <c r="C2524" s="194" t="inlineStr">
        <is>
          <t>SWISS FRANC</t>
        </is>
      </c>
      <c r="D2524" s="195" t="n">
        <v>32972.18</v>
      </c>
      <c r="E2524" s="195" t="n">
        <v>33305.23</v>
      </c>
      <c r="F2524" s="195" t="n">
        <v>34371.82</v>
      </c>
      <c r="G2524" s="195" t="n">
        <v>33838.52</v>
      </c>
    </row>
    <row r="2525">
      <c r="A2525" s="196" t="inlineStr">
        <is>
          <t>2026-05-11</t>
        </is>
      </c>
      <c r="B2525" s="196" t="inlineStr">
        <is>
          <t>CNY</t>
        </is>
      </c>
      <c r="C2525" s="196" t="inlineStr">
        <is>
          <t>YUAN RENMINBI</t>
        </is>
      </c>
      <c r="D2525" s="184" t="n">
        <v>3770.67</v>
      </c>
      <c r="E2525" s="184" t="n">
        <v>3808.76</v>
      </c>
      <c r="F2525" s="184" t="n">
        <v>3930.74</v>
      </c>
      <c r="G2525" s="184" t="n">
        <v>3869.75</v>
      </c>
    </row>
    <row r="2526">
      <c r="A2526" s="194" t="inlineStr">
        <is>
          <t>2026-05-11</t>
        </is>
      </c>
      <c r="B2526" s="194" t="inlineStr">
        <is>
          <t>DKK</t>
        </is>
      </c>
      <c r="C2526" s="194" t="inlineStr">
        <is>
          <t>DANISH KRONE</t>
        </is>
      </c>
      <c r="D2526" s="195" t="n"/>
      <c r="E2526" s="195" t="n">
        <v>4067.72</v>
      </c>
      <c r="F2526" s="195" t="n">
        <v>4223.26</v>
      </c>
      <c r="G2526" s="195" t="n">
        <v>4145.49</v>
      </c>
    </row>
    <row r="2527">
      <c r="A2527" s="196" t="inlineStr">
        <is>
          <t>2026-05-11</t>
        </is>
      </c>
      <c r="B2527" s="196" t="inlineStr">
        <is>
          <t>EUR</t>
        </is>
      </c>
      <c r="C2527" s="196" t="inlineStr">
        <is>
          <t>EURO</t>
        </is>
      </c>
      <c r="D2527" s="184" t="n">
        <v>30171.82</v>
      </c>
      <c r="E2527" s="184" t="n">
        <v>30476.59</v>
      </c>
      <c r="F2527" s="184" t="n">
        <v>31762.47</v>
      </c>
      <c r="G2527" s="184" t="n">
        <v>31119.53</v>
      </c>
    </row>
    <row r="2528">
      <c r="A2528" s="194" t="inlineStr">
        <is>
          <t>2026-05-11</t>
        </is>
      </c>
      <c r="B2528" s="194" t="inlineStr">
        <is>
          <t>GBP</t>
        </is>
      </c>
      <c r="C2528" s="194" t="inlineStr">
        <is>
          <t>POUND STERLING</t>
        </is>
      </c>
      <c r="D2528" s="195" t="n">
        <v>34853.08</v>
      </c>
      <c r="E2528" s="195" t="n">
        <v>35205.14</v>
      </c>
      <c r="F2528" s="195" t="n">
        <v>36332.57</v>
      </c>
      <c r="G2528" s="195" t="n">
        <v>35768.85</v>
      </c>
    </row>
    <row r="2529">
      <c r="A2529" s="196" t="inlineStr">
        <is>
          <t>2026-05-11</t>
        </is>
      </c>
      <c r="B2529" s="196" t="inlineStr">
        <is>
          <t>HKD</t>
        </is>
      </c>
      <c r="C2529" s="196" t="inlineStr">
        <is>
          <t>HONGKONG DOLLAR</t>
        </is>
      </c>
      <c r="D2529" s="184" t="n">
        <v>3266.33</v>
      </c>
      <c r="E2529" s="184" t="n">
        <v>3299.33</v>
      </c>
      <c r="F2529" s="184" t="n">
        <v>3425.48</v>
      </c>
      <c r="G2529" s="184" t="n">
        <v>3362.4</v>
      </c>
    </row>
    <row r="2530">
      <c r="A2530" s="194" t="inlineStr">
        <is>
          <t>2026-05-11</t>
        </is>
      </c>
      <c r="B2530" s="194" t="inlineStr">
        <is>
          <t>INR</t>
        </is>
      </c>
      <c r="C2530" s="194" t="inlineStr">
        <is>
          <t>INDIAN RUPEE</t>
        </is>
      </c>
      <c r="D2530" s="195" t="n"/>
      <c r="E2530" s="195" t="n">
        <v>277.11</v>
      </c>
      <c r="F2530" s="195" t="n">
        <v>289.04</v>
      </c>
      <c r="G2530" s="195" t="n">
        <v>283.08</v>
      </c>
    </row>
    <row r="2531">
      <c r="A2531" s="196" t="inlineStr">
        <is>
          <t>2026-05-11</t>
        </is>
      </c>
      <c r="B2531" s="196" t="inlineStr">
        <is>
          <t>JPY</t>
        </is>
      </c>
      <c r="C2531" s="196" t="inlineStr">
        <is>
          <t>YEN</t>
        </is>
      </c>
      <c r="D2531" s="184" t="n">
        <v>161.79</v>
      </c>
      <c r="E2531" s="184" t="n">
        <v>163.42</v>
      </c>
      <c r="F2531" s="184" t="n">
        <v>172.06</v>
      </c>
      <c r="G2531" s="184" t="n">
        <v>167.74</v>
      </c>
    </row>
    <row r="2532">
      <c r="A2532" s="194" t="inlineStr">
        <is>
          <t>2026-05-11</t>
        </is>
      </c>
      <c r="B2532" s="194" t="inlineStr">
        <is>
          <t>KRW</t>
        </is>
      </c>
      <c r="C2532" s="194" t="inlineStr">
        <is>
          <t>KOREAN WON</t>
        </is>
      </c>
      <c r="D2532" s="195" t="n">
        <v>15.49</v>
      </c>
      <c r="E2532" s="195" t="n">
        <v>17.22</v>
      </c>
      <c r="F2532" s="195" t="n">
        <v>18.68</v>
      </c>
      <c r="G2532" s="195" t="n">
        <v>17.95</v>
      </c>
    </row>
    <row r="2533">
      <c r="A2533" s="196" t="inlineStr">
        <is>
          <t>2026-05-11</t>
        </is>
      </c>
      <c r="B2533" s="196" t="inlineStr">
        <is>
          <t>KWD</t>
        </is>
      </c>
      <c r="C2533" s="196" t="inlineStr">
        <is>
          <t>KUWAITI DINAR</t>
        </is>
      </c>
      <c r="D2533" s="184" t="n"/>
      <c r="E2533" s="184" t="n">
        <v>85487.59</v>
      </c>
      <c r="F2533" s="184" t="n">
        <v>89630.99000000001</v>
      </c>
      <c r="G2533" s="184" t="n">
        <v>87559.28999999999</v>
      </c>
    </row>
    <row r="2534">
      <c r="A2534" s="194" t="inlineStr">
        <is>
          <t>2026-05-11</t>
        </is>
      </c>
      <c r="B2534" s="194" t="inlineStr">
        <is>
          <t>MYR</t>
        </is>
      </c>
      <c r="C2534" s="194" t="inlineStr">
        <is>
          <t>MALAYSIAN RINGGIT</t>
        </is>
      </c>
      <c r="D2534" s="195" t="n"/>
      <c r="E2534" s="195" t="n">
        <v>6645.32</v>
      </c>
      <c r="F2534" s="195" t="n">
        <v>6789.88</v>
      </c>
      <c r="G2534" s="195" t="n">
        <v>6717.6</v>
      </c>
    </row>
    <row r="2535">
      <c r="A2535" s="196" t="inlineStr">
        <is>
          <t>2026-05-11</t>
        </is>
      </c>
      <c r="B2535" s="196" t="inlineStr">
        <is>
          <t>NOK</t>
        </is>
      </c>
      <c r="C2535" s="196" t="inlineStr">
        <is>
          <t>NORWEGIAN KRONER</t>
        </is>
      </c>
      <c r="D2535" s="184" t="n"/>
      <c r="E2535" s="184" t="n">
        <v>2798.81</v>
      </c>
      <c r="F2535" s="184" t="n">
        <v>2917.48</v>
      </c>
      <c r="G2535" s="184" t="n">
        <v>2858.14</v>
      </c>
    </row>
    <row r="2536">
      <c r="A2536" s="194" t="inlineStr">
        <is>
          <t>2026-05-11</t>
        </is>
      </c>
      <c r="B2536" s="194" t="inlineStr">
        <is>
          <t>RUB</t>
        </is>
      </c>
      <c r="C2536" s="194" t="inlineStr">
        <is>
          <t>RUSSIAN RUBLE</t>
        </is>
      </c>
      <c r="D2536" s="195" t="n"/>
      <c r="E2536" s="195" t="n">
        <v>337.46</v>
      </c>
      <c r="F2536" s="195" t="n">
        <v>373.55</v>
      </c>
      <c r="G2536" s="195" t="n">
        <v>355.5</v>
      </c>
    </row>
    <row r="2537">
      <c r="A2537" s="196" t="inlineStr">
        <is>
          <t>2026-05-11</t>
        </is>
      </c>
      <c r="B2537" s="196" t="inlineStr">
        <is>
          <t>SAR</t>
        </is>
      </c>
      <c r="C2537" s="196" t="inlineStr">
        <is>
          <t>SAUDI RIAL</t>
        </is>
      </c>
      <c r="D2537" s="184" t="n"/>
      <c r="E2537" s="184" t="n">
        <v>6973.18</v>
      </c>
      <c r="F2537" s="184" t="n">
        <v>7273.28</v>
      </c>
      <c r="G2537" s="184" t="n">
        <v>7123.23</v>
      </c>
    </row>
    <row r="2538">
      <c r="A2538" s="194" t="inlineStr">
        <is>
          <t>2026-05-11</t>
        </is>
      </c>
      <c r="B2538" s="194" t="inlineStr">
        <is>
          <t>SEK</t>
        </is>
      </c>
      <c r="C2538" s="194" t="inlineStr">
        <is>
          <t>SWEDISH KRONA</t>
        </is>
      </c>
      <c r="D2538" s="195" t="n"/>
      <c r="E2538" s="195" t="n">
        <v>2790.9</v>
      </c>
      <c r="F2538" s="195" t="n">
        <v>2909.23</v>
      </c>
      <c r="G2538" s="195" t="n">
        <v>2850.06</v>
      </c>
    </row>
    <row r="2539">
      <c r="A2539" s="196" t="inlineStr">
        <is>
          <t>2026-05-11</t>
        </is>
      </c>
      <c r="B2539" s="196" t="inlineStr">
        <is>
          <t>SGD</t>
        </is>
      </c>
      <c r="C2539" s="196" t="inlineStr">
        <is>
          <t>SINGAPORE DOLLAR</t>
        </is>
      </c>
      <c r="D2539" s="184" t="n">
        <v>20210.83</v>
      </c>
      <c r="E2539" s="184" t="n">
        <v>20414.98</v>
      </c>
      <c r="F2539" s="184" t="n">
        <v>21110.95</v>
      </c>
      <c r="G2539" s="184" t="n">
        <v>20762.96</v>
      </c>
    </row>
    <row r="2540">
      <c r="A2540" s="194" t="inlineStr">
        <is>
          <t>2026-05-11</t>
        </is>
      </c>
      <c r="B2540" s="194" t="inlineStr">
        <is>
          <t>THB</t>
        </is>
      </c>
      <c r="C2540" s="194" t="inlineStr">
        <is>
          <t>THAILAND BAHT</t>
        </is>
      </c>
      <c r="D2540" s="195" t="n">
        <v>718.1799999999999</v>
      </c>
      <c r="E2540" s="195" t="n">
        <v>797.97</v>
      </c>
      <c r="F2540" s="195" t="n">
        <v>831.8099999999999</v>
      </c>
      <c r="G2540" s="195" t="n">
        <v>814.89</v>
      </c>
    </row>
    <row r="2541">
      <c r="A2541" s="196" t="inlineStr">
        <is>
          <t>2026-05-11</t>
        </is>
      </c>
      <c r="B2541" s="196" t="inlineStr">
        <is>
          <t>USD</t>
        </is>
      </c>
      <c r="C2541" s="196" t="inlineStr">
        <is>
          <t>US DOLLAR</t>
        </is>
      </c>
      <c r="D2541" s="184" t="n">
        <v>26093</v>
      </c>
      <c r="E2541" s="184" t="n">
        <v>26123</v>
      </c>
      <c r="F2541" s="184" t="n">
        <v>26373</v>
      </c>
      <c r="G2541" s="184" t="n">
        <v>26248</v>
      </c>
    </row>
    <row r="2542">
      <c r="A2542" s="194" t="inlineStr">
        <is>
          <t>2026-05-10</t>
        </is>
      </c>
      <c r="B2542" s="194" t="inlineStr">
        <is>
          <t>AUD</t>
        </is>
      </c>
      <c r="C2542" s="194" t="inlineStr">
        <is>
          <t>AUSTRALIAN DOLLAR</t>
        </is>
      </c>
      <c r="D2542" s="195" t="n">
        <v>18509.69</v>
      </c>
      <c r="E2542" s="195" t="n">
        <v>18696.66</v>
      </c>
      <c r="F2542" s="195" t="n">
        <v>19295.41</v>
      </c>
      <c r="G2542" s="195" t="n">
        <v>18996.04</v>
      </c>
    </row>
    <row r="2543">
      <c r="A2543" s="196" t="inlineStr">
        <is>
          <t>2026-05-10</t>
        </is>
      </c>
      <c r="B2543" s="196" t="inlineStr">
        <is>
          <t>CAD</t>
        </is>
      </c>
      <c r="C2543" s="196" t="inlineStr">
        <is>
          <t>CANADIAN DOLLAR</t>
        </is>
      </c>
      <c r="D2543" s="184" t="n">
        <v>18781.56</v>
      </c>
      <c r="E2543" s="184" t="n">
        <v>18971.27</v>
      </c>
      <c r="F2543" s="184" t="n">
        <v>19578.82</v>
      </c>
      <c r="G2543" s="184" t="n">
        <v>19275.04</v>
      </c>
    </row>
    <row r="2544">
      <c r="A2544" s="194" t="inlineStr">
        <is>
          <t>2026-05-10</t>
        </is>
      </c>
      <c r="B2544" s="194" t="inlineStr">
        <is>
          <t>CHF</t>
        </is>
      </c>
      <c r="C2544" s="194" t="inlineStr">
        <is>
          <t>SWISS FRANC</t>
        </is>
      </c>
      <c r="D2544" s="195" t="n">
        <v>32866.53</v>
      </c>
      <c r="E2544" s="195" t="n">
        <v>33198.51</v>
      </c>
      <c r="F2544" s="195" t="n">
        <v>34261.68</v>
      </c>
      <c r="G2544" s="195" t="n">
        <v>33730.1</v>
      </c>
    </row>
    <row r="2545">
      <c r="A2545" s="196" t="inlineStr">
        <is>
          <t>2026-05-10</t>
        </is>
      </c>
      <c r="B2545" s="196" t="inlineStr">
        <is>
          <t>CNY</t>
        </is>
      </c>
      <c r="C2545" s="196" t="inlineStr">
        <is>
          <t>YUAN RENMINBI</t>
        </is>
      </c>
      <c r="D2545" s="184" t="n">
        <v>3768.73</v>
      </c>
      <c r="E2545" s="184" t="n">
        <v>3806.8</v>
      </c>
      <c r="F2545" s="184" t="n">
        <v>3928.71</v>
      </c>
      <c r="G2545" s="184" t="n">
        <v>3867.76</v>
      </c>
    </row>
    <row r="2546">
      <c r="A2546" s="194" t="inlineStr">
        <is>
          <t>2026-05-10</t>
        </is>
      </c>
      <c r="B2546" s="194" t="inlineStr">
        <is>
          <t>DKK</t>
        </is>
      </c>
      <c r="C2546" s="194" t="inlineStr">
        <is>
          <t>DANISH KRONE</t>
        </is>
      </c>
      <c r="D2546" s="195" t="n"/>
      <c r="E2546" s="195" t="n">
        <v>4054.82</v>
      </c>
      <c r="F2546" s="195" t="n">
        <v>4209.86</v>
      </c>
      <c r="G2546" s="195" t="n">
        <v>4132.34</v>
      </c>
    </row>
    <row r="2547">
      <c r="A2547" s="196" t="inlineStr">
        <is>
          <t>2026-05-10</t>
        </is>
      </c>
      <c r="B2547" s="196" t="inlineStr">
        <is>
          <t>EUR</t>
        </is>
      </c>
      <c r="C2547" s="196" t="inlineStr">
        <is>
          <t>EURO</t>
        </is>
      </c>
      <c r="D2547" s="184" t="n">
        <v>30074.41</v>
      </c>
      <c r="E2547" s="184" t="n">
        <v>30378.19</v>
      </c>
      <c r="F2547" s="184" t="n">
        <v>31659.92</v>
      </c>
      <c r="G2547" s="184" t="n">
        <v>31019.06</v>
      </c>
    </row>
    <row r="2548">
      <c r="A2548" s="194" t="inlineStr">
        <is>
          <t>2026-05-10</t>
        </is>
      </c>
      <c r="B2548" s="194" t="inlineStr">
        <is>
          <t>GBP</t>
        </is>
      </c>
      <c r="C2548" s="194" t="inlineStr">
        <is>
          <t>POUND STERLING</t>
        </is>
      </c>
      <c r="D2548" s="195" t="n">
        <v>34758.23</v>
      </c>
      <c r="E2548" s="195" t="n">
        <v>35109.32</v>
      </c>
      <c r="F2548" s="195" t="n">
        <v>36233.69</v>
      </c>
      <c r="G2548" s="195" t="n">
        <v>35671.51</v>
      </c>
    </row>
    <row r="2549">
      <c r="A2549" s="196" t="inlineStr">
        <is>
          <t>2026-05-10</t>
        </is>
      </c>
      <c r="B2549" s="196" t="inlineStr">
        <is>
          <t>HKD</t>
        </is>
      </c>
      <c r="C2549" s="196" t="inlineStr">
        <is>
          <t>HONGKONG DOLLAR</t>
        </is>
      </c>
      <c r="D2549" s="184" t="n">
        <v>3266.67</v>
      </c>
      <c r="E2549" s="184" t="n">
        <v>3299.66</v>
      </c>
      <c r="F2549" s="184" t="n">
        <v>3425.83</v>
      </c>
      <c r="G2549" s="184" t="n">
        <v>3362.74</v>
      </c>
    </row>
    <row r="2550">
      <c r="A2550" s="194" t="inlineStr">
        <is>
          <t>2026-05-10</t>
        </is>
      </c>
      <c r="B2550" s="194" t="inlineStr">
        <is>
          <t>INR</t>
        </is>
      </c>
      <c r="C2550" s="194" t="inlineStr">
        <is>
          <t>INDIAN RUPEE</t>
        </is>
      </c>
      <c r="D2550" s="195" t="n"/>
      <c r="E2550" s="195" t="n">
        <v>276.67</v>
      </c>
      <c r="F2550" s="195" t="n">
        <v>288.58</v>
      </c>
      <c r="G2550" s="195" t="n">
        <v>282.62</v>
      </c>
    </row>
    <row r="2551">
      <c r="A2551" s="196" t="inlineStr">
        <is>
          <t>2026-05-10</t>
        </is>
      </c>
      <c r="B2551" s="196" t="inlineStr">
        <is>
          <t>JPY</t>
        </is>
      </c>
      <c r="C2551" s="196" t="inlineStr">
        <is>
          <t>YEN</t>
        </is>
      </c>
      <c r="D2551" s="184" t="n">
        <v>162.39</v>
      </c>
      <c r="E2551" s="184" t="n">
        <v>164.03</v>
      </c>
      <c r="F2551" s="184" t="n">
        <v>172.7</v>
      </c>
      <c r="G2551" s="184" t="n">
        <v>168.36</v>
      </c>
    </row>
    <row r="2552">
      <c r="A2552" s="194" t="inlineStr">
        <is>
          <t>2026-05-10</t>
        </is>
      </c>
      <c r="B2552" s="194" t="inlineStr">
        <is>
          <t>KRW</t>
        </is>
      </c>
      <c r="C2552" s="194" t="inlineStr">
        <is>
          <t>KOREAN WON</t>
        </is>
      </c>
      <c r="D2552" s="195" t="n">
        <v>15.54</v>
      </c>
      <c r="E2552" s="195" t="n">
        <v>17.26</v>
      </c>
      <c r="F2552" s="195" t="n">
        <v>18.73</v>
      </c>
      <c r="G2552" s="195" t="n">
        <v>18</v>
      </c>
    </row>
    <row r="2553">
      <c r="A2553" s="196" t="inlineStr">
        <is>
          <t>2026-05-10</t>
        </is>
      </c>
      <c r="B2553" s="196" t="inlineStr">
        <is>
          <t>KWD</t>
        </is>
      </c>
      <c r="C2553" s="196" t="inlineStr">
        <is>
          <t>KUWAITI DINAR</t>
        </is>
      </c>
      <c r="D2553" s="184" t="n"/>
      <c r="E2553" s="184" t="n">
        <v>85431.75999999999</v>
      </c>
      <c r="F2553" s="184" t="n">
        <v>89572.45</v>
      </c>
      <c r="G2553" s="184" t="n">
        <v>87502.10000000001</v>
      </c>
    </row>
    <row r="2554">
      <c r="A2554" s="194" t="inlineStr">
        <is>
          <t>2026-05-10</t>
        </is>
      </c>
      <c r="B2554" s="194" t="inlineStr">
        <is>
          <t>MYR</t>
        </is>
      </c>
      <c r="C2554" s="194" t="inlineStr">
        <is>
          <t>MALAYSIAN RINGGIT</t>
        </is>
      </c>
      <c r="D2554" s="195" t="n"/>
      <c r="E2554" s="195" t="n">
        <v>6645.32</v>
      </c>
      <c r="F2554" s="195" t="n">
        <v>6789.88</v>
      </c>
      <c r="G2554" s="195" t="n">
        <v>6717.6</v>
      </c>
    </row>
    <row r="2555">
      <c r="A2555" s="196" t="inlineStr">
        <is>
          <t>2026-05-10</t>
        </is>
      </c>
      <c r="B2555" s="196" t="inlineStr">
        <is>
          <t>NOK</t>
        </is>
      </c>
      <c r="C2555" s="196" t="inlineStr">
        <is>
          <t>NORWEGIAN KRONER</t>
        </is>
      </c>
      <c r="D2555" s="184" t="n"/>
      <c r="E2555" s="184" t="n">
        <v>2768.92</v>
      </c>
      <c r="F2555" s="184" t="n">
        <v>2886.32</v>
      </c>
      <c r="G2555" s="184" t="n">
        <v>2827.62</v>
      </c>
    </row>
    <row r="2556">
      <c r="A2556" s="194" t="inlineStr">
        <is>
          <t>2026-05-10</t>
        </is>
      </c>
      <c r="B2556" s="194" t="inlineStr">
        <is>
          <t>RUB</t>
        </is>
      </c>
      <c r="C2556" s="194" t="inlineStr">
        <is>
          <t>RUSSIAN RUBLE</t>
        </is>
      </c>
      <c r="D2556" s="195" t="n"/>
      <c r="E2556" s="195" t="n">
        <v>335.43</v>
      </c>
      <c r="F2556" s="195" t="n">
        <v>371.3</v>
      </c>
      <c r="G2556" s="195" t="n">
        <v>353.36</v>
      </c>
    </row>
    <row r="2557">
      <c r="A2557" s="196" t="inlineStr">
        <is>
          <t>2026-05-10</t>
        </is>
      </c>
      <c r="B2557" s="196" t="inlineStr">
        <is>
          <t>SAR</t>
        </is>
      </c>
      <c r="C2557" s="196" t="inlineStr">
        <is>
          <t>SAUDI RIAL</t>
        </is>
      </c>
      <c r="D2557" s="184" t="n"/>
      <c r="E2557" s="184" t="n">
        <v>6974.3</v>
      </c>
      <c r="F2557" s="184" t="n">
        <v>7274.44</v>
      </c>
      <c r="G2557" s="184" t="n">
        <v>7124.37</v>
      </c>
    </row>
    <row r="2558">
      <c r="A2558" s="194" t="inlineStr">
        <is>
          <t>2026-05-10</t>
        </is>
      </c>
      <c r="B2558" s="194" t="inlineStr">
        <is>
          <t>SEK</t>
        </is>
      </c>
      <c r="C2558" s="194" t="inlineStr">
        <is>
          <t>SWEDISH KRONA</t>
        </is>
      </c>
      <c r="D2558" s="195" t="n"/>
      <c r="E2558" s="195" t="n">
        <v>2778.47</v>
      </c>
      <c r="F2558" s="195" t="n">
        <v>2896.28</v>
      </c>
      <c r="G2558" s="195" t="n">
        <v>2837.38</v>
      </c>
    </row>
    <row r="2559">
      <c r="A2559" s="196" t="inlineStr">
        <is>
          <t>2026-05-10</t>
        </is>
      </c>
      <c r="B2559" s="196" t="inlineStr">
        <is>
          <t>SGD</t>
        </is>
      </c>
      <c r="C2559" s="196" t="inlineStr">
        <is>
          <t>SINGAPORE DOLLAR</t>
        </is>
      </c>
      <c r="D2559" s="184" t="n">
        <v>20201.27</v>
      </c>
      <c r="E2559" s="184" t="n">
        <v>20405.32</v>
      </c>
      <c r="F2559" s="184" t="n">
        <v>21100.96</v>
      </c>
      <c r="G2559" s="184" t="n">
        <v>20753.14</v>
      </c>
    </row>
    <row r="2560">
      <c r="A2560" s="194" t="inlineStr">
        <is>
          <t>2026-05-10</t>
        </is>
      </c>
      <c r="B2560" s="194" t="inlineStr">
        <is>
          <t>THB</t>
        </is>
      </c>
      <c r="C2560" s="194" t="inlineStr">
        <is>
          <t>THAILAND BAHT</t>
        </is>
      </c>
      <c r="D2560" s="195" t="n">
        <v>720.41</v>
      </c>
      <c r="E2560" s="195" t="n">
        <v>800.45</v>
      </c>
      <c r="F2560" s="195" t="n">
        <v>834.39</v>
      </c>
      <c r="G2560" s="195" t="n">
        <v>817.42</v>
      </c>
    </row>
    <row r="2561">
      <c r="A2561" s="196" t="inlineStr">
        <is>
          <t>2026-05-10</t>
        </is>
      </c>
      <c r="B2561" s="196" t="inlineStr">
        <is>
          <t>USD</t>
        </is>
      </c>
      <c r="C2561" s="196" t="inlineStr">
        <is>
          <t>US DOLLAR</t>
        </is>
      </c>
      <c r="D2561" s="184" t="n">
        <v>26087</v>
      </c>
      <c r="E2561" s="184" t="n">
        <v>26117</v>
      </c>
      <c r="F2561" s="184" t="n">
        <v>26367</v>
      </c>
      <c r="G2561" s="184" t="n">
        <v>26242</v>
      </c>
    </row>
    <row r="2562">
      <c r="A2562" s="194" t="inlineStr">
        <is>
          <t>2026-05-09</t>
        </is>
      </c>
      <c r="B2562" s="194" t="inlineStr">
        <is>
          <t>AUD</t>
        </is>
      </c>
      <c r="C2562" s="194" t="inlineStr">
        <is>
          <t>AUSTRALIAN DOLLAR</t>
        </is>
      </c>
      <c r="D2562" s="195" t="n">
        <v>18509.69</v>
      </c>
      <c r="E2562" s="195" t="n">
        <v>18696.66</v>
      </c>
      <c r="F2562" s="195" t="n">
        <v>19295.41</v>
      </c>
      <c r="G2562" s="195" t="n">
        <v>18996.04</v>
      </c>
    </row>
    <row r="2563">
      <c r="A2563" s="196" t="inlineStr">
        <is>
          <t>2026-05-09</t>
        </is>
      </c>
      <c r="B2563" s="196" t="inlineStr">
        <is>
          <t>CAD</t>
        </is>
      </c>
      <c r="C2563" s="196" t="inlineStr">
        <is>
          <t>CANADIAN DOLLAR</t>
        </is>
      </c>
      <c r="D2563" s="184" t="n">
        <v>18781.56</v>
      </c>
      <c r="E2563" s="184" t="n">
        <v>18971.27</v>
      </c>
      <c r="F2563" s="184" t="n">
        <v>19578.82</v>
      </c>
      <c r="G2563" s="184" t="n">
        <v>19275.04</v>
      </c>
    </row>
    <row r="2564">
      <c r="A2564" s="194" t="inlineStr">
        <is>
          <t>2026-05-09</t>
        </is>
      </c>
      <c r="B2564" s="194" t="inlineStr">
        <is>
          <t>CHF</t>
        </is>
      </c>
      <c r="C2564" s="194" t="inlineStr">
        <is>
          <t>SWISS FRANC</t>
        </is>
      </c>
      <c r="D2564" s="195" t="n">
        <v>32866.53</v>
      </c>
      <c r="E2564" s="195" t="n">
        <v>33198.51</v>
      </c>
      <c r="F2564" s="195" t="n">
        <v>34261.68</v>
      </c>
      <c r="G2564" s="195" t="n">
        <v>33730.1</v>
      </c>
    </row>
    <row r="2565">
      <c r="A2565" s="196" t="inlineStr">
        <is>
          <t>2026-05-09</t>
        </is>
      </c>
      <c r="B2565" s="196" t="inlineStr">
        <is>
          <t>CNY</t>
        </is>
      </c>
      <c r="C2565" s="196" t="inlineStr">
        <is>
          <t>YUAN RENMINBI</t>
        </is>
      </c>
      <c r="D2565" s="184" t="n">
        <v>3768.73</v>
      </c>
      <c r="E2565" s="184" t="n">
        <v>3806.8</v>
      </c>
      <c r="F2565" s="184" t="n">
        <v>3928.71</v>
      </c>
      <c r="G2565" s="184" t="n">
        <v>3867.76</v>
      </c>
    </row>
    <row r="2566">
      <c r="A2566" s="194" t="inlineStr">
        <is>
          <t>2026-05-09</t>
        </is>
      </c>
      <c r="B2566" s="194" t="inlineStr">
        <is>
          <t>DKK</t>
        </is>
      </c>
      <c r="C2566" s="194" t="inlineStr">
        <is>
          <t>DANISH KRONE</t>
        </is>
      </c>
      <c r="D2566" s="195" t="n"/>
      <c r="E2566" s="195" t="n">
        <v>4054.82</v>
      </c>
      <c r="F2566" s="195" t="n">
        <v>4209.86</v>
      </c>
      <c r="G2566" s="195" t="n">
        <v>4132.34</v>
      </c>
    </row>
    <row r="2567">
      <c r="A2567" s="196" t="inlineStr">
        <is>
          <t>2026-05-09</t>
        </is>
      </c>
      <c r="B2567" s="196" t="inlineStr">
        <is>
          <t>EUR</t>
        </is>
      </c>
      <c r="C2567" s="196" t="inlineStr">
        <is>
          <t>EURO</t>
        </is>
      </c>
      <c r="D2567" s="184" t="n">
        <v>30074.41</v>
      </c>
      <c r="E2567" s="184" t="n">
        <v>30378.19</v>
      </c>
      <c r="F2567" s="184" t="n">
        <v>31659.92</v>
      </c>
      <c r="G2567" s="184" t="n">
        <v>31019.06</v>
      </c>
    </row>
    <row r="2568">
      <c r="A2568" s="194" t="inlineStr">
        <is>
          <t>2026-05-09</t>
        </is>
      </c>
      <c r="B2568" s="194" t="inlineStr">
        <is>
          <t>GBP</t>
        </is>
      </c>
      <c r="C2568" s="194" t="inlineStr">
        <is>
          <t>POUND STERLING</t>
        </is>
      </c>
      <c r="D2568" s="195" t="n">
        <v>34758.23</v>
      </c>
      <c r="E2568" s="195" t="n">
        <v>35109.32</v>
      </c>
      <c r="F2568" s="195" t="n">
        <v>36233.69</v>
      </c>
      <c r="G2568" s="195" t="n">
        <v>35671.51</v>
      </c>
    </row>
    <row r="2569">
      <c r="A2569" s="196" t="inlineStr">
        <is>
          <t>2026-05-09</t>
        </is>
      </c>
      <c r="B2569" s="196" t="inlineStr">
        <is>
          <t>HKD</t>
        </is>
      </c>
      <c r="C2569" s="196" t="inlineStr">
        <is>
          <t>HONGKONG DOLLAR</t>
        </is>
      </c>
      <c r="D2569" s="184" t="n">
        <v>3266.67</v>
      </c>
      <c r="E2569" s="184" t="n">
        <v>3299.66</v>
      </c>
      <c r="F2569" s="184" t="n">
        <v>3425.83</v>
      </c>
      <c r="G2569" s="184" t="n">
        <v>3362.74</v>
      </c>
    </row>
    <row r="2570">
      <c r="A2570" s="194" t="inlineStr">
        <is>
          <t>2026-05-09</t>
        </is>
      </c>
      <c r="B2570" s="194" t="inlineStr">
        <is>
          <t>INR</t>
        </is>
      </c>
      <c r="C2570" s="194" t="inlineStr">
        <is>
          <t>INDIAN RUPEE</t>
        </is>
      </c>
      <c r="D2570" s="195" t="n"/>
      <c r="E2570" s="195" t="n">
        <v>276.67</v>
      </c>
      <c r="F2570" s="195" t="n">
        <v>288.58</v>
      </c>
      <c r="G2570" s="195" t="n">
        <v>282.62</v>
      </c>
    </row>
    <row r="2571">
      <c r="A2571" s="196" t="inlineStr">
        <is>
          <t>2026-05-09</t>
        </is>
      </c>
      <c r="B2571" s="196" t="inlineStr">
        <is>
          <t>JPY</t>
        </is>
      </c>
      <c r="C2571" s="196" t="inlineStr">
        <is>
          <t>YEN</t>
        </is>
      </c>
      <c r="D2571" s="184" t="n">
        <v>162.39</v>
      </c>
      <c r="E2571" s="184" t="n">
        <v>164.03</v>
      </c>
      <c r="F2571" s="184" t="n">
        <v>172.7</v>
      </c>
      <c r="G2571" s="184" t="n">
        <v>168.36</v>
      </c>
    </row>
    <row r="2572">
      <c r="A2572" s="194" t="inlineStr">
        <is>
          <t>2026-05-09</t>
        </is>
      </c>
      <c r="B2572" s="194" t="inlineStr">
        <is>
          <t>KRW</t>
        </is>
      </c>
      <c r="C2572" s="194" t="inlineStr">
        <is>
          <t>KOREAN WON</t>
        </is>
      </c>
      <c r="D2572" s="195" t="n">
        <v>15.54</v>
      </c>
      <c r="E2572" s="195" t="n">
        <v>17.26</v>
      </c>
      <c r="F2572" s="195" t="n">
        <v>18.73</v>
      </c>
      <c r="G2572" s="195" t="n">
        <v>18</v>
      </c>
    </row>
    <row r="2573">
      <c r="A2573" s="196" t="inlineStr">
        <is>
          <t>2026-05-09</t>
        </is>
      </c>
      <c r="B2573" s="196" t="inlineStr">
        <is>
          <t>KWD</t>
        </is>
      </c>
      <c r="C2573" s="196" t="inlineStr">
        <is>
          <t>KUWAITI DINAR</t>
        </is>
      </c>
      <c r="D2573" s="184" t="n"/>
      <c r="E2573" s="184" t="n">
        <v>85431.75999999999</v>
      </c>
      <c r="F2573" s="184" t="n">
        <v>89572.45</v>
      </c>
      <c r="G2573" s="184" t="n">
        <v>87502.10000000001</v>
      </c>
    </row>
    <row r="2574">
      <c r="A2574" s="194" t="inlineStr">
        <is>
          <t>2026-05-09</t>
        </is>
      </c>
      <c r="B2574" s="194" t="inlineStr">
        <is>
          <t>MYR</t>
        </is>
      </c>
      <c r="C2574" s="194" t="inlineStr">
        <is>
          <t>MALAYSIAN RINGGIT</t>
        </is>
      </c>
      <c r="D2574" s="195" t="n"/>
      <c r="E2574" s="195" t="n">
        <v>6645.32</v>
      </c>
      <c r="F2574" s="195" t="n">
        <v>6789.88</v>
      </c>
      <c r="G2574" s="195" t="n">
        <v>6717.6</v>
      </c>
    </row>
    <row r="2575">
      <c r="A2575" s="196" t="inlineStr">
        <is>
          <t>2026-05-09</t>
        </is>
      </c>
      <c r="B2575" s="196" t="inlineStr">
        <is>
          <t>NOK</t>
        </is>
      </c>
      <c r="C2575" s="196" t="inlineStr">
        <is>
          <t>NORWEGIAN KRONER</t>
        </is>
      </c>
      <c r="D2575" s="184" t="n"/>
      <c r="E2575" s="184" t="n">
        <v>2768.92</v>
      </c>
      <c r="F2575" s="184" t="n">
        <v>2886.32</v>
      </c>
      <c r="G2575" s="184" t="n">
        <v>2827.62</v>
      </c>
    </row>
    <row r="2576">
      <c r="A2576" s="194" t="inlineStr">
        <is>
          <t>2026-05-09</t>
        </is>
      </c>
      <c r="B2576" s="194" t="inlineStr">
        <is>
          <t>RUB</t>
        </is>
      </c>
      <c r="C2576" s="194" t="inlineStr">
        <is>
          <t>RUSSIAN RUBLE</t>
        </is>
      </c>
      <c r="D2576" s="195" t="n"/>
      <c r="E2576" s="195" t="n">
        <v>335.43</v>
      </c>
      <c r="F2576" s="195" t="n">
        <v>371.3</v>
      </c>
      <c r="G2576" s="195" t="n">
        <v>353.36</v>
      </c>
    </row>
    <row r="2577">
      <c r="A2577" s="196" t="inlineStr">
        <is>
          <t>2026-05-09</t>
        </is>
      </c>
      <c r="B2577" s="196" t="inlineStr">
        <is>
          <t>SAR</t>
        </is>
      </c>
      <c r="C2577" s="196" t="inlineStr">
        <is>
          <t>SAUDI RIAL</t>
        </is>
      </c>
      <c r="D2577" s="184" t="n"/>
      <c r="E2577" s="184" t="n">
        <v>6974.3</v>
      </c>
      <c r="F2577" s="184" t="n">
        <v>7274.44</v>
      </c>
      <c r="G2577" s="184" t="n">
        <v>7124.37</v>
      </c>
    </row>
    <row r="2578">
      <c r="A2578" s="194" t="inlineStr">
        <is>
          <t>2026-05-09</t>
        </is>
      </c>
      <c r="B2578" s="194" t="inlineStr">
        <is>
          <t>SEK</t>
        </is>
      </c>
      <c r="C2578" s="194" t="inlineStr">
        <is>
          <t>SWEDISH KRONA</t>
        </is>
      </c>
      <c r="D2578" s="195" t="n"/>
      <c r="E2578" s="195" t="n">
        <v>2778.47</v>
      </c>
      <c r="F2578" s="195" t="n">
        <v>2896.28</v>
      </c>
      <c r="G2578" s="195" t="n">
        <v>2837.38</v>
      </c>
    </row>
    <row r="2579">
      <c r="A2579" s="196" t="inlineStr">
        <is>
          <t>2026-05-09</t>
        </is>
      </c>
      <c r="B2579" s="196" t="inlineStr">
        <is>
          <t>SGD</t>
        </is>
      </c>
      <c r="C2579" s="196" t="inlineStr">
        <is>
          <t>SINGAPORE DOLLAR</t>
        </is>
      </c>
      <c r="D2579" s="184" t="n">
        <v>20201.27</v>
      </c>
      <c r="E2579" s="184" t="n">
        <v>20405.32</v>
      </c>
      <c r="F2579" s="184" t="n">
        <v>21100.96</v>
      </c>
      <c r="G2579" s="184" t="n">
        <v>20753.14</v>
      </c>
    </row>
    <row r="2580">
      <c r="A2580" s="194" t="inlineStr">
        <is>
          <t>2026-05-09</t>
        </is>
      </c>
      <c r="B2580" s="194" t="inlineStr">
        <is>
          <t>THB</t>
        </is>
      </c>
      <c r="C2580" s="194" t="inlineStr">
        <is>
          <t>THAILAND BAHT</t>
        </is>
      </c>
      <c r="D2580" s="195" t="n">
        <v>720.41</v>
      </c>
      <c r="E2580" s="195" t="n">
        <v>800.45</v>
      </c>
      <c r="F2580" s="195" t="n">
        <v>834.39</v>
      </c>
      <c r="G2580" s="195" t="n">
        <v>817.42</v>
      </c>
    </row>
    <row r="2581">
      <c r="A2581" s="196" t="inlineStr">
        <is>
          <t>2026-05-09</t>
        </is>
      </c>
      <c r="B2581" s="196" t="inlineStr">
        <is>
          <t>USD</t>
        </is>
      </c>
      <c r="C2581" s="196" t="inlineStr">
        <is>
          <t>US DOLLAR</t>
        </is>
      </c>
      <c r="D2581" s="184" t="n">
        <v>26087</v>
      </c>
      <c r="E2581" s="184" t="n">
        <v>26117</v>
      </c>
      <c r="F2581" s="184" t="n">
        <v>26367</v>
      </c>
      <c r="G2581" s="184" t="n">
        <v>26242</v>
      </c>
    </row>
    <row r="2582">
      <c r="A2582" s="194" t="inlineStr">
        <is>
          <t>2026-05-08</t>
        </is>
      </c>
      <c r="B2582" s="194" t="inlineStr">
        <is>
          <t>AUD</t>
        </is>
      </c>
      <c r="C2582" s="194" t="inlineStr">
        <is>
          <t>AUSTRALIAN DOLLAR</t>
        </is>
      </c>
      <c r="D2582" s="195" t="n">
        <v>18509.69</v>
      </c>
      <c r="E2582" s="195" t="n">
        <v>18696.66</v>
      </c>
      <c r="F2582" s="195" t="n">
        <v>19295.41</v>
      </c>
      <c r="G2582" s="195" t="n">
        <v>18996.04</v>
      </c>
    </row>
    <row r="2583">
      <c r="A2583" s="196" t="inlineStr">
        <is>
          <t>2026-05-08</t>
        </is>
      </c>
      <c r="B2583" s="196" t="inlineStr">
        <is>
          <t>CAD</t>
        </is>
      </c>
      <c r="C2583" s="196" t="inlineStr">
        <is>
          <t>CANADIAN DOLLAR</t>
        </is>
      </c>
      <c r="D2583" s="184" t="n">
        <v>18781.56</v>
      </c>
      <c r="E2583" s="184" t="n">
        <v>18971.27</v>
      </c>
      <c r="F2583" s="184" t="n">
        <v>19578.82</v>
      </c>
      <c r="G2583" s="184" t="n">
        <v>19275.04</v>
      </c>
    </row>
    <row r="2584">
      <c r="A2584" s="194" t="inlineStr">
        <is>
          <t>2026-05-08</t>
        </is>
      </c>
      <c r="B2584" s="194" t="inlineStr">
        <is>
          <t>CHF</t>
        </is>
      </c>
      <c r="C2584" s="194" t="inlineStr">
        <is>
          <t>SWISS FRANC</t>
        </is>
      </c>
      <c r="D2584" s="195" t="n">
        <v>32866.53</v>
      </c>
      <c r="E2584" s="195" t="n">
        <v>33198.51</v>
      </c>
      <c r="F2584" s="195" t="n">
        <v>34261.68</v>
      </c>
      <c r="G2584" s="195" t="n">
        <v>33730.1</v>
      </c>
    </row>
    <row r="2585">
      <c r="A2585" s="196" t="inlineStr">
        <is>
          <t>2026-05-08</t>
        </is>
      </c>
      <c r="B2585" s="196" t="inlineStr">
        <is>
          <t>CNY</t>
        </is>
      </c>
      <c r="C2585" s="196" t="inlineStr">
        <is>
          <t>YUAN RENMINBI</t>
        </is>
      </c>
      <c r="D2585" s="184" t="n">
        <v>3768.73</v>
      </c>
      <c r="E2585" s="184" t="n">
        <v>3806.8</v>
      </c>
      <c r="F2585" s="184" t="n">
        <v>3928.71</v>
      </c>
      <c r="G2585" s="184" t="n">
        <v>3867.76</v>
      </c>
    </row>
    <row r="2586">
      <c r="A2586" s="194" t="inlineStr">
        <is>
          <t>2026-05-08</t>
        </is>
      </c>
      <c r="B2586" s="194" t="inlineStr">
        <is>
          <t>DKK</t>
        </is>
      </c>
      <c r="C2586" s="194" t="inlineStr">
        <is>
          <t>DANISH KRONE</t>
        </is>
      </c>
      <c r="D2586" s="195" t="n"/>
      <c r="E2586" s="195" t="n">
        <v>4054.82</v>
      </c>
      <c r="F2586" s="195" t="n">
        <v>4209.86</v>
      </c>
      <c r="G2586" s="195" t="n">
        <v>4132.34</v>
      </c>
    </row>
    <row r="2587">
      <c r="A2587" s="196" t="inlineStr">
        <is>
          <t>2026-05-08</t>
        </is>
      </c>
      <c r="B2587" s="196" t="inlineStr">
        <is>
          <t>EUR</t>
        </is>
      </c>
      <c r="C2587" s="196" t="inlineStr">
        <is>
          <t>EURO</t>
        </is>
      </c>
      <c r="D2587" s="184" t="n">
        <v>30074.41</v>
      </c>
      <c r="E2587" s="184" t="n">
        <v>30378.19</v>
      </c>
      <c r="F2587" s="184" t="n">
        <v>31659.92</v>
      </c>
      <c r="G2587" s="184" t="n">
        <v>31019.06</v>
      </c>
    </row>
    <row r="2588">
      <c r="A2588" s="194" t="inlineStr">
        <is>
          <t>2026-05-08</t>
        </is>
      </c>
      <c r="B2588" s="194" t="inlineStr">
        <is>
          <t>GBP</t>
        </is>
      </c>
      <c r="C2588" s="194" t="inlineStr">
        <is>
          <t>POUND STERLING</t>
        </is>
      </c>
      <c r="D2588" s="195" t="n">
        <v>34758.23</v>
      </c>
      <c r="E2588" s="195" t="n">
        <v>35109.32</v>
      </c>
      <c r="F2588" s="195" t="n">
        <v>36233.69</v>
      </c>
      <c r="G2588" s="195" t="n">
        <v>35671.51</v>
      </c>
    </row>
    <row r="2589">
      <c r="A2589" s="196" t="inlineStr">
        <is>
          <t>2026-05-08</t>
        </is>
      </c>
      <c r="B2589" s="196" t="inlineStr">
        <is>
          <t>HKD</t>
        </is>
      </c>
      <c r="C2589" s="196" t="inlineStr">
        <is>
          <t>HONGKONG DOLLAR</t>
        </is>
      </c>
      <c r="D2589" s="184" t="n">
        <v>3266.67</v>
      </c>
      <c r="E2589" s="184" t="n">
        <v>3299.66</v>
      </c>
      <c r="F2589" s="184" t="n">
        <v>3425.83</v>
      </c>
      <c r="G2589" s="184" t="n">
        <v>3362.74</v>
      </c>
    </row>
    <row r="2590">
      <c r="A2590" s="194" t="inlineStr">
        <is>
          <t>2026-05-08</t>
        </is>
      </c>
      <c r="B2590" s="194" t="inlineStr">
        <is>
          <t>INR</t>
        </is>
      </c>
      <c r="C2590" s="194" t="inlineStr">
        <is>
          <t>INDIAN RUPEE</t>
        </is>
      </c>
      <c r="D2590" s="195" t="n"/>
      <c r="E2590" s="195" t="n">
        <v>276.67</v>
      </c>
      <c r="F2590" s="195" t="n">
        <v>288.58</v>
      </c>
      <c r="G2590" s="195" t="n">
        <v>282.62</v>
      </c>
    </row>
    <row r="2591">
      <c r="A2591" s="196" t="inlineStr">
        <is>
          <t>2026-05-08</t>
        </is>
      </c>
      <c r="B2591" s="196" t="inlineStr">
        <is>
          <t>JPY</t>
        </is>
      </c>
      <c r="C2591" s="196" t="inlineStr">
        <is>
          <t>YEN</t>
        </is>
      </c>
      <c r="D2591" s="184" t="n">
        <v>162.39</v>
      </c>
      <c r="E2591" s="184" t="n">
        <v>164.03</v>
      </c>
      <c r="F2591" s="184" t="n">
        <v>172.7</v>
      </c>
      <c r="G2591" s="184" t="n">
        <v>168.36</v>
      </c>
    </row>
    <row r="2592">
      <c r="A2592" s="194" t="inlineStr">
        <is>
          <t>2026-05-08</t>
        </is>
      </c>
      <c r="B2592" s="194" t="inlineStr">
        <is>
          <t>KRW</t>
        </is>
      </c>
      <c r="C2592" s="194" t="inlineStr">
        <is>
          <t>KOREAN WON</t>
        </is>
      </c>
      <c r="D2592" s="195" t="n">
        <v>15.54</v>
      </c>
      <c r="E2592" s="195" t="n">
        <v>17.26</v>
      </c>
      <c r="F2592" s="195" t="n">
        <v>18.73</v>
      </c>
      <c r="G2592" s="195" t="n">
        <v>18</v>
      </c>
    </row>
    <row r="2593">
      <c r="A2593" s="196" t="inlineStr">
        <is>
          <t>2026-05-08</t>
        </is>
      </c>
      <c r="B2593" s="196" t="inlineStr">
        <is>
          <t>KWD</t>
        </is>
      </c>
      <c r="C2593" s="196" t="inlineStr">
        <is>
          <t>KUWAITI DINAR</t>
        </is>
      </c>
      <c r="D2593" s="184" t="n"/>
      <c r="E2593" s="184" t="n">
        <v>85431.75999999999</v>
      </c>
      <c r="F2593" s="184" t="n">
        <v>89572.45</v>
      </c>
      <c r="G2593" s="184" t="n">
        <v>87502.10000000001</v>
      </c>
    </row>
    <row r="2594">
      <c r="A2594" s="194" t="inlineStr">
        <is>
          <t>2026-05-08</t>
        </is>
      </c>
      <c r="B2594" s="194" t="inlineStr">
        <is>
          <t>MYR</t>
        </is>
      </c>
      <c r="C2594" s="194" t="inlineStr">
        <is>
          <t>MALAYSIAN RINGGIT</t>
        </is>
      </c>
      <c r="D2594" s="195" t="n"/>
      <c r="E2594" s="195" t="n">
        <v>6645.32</v>
      </c>
      <c r="F2594" s="195" t="n">
        <v>6789.88</v>
      </c>
      <c r="G2594" s="195" t="n">
        <v>6717.6</v>
      </c>
    </row>
    <row r="2595">
      <c r="A2595" s="196" t="inlineStr">
        <is>
          <t>2026-05-08</t>
        </is>
      </c>
      <c r="B2595" s="196" t="inlineStr">
        <is>
          <t>NOK</t>
        </is>
      </c>
      <c r="C2595" s="196" t="inlineStr">
        <is>
          <t>NORWEGIAN KRONER</t>
        </is>
      </c>
      <c r="D2595" s="184" t="n"/>
      <c r="E2595" s="184" t="n">
        <v>2768.92</v>
      </c>
      <c r="F2595" s="184" t="n">
        <v>2886.32</v>
      </c>
      <c r="G2595" s="184" t="n">
        <v>2827.62</v>
      </c>
    </row>
    <row r="2596">
      <c r="A2596" s="194" t="inlineStr">
        <is>
          <t>2026-05-08</t>
        </is>
      </c>
      <c r="B2596" s="194" t="inlineStr">
        <is>
          <t>RUB</t>
        </is>
      </c>
      <c r="C2596" s="194" t="inlineStr">
        <is>
          <t>RUSSIAN RUBLE</t>
        </is>
      </c>
      <c r="D2596" s="195" t="n"/>
      <c r="E2596" s="195" t="n">
        <v>335.43</v>
      </c>
      <c r="F2596" s="195" t="n">
        <v>371.3</v>
      </c>
      <c r="G2596" s="195" t="n">
        <v>353.36</v>
      </c>
    </row>
    <row r="2597">
      <c r="A2597" s="196" t="inlineStr">
        <is>
          <t>2026-05-08</t>
        </is>
      </c>
      <c r="B2597" s="196" t="inlineStr">
        <is>
          <t>SAR</t>
        </is>
      </c>
      <c r="C2597" s="196" t="inlineStr">
        <is>
          <t>SAUDI RIAL</t>
        </is>
      </c>
      <c r="D2597" s="184" t="n"/>
      <c r="E2597" s="184" t="n">
        <v>6974.3</v>
      </c>
      <c r="F2597" s="184" t="n">
        <v>7274.44</v>
      </c>
      <c r="G2597" s="184" t="n">
        <v>7124.37</v>
      </c>
    </row>
    <row r="2598">
      <c r="A2598" s="194" t="inlineStr">
        <is>
          <t>2026-05-08</t>
        </is>
      </c>
      <c r="B2598" s="194" t="inlineStr">
        <is>
          <t>SEK</t>
        </is>
      </c>
      <c r="C2598" s="194" t="inlineStr">
        <is>
          <t>SWEDISH KRONA</t>
        </is>
      </c>
      <c r="D2598" s="195" t="n"/>
      <c r="E2598" s="195" t="n">
        <v>2778.47</v>
      </c>
      <c r="F2598" s="195" t="n">
        <v>2896.28</v>
      </c>
      <c r="G2598" s="195" t="n">
        <v>2837.38</v>
      </c>
    </row>
    <row r="2599">
      <c r="A2599" s="196" t="inlineStr">
        <is>
          <t>2026-05-08</t>
        </is>
      </c>
      <c r="B2599" s="196" t="inlineStr">
        <is>
          <t>SGD</t>
        </is>
      </c>
      <c r="C2599" s="196" t="inlineStr">
        <is>
          <t>SINGAPORE DOLLAR</t>
        </is>
      </c>
      <c r="D2599" s="184" t="n">
        <v>20201.27</v>
      </c>
      <c r="E2599" s="184" t="n">
        <v>20405.32</v>
      </c>
      <c r="F2599" s="184" t="n">
        <v>21100.96</v>
      </c>
      <c r="G2599" s="184" t="n">
        <v>20753.14</v>
      </c>
    </row>
    <row r="2600">
      <c r="A2600" s="194" t="inlineStr">
        <is>
          <t>2026-05-08</t>
        </is>
      </c>
      <c r="B2600" s="194" t="inlineStr">
        <is>
          <t>THB</t>
        </is>
      </c>
      <c r="C2600" s="194" t="inlineStr">
        <is>
          <t>THAILAND BAHT</t>
        </is>
      </c>
      <c r="D2600" s="195" t="n">
        <v>720.41</v>
      </c>
      <c r="E2600" s="195" t="n">
        <v>800.45</v>
      </c>
      <c r="F2600" s="195" t="n">
        <v>834.39</v>
      </c>
      <c r="G2600" s="195" t="n">
        <v>817.42</v>
      </c>
    </row>
    <row r="2601">
      <c r="A2601" s="196" t="inlineStr">
        <is>
          <t>2026-05-08</t>
        </is>
      </c>
      <c r="B2601" s="196" t="inlineStr">
        <is>
          <t>USD</t>
        </is>
      </c>
      <c r="C2601" s="196" t="inlineStr">
        <is>
          <t>US DOLLAR</t>
        </is>
      </c>
      <c r="D2601" s="184" t="n">
        <v>26087</v>
      </c>
      <c r="E2601" s="184" t="n">
        <v>26117</v>
      </c>
      <c r="F2601" s="184" t="n">
        <v>26367</v>
      </c>
      <c r="G2601" s="184" t="n">
        <v>26242</v>
      </c>
    </row>
    <row r="2602">
      <c r="A2602" s="194" t="inlineStr">
        <is>
          <t>2026-05-07</t>
        </is>
      </c>
      <c r="B2602" s="194" t="inlineStr">
        <is>
          <t>AUD</t>
        </is>
      </c>
      <c r="C2602" s="194" t="inlineStr">
        <is>
          <t>AUSTRALIAN DOLLAR</t>
        </is>
      </c>
      <c r="D2602" s="195" t="n">
        <v>18581.48</v>
      </c>
      <c r="E2602" s="195" t="n">
        <v>18769.17</v>
      </c>
      <c r="F2602" s="195" t="n">
        <v>19370.24</v>
      </c>
      <c r="G2602" s="195" t="n">
        <v>19069.71</v>
      </c>
    </row>
    <row r="2603">
      <c r="A2603" s="196" t="inlineStr">
        <is>
          <t>2026-05-07</t>
        </is>
      </c>
      <c r="B2603" s="196" t="inlineStr">
        <is>
          <t>CAD</t>
        </is>
      </c>
      <c r="C2603" s="196" t="inlineStr">
        <is>
          <t>CANADIAN DOLLAR</t>
        </is>
      </c>
      <c r="D2603" s="184" t="n">
        <v>18816.01</v>
      </c>
      <c r="E2603" s="184" t="n">
        <v>19006.07</v>
      </c>
      <c r="F2603" s="184" t="n">
        <v>19614.74</v>
      </c>
      <c r="G2603" s="184" t="n">
        <v>19310.4</v>
      </c>
    </row>
    <row r="2604">
      <c r="A2604" s="194" t="inlineStr">
        <is>
          <t>2026-05-07</t>
        </is>
      </c>
      <c r="B2604" s="194" t="inlineStr">
        <is>
          <t>CHF</t>
        </is>
      </c>
      <c r="C2604" s="194" t="inlineStr">
        <is>
          <t>SWISS FRANC</t>
        </is>
      </c>
      <c r="D2604" s="195" t="n">
        <v>32963.7</v>
      </c>
      <c r="E2604" s="195" t="n">
        <v>33296.67</v>
      </c>
      <c r="F2604" s="195" t="n">
        <v>34362.98</v>
      </c>
      <c r="G2604" s="195" t="n">
        <v>33829.82</v>
      </c>
    </row>
    <row r="2605">
      <c r="A2605" s="196" t="inlineStr">
        <is>
          <t>2026-05-07</t>
        </is>
      </c>
      <c r="B2605" s="196" t="inlineStr">
        <is>
          <t>CNY</t>
        </is>
      </c>
      <c r="C2605" s="196" t="inlineStr">
        <is>
          <t>YUAN RENMINBI</t>
        </is>
      </c>
      <c r="D2605" s="184" t="n">
        <v>3768.84</v>
      </c>
      <c r="E2605" s="184" t="n">
        <v>3806.91</v>
      </c>
      <c r="F2605" s="184" t="n">
        <v>3928.83</v>
      </c>
      <c r="G2605" s="184" t="n">
        <v>3867.87</v>
      </c>
    </row>
    <row r="2606">
      <c r="A2606" s="194" t="inlineStr">
        <is>
          <t>2026-05-07</t>
        </is>
      </c>
      <c r="B2606" s="194" t="inlineStr">
        <is>
          <t>DKK</t>
        </is>
      </c>
      <c r="C2606" s="194" t="inlineStr">
        <is>
          <t>DANISH KRONE</t>
        </is>
      </c>
      <c r="D2606" s="195" t="n"/>
      <c r="E2606" s="195" t="n">
        <v>4065.22</v>
      </c>
      <c r="F2606" s="195" t="n">
        <v>4220.67</v>
      </c>
      <c r="G2606" s="195" t="n">
        <v>4142.94</v>
      </c>
    </row>
    <row r="2607">
      <c r="A2607" s="196" t="inlineStr">
        <is>
          <t>2026-05-07</t>
        </is>
      </c>
      <c r="B2607" s="196" t="inlineStr">
        <is>
          <t>EUR</t>
        </is>
      </c>
      <c r="C2607" s="196" t="inlineStr">
        <is>
          <t>EURO</t>
        </is>
      </c>
      <c r="D2607" s="184" t="n">
        <v>30153.88</v>
      </c>
      <c r="E2607" s="184" t="n">
        <v>30458.46</v>
      </c>
      <c r="F2607" s="184" t="n">
        <v>31743.58</v>
      </c>
      <c r="G2607" s="184" t="n">
        <v>31101.02</v>
      </c>
    </row>
    <row r="2608">
      <c r="A2608" s="194" t="inlineStr">
        <is>
          <t>2026-05-07</t>
        </is>
      </c>
      <c r="B2608" s="194" t="inlineStr">
        <is>
          <t>GBP</t>
        </is>
      </c>
      <c r="C2608" s="194" t="inlineStr">
        <is>
          <t>POUND STERLING</t>
        </is>
      </c>
      <c r="D2608" s="195" t="n">
        <v>34881.29</v>
      </c>
      <c r="E2608" s="195" t="n">
        <v>35233.62</v>
      </c>
      <c r="F2608" s="195" t="n">
        <v>36361.97</v>
      </c>
      <c r="G2608" s="195" t="n">
        <v>35797.8</v>
      </c>
    </row>
    <row r="2609">
      <c r="A2609" s="196" t="inlineStr">
        <is>
          <t>2026-05-07</t>
        </is>
      </c>
      <c r="B2609" s="196" t="inlineStr">
        <is>
          <t>HKD</t>
        </is>
      </c>
      <c r="C2609" s="196" t="inlineStr">
        <is>
          <t>HONGKONG DOLLAR</t>
        </is>
      </c>
      <c r="D2609" s="184" t="n">
        <v>3264</v>
      </c>
      <c r="E2609" s="184" t="n">
        <v>3296.97</v>
      </c>
      <c r="F2609" s="184" t="n">
        <v>3423.03</v>
      </c>
      <c r="G2609" s="184" t="n">
        <v>3360</v>
      </c>
    </row>
    <row r="2610">
      <c r="A2610" s="194" t="inlineStr">
        <is>
          <t>2026-05-07</t>
        </is>
      </c>
      <c r="B2610" s="194" t="inlineStr">
        <is>
          <t>INR</t>
        </is>
      </c>
      <c r="C2610" s="194" t="inlineStr">
        <is>
          <t>INDIAN RUPEE</t>
        </is>
      </c>
      <c r="D2610" s="195" t="n"/>
      <c r="E2610" s="195" t="n">
        <v>276.5</v>
      </c>
      <c r="F2610" s="195" t="n">
        <v>288.39</v>
      </c>
      <c r="G2610" s="195" t="n">
        <v>282.44</v>
      </c>
    </row>
    <row r="2611">
      <c r="A2611" s="196" t="inlineStr">
        <is>
          <t>2026-05-07</t>
        </is>
      </c>
      <c r="B2611" s="196" t="inlineStr">
        <is>
          <t>JPY</t>
        </is>
      </c>
      <c r="C2611" s="196" t="inlineStr">
        <is>
          <t>YEN</t>
        </is>
      </c>
      <c r="D2611" s="184" t="n">
        <v>162.67</v>
      </c>
      <c r="E2611" s="184" t="n">
        <v>164.31</v>
      </c>
      <c r="F2611" s="184" t="n">
        <v>173</v>
      </c>
      <c r="G2611" s="184" t="n">
        <v>168.66</v>
      </c>
    </row>
    <row r="2612">
      <c r="A2612" s="194" t="inlineStr">
        <is>
          <t>2026-05-07</t>
        </is>
      </c>
      <c r="B2612" s="194" t="inlineStr">
        <is>
          <t>KRW</t>
        </is>
      </c>
      <c r="C2612" s="194" t="inlineStr">
        <is>
          <t>KOREAN WON</t>
        </is>
      </c>
      <c r="D2612" s="195" t="n">
        <v>15.71</v>
      </c>
      <c r="E2612" s="195" t="n">
        <v>17.46</v>
      </c>
      <c r="F2612" s="195" t="n">
        <v>18.94</v>
      </c>
      <c r="G2612" s="195" t="n">
        <v>18.2</v>
      </c>
    </row>
    <row r="2613">
      <c r="A2613" s="196" t="inlineStr">
        <is>
          <t>2026-05-07</t>
        </is>
      </c>
      <c r="B2613" s="196" t="inlineStr">
        <is>
          <t>KWD</t>
        </is>
      </c>
      <c r="C2613" s="196" t="inlineStr">
        <is>
          <t>KUWAITI DINAR</t>
        </is>
      </c>
      <c r="D2613" s="184" t="n"/>
      <c r="E2613" s="184" t="n">
        <v>84575.50999999999</v>
      </c>
      <c r="F2613" s="184" t="n">
        <v>88674.7</v>
      </c>
      <c r="G2613" s="184" t="n">
        <v>86625.10000000001</v>
      </c>
    </row>
    <row r="2614">
      <c r="A2614" s="194" t="inlineStr">
        <is>
          <t>2026-05-07</t>
        </is>
      </c>
      <c r="B2614" s="194" t="inlineStr">
        <is>
          <t>MYR</t>
        </is>
      </c>
      <c r="C2614" s="194" t="inlineStr">
        <is>
          <t>MALAYSIAN RINGGIT</t>
        </is>
      </c>
      <c r="D2614" s="195" t="n"/>
      <c r="E2614" s="195" t="n">
        <v>6662.32</v>
      </c>
      <c r="F2614" s="195" t="n">
        <v>6807.26</v>
      </c>
      <c r="G2614" s="195" t="n">
        <v>6734.79</v>
      </c>
    </row>
    <row r="2615">
      <c r="A2615" s="196" t="inlineStr">
        <is>
          <t>2026-05-07</t>
        </is>
      </c>
      <c r="B2615" s="196" t="inlineStr">
        <is>
          <t>NOK</t>
        </is>
      </c>
      <c r="C2615" s="196" t="inlineStr">
        <is>
          <t>NORWEGIAN KRONER</t>
        </is>
      </c>
      <c r="D2615" s="184" t="n"/>
      <c r="E2615" s="184" t="n">
        <v>2773</v>
      </c>
      <c r="F2615" s="184" t="n">
        <v>2890.58</v>
      </c>
      <c r="G2615" s="184" t="n">
        <v>2831.79</v>
      </c>
    </row>
    <row r="2616">
      <c r="A2616" s="194" t="inlineStr">
        <is>
          <t>2026-05-07</t>
        </is>
      </c>
      <c r="B2616" s="194" t="inlineStr">
        <is>
          <t>RUB</t>
        </is>
      </c>
      <c r="C2616" s="194" t="inlineStr">
        <is>
          <t>RUSSIAN RUBLE</t>
        </is>
      </c>
      <c r="D2616" s="195" t="n"/>
      <c r="E2616" s="195" t="n">
        <v>334.98</v>
      </c>
      <c r="F2616" s="195" t="n">
        <v>370.8</v>
      </c>
      <c r="G2616" s="195" t="n">
        <v>352.89</v>
      </c>
    </row>
    <row r="2617">
      <c r="A2617" s="196" t="inlineStr">
        <is>
          <t>2026-05-07</t>
        </is>
      </c>
      <c r="B2617" s="196" t="inlineStr">
        <is>
          <t>SAR</t>
        </is>
      </c>
      <c r="C2617" s="196" t="inlineStr">
        <is>
          <t>SAUDI RIAL</t>
        </is>
      </c>
      <c r="D2617" s="184" t="n"/>
      <c r="E2617" s="184" t="n">
        <v>6973.37</v>
      </c>
      <c r="F2617" s="184" t="n">
        <v>7273.47</v>
      </c>
      <c r="G2617" s="184" t="n">
        <v>7123.42</v>
      </c>
    </row>
    <row r="2618">
      <c r="A2618" s="194" t="inlineStr">
        <is>
          <t>2026-05-07</t>
        </is>
      </c>
      <c r="B2618" s="194" t="inlineStr">
        <is>
          <t>SEK</t>
        </is>
      </c>
      <c r="C2618" s="194" t="inlineStr">
        <is>
          <t>SWEDISH KRONA</t>
        </is>
      </c>
      <c r="D2618" s="195" t="n"/>
      <c r="E2618" s="195" t="n">
        <v>2793.26</v>
      </c>
      <c r="F2618" s="195" t="n">
        <v>2911.69</v>
      </c>
      <c r="G2618" s="195" t="n">
        <v>2852.48</v>
      </c>
    </row>
    <row r="2619">
      <c r="A2619" s="196" t="inlineStr">
        <is>
          <t>2026-05-07</t>
        </is>
      </c>
      <c r="B2619" s="196" t="inlineStr">
        <is>
          <t>SGD</t>
        </is>
      </c>
      <c r="C2619" s="196" t="inlineStr">
        <is>
          <t>SINGAPORE DOLLAR</t>
        </is>
      </c>
      <c r="D2619" s="184" t="n">
        <v>20228.38</v>
      </c>
      <c r="E2619" s="184" t="n">
        <v>20432.71</v>
      </c>
      <c r="F2619" s="184" t="n">
        <v>21129.29</v>
      </c>
      <c r="G2619" s="184" t="n">
        <v>20781</v>
      </c>
    </row>
    <row r="2620">
      <c r="A2620" s="194" t="inlineStr">
        <is>
          <t>2026-05-07</t>
        </is>
      </c>
      <c r="B2620" s="194" t="inlineStr">
        <is>
          <t>THB</t>
        </is>
      </c>
      <c r="C2620" s="194" t="inlineStr">
        <is>
          <t>THAILAND BAHT</t>
        </is>
      </c>
      <c r="D2620" s="195" t="n">
        <v>719.96</v>
      </c>
      <c r="E2620" s="195" t="n">
        <v>799.95</v>
      </c>
      <c r="F2620" s="195" t="n">
        <v>833.87</v>
      </c>
      <c r="G2620" s="195" t="n">
        <v>816.91</v>
      </c>
    </row>
    <row r="2621">
      <c r="A2621" s="196" t="inlineStr">
        <is>
          <t>2026-05-07</t>
        </is>
      </c>
      <c r="B2621" s="196" t="inlineStr">
        <is>
          <t>USD</t>
        </is>
      </c>
      <c r="C2621" s="196" t="inlineStr">
        <is>
          <t>US DOLLAR</t>
        </is>
      </c>
      <c r="D2621" s="184" t="n">
        <v>26088</v>
      </c>
      <c r="E2621" s="184" t="n">
        <v>26118</v>
      </c>
      <c r="F2621" s="184" t="n">
        <v>26368</v>
      </c>
      <c r="G2621" s="184" t="n">
        <v>26243</v>
      </c>
    </row>
    <row r="2622">
      <c r="A2622" s="194" t="inlineStr">
        <is>
          <t>2026-05-06</t>
        </is>
      </c>
      <c r="B2622" s="194" t="inlineStr">
        <is>
          <t>AUD</t>
        </is>
      </c>
      <c r="C2622" s="194" t="inlineStr">
        <is>
          <t>AUSTRALIAN DOLLAR</t>
        </is>
      </c>
      <c r="D2622" s="195" t="n">
        <v>18614.19</v>
      </c>
      <c r="E2622" s="195" t="n">
        <v>18802.21</v>
      </c>
      <c r="F2622" s="195" t="n">
        <v>19404.34</v>
      </c>
      <c r="G2622" s="195" t="n">
        <v>19103.28</v>
      </c>
    </row>
    <row r="2623">
      <c r="A2623" s="196" t="inlineStr">
        <is>
          <t>2026-05-06</t>
        </is>
      </c>
      <c r="B2623" s="196" t="inlineStr">
        <is>
          <t>CAD</t>
        </is>
      </c>
      <c r="C2623" s="196" t="inlineStr">
        <is>
          <t>CANADIAN DOLLAR</t>
        </is>
      </c>
      <c r="D2623" s="184" t="n">
        <v>18874.41</v>
      </c>
      <c r="E2623" s="184" t="n">
        <v>19065.07</v>
      </c>
      <c r="F2623" s="184" t="n">
        <v>19675.61</v>
      </c>
      <c r="G2623" s="184" t="n">
        <v>19370.34</v>
      </c>
    </row>
    <row r="2624">
      <c r="A2624" s="194" t="inlineStr">
        <is>
          <t>2026-05-06</t>
        </is>
      </c>
      <c r="B2624" s="194" t="inlineStr">
        <is>
          <t>CHF</t>
        </is>
      </c>
      <c r="C2624" s="194" t="inlineStr">
        <is>
          <t>SWISS FRANC</t>
        </is>
      </c>
      <c r="D2624" s="195" t="n">
        <v>32950.82</v>
      </c>
      <c r="E2624" s="195" t="n">
        <v>33283.66</v>
      </c>
      <c r="F2624" s="195" t="n">
        <v>34349.54</v>
      </c>
      <c r="G2624" s="195" t="n">
        <v>33816.6</v>
      </c>
    </row>
    <row r="2625">
      <c r="A2625" s="196" t="inlineStr">
        <is>
          <t>2026-05-06</t>
        </is>
      </c>
      <c r="B2625" s="196" t="inlineStr">
        <is>
          <t>CNY</t>
        </is>
      </c>
      <c r="C2625" s="196" t="inlineStr">
        <is>
          <t>YUAN RENMINBI</t>
        </is>
      </c>
      <c r="D2625" s="184" t="n">
        <v>3766.29</v>
      </c>
      <c r="E2625" s="184" t="n">
        <v>3804.34</v>
      </c>
      <c r="F2625" s="184" t="n">
        <v>3926.17</v>
      </c>
      <c r="G2625" s="184" t="n">
        <v>3865.26</v>
      </c>
    </row>
    <row r="2626">
      <c r="A2626" s="194" t="inlineStr">
        <is>
          <t>2026-05-06</t>
        </is>
      </c>
      <c r="B2626" s="194" t="inlineStr">
        <is>
          <t>DKK</t>
        </is>
      </c>
      <c r="C2626" s="194" t="inlineStr">
        <is>
          <t>DANISH KRONE</t>
        </is>
      </c>
      <c r="D2626" s="195" t="n"/>
      <c r="E2626" s="195" t="n">
        <v>4071.19</v>
      </c>
      <c r="F2626" s="195" t="n">
        <v>4226.86</v>
      </c>
      <c r="G2626" s="195" t="n">
        <v>4149.02</v>
      </c>
    </row>
    <row r="2627">
      <c r="A2627" s="196" t="inlineStr">
        <is>
          <t>2026-05-06</t>
        </is>
      </c>
      <c r="B2627" s="196" t="inlineStr">
        <is>
          <t>EUR</t>
        </is>
      </c>
      <c r="C2627" s="196" t="inlineStr">
        <is>
          <t>EURO</t>
        </is>
      </c>
      <c r="D2627" s="184" t="n">
        <v>30191</v>
      </c>
      <c r="E2627" s="184" t="n">
        <v>30495.95</v>
      </c>
      <c r="F2627" s="184" t="n">
        <v>31782.63</v>
      </c>
      <c r="G2627" s="184" t="n">
        <v>31139.29</v>
      </c>
    </row>
    <row r="2628">
      <c r="A2628" s="194" t="inlineStr">
        <is>
          <t>2026-05-06</t>
        </is>
      </c>
      <c r="B2628" s="194" t="inlineStr">
        <is>
          <t>GBP</t>
        </is>
      </c>
      <c r="C2628" s="194" t="inlineStr">
        <is>
          <t>POUND STERLING</t>
        </is>
      </c>
      <c r="D2628" s="195" t="n">
        <v>34933.02</v>
      </c>
      <c r="E2628" s="195" t="n">
        <v>35285.88</v>
      </c>
      <c r="F2628" s="195" t="n">
        <v>36415.88</v>
      </c>
      <c r="G2628" s="195" t="n">
        <v>35850.88</v>
      </c>
    </row>
    <row r="2629">
      <c r="A2629" s="196" t="inlineStr">
        <is>
          <t>2026-05-06</t>
        </is>
      </c>
      <c r="B2629" s="196" t="inlineStr">
        <is>
          <t>HKD</t>
        </is>
      </c>
      <c r="C2629" s="196" t="inlineStr">
        <is>
          <t>HONGKONG DOLLAR</t>
        </is>
      </c>
      <c r="D2629" s="184" t="n">
        <v>3264.28</v>
      </c>
      <c r="E2629" s="184" t="n">
        <v>3297.25</v>
      </c>
      <c r="F2629" s="184" t="n">
        <v>3423.33</v>
      </c>
      <c r="G2629" s="184" t="n">
        <v>3360.29</v>
      </c>
    </row>
    <row r="2630">
      <c r="A2630" s="194" t="inlineStr">
        <is>
          <t>2026-05-06</t>
        </is>
      </c>
      <c r="B2630" s="194" t="inlineStr">
        <is>
          <t>INR</t>
        </is>
      </c>
      <c r="C2630" s="194" t="inlineStr">
        <is>
          <t>INDIAN RUPEE</t>
        </is>
      </c>
      <c r="D2630" s="195" t="n"/>
      <c r="E2630" s="195" t="n">
        <v>276.6</v>
      </c>
      <c r="F2630" s="195" t="n">
        <v>288.5</v>
      </c>
      <c r="G2630" s="195" t="n">
        <v>282.55</v>
      </c>
    </row>
    <row r="2631">
      <c r="A2631" s="196" t="inlineStr">
        <is>
          <t>2026-05-06</t>
        </is>
      </c>
      <c r="B2631" s="196" t="inlineStr">
        <is>
          <t>JPY</t>
        </is>
      </c>
      <c r="C2631" s="196" t="inlineStr">
        <is>
          <t>YEN</t>
        </is>
      </c>
      <c r="D2631" s="184" t="n">
        <v>162.92</v>
      </c>
      <c r="E2631" s="184" t="n">
        <v>164.56</v>
      </c>
      <c r="F2631" s="184" t="n">
        <v>173.26</v>
      </c>
      <c r="G2631" s="184" t="n">
        <v>168.91</v>
      </c>
    </row>
    <row r="2632">
      <c r="A2632" s="194" t="inlineStr">
        <is>
          <t>2026-05-06</t>
        </is>
      </c>
      <c r="B2632" s="194" t="inlineStr">
        <is>
          <t>KRW</t>
        </is>
      </c>
      <c r="C2632" s="194" t="inlineStr">
        <is>
          <t>KOREAN WON</t>
        </is>
      </c>
      <c r="D2632" s="195" t="n">
        <v>15.73</v>
      </c>
      <c r="E2632" s="195" t="n">
        <v>17.48</v>
      </c>
      <c r="F2632" s="195" t="n">
        <v>18.96</v>
      </c>
      <c r="G2632" s="195" t="n">
        <v>18.22</v>
      </c>
    </row>
    <row r="2633">
      <c r="A2633" s="196" t="inlineStr">
        <is>
          <t>2026-05-06</t>
        </is>
      </c>
      <c r="B2633" s="196" t="inlineStr">
        <is>
          <t>KWD</t>
        </is>
      </c>
      <c r="C2633" s="196" t="inlineStr">
        <is>
          <t>KUWAITI DINAR</t>
        </is>
      </c>
      <c r="D2633" s="184" t="n"/>
      <c r="E2633" s="184" t="n">
        <v>85464.25</v>
      </c>
      <c r="F2633" s="184" t="n">
        <v>89606.47</v>
      </c>
      <c r="G2633" s="184" t="n">
        <v>87535.36</v>
      </c>
    </row>
    <row r="2634">
      <c r="A2634" s="194" t="inlineStr">
        <is>
          <t>2026-05-06</t>
        </is>
      </c>
      <c r="B2634" s="194" t="inlineStr">
        <is>
          <t>MYR</t>
        </is>
      </c>
      <c r="C2634" s="194" t="inlineStr">
        <is>
          <t>MALAYSIAN RINGGIT</t>
        </is>
      </c>
      <c r="D2634" s="195" t="n"/>
      <c r="E2634" s="195" t="n">
        <v>6642.76</v>
      </c>
      <c r="F2634" s="195" t="n">
        <v>6787.26</v>
      </c>
      <c r="G2634" s="195" t="n">
        <v>6715.01</v>
      </c>
    </row>
    <row r="2635">
      <c r="A2635" s="196" t="inlineStr">
        <is>
          <t>2026-05-06</t>
        </is>
      </c>
      <c r="B2635" s="196" t="inlineStr">
        <is>
          <t>NOK</t>
        </is>
      </c>
      <c r="C2635" s="196" t="inlineStr">
        <is>
          <t>NORWEGIAN KRONER</t>
        </is>
      </c>
      <c r="D2635" s="184" t="n"/>
      <c r="E2635" s="184" t="n">
        <v>2780.04</v>
      </c>
      <c r="F2635" s="184" t="n">
        <v>2897.91</v>
      </c>
      <c r="G2635" s="184" t="n">
        <v>2838.98</v>
      </c>
    </row>
    <row r="2636">
      <c r="A2636" s="194" t="inlineStr">
        <is>
          <t>2026-05-06</t>
        </is>
      </c>
      <c r="B2636" s="194" t="inlineStr">
        <is>
          <t>RUB</t>
        </is>
      </c>
      <c r="C2636" s="194" t="inlineStr">
        <is>
          <t>RUSSIAN RUBLE</t>
        </is>
      </c>
      <c r="D2636" s="195" t="n"/>
      <c r="E2636" s="195" t="n">
        <v>334.86</v>
      </c>
      <c r="F2636" s="195" t="n">
        <v>370.67</v>
      </c>
      <c r="G2636" s="195" t="n">
        <v>352.76</v>
      </c>
    </row>
    <row r="2637">
      <c r="A2637" s="196" t="inlineStr">
        <is>
          <t>2026-05-06</t>
        </is>
      </c>
      <c r="B2637" s="196" t="inlineStr">
        <is>
          <t>SAR</t>
        </is>
      </c>
      <c r="C2637" s="196" t="inlineStr">
        <is>
          <t>SAUDI RIAL</t>
        </is>
      </c>
      <c r="D2637" s="184" t="n"/>
      <c r="E2637" s="184" t="n">
        <v>6974.54</v>
      </c>
      <c r="F2637" s="184" t="n">
        <v>7274.68</v>
      </c>
      <c r="G2637" s="184" t="n">
        <v>7124.61</v>
      </c>
    </row>
    <row r="2638">
      <c r="A2638" s="194" t="inlineStr">
        <is>
          <t>2026-05-06</t>
        </is>
      </c>
      <c r="B2638" s="194" t="inlineStr">
        <is>
          <t>SEK</t>
        </is>
      </c>
      <c r="C2638" s="194" t="inlineStr">
        <is>
          <t>SWEDISH KRONA</t>
        </is>
      </c>
      <c r="D2638" s="195" t="n"/>
      <c r="E2638" s="195" t="n">
        <v>2802.28</v>
      </c>
      <c r="F2638" s="195" t="n">
        <v>2921.09</v>
      </c>
      <c r="G2638" s="195" t="n">
        <v>2861.69</v>
      </c>
    </row>
    <row r="2639">
      <c r="A2639" s="196" t="inlineStr">
        <is>
          <t>2026-05-06</t>
        </is>
      </c>
      <c r="B2639" s="196" t="inlineStr">
        <is>
          <t>SGD</t>
        </is>
      </c>
      <c r="C2639" s="196" t="inlineStr">
        <is>
          <t>SINGAPORE DOLLAR</t>
        </is>
      </c>
      <c r="D2639" s="184" t="n">
        <v>20221.71</v>
      </c>
      <c r="E2639" s="184" t="n">
        <v>20425.97</v>
      </c>
      <c r="F2639" s="184" t="n">
        <v>21122.3</v>
      </c>
      <c r="G2639" s="184" t="n">
        <v>20774.14</v>
      </c>
    </row>
    <row r="2640">
      <c r="A2640" s="194" t="inlineStr">
        <is>
          <t>2026-05-06</t>
        </is>
      </c>
      <c r="B2640" s="194" t="inlineStr">
        <is>
          <t>THB</t>
        </is>
      </c>
      <c r="C2640" s="194" t="inlineStr">
        <is>
          <t>THAILAND BAHT</t>
        </is>
      </c>
      <c r="D2640" s="195" t="n">
        <v>721.35</v>
      </c>
      <c r="E2640" s="195" t="n">
        <v>801.5</v>
      </c>
      <c r="F2640" s="195" t="n">
        <v>835.48</v>
      </c>
      <c r="G2640" s="195" t="n">
        <v>818.49</v>
      </c>
    </row>
    <row r="2641">
      <c r="A2641" s="196" t="inlineStr">
        <is>
          <t>2026-05-06</t>
        </is>
      </c>
      <c r="B2641" s="196" t="inlineStr">
        <is>
          <t>USD</t>
        </is>
      </c>
      <c r="C2641" s="196" t="inlineStr">
        <is>
          <t>US DOLLAR</t>
        </is>
      </c>
      <c r="D2641" s="184" t="n">
        <v>26098</v>
      </c>
      <c r="E2641" s="184" t="n">
        <v>26128</v>
      </c>
      <c r="F2641" s="184" t="n">
        <v>26368</v>
      </c>
      <c r="G2641" s="184" t="n">
        <v>26248</v>
      </c>
    </row>
    <row r="2642">
      <c r="A2642" s="194" t="inlineStr">
        <is>
          <t>2026-05-05</t>
        </is>
      </c>
      <c r="B2642" s="194" t="inlineStr">
        <is>
          <t>AUD</t>
        </is>
      </c>
      <c r="C2642" s="194" t="inlineStr">
        <is>
          <t>AUSTRALIAN DOLLAR</t>
        </is>
      </c>
      <c r="D2642" s="195" t="n">
        <v>18344.9</v>
      </c>
      <c r="E2642" s="195" t="n">
        <v>18530.2</v>
      </c>
      <c r="F2642" s="195" t="n">
        <v>19123.62</v>
      </c>
      <c r="G2642" s="195" t="n">
        <v>18826.91</v>
      </c>
    </row>
    <row r="2643">
      <c r="A2643" s="196" t="inlineStr">
        <is>
          <t>2026-05-05</t>
        </is>
      </c>
      <c r="B2643" s="196" t="inlineStr">
        <is>
          <t>CAD</t>
        </is>
      </c>
      <c r="C2643" s="196" t="inlineStr">
        <is>
          <t>CANADIAN DOLLAR</t>
        </is>
      </c>
      <c r="D2643" s="184" t="n">
        <v>18842.53</v>
      </c>
      <c r="E2643" s="184" t="n">
        <v>19032.86</v>
      </c>
      <c r="F2643" s="184" t="n">
        <v>19642.37</v>
      </c>
      <c r="G2643" s="184" t="n">
        <v>19337.61</v>
      </c>
    </row>
    <row r="2644">
      <c r="A2644" s="194" t="inlineStr">
        <is>
          <t>2026-05-05</t>
        </is>
      </c>
      <c r="B2644" s="194" t="inlineStr">
        <is>
          <t>CHF</t>
        </is>
      </c>
      <c r="C2644" s="194" t="inlineStr">
        <is>
          <t>SWISS FRANC</t>
        </is>
      </c>
      <c r="D2644" s="195" t="n">
        <v>32753.09</v>
      </c>
      <c r="E2644" s="195" t="n">
        <v>33083.92</v>
      </c>
      <c r="F2644" s="195" t="n">
        <v>34143.41</v>
      </c>
      <c r="G2644" s="195" t="n">
        <v>33613.66</v>
      </c>
    </row>
    <row r="2645">
      <c r="A2645" s="196" t="inlineStr">
        <is>
          <t>2026-05-05</t>
        </is>
      </c>
      <c r="B2645" s="196" t="inlineStr">
        <is>
          <t>CNY</t>
        </is>
      </c>
      <c r="C2645" s="196" t="inlineStr">
        <is>
          <t>YUAN RENMINBI</t>
        </is>
      </c>
      <c r="D2645" s="184" t="n">
        <v>3755.82</v>
      </c>
      <c r="E2645" s="184" t="n">
        <v>3793.75</v>
      </c>
      <c r="F2645" s="184" t="n">
        <v>3915.24</v>
      </c>
      <c r="G2645" s="184" t="n">
        <v>3854.5</v>
      </c>
    </row>
    <row r="2646">
      <c r="A2646" s="194" t="inlineStr">
        <is>
          <t>2026-05-05</t>
        </is>
      </c>
      <c r="B2646" s="194" t="inlineStr">
        <is>
          <t>DKK</t>
        </is>
      </c>
      <c r="C2646" s="194" t="inlineStr">
        <is>
          <t>DANISH KRONE</t>
        </is>
      </c>
      <c r="D2646" s="195" t="n"/>
      <c r="E2646" s="195" t="n">
        <v>4043.03</v>
      </c>
      <c r="F2646" s="195" t="n">
        <v>4197.62</v>
      </c>
      <c r="G2646" s="195" t="n">
        <v>4120.32</v>
      </c>
    </row>
    <row r="2647">
      <c r="A2647" s="196" t="inlineStr">
        <is>
          <t>2026-05-05</t>
        </is>
      </c>
      <c r="B2647" s="196" t="inlineStr">
        <is>
          <t>EUR</t>
        </is>
      </c>
      <c r="C2647" s="196" t="inlineStr">
        <is>
          <t>EURO</t>
        </is>
      </c>
      <c r="D2647" s="184" t="n">
        <v>29985.82</v>
      </c>
      <c r="E2647" s="184" t="n">
        <v>30288.71</v>
      </c>
      <c r="F2647" s="184" t="n">
        <v>31566.65</v>
      </c>
      <c r="G2647" s="184" t="n">
        <v>30927.68</v>
      </c>
    </row>
    <row r="2648">
      <c r="A2648" s="194" t="inlineStr">
        <is>
          <t>2026-05-05</t>
        </is>
      </c>
      <c r="B2648" s="194" t="inlineStr">
        <is>
          <t>GBP</t>
        </is>
      </c>
      <c r="C2648" s="194" t="inlineStr">
        <is>
          <t>POUND STERLING</t>
        </is>
      </c>
      <c r="D2648" s="195" t="n">
        <v>34732.98</v>
      </c>
      <c r="E2648" s="195" t="n">
        <v>35083.82</v>
      </c>
      <c r="F2648" s="195" t="n">
        <v>36207.35</v>
      </c>
      <c r="G2648" s="195" t="n">
        <v>35645.58</v>
      </c>
    </row>
    <row r="2649">
      <c r="A2649" s="196" t="inlineStr">
        <is>
          <t>2026-05-05</t>
        </is>
      </c>
      <c r="B2649" s="196" t="inlineStr">
        <is>
          <t>HKD</t>
        </is>
      </c>
      <c r="C2649" s="196" t="inlineStr">
        <is>
          <t>HONGKONG DOLLAR</t>
        </is>
      </c>
      <c r="D2649" s="184" t="n">
        <v>3264.07</v>
      </c>
      <c r="E2649" s="184" t="n">
        <v>3297.04</v>
      </c>
      <c r="F2649" s="184" t="n">
        <v>3423.11</v>
      </c>
      <c r="G2649" s="184" t="n">
        <v>3360.08</v>
      </c>
    </row>
    <row r="2650">
      <c r="A2650" s="194" t="inlineStr">
        <is>
          <t>2026-05-05</t>
        </is>
      </c>
      <c r="B2650" s="194" t="inlineStr">
        <is>
          <t>INR</t>
        </is>
      </c>
      <c r="C2650" s="194" t="inlineStr">
        <is>
          <t>INDIAN RUPEE</t>
        </is>
      </c>
      <c r="D2650" s="195" t="n"/>
      <c r="E2650" s="195" t="n">
        <v>274.42</v>
      </c>
      <c r="F2650" s="195" t="n">
        <v>286.23</v>
      </c>
      <c r="G2650" s="195" t="n">
        <v>280.33</v>
      </c>
    </row>
    <row r="2651">
      <c r="A2651" s="196" t="inlineStr">
        <is>
          <t>2026-05-05</t>
        </is>
      </c>
      <c r="B2651" s="196" t="inlineStr">
        <is>
          <t>JPY</t>
        </is>
      </c>
      <c r="C2651" s="196" t="inlineStr">
        <is>
          <t>YEN</t>
        </is>
      </c>
      <c r="D2651" s="184" t="n">
        <v>161.65</v>
      </c>
      <c r="E2651" s="184" t="n">
        <v>163.28</v>
      </c>
      <c r="F2651" s="184" t="n">
        <v>171.92</v>
      </c>
      <c r="G2651" s="184" t="n">
        <v>167.6</v>
      </c>
    </row>
    <row r="2652">
      <c r="A2652" s="194" t="inlineStr">
        <is>
          <t>2026-05-05</t>
        </is>
      </c>
      <c r="B2652" s="194" t="inlineStr">
        <is>
          <t>KRW</t>
        </is>
      </c>
      <c r="C2652" s="194" t="inlineStr">
        <is>
          <t>KOREAN WON</t>
        </is>
      </c>
      <c r="D2652" s="195" t="n">
        <v>15.45</v>
      </c>
      <c r="E2652" s="195" t="n">
        <v>17.17</v>
      </c>
      <c r="F2652" s="195" t="n">
        <v>18.62</v>
      </c>
      <c r="G2652" s="195" t="n">
        <v>17.9</v>
      </c>
    </row>
    <row r="2653">
      <c r="A2653" s="196" t="inlineStr">
        <is>
          <t>2026-05-05</t>
        </is>
      </c>
      <c r="B2653" s="196" t="inlineStr">
        <is>
          <t>KWD</t>
        </is>
      </c>
      <c r="C2653" s="196" t="inlineStr">
        <is>
          <t>KUWAITI DINAR</t>
        </is>
      </c>
      <c r="D2653" s="184" t="n"/>
      <c r="E2653" s="184" t="n">
        <v>85408.47</v>
      </c>
      <c r="F2653" s="184" t="n">
        <v>89547.98</v>
      </c>
      <c r="G2653" s="184" t="n">
        <v>87478.22</v>
      </c>
    </row>
    <row r="2654">
      <c r="A2654" s="194" t="inlineStr">
        <is>
          <t>2026-05-05</t>
        </is>
      </c>
      <c r="B2654" s="194" t="inlineStr">
        <is>
          <t>MYR</t>
        </is>
      </c>
      <c r="C2654" s="194" t="inlineStr">
        <is>
          <t>MALAYSIAN RINGGIT</t>
        </is>
      </c>
      <c r="D2654" s="195" t="n"/>
      <c r="E2654" s="195" t="n">
        <v>6574</v>
      </c>
      <c r="F2654" s="195" t="n">
        <v>6717.01</v>
      </c>
      <c r="G2654" s="195" t="n">
        <v>6645.5</v>
      </c>
    </row>
    <row r="2655">
      <c r="A2655" s="196" t="inlineStr">
        <is>
          <t>2026-05-05</t>
        </is>
      </c>
      <c r="B2655" s="196" t="inlineStr">
        <is>
          <t>NOK</t>
        </is>
      </c>
      <c r="C2655" s="196" t="inlineStr">
        <is>
          <t>NORWEGIAN KRONER</t>
        </is>
      </c>
      <c r="D2655" s="184" t="n"/>
      <c r="E2655" s="184" t="n">
        <v>2782.41</v>
      </c>
      <c r="F2655" s="184" t="n">
        <v>2900.38</v>
      </c>
      <c r="G2655" s="184" t="n">
        <v>2841.4</v>
      </c>
    </row>
    <row r="2656">
      <c r="A2656" s="194" t="inlineStr">
        <is>
          <t>2026-05-05</t>
        </is>
      </c>
      <c r="B2656" s="194" t="inlineStr">
        <is>
          <t>RUB</t>
        </is>
      </c>
      <c r="C2656" s="194" t="inlineStr">
        <is>
          <t>RUSSIAN RUBLE</t>
        </is>
      </c>
      <c r="D2656" s="195" t="n"/>
      <c r="E2656" s="195" t="n">
        <v>331.54</v>
      </c>
      <c r="F2656" s="195" t="n">
        <v>366.99</v>
      </c>
      <c r="G2656" s="195" t="n">
        <v>349.26</v>
      </c>
    </row>
    <row r="2657">
      <c r="A2657" s="196" t="inlineStr">
        <is>
          <t>2026-05-05</t>
        </is>
      </c>
      <c r="B2657" s="196" t="inlineStr">
        <is>
          <t>SAR</t>
        </is>
      </c>
      <c r="C2657" s="196" t="inlineStr">
        <is>
          <t>SAUDI RIAL</t>
        </is>
      </c>
      <c r="D2657" s="184" t="n"/>
      <c r="E2657" s="184" t="n">
        <v>6975.46</v>
      </c>
      <c r="F2657" s="184" t="n">
        <v>7275.65</v>
      </c>
      <c r="G2657" s="184" t="n">
        <v>7125.56</v>
      </c>
    </row>
    <row r="2658">
      <c r="A2658" s="194" t="inlineStr">
        <is>
          <t>2026-05-05</t>
        </is>
      </c>
      <c r="B2658" s="194" t="inlineStr">
        <is>
          <t>SEK</t>
        </is>
      </c>
      <c r="C2658" s="194" t="inlineStr">
        <is>
          <t>SWEDISH KRONA</t>
        </is>
      </c>
      <c r="D2658" s="195" t="n"/>
      <c r="E2658" s="195" t="n">
        <v>2781.15</v>
      </c>
      <c r="F2658" s="195" t="n">
        <v>2899.07</v>
      </c>
      <c r="G2658" s="195" t="n">
        <v>2840.11</v>
      </c>
    </row>
    <row r="2659">
      <c r="A2659" s="196" t="inlineStr">
        <is>
          <t>2026-05-05</t>
        </is>
      </c>
      <c r="B2659" s="196" t="inlineStr">
        <is>
          <t>SGD</t>
        </is>
      </c>
      <c r="C2659" s="196" t="inlineStr">
        <is>
          <t>SINGAPORE DOLLAR</t>
        </is>
      </c>
      <c r="D2659" s="184" t="n">
        <v>20075.96</v>
      </c>
      <c r="E2659" s="184" t="n">
        <v>20278.75</v>
      </c>
      <c r="F2659" s="184" t="n">
        <v>20970.07</v>
      </c>
      <c r="G2659" s="184" t="n">
        <v>20624.41</v>
      </c>
    </row>
    <row r="2660">
      <c r="A2660" s="194" t="inlineStr">
        <is>
          <t>2026-05-05</t>
        </is>
      </c>
      <c r="B2660" s="194" t="inlineStr">
        <is>
          <t>THB</t>
        </is>
      </c>
      <c r="C2660" s="194" t="inlineStr">
        <is>
          <t>THAILAND BAHT</t>
        </is>
      </c>
      <c r="D2660" s="195" t="n">
        <v>709.88</v>
      </c>
      <c r="E2660" s="195" t="n">
        <v>788.75</v>
      </c>
      <c r="F2660" s="195" t="n">
        <v>822.1900000000001</v>
      </c>
      <c r="G2660" s="195" t="n">
        <v>805.47</v>
      </c>
    </row>
    <row r="2661">
      <c r="A2661" s="196" t="inlineStr">
        <is>
          <t>2026-05-05</t>
        </is>
      </c>
      <c r="B2661" s="196" t="inlineStr">
        <is>
          <t>USD</t>
        </is>
      </c>
      <c r="C2661" s="196" t="inlineStr">
        <is>
          <t>US DOLLAR</t>
        </is>
      </c>
      <c r="D2661" s="184" t="n">
        <v>26096</v>
      </c>
      <c r="E2661" s="184" t="n">
        <v>26126</v>
      </c>
      <c r="F2661" s="184" t="n">
        <v>26366</v>
      </c>
      <c r="G2661" s="184" t="n">
        <v>26246</v>
      </c>
    </row>
    <row r="2662">
      <c r="A2662" s="194" t="inlineStr">
        <is>
          <t>2026-05-04</t>
        </is>
      </c>
      <c r="B2662" s="194" t="inlineStr">
        <is>
          <t>AUD</t>
        </is>
      </c>
      <c r="C2662" s="194" t="inlineStr">
        <is>
          <t>AUSTRALIAN DOLLAR</t>
        </is>
      </c>
      <c r="D2662" s="195" t="n">
        <v>18486.96</v>
      </c>
      <c r="E2662" s="195" t="n">
        <v>18673.7</v>
      </c>
      <c r="F2662" s="195" t="n">
        <v>19271.68</v>
      </c>
      <c r="G2662" s="195" t="n">
        <v>18972.69</v>
      </c>
    </row>
    <row r="2663">
      <c r="A2663" s="196" t="inlineStr">
        <is>
          <t>2026-05-04</t>
        </is>
      </c>
      <c r="B2663" s="196" t="inlineStr">
        <is>
          <t>CAD</t>
        </is>
      </c>
      <c r="C2663" s="196" t="inlineStr">
        <is>
          <t>CANADIAN DOLLAR</t>
        </is>
      </c>
      <c r="D2663" s="184" t="n">
        <v>18892.4</v>
      </c>
      <c r="E2663" s="184" t="n">
        <v>19083.23</v>
      </c>
      <c r="F2663" s="184" t="n">
        <v>19694.33</v>
      </c>
      <c r="G2663" s="184" t="n">
        <v>19388.78</v>
      </c>
    </row>
    <row r="2664">
      <c r="A2664" s="194" t="inlineStr">
        <is>
          <t>2026-05-04</t>
        </is>
      </c>
      <c r="B2664" s="194" t="inlineStr">
        <is>
          <t>CHF</t>
        </is>
      </c>
      <c r="C2664" s="194" t="inlineStr">
        <is>
          <t>SWISS FRANC</t>
        </is>
      </c>
      <c r="D2664" s="195" t="n">
        <v>32853.83</v>
      </c>
      <c r="E2664" s="195" t="n">
        <v>33185.68</v>
      </c>
      <c r="F2664" s="195" t="n">
        <v>34248.37</v>
      </c>
      <c r="G2664" s="195" t="n">
        <v>33717.02</v>
      </c>
    </row>
    <row r="2665">
      <c r="A2665" s="196" t="inlineStr">
        <is>
          <t>2026-05-04</t>
        </is>
      </c>
      <c r="B2665" s="196" t="inlineStr">
        <is>
          <t>CNY</t>
        </is>
      </c>
      <c r="C2665" s="196" t="inlineStr">
        <is>
          <t>YUAN RENMINBI</t>
        </is>
      </c>
      <c r="D2665" s="184" t="n">
        <v>3761.16</v>
      </c>
      <c r="E2665" s="184" t="n">
        <v>3799.15</v>
      </c>
      <c r="F2665" s="184" t="n">
        <v>3920.81</v>
      </c>
      <c r="G2665" s="184" t="n">
        <v>3859.98</v>
      </c>
    </row>
    <row r="2666">
      <c r="A2666" s="194" t="inlineStr">
        <is>
          <t>2026-05-04</t>
        </is>
      </c>
      <c r="B2666" s="194" t="inlineStr">
        <is>
          <t>DKK</t>
        </is>
      </c>
      <c r="C2666" s="194" t="inlineStr">
        <is>
          <t>DANISH KRONE</t>
        </is>
      </c>
      <c r="D2666" s="195" t="n"/>
      <c r="E2666" s="195" t="n">
        <v>4057.09</v>
      </c>
      <c r="F2666" s="195" t="n">
        <v>4212.21</v>
      </c>
      <c r="G2666" s="195" t="n">
        <v>4134.65</v>
      </c>
    </row>
    <row r="2667">
      <c r="A2667" s="196" t="inlineStr">
        <is>
          <t>2026-05-04</t>
        </is>
      </c>
      <c r="B2667" s="196" t="inlineStr">
        <is>
          <t>EUR</t>
        </is>
      </c>
      <c r="C2667" s="196" t="inlineStr">
        <is>
          <t>EURO</t>
        </is>
      </c>
      <c r="D2667" s="184" t="n">
        <v>30088.49</v>
      </c>
      <c r="E2667" s="184" t="n">
        <v>30392.42</v>
      </c>
      <c r="F2667" s="184" t="n">
        <v>31674.68</v>
      </c>
      <c r="G2667" s="184" t="n">
        <v>31033.55</v>
      </c>
    </row>
    <row r="2668">
      <c r="A2668" s="194" t="inlineStr">
        <is>
          <t>2026-05-04</t>
        </is>
      </c>
      <c r="B2668" s="194" t="inlineStr">
        <is>
          <t>GBP</t>
        </is>
      </c>
      <c r="C2668" s="194" t="inlineStr">
        <is>
          <t>POUND STERLING</t>
        </is>
      </c>
      <c r="D2668" s="195" t="n">
        <v>34850.79</v>
      </c>
      <c r="E2668" s="195" t="n">
        <v>35202.82</v>
      </c>
      <c r="F2668" s="195" t="n">
        <v>36330.1</v>
      </c>
      <c r="G2668" s="195" t="n">
        <v>35766.46</v>
      </c>
    </row>
    <row r="2669">
      <c r="A2669" s="196" t="inlineStr">
        <is>
          <t>2026-05-04</t>
        </is>
      </c>
      <c r="B2669" s="196" t="inlineStr">
        <is>
          <t>HKD</t>
        </is>
      </c>
      <c r="C2669" s="196" t="inlineStr">
        <is>
          <t>HONGKONG DOLLAR</t>
        </is>
      </c>
      <c r="D2669" s="184" t="n">
        <v>3268.13</v>
      </c>
      <c r="E2669" s="184" t="n">
        <v>3301.14</v>
      </c>
      <c r="F2669" s="184" t="n">
        <v>3427.36</v>
      </c>
      <c r="G2669" s="184" t="n">
        <v>3364.25</v>
      </c>
    </row>
    <row r="2670">
      <c r="A2670" s="194" t="inlineStr">
        <is>
          <t>2026-05-04</t>
        </is>
      </c>
      <c r="B2670" s="194" t="inlineStr">
        <is>
          <t>INR</t>
        </is>
      </c>
      <c r="C2670" s="194" t="inlineStr">
        <is>
          <t>INDIAN RUPEE</t>
        </is>
      </c>
      <c r="D2670" s="195" t="n"/>
      <c r="E2670" s="195" t="n">
        <v>276.07</v>
      </c>
      <c r="F2670" s="195" t="n">
        <v>287.95</v>
      </c>
      <c r="G2670" s="195" t="n">
        <v>282.01</v>
      </c>
    </row>
    <row r="2671">
      <c r="A2671" s="196" t="inlineStr">
        <is>
          <t>2026-05-04</t>
        </is>
      </c>
      <c r="B2671" s="196" t="inlineStr">
        <is>
          <t>JPY</t>
        </is>
      </c>
      <c r="C2671" s="196" t="inlineStr">
        <is>
          <t>YEN</t>
        </is>
      </c>
      <c r="D2671" s="184" t="n">
        <v>161.94</v>
      </c>
      <c r="E2671" s="184" t="n">
        <v>163.58</v>
      </c>
      <c r="F2671" s="184" t="n">
        <v>172.23</v>
      </c>
      <c r="G2671" s="184" t="n">
        <v>167.9</v>
      </c>
    </row>
    <row r="2672">
      <c r="A2672" s="194" t="inlineStr">
        <is>
          <t>2026-05-04</t>
        </is>
      </c>
      <c r="B2672" s="194" t="inlineStr">
        <is>
          <t>KRW</t>
        </is>
      </c>
      <c r="C2672" s="194" t="inlineStr">
        <is>
          <t>KOREAN WON</t>
        </is>
      </c>
      <c r="D2672" s="195" t="n">
        <v>15.48</v>
      </c>
      <c r="E2672" s="195" t="n">
        <v>17.2</v>
      </c>
      <c r="F2672" s="195" t="n">
        <v>18.67</v>
      </c>
      <c r="G2672" s="195" t="n">
        <v>17.94</v>
      </c>
    </row>
    <row r="2673">
      <c r="A2673" s="196" t="inlineStr">
        <is>
          <t>2026-05-04</t>
        </is>
      </c>
      <c r="B2673" s="196" t="inlineStr">
        <is>
          <t>KWD</t>
        </is>
      </c>
      <c r="C2673" s="196" t="inlineStr">
        <is>
          <t>KUWAITI DINAR</t>
        </is>
      </c>
      <c r="D2673" s="184" t="n"/>
      <c r="E2673" s="184" t="n">
        <v>85551.99000000001</v>
      </c>
      <c r="F2673" s="184" t="n">
        <v>89698.32000000001</v>
      </c>
      <c r="G2673" s="184" t="n">
        <v>87625.16</v>
      </c>
    </row>
    <row r="2674">
      <c r="A2674" s="194" t="inlineStr">
        <is>
          <t>2026-05-04</t>
        </is>
      </c>
      <c r="B2674" s="194" t="inlineStr">
        <is>
          <t>MYR</t>
        </is>
      </c>
      <c r="C2674" s="194" t="inlineStr">
        <is>
          <t>MALAYSIAN RINGGIT</t>
        </is>
      </c>
      <c r="D2674" s="195" t="n"/>
      <c r="E2674" s="195" t="n">
        <v>6589.06</v>
      </c>
      <c r="F2674" s="195" t="n">
        <v>6732.39</v>
      </c>
      <c r="G2674" s="195" t="n">
        <v>6660.72</v>
      </c>
    </row>
    <row r="2675">
      <c r="A2675" s="196" t="inlineStr">
        <is>
          <t>2026-05-04</t>
        </is>
      </c>
      <c r="B2675" s="196" t="inlineStr">
        <is>
          <t>NOK</t>
        </is>
      </c>
      <c r="C2675" s="196" t="inlineStr">
        <is>
          <t>NORWEGIAN KRONER</t>
        </is>
      </c>
      <c r="D2675" s="184" t="n"/>
      <c r="E2675" s="184" t="n">
        <v>2781.45</v>
      </c>
      <c r="F2675" s="184" t="n">
        <v>2899.38</v>
      </c>
      <c r="G2675" s="184" t="n">
        <v>2840.42</v>
      </c>
    </row>
    <row r="2676">
      <c r="A2676" s="194" t="inlineStr">
        <is>
          <t>2026-05-04</t>
        </is>
      </c>
      <c r="B2676" s="194" t="inlineStr">
        <is>
          <t>RUB</t>
        </is>
      </c>
      <c r="C2676" s="194" t="inlineStr">
        <is>
          <t>RUSSIAN RUBLE</t>
        </is>
      </c>
      <c r="D2676" s="195" t="n"/>
      <c r="E2676" s="195" t="n">
        <v>334.55</v>
      </c>
      <c r="F2676" s="195" t="n">
        <v>370.33</v>
      </c>
      <c r="G2676" s="195" t="n">
        <v>352.44</v>
      </c>
    </row>
    <row r="2677">
      <c r="A2677" s="196" t="inlineStr">
        <is>
          <t>2026-05-04</t>
        </is>
      </c>
      <c r="B2677" s="196" t="inlineStr">
        <is>
          <t>SAR</t>
        </is>
      </c>
      <c r="C2677" s="196" t="inlineStr">
        <is>
          <t>SAUDI RIAL</t>
        </is>
      </c>
      <c r="D2677" s="184" t="n"/>
      <c r="E2677" s="184" t="n">
        <v>6985.05</v>
      </c>
      <c r="F2677" s="184" t="n">
        <v>7285.63</v>
      </c>
      <c r="G2677" s="184" t="n">
        <v>7135.34</v>
      </c>
    </row>
    <row r="2678">
      <c r="A2678" s="194" t="inlineStr">
        <is>
          <t>2026-05-04</t>
        </is>
      </c>
      <c r="B2678" s="194" t="inlineStr">
        <is>
          <t>SEK</t>
        </is>
      </c>
      <c r="C2678" s="194" t="inlineStr">
        <is>
          <t>SWEDISH KRONA</t>
        </is>
      </c>
      <c r="D2678" s="195" t="n"/>
      <c r="E2678" s="195" t="n">
        <v>2798.07</v>
      </c>
      <c r="F2678" s="195" t="n">
        <v>2916.7</v>
      </c>
      <c r="G2678" s="195" t="n">
        <v>2857.38</v>
      </c>
    </row>
    <row r="2679">
      <c r="A2679" s="196" t="inlineStr">
        <is>
          <t>2026-05-04</t>
        </is>
      </c>
      <c r="B2679" s="196" t="inlineStr">
        <is>
          <t>SGD</t>
        </is>
      </c>
      <c r="C2679" s="196" t="inlineStr">
        <is>
          <t>SINGAPORE DOLLAR</t>
        </is>
      </c>
      <c r="D2679" s="184" t="n">
        <v>20148.66</v>
      </c>
      <c r="E2679" s="184" t="n">
        <v>20352.18</v>
      </c>
      <c r="F2679" s="184" t="n">
        <v>21045.97</v>
      </c>
      <c r="G2679" s="184" t="n">
        <v>20699.08</v>
      </c>
    </row>
    <row r="2680">
      <c r="A2680" s="194" t="inlineStr">
        <is>
          <t>2026-05-04</t>
        </is>
      </c>
      <c r="B2680" s="194" t="inlineStr">
        <is>
          <t>THB</t>
        </is>
      </c>
      <c r="C2680" s="194" t="inlineStr">
        <is>
          <t>THAILAND BAHT</t>
        </is>
      </c>
      <c r="D2680" s="195" t="n">
        <v>714.3200000000001</v>
      </c>
      <c r="E2680" s="195" t="n">
        <v>793.6900000000001</v>
      </c>
      <c r="F2680" s="195" t="n">
        <v>827.34</v>
      </c>
      <c r="G2680" s="195" t="n">
        <v>810.52</v>
      </c>
    </row>
    <row r="2681">
      <c r="A2681" s="196" t="inlineStr">
        <is>
          <t>2026-05-04</t>
        </is>
      </c>
      <c r="B2681" s="196" t="inlineStr">
        <is>
          <t>USD</t>
        </is>
      </c>
      <c r="C2681" s="196" t="inlineStr">
        <is>
          <t>US DOLLAR</t>
        </is>
      </c>
      <c r="D2681" s="184" t="n">
        <v>26107</v>
      </c>
      <c r="E2681" s="184" t="n">
        <v>26137</v>
      </c>
      <c r="F2681" s="184" t="n">
        <v>26367</v>
      </c>
      <c r="G2681" s="184" t="n">
        <v>26252</v>
      </c>
    </row>
    <row r="2682">
      <c r="A2682" s="194" t="inlineStr">
        <is>
          <t>2026-05-03</t>
        </is>
      </c>
      <c r="B2682" s="194" t="inlineStr">
        <is>
          <t>AUD</t>
        </is>
      </c>
      <c r="C2682" s="194" t="inlineStr">
        <is>
          <t>AUSTRALIAN DOLLAR</t>
        </is>
      </c>
      <c r="D2682" s="195" t="n">
        <v>18353.72</v>
      </c>
      <c r="E2682" s="195" t="n">
        <v>18539.11</v>
      </c>
      <c r="F2682" s="195" t="n">
        <v>19147.3</v>
      </c>
      <c r="G2682" s="195" t="n">
        <v>18843.21</v>
      </c>
    </row>
    <row r="2683">
      <c r="A2683" s="196" t="inlineStr">
        <is>
          <t>2026-05-03</t>
        </is>
      </c>
      <c r="B2683" s="196" t="inlineStr">
        <is>
          <t>CAD</t>
        </is>
      </c>
      <c r="C2683" s="196" t="inlineStr">
        <is>
          <t>CANADIAN DOLLAR</t>
        </is>
      </c>
      <c r="D2683" s="184" t="n">
        <v>18756.28</v>
      </c>
      <c r="E2683" s="184" t="n">
        <v>18945.74</v>
      </c>
      <c r="F2683" s="184" t="n">
        <v>19567.27</v>
      </c>
      <c r="G2683" s="184" t="n">
        <v>19256.5</v>
      </c>
    </row>
    <row r="2684">
      <c r="A2684" s="194" t="inlineStr">
        <is>
          <t>2026-05-03</t>
        </is>
      </c>
      <c r="B2684" s="194" t="inlineStr">
        <is>
          <t>CHF</t>
        </is>
      </c>
      <c r="C2684" s="194" t="inlineStr">
        <is>
          <t>SWISS FRANC</t>
        </is>
      </c>
      <c r="D2684" s="195" t="n">
        <v>32504.08</v>
      </c>
      <c r="E2684" s="195" t="n">
        <v>32832.41</v>
      </c>
      <c r="F2684" s="195" t="n">
        <v>33909.5</v>
      </c>
      <c r="G2684" s="195" t="n">
        <v>33370.96</v>
      </c>
    </row>
    <row r="2685">
      <c r="A2685" s="196" t="inlineStr">
        <is>
          <t>2026-05-03</t>
        </is>
      </c>
      <c r="B2685" s="196" t="inlineStr">
        <is>
          <t>CNY</t>
        </is>
      </c>
      <c r="C2685" s="196" t="inlineStr">
        <is>
          <t>YUAN RENMINBI</t>
        </is>
      </c>
      <c r="D2685" s="184" t="n">
        <v>3756.64</v>
      </c>
      <c r="E2685" s="184" t="n">
        <v>3794.58</v>
      </c>
      <c r="F2685" s="184" t="n">
        <v>3919.07</v>
      </c>
      <c r="G2685" s="184" t="n">
        <v>3856.82</v>
      </c>
    </row>
    <row r="2686">
      <c r="A2686" s="194" t="inlineStr">
        <is>
          <t>2026-05-03</t>
        </is>
      </c>
      <c r="B2686" s="194" t="inlineStr">
        <is>
          <t>DKK</t>
        </is>
      </c>
      <c r="C2686" s="194" t="inlineStr">
        <is>
          <t>DANISH KRONE</t>
        </is>
      </c>
      <c r="D2686" s="195" t="n"/>
      <c r="E2686" s="195" t="n">
        <v>4047.37</v>
      </c>
      <c r="F2686" s="195" t="n">
        <v>4205.31</v>
      </c>
      <c r="G2686" s="195" t="n">
        <v>4126.34</v>
      </c>
    </row>
    <row r="2687">
      <c r="A2687" s="196" t="inlineStr">
        <is>
          <t>2026-05-03</t>
        </is>
      </c>
      <c r="B2687" s="196" t="inlineStr">
        <is>
          <t>EUR</t>
        </is>
      </c>
      <c r="C2687" s="196" t="inlineStr">
        <is>
          <t>EURO</t>
        </is>
      </c>
      <c r="D2687" s="184" t="n">
        <v>30026.59</v>
      </c>
      <c r="E2687" s="184" t="n">
        <v>30329.89</v>
      </c>
      <c r="F2687" s="184" t="n">
        <v>31633.51</v>
      </c>
      <c r="G2687" s="184" t="n">
        <v>30981.7</v>
      </c>
    </row>
    <row r="2688">
      <c r="A2688" s="194" t="inlineStr">
        <is>
          <t>2026-05-03</t>
        </is>
      </c>
      <c r="B2688" s="194" t="inlineStr">
        <is>
          <t>GBP</t>
        </is>
      </c>
      <c r="C2688" s="194" t="inlineStr">
        <is>
          <t>POUND STERLING</t>
        </is>
      </c>
      <c r="D2688" s="195" t="n">
        <v>34646.46</v>
      </c>
      <c r="E2688" s="195" t="n">
        <v>34996.43</v>
      </c>
      <c r="F2688" s="195" t="n">
        <v>36144.52</v>
      </c>
      <c r="G2688" s="195" t="n">
        <v>35570.48</v>
      </c>
    </row>
    <row r="2689">
      <c r="A2689" s="196" t="inlineStr">
        <is>
          <t>2026-05-03</t>
        </is>
      </c>
      <c r="B2689" s="196" t="inlineStr">
        <is>
          <t>HKD</t>
        </is>
      </c>
      <c r="C2689" s="196" t="inlineStr">
        <is>
          <t>HONGKONG DOLLAR</t>
        </is>
      </c>
      <c r="D2689" s="184" t="n">
        <v>3266.14</v>
      </c>
      <c r="E2689" s="184" t="n">
        <v>3299.13</v>
      </c>
      <c r="F2689" s="184" t="n">
        <v>3427.87</v>
      </c>
      <c r="G2689" s="184" t="n">
        <v>3363.5</v>
      </c>
    </row>
    <row r="2690">
      <c r="A2690" s="194" t="inlineStr">
        <is>
          <t>2026-05-03</t>
        </is>
      </c>
      <c r="B2690" s="194" t="inlineStr">
        <is>
          <t>INR</t>
        </is>
      </c>
      <c r="C2690" s="194" t="inlineStr">
        <is>
          <t>INDIAN RUPEE</t>
        </is>
      </c>
      <c r="D2690" s="195" t="n"/>
      <c r="E2690" s="195" t="n">
        <v>276.14</v>
      </c>
      <c r="F2690" s="195" t="n">
        <v>288.24</v>
      </c>
      <c r="G2690" s="195" t="n">
        <v>282.19</v>
      </c>
    </row>
    <row r="2691">
      <c r="A2691" s="196" t="inlineStr">
        <is>
          <t>2026-05-03</t>
        </is>
      </c>
      <c r="B2691" s="196" t="inlineStr">
        <is>
          <t>JPY</t>
        </is>
      </c>
      <c r="C2691" s="196" t="inlineStr">
        <is>
          <t>YEN</t>
        </is>
      </c>
      <c r="D2691" s="184" t="n">
        <v>159.07</v>
      </c>
      <c r="E2691" s="184" t="n">
        <v>160.68</v>
      </c>
      <c r="F2691" s="184" t="n">
        <v>169.3</v>
      </c>
      <c r="G2691" s="184" t="n">
        <v>164.99</v>
      </c>
    </row>
    <row r="2692">
      <c r="A2692" s="194" t="inlineStr">
        <is>
          <t>2026-05-03</t>
        </is>
      </c>
      <c r="B2692" s="194" t="inlineStr">
        <is>
          <t>KRW</t>
        </is>
      </c>
      <c r="C2692" s="194" t="inlineStr">
        <is>
          <t>KOREAN WON</t>
        </is>
      </c>
      <c r="D2692" s="195" t="n">
        <v>15.39</v>
      </c>
      <c r="E2692" s="195" t="n">
        <v>17.1</v>
      </c>
      <c r="F2692" s="195" t="n">
        <v>18.56</v>
      </c>
      <c r="G2692" s="195" t="n">
        <v>17.83</v>
      </c>
    </row>
    <row r="2693">
      <c r="A2693" s="196" t="inlineStr">
        <is>
          <t>2026-05-03</t>
        </is>
      </c>
      <c r="B2693" s="196" t="inlineStr">
        <is>
          <t>KWD</t>
        </is>
      </c>
      <c r="C2693" s="196" t="inlineStr">
        <is>
          <t>KUWAITI DINAR</t>
        </is>
      </c>
      <c r="D2693" s="184" t="n"/>
      <c r="E2693" s="184" t="n">
        <v>85445.53</v>
      </c>
      <c r="F2693" s="184" t="n">
        <v>89654.7</v>
      </c>
      <c r="G2693" s="184" t="n">
        <v>87550.12</v>
      </c>
    </row>
    <row r="2694">
      <c r="A2694" s="194" t="inlineStr">
        <is>
          <t>2026-05-03</t>
        </is>
      </c>
      <c r="B2694" s="194" t="inlineStr">
        <is>
          <t>MYR</t>
        </is>
      </c>
      <c r="C2694" s="194" t="inlineStr">
        <is>
          <t>MALAYSIAN RINGGIT</t>
        </is>
      </c>
      <c r="D2694" s="195" t="n"/>
      <c r="E2694" s="195" t="n">
        <v>6597.32</v>
      </c>
      <c r="F2694" s="195" t="n">
        <v>6745.94</v>
      </c>
      <c r="G2694" s="195" t="n">
        <v>6671.63</v>
      </c>
    </row>
    <row r="2695">
      <c r="A2695" s="196" t="inlineStr">
        <is>
          <t>2026-05-03</t>
        </is>
      </c>
      <c r="B2695" s="196" t="inlineStr">
        <is>
          <t>NOK</t>
        </is>
      </c>
      <c r="C2695" s="196" t="inlineStr">
        <is>
          <t>NORWEGIAN KRONER</t>
        </is>
      </c>
      <c r="D2695" s="184" t="n"/>
      <c r="E2695" s="184" t="n">
        <v>2770.3</v>
      </c>
      <c r="F2695" s="184" t="n">
        <v>2889.94</v>
      </c>
      <c r="G2695" s="184" t="n">
        <v>2830.12</v>
      </c>
    </row>
    <row r="2696">
      <c r="A2696" s="194" t="inlineStr">
        <is>
          <t>2026-05-03</t>
        </is>
      </c>
      <c r="B2696" s="194" t="inlineStr">
        <is>
          <t>RUB</t>
        </is>
      </c>
      <c r="C2696" s="194" t="inlineStr">
        <is>
          <t>RUSSIAN RUBLE</t>
        </is>
      </c>
      <c r="D2696" s="195" t="n"/>
      <c r="E2696" s="195" t="n">
        <v>334</v>
      </c>
      <c r="F2696" s="195" t="n">
        <v>370</v>
      </c>
      <c r="G2696" s="195" t="n">
        <v>352</v>
      </c>
    </row>
    <row r="2697">
      <c r="A2697" s="196" t="inlineStr">
        <is>
          <t>2026-05-03</t>
        </is>
      </c>
      <c r="B2697" s="196" t="inlineStr">
        <is>
          <t>SAR</t>
        </is>
      </c>
      <c r="C2697" s="196" t="inlineStr">
        <is>
          <t>SAUDI RIAL</t>
        </is>
      </c>
      <c r="D2697" s="184" t="n"/>
      <c r="E2697" s="184" t="n">
        <v>6983</v>
      </c>
      <c r="F2697" s="184" t="n">
        <v>7289.03</v>
      </c>
      <c r="G2697" s="184" t="n">
        <v>7136.02</v>
      </c>
    </row>
    <row r="2698">
      <c r="A2698" s="194" t="inlineStr">
        <is>
          <t>2026-05-03</t>
        </is>
      </c>
      <c r="B2698" s="194" t="inlineStr">
        <is>
          <t>SEK</t>
        </is>
      </c>
      <c r="C2698" s="194" t="inlineStr">
        <is>
          <t>SWEDISH KRONA</t>
        </is>
      </c>
      <c r="D2698" s="195" t="n"/>
      <c r="E2698" s="195" t="n">
        <v>2780</v>
      </c>
      <c r="F2698" s="195" t="n">
        <v>2900.06</v>
      </c>
      <c r="G2698" s="195" t="n">
        <v>2840.03</v>
      </c>
    </row>
    <row r="2699">
      <c r="A2699" s="196" t="inlineStr">
        <is>
          <t>2026-05-03</t>
        </is>
      </c>
      <c r="B2699" s="196" t="inlineStr">
        <is>
          <t>SGD</t>
        </is>
      </c>
      <c r="C2699" s="196" t="inlineStr">
        <is>
          <t>SINGAPORE DOLLAR</t>
        </is>
      </c>
      <c r="D2699" s="184" t="n">
        <v>20069.22</v>
      </c>
      <c r="E2699" s="184" t="n">
        <v>20271.94</v>
      </c>
      <c r="F2699" s="184" t="n">
        <v>20978.91</v>
      </c>
      <c r="G2699" s="184" t="n">
        <v>20625.42</v>
      </c>
    </row>
    <row r="2700">
      <c r="A2700" s="194" t="inlineStr">
        <is>
          <t>2026-05-03</t>
        </is>
      </c>
      <c r="B2700" s="194" t="inlineStr">
        <is>
          <t>THB</t>
        </is>
      </c>
      <c r="C2700" s="194" t="inlineStr">
        <is>
          <t>THAILAND BAHT</t>
        </is>
      </c>
      <c r="D2700" s="195" t="n">
        <v>711.0700000000001</v>
      </c>
      <c r="E2700" s="195" t="n">
        <v>790.08</v>
      </c>
      <c r="F2700" s="195" t="n">
        <v>824.2</v>
      </c>
      <c r="G2700" s="195" t="n">
        <v>807.14</v>
      </c>
    </row>
    <row r="2701">
      <c r="A2701" s="196" t="inlineStr">
        <is>
          <t>2026-05-03</t>
        </is>
      </c>
      <c r="B2701" s="196" t="inlineStr">
        <is>
          <t>USD</t>
        </is>
      </c>
      <c r="C2701" s="196" t="inlineStr">
        <is>
          <t>US DOLLAR</t>
        </is>
      </c>
      <c r="D2701" s="184" t="n">
        <v>26108</v>
      </c>
      <c r="E2701" s="184" t="n">
        <v>26138</v>
      </c>
      <c r="F2701" s="184" t="n">
        <v>26368</v>
      </c>
      <c r="G2701" s="184" t="n">
        <v>26253</v>
      </c>
    </row>
    <row r="2702">
      <c r="A2702" s="194" t="inlineStr">
        <is>
          <t>2026-05-02</t>
        </is>
      </c>
      <c r="B2702" s="194" t="inlineStr">
        <is>
          <t>AUD</t>
        </is>
      </c>
      <c r="C2702" s="194" t="inlineStr">
        <is>
          <t>AUSTRALIAN DOLLAR</t>
        </is>
      </c>
      <c r="D2702" s="195" t="n">
        <v>18353.72</v>
      </c>
      <c r="E2702" s="195" t="n">
        <v>18539.11</v>
      </c>
      <c r="F2702" s="195" t="n">
        <v>19147.3</v>
      </c>
      <c r="G2702" s="195" t="n">
        <v>18843.21</v>
      </c>
    </row>
    <row r="2703">
      <c r="A2703" s="196" t="inlineStr">
        <is>
          <t>2026-05-02</t>
        </is>
      </c>
      <c r="B2703" s="196" t="inlineStr">
        <is>
          <t>CAD</t>
        </is>
      </c>
      <c r="C2703" s="196" t="inlineStr">
        <is>
          <t>CANADIAN DOLLAR</t>
        </is>
      </c>
      <c r="D2703" s="184" t="n">
        <v>18756.28</v>
      </c>
      <c r="E2703" s="184" t="n">
        <v>18945.74</v>
      </c>
      <c r="F2703" s="184" t="n">
        <v>19567.27</v>
      </c>
      <c r="G2703" s="184" t="n">
        <v>19256.5</v>
      </c>
    </row>
    <row r="2704">
      <c r="A2704" s="194" t="inlineStr">
        <is>
          <t>2026-05-02</t>
        </is>
      </c>
      <c r="B2704" s="194" t="inlineStr">
        <is>
          <t>CHF</t>
        </is>
      </c>
      <c r="C2704" s="194" t="inlineStr">
        <is>
          <t>SWISS FRANC</t>
        </is>
      </c>
      <c r="D2704" s="195" t="n">
        <v>32504.08</v>
      </c>
      <c r="E2704" s="195" t="n">
        <v>32832.41</v>
      </c>
      <c r="F2704" s="195" t="n">
        <v>33909.5</v>
      </c>
      <c r="G2704" s="195" t="n">
        <v>33370.96</v>
      </c>
    </row>
    <row r="2705">
      <c r="A2705" s="196" t="inlineStr">
        <is>
          <t>2026-05-02</t>
        </is>
      </c>
      <c r="B2705" s="196" t="inlineStr">
        <is>
          <t>CNY</t>
        </is>
      </c>
      <c r="C2705" s="196" t="inlineStr">
        <is>
          <t>YUAN RENMINBI</t>
        </is>
      </c>
      <c r="D2705" s="184" t="n">
        <v>3756.64</v>
      </c>
      <c r="E2705" s="184" t="n">
        <v>3794.58</v>
      </c>
      <c r="F2705" s="184" t="n">
        <v>3919.07</v>
      </c>
      <c r="G2705" s="184" t="n">
        <v>3856.82</v>
      </c>
    </row>
    <row r="2706">
      <c r="A2706" s="194" t="inlineStr">
        <is>
          <t>2026-05-02</t>
        </is>
      </c>
      <c r="B2706" s="194" t="inlineStr">
        <is>
          <t>DKK</t>
        </is>
      </c>
      <c r="C2706" s="194" t="inlineStr">
        <is>
          <t>DANISH KRONE</t>
        </is>
      </c>
      <c r="D2706" s="195" t="n"/>
      <c r="E2706" s="195" t="n">
        <v>4047.37</v>
      </c>
      <c r="F2706" s="195" t="n">
        <v>4205.31</v>
      </c>
      <c r="G2706" s="195" t="n">
        <v>4126.34</v>
      </c>
    </row>
    <row r="2707">
      <c r="A2707" s="196" t="inlineStr">
        <is>
          <t>2026-05-02</t>
        </is>
      </c>
      <c r="B2707" s="196" t="inlineStr">
        <is>
          <t>EUR</t>
        </is>
      </c>
      <c r="C2707" s="196" t="inlineStr">
        <is>
          <t>EURO</t>
        </is>
      </c>
      <c r="D2707" s="184" t="n">
        <v>30026.59</v>
      </c>
      <c r="E2707" s="184" t="n">
        <v>30329.89</v>
      </c>
      <c r="F2707" s="184" t="n">
        <v>31633.51</v>
      </c>
      <c r="G2707" s="184" t="n">
        <v>30981.7</v>
      </c>
    </row>
    <row r="2708">
      <c r="A2708" s="194" t="inlineStr">
        <is>
          <t>2026-05-02</t>
        </is>
      </c>
      <c r="B2708" s="194" t="inlineStr">
        <is>
          <t>GBP</t>
        </is>
      </c>
      <c r="C2708" s="194" t="inlineStr">
        <is>
          <t>POUND STERLING</t>
        </is>
      </c>
      <c r="D2708" s="195" t="n">
        <v>34646.46</v>
      </c>
      <c r="E2708" s="195" t="n">
        <v>34996.43</v>
      </c>
      <c r="F2708" s="195" t="n">
        <v>36144.52</v>
      </c>
      <c r="G2708" s="195" t="n">
        <v>35570.48</v>
      </c>
    </row>
    <row r="2709">
      <c r="A2709" s="196" t="inlineStr">
        <is>
          <t>2026-05-02</t>
        </is>
      </c>
      <c r="B2709" s="196" t="inlineStr">
        <is>
          <t>HKD</t>
        </is>
      </c>
      <c r="C2709" s="196" t="inlineStr">
        <is>
          <t>HONGKONG DOLLAR</t>
        </is>
      </c>
      <c r="D2709" s="184" t="n">
        <v>3266.14</v>
      </c>
      <c r="E2709" s="184" t="n">
        <v>3299.13</v>
      </c>
      <c r="F2709" s="184" t="n">
        <v>3427.87</v>
      </c>
      <c r="G2709" s="184" t="n">
        <v>3363.5</v>
      </c>
    </row>
    <row r="2710">
      <c r="A2710" s="194" t="inlineStr">
        <is>
          <t>2026-05-02</t>
        </is>
      </c>
      <c r="B2710" s="194" t="inlineStr">
        <is>
          <t>INR</t>
        </is>
      </c>
      <c r="C2710" s="194" t="inlineStr">
        <is>
          <t>INDIAN RUPEE</t>
        </is>
      </c>
      <c r="D2710" s="195" t="n"/>
      <c r="E2710" s="195" t="n">
        <v>276.14</v>
      </c>
      <c r="F2710" s="195" t="n">
        <v>288.24</v>
      </c>
      <c r="G2710" s="195" t="n">
        <v>282.19</v>
      </c>
    </row>
    <row r="2711">
      <c r="A2711" s="196" t="inlineStr">
        <is>
          <t>2026-05-02</t>
        </is>
      </c>
      <c r="B2711" s="196" t="inlineStr">
        <is>
          <t>JPY</t>
        </is>
      </c>
      <c r="C2711" s="196" t="inlineStr">
        <is>
          <t>YEN</t>
        </is>
      </c>
      <c r="D2711" s="184" t="n">
        <v>159.07</v>
      </c>
      <c r="E2711" s="184" t="n">
        <v>160.68</v>
      </c>
      <c r="F2711" s="184" t="n">
        <v>169.3</v>
      </c>
      <c r="G2711" s="184" t="n">
        <v>164.99</v>
      </c>
    </row>
    <row r="2712">
      <c r="A2712" s="194" t="inlineStr">
        <is>
          <t>2026-05-02</t>
        </is>
      </c>
      <c r="B2712" s="194" t="inlineStr">
        <is>
          <t>KRW</t>
        </is>
      </c>
      <c r="C2712" s="194" t="inlineStr">
        <is>
          <t>KOREAN WON</t>
        </is>
      </c>
      <c r="D2712" s="195" t="n">
        <v>15.39</v>
      </c>
      <c r="E2712" s="195" t="n">
        <v>17.1</v>
      </c>
      <c r="F2712" s="195" t="n">
        <v>18.56</v>
      </c>
      <c r="G2712" s="195" t="n">
        <v>17.83</v>
      </c>
    </row>
    <row r="2713">
      <c r="A2713" s="196" t="inlineStr">
        <is>
          <t>2026-05-02</t>
        </is>
      </c>
      <c r="B2713" s="196" t="inlineStr">
        <is>
          <t>KWD</t>
        </is>
      </c>
      <c r="C2713" s="196" t="inlineStr">
        <is>
          <t>KUWAITI DINAR</t>
        </is>
      </c>
      <c r="D2713" s="184" t="n"/>
      <c r="E2713" s="184" t="n">
        <v>85445.53</v>
      </c>
      <c r="F2713" s="184" t="n">
        <v>89654.7</v>
      </c>
      <c r="G2713" s="184" t="n">
        <v>87550.12</v>
      </c>
    </row>
    <row r="2714">
      <c r="A2714" s="194" t="inlineStr">
        <is>
          <t>2026-05-02</t>
        </is>
      </c>
      <c r="B2714" s="194" t="inlineStr">
        <is>
          <t>MYR</t>
        </is>
      </c>
      <c r="C2714" s="194" t="inlineStr">
        <is>
          <t>MALAYSIAN RINGGIT</t>
        </is>
      </c>
      <c r="D2714" s="195" t="n"/>
      <c r="E2714" s="195" t="n">
        <v>6597.32</v>
      </c>
      <c r="F2714" s="195" t="n">
        <v>6745.94</v>
      </c>
      <c r="G2714" s="195" t="n">
        <v>6671.63</v>
      </c>
    </row>
    <row r="2715">
      <c r="A2715" s="196" t="inlineStr">
        <is>
          <t>2026-05-02</t>
        </is>
      </c>
      <c r="B2715" s="196" t="inlineStr">
        <is>
          <t>NOK</t>
        </is>
      </c>
      <c r="C2715" s="196" t="inlineStr">
        <is>
          <t>NORWEGIAN KRONER</t>
        </is>
      </c>
      <c r="D2715" s="184" t="n"/>
      <c r="E2715" s="184" t="n">
        <v>2770.3</v>
      </c>
      <c r="F2715" s="184" t="n">
        <v>2889.94</v>
      </c>
      <c r="G2715" s="184" t="n">
        <v>2830.12</v>
      </c>
    </row>
    <row r="2716">
      <c r="A2716" s="194" t="inlineStr">
        <is>
          <t>2026-05-02</t>
        </is>
      </c>
      <c r="B2716" s="194" t="inlineStr">
        <is>
          <t>RUB</t>
        </is>
      </c>
      <c r="C2716" s="194" t="inlineStr">
        <is>
          <t>RUSSIAN RUBLE</t>
        </is>
      </c>
      <c r="D2716" s="195" t="n"/>
      <c r="E2716" s="195" t="n">
        <v>334</v>
      </c>
      <c r="F2716" s="195" t="n">
        <v>370</v>
      </c>
      <c r="G2716" s="195" t="n">
        <v>352</v>
      </c>
    </row>
    <row r="2717">
      <c r="A2717" s="196" t="inlineStr">
        <is>
          <t>2026-05-02</t>
        </is>
      </c>
      <c r="B2717" s="196" t="inlineStr">
        <is>
          <t>SAR</t>
        </is>
      </c>
      <c r="C2717" s="196" t="inlineStr">
        <is>
          <t>SAUDI RIAL</t>
        </is>
      </c>
      <c r="D2717" s="184" t="n"/>
      <c r="E2717" s="184" t="n">
        <v>6983</v>
      </c>
      <c r="F2717" s="184" t="n">
        <v>7289.03</v>
      </c>
      <c r="G2717" s="184" t="n">
        <v>7136.02</v>
      </c>
    </row>
    <row r="2718">
      <c r="A2718" s="194" t="inlineStr">
        <is>
          <t>2026-05-02</t>
        </is>
      </c>
      <c r="B2718" s="194" t="inlineStr">
        <is>
          <t>SEK</t>
        </is>
      </c>
      <c r="C2718" s="194" t="inlineStr">
        <is>
          <t>SWEDISH KRONA</t>
        </is>
      </c>
      <c r="D2718" s="195" t="n"/>
      <c r="E2718" s="195" t="n">
        <v>2780</v>
      </c>
      <c r="F2718" s="195" t="n">
        <v>2900.06</v>
      </c>
      <c r="G2718" s="195" t="n">
        <v>2840.03</v>
      </c>
    </row>
    <row r="2719">
      <c r="A2719" s="196" t="inlineStr">
        <is>
          <t>2026-05-02</t>
        </is>
      </c>
      <c r="B2719" s="196" t="inlineStr">
        <is>
          <t>SGD</t>
        </is>
      </c>
      <c r="C2719" s="196" t="inlineStr">
        <is>
          <t>SINGAPORE DOLLAR</t>
        </is>
      </c>
      <c r="D2719" s="184" t="n">
        <v>20069.22</v>
      </c>
      <c r="E2719" s="184" t="n">
        <v>20271.94</v>
      </c>
      <c r="F2719" s="184" t="n">
        <v>20978.91</v>
      </c>
      <c r="G2719" s="184" t="n">
        <v>20625.42</v>
      </c>
    </row>
    <row r="2720">
      <c r="A2720" s="194" t="inlineStr">
        <is>
          <t>2026-05-02</t>
        </is>
      </c>
      <c r="B2720" s="194" t="inlineStr">
        <is>
          <t>THB</t>
        </is>
      </c>
      <c r="C2720" s="194" t="inlineStr">
        <is>
          <t>THAILAND BAHT</t>
        </is>
      </c>
      <c r="D2720" s="195" t="n">
        <v>711.0700000000001</v>
      </c>
      <c r="E2720" s="195" t="n">
        <v>790.08</v>
      </c>
      <c r="F2720" s="195" t="n">
        <v>824.2</v>
      </c>
      <c r="G2720" s="195" t="n">
        <v>807.14</v>
      </c>
    </row>
    <row r="2721">
      <c r="A2721" s="196" t="inlineStr">
        <is>
          <t>2026-05-02</t>
        </is>
      </c>
      <c r="B2721" s="196" t="inlineStr">
        <is>
          <t>USD</t>
        </is>
      </c>
      <c r="C2721" s="196" t="inlineStr">
        <is>
          <t>US DOLLAR</t>
        </is>
      </c>
      <c r="D2721" s="184" t="n">
        <v>26108</v>
      </c>
      <c r="E2721" s="184" t="n">
        <v>26138</v>
      </c>
      <c r="F2721" s="184" t="n">
        <v>26368</v>
      </c>
      <c r="G2721" s="184" t="n">
        <v>26253</v>
      </c>
    </row>
    <row r="2722">
      <c r="A2722" s="194" t="inlineStr">
        <is>
          <t>2026-05-01</t>
        </is>
      </c>
      <c r="B2722" s="194" t="inlineStr">
        <is>
          <t>AUD</t>
        </is>
      </c>
      <c r="C2722" s="194" t="inlineStr">
        <is>
          <t>AUSTRALIAN DOLLAR</t>
        </is>
      </c>
      <c r="D2722" s="195" t="n">
        <v>18353.72</v>
      </c>
      <c r="E2722" s="195" t="n">
        <v>18539.11</v>
      </c>
      <c r="F2722" s="195" t="n">
        <v>19147.3</v>
      </c>
      <c r="G2722" s="195" t="n">
        <v>18843.21</v>
      </c>
    </row>
    <row r="2723">
      <c r="A2723" s="196" t="inlineStr">
        <is>
          <t>2026-05-01</t>
        </is>
      </c>
      <c r="B2723" s="196" t="inlineStr">
        <is>
          <t>CAD</t>
        </is>
      </c>
      <c r="C2723" s="196" t="inlineStr">
        <is>
          <t>CANADIAN DOLLAR</t>
        </is>
      </c>
      <c r="D2723" s="184" t="n">
        <v>18756.28</v>
      </c>
      <c r="E2723" s="184" t="n">
        <v>18945.74</v>
      </c>
      <c r="F2723" s="184" t="n">
        <v>19567.27</v>
      </c>
      <c r="G2723" s="184" t="n">
        <v>19256.5</v>
      </c>
    </row>
    <row r="2724">
      <c r="A2724" s="194" t="inlineStr">
        <is>
          <t>2026-05-01</t>
        </is>
      </c>
      <c r="B2724" s="194" t="inlineStr">
        <is>
          <t>CHF</t>
        </is>
      </c>
      <c r="C2724" s="194" t="inlineStr">
        <is>
          <t>SWISS FRANC</t>
        </is>
      </c>
      <c r="D2724" s="195" t="n">
        <v>32504.08</v>
      </c>
      <c r="E2724" s="195" t="n">
        <v>32832.41</v>
      </c>
      <c r="F2724" s="195" t="n">
        <v>33909.5</v>
      </c>
      <c r="G2724" s="195" t="n">
        <v>33370.96</v>
      </c>
    </row>
    <row r="2725">
      <c r="A2725" s="196" t="inlineStr">
        <is>
          <t>2026-05-01</t>
        </is>
      </c>
      <c r="B2725" s="196" t="inlineStr">
        <is>
          <t>CNY</t>
        </is>
      </c>
      <c r="C2725" s="196" t="inlineStr">
        <is>
          <t>YUAN RENMINBI</t>
        </is>
      </c>
      <c r="D2725" s="184" t="n">
        <v>3756.64</v>
      </c>
      <c r="E2725" s="184" t="n">
        <v>3794.58</v>
      </c>
      <c r="F2725" s="184" t="n">
        <v>3919.07</v>
      </c>
      <c r="G2725" s="184" t="n">
        <v>3856.82</v>
      </c>
    </row>
    <row r="2726">
      <c r="A2726" s="194" t="inlineStr">
        <is>
          <t>2026-05-01</t>
        </is>
      </c>
      <c r="B2726" s="194" t="inlineStr">
        <is>
          <t>DKK</t>
        </is>
      </c>
      <c r="C2726" s="194" t="inlineStr">
        <is>
          <t>DANISH KRONE</t>
        </is>
      </c>
      <c r="D2726" s="195" t="n"/>
      <c r="E2726" s="195" t="n">
        <v>4047.37</v>
      </c>
      <c r="F2726" s="195" t="n">
        <v>4205.31</v>
      </c>
      <c r="G2726" s="195" t="n">
        <v>4126.34</v>
      </c>
    </row>
    <row r="2727">
      <c r="A2727" s="196" t="inlineStr">
        <is>
          <t>2026-05-01</t>
        </is>
      </c>
      <c r="B2727" s="196" t="inlineStr">
        <is>
          <t>EUR</t>
        </is>
      </c>
      <c r="C2727" s="196" t="inlineStr">
        <is>
          <t>EURO</t>
        </is>
      </c>
      <c r="D2727" s="184" t="n">
        <v>30026.59</v>
      </c>
      <c r="E2727" s="184" t="n">
        <v>30329.89</v>
      </c>
      <c r="F2727" s="184" t="n">
        <v>31633.51</v>
      </c>
      <c r="G2727" s="184" t="n">
        <v>30981.7</v>
      </c>
    </row>
    <row r="2728">
      <c r="A2728" s="194" t="inlineStr">
        <is>
          <t>2026-05-01</t>
        </is>
      </c>
      <c r="B2728" s="194" t="inlineStr">
        <is>
          <t>GBP</t>
        </is>
      </c>
      <c r="C2728" s="194" t="inlineStr">
        <is>
          <t>POUND STERLING</t>
        </is>
      </c>
      <c r="D2728" s="195" t="n">
        <v>34646.46</v>
      </c>
      <c r="E2728" s="195" t="n">
        <v>34996.43</v>
      </c>
      <c r="F2728" s="195" t="n">
        <v>36144.52</v>
      </c>
      <c r="G2728" s="195" t="n">
        <v>35570.48</v>
      </c>
    </row>
    <row r="2729">
      <c r="A2729" s="196" t="inlineStr">
        <is>
          <t>2026-05-01</t>
        </is>
      </c>
      <c r="B2729" s="196" t="inlineStr">
        <is>
          <t>HKD</t>
        </is>
      </c>
      <c r="C2729" s="196" t="inlineStr">
        <is>
          <t>HONGKONG DOLLAR</t>
        </is>
      </c>
      <c r="D2729" s="184" t="n">
        <v>3266.14</v>
      </c>
      <c r="E2729" s="184" t="n">
        <v>3299.13</v>
      </c>
      <c r="F2729" s="184" t="n">
        <v>3427.87</v>
      </c>
      <c r="G2729" s="184" t="n">
        <v>3363.5</v>
      </c>
    </row>
    <row r="2730">
      <c r="A2730" s="194" t="inlineStr">
        <is>
          <t>2026-05-01</t>
        </is>
      </c>
      <c r="B2730" s="194" t="inlineStr">
        <is>
          <t>INR</t>
        </is>
      </c>
      <c r="C2730" s="194" t="inlineStr">
        <is>
          <t>INDIAN RUPEE</t>
        </is>
      </c>
      <c r="D2730" s="195" t="n"/>
      <c r="E2730" s="195" t="n">
        <v>276.14</v>
      </c>
      <c r="F2730" s="195" t="n">
        <v>288.24</v>
      </c>
      <c r="G2730" s="195" t="n">
        <v>282.19</v>
      </c>
    </row>
    <row r="2731">
      <c r="A2731" s="196" t="inlineStr">
        <is>
          <t>2026-05-01</t>
        </is>
      </c>
      <c r="B2731" s="196" t="inlineStr">
        <is>
          <t>JPY</t>
        </is>
      </c>
      <c r="C2731" s="196" t="inlineStr">
        <is>
          <t>YEN</t>
        </is>
      </c>
      <c r="D2731" s="184" t="n">
        <v>159.07</v>
      </c>
      <c r="E2731" s="184" t="n">
        <v>160.68</v>
      </c>
      <c r="F2731" s="184" t="n">
        <v>169.3</v>
      </c>
      <c r="G2731" s="184" t="n">
        <v>164.99</v>
      </c>
    </row>
    <row r="2732">
      <c r="A2732" s="194" t="inlineStr">
        <is>
          <t>2026-05-01</t>
        </is>
      </c>
      <c r="B2732" s="194" t="inlineStr">
        <is>
          <t>KRW</t>
        </is>
      </c>
      <c r="C2732" s="194" t="inlineStr">
        <is>
          <t>KOREAN WON</t>
        </is>
      </c>
      <c r="D2732" s="195" t="n">
        <v>15.39</v>
      </c>
      <c r="E2732" s="195" t="n">
        <v>17.1</v>
      </c>
      <c r="F2732" s="195" t="n">
        <v>18.56</v>
      </c>
      <c r="G2732" s="195" t="n">
        <v>17.83</v>
      </c>
    </row>
    <row r="2733">
      <c r="A2733" s="196" t="inlineStr">
        <is>
          <t>2026-05-01</t>
        </is>
      </c>
      <c r="B2733" s="196" t="inlineStr">
        <is>
          <t>KWD</t>
        </is>
      </c>
      <c r="C2733" s="196" t="inlineStr">
        <is>
          <t>KUWAITI DINAR</t>
        </is>
      </c>
      <c r="D2733" s="184" t="n"/>
      <c r="E2733" s="184" t="n">
        <v>85445.53</v>
      </c>
      <c r="F2733" s="184" t="n">
        <v>89654.7</v>
      </c>
      <c r="G2733" s="184" t="n">
        <v>87550.12</v>
      </c>
    </row>
    <row r="2734">
      <c r="A2734" s="194" t="inlineStr">
        <is>
          <t>2026-05-01</t>
        </is>
      </c>
      <c r="B2734" s="194" t="inlineStr">
        <is>
          <t>MYR</t>
        </is>
      </c>
      <c r="C2734" s="194" t="inlineStr">
        <is>
          <t>MALAYSIAN RINGGIT</t>
        </is>
      </c>
      <c r="D2734" s="195" t="n"/>
      <c r="E2734" s="195" t="n">
        <v>6597.32</v>
      </c>
      <c r="F2734" s="195" t="n">
        <v>6745.94</v>
      </c>
      <c r="G2734" s="195" t="n">
        <v>6671.63</v>
      </c>
    </row>
    <row r="2735">
      <c r="A2735" s="196" t="inlineStr">
        <is>
          <t>2026-05-01</t>
        </is>
      </c>
      <c r="B2735" s="196" t="inlineStr">
        <is>
          <t>NOK</t>
        </is>
      </c>
      <c r="C2735" s="196" t="inlineStr">
        <is>
          <t>NORWEGIAN KRONER</t>
        </is>
      </c>
      <c r="D2735" s="184" t="n"/>
      <c r="E2735" s="184" t="n">
        <v>2770.3</v>
      </c>
      <c r="F2735" s="184" t="n">
        <v>2889.94</v>
      </c>
      <c r="G2735" s="184" t="n">
        <v>2830.12</v>
      </c>
    </row>
    <row r="2736">
      <c r="A2736" s="194" t="inlineStr">
        <is>
          <t>2026-05-01</t>
        </is>
      </c>
      <c r="B2736" s="194" t="inlineStr">
        <is>
          <t>RUB</t>
        </is>
      </c>
      <c r="C2736" s="194" t="inlineStr">
        <is>
          <t>RUSSIAN RUBLE</t>
        </is>
      </c>
      <c r="D2736" s="195" t="n"/>
      <c r="E2736" s="195" t="n">
        <v>334</v>
      </c>
      <c r="F2736" s="195" t="n">
        <v>370</v>
      </c>
      <c r="G2736" s="195" t="n">
        <v>352</v>
      </c>
    </row>
    <row r="2737">
      <c r="A2737" s="196" t="inlineStr">
        <is>
          <t>2026-05-01</t>
        </is>
      </c>
      <c r="B2737" s="196" t="inlineStr">
        <is>
          <t>SAR</t>
        </is>
      </c>
      <c r="C2737" s="196" t="inlineStr">
        <is>
          <t>SAUDI RIAL</t>
        </is>
      </c>
      <c r="D2737" s="184" t="n"/>
      <c r="E2737" s="184" t="n">
        <v>6983</v>
      </c>
      <c r="F2737" s="184" t="n">
        <v>7289.03</v>
      </c>
      <c r="G2737" s="184" t="n">
        <v>7136.02</v>
      </c>
    </row>
    <row r="2738">
      <c r="A2738" s="194" t="inlineStr">
        <is>
          <t>2026-05-01</t>
        </is>
      </c>
      <c r="B2738" s="194" t="inlineStr">
        <is>
          <t>SEK</t>
        </is>
      </c>
      <c r="C2738" s="194" t="inlineStr">
        <is>
          <t>SWEDISH KRONA</t>
        </is>
      </c>
      <c r="D2738" s="195" t="n"/>
      <c r="E2738" s="195" t="n">
        <v>2780</v>
      </c>
      <c r="F2738" s="195" t="n">
        <v>2900.06</v>
      </c>
      <c r="G2738" s="195" t="n">
        <v>2840.03</v>
      </c>
    </row>
    <row r="2739">
      <c r="A2739" s="196" t="inlineStr">
        <is>
          <t>2026-05-01</t>
        </is>
      </c>
      <c r="B2739" s="196" t="inlineStr">
        <is>
          <t>SGD</t>
        </is>
      </c>
      <c r="C2739" s="196" t="inlineStr">
        <is>
          <t>SINGAPORE DOLLAR</t>
        </is>
      </c>
      <c r="D2739" s="184" t="n">
        <v>20069.22</v>
      </c>
      <c r="E2739" s="184" t="n">
        <v>20271.94</v>
      </c>
      <c r="F2739" s="184" t="n">
        <v>20978.91</v>
      </c>
      <c r="G2739" s="184" t="n">
        <v>20625.42</v>
      </c>
    </row>
    <row r="2740">
      <c r="A2740" s="194" t="inlineStr">
        <is>
          <t>2026-05-01</t>
        </is>
      </c>
      <c r="B2740" s="194" t="inlineStr">
        <is>
          <t>THB</t>
        </is>
      </c>
      <c r="C2740" s="194" t="inlineStr">
        <is>
          <t>THAILAND BAHT</t>
        </is>
      </c>
      <c r="D2740" s="195" t="n">
        <v>711.0700000000001</v>
      </c>
      <c r="E2740" s="195" t="n">
        <v>790.08</v>
      </c>
      <c r="F2740" s="195" t="n">
        <v>824.2</v>
      </c>
      <c r="G2740" s="195" t="n">
        <v>807.14</v>
      </c>
    </row>
    <row r="2741">
      <c r="A2741" s="196" t="inlineStr">
        <is>
          <t>2026-05-01</t>
        </is>
      </c>
      <c r="B2741" s="196" t="inlineStr">
        <is>
          <t>USD</t>
        </is>
      </c>
      <c r="C2741" s="196" t="inlineStr">
        <is>
          <t>US DOLLAR</t>
        </is>
      </c>
      <c r="D2741" s="184" t="n">
        <v>26108</v>
      </c>
      <c r="E2741" s="184" t="n">
        <v>26138</v>
      </c>
      <c r="F2741" s="184" t="n">
        <v>26368</v>
      </c>
      <c r="G2741" s="184" t="n">
        <v>26253</v>
      </c>
    </row>
    <row r="2742">
      <c r="A2742" s="194" t="inlineStr">
        <is>
          <t>2026-04-30</t>
        </is>
      </c>
      <c r="B2742" s="194" t="inlineStr">
        <is>
          <t>AUD</t>
        </is>
      </c>
      <c r="C2742" s="194" t="inlineStr">
        <is>
          <t>AUSTRALIAN DOLLAR</t>
        </is>
      </c>
      <c r="D2742" s="195" t="n">
        <v>18353.72</v>
      </c>
      <c r="E2742" s="195" t="n">
        <v>18539.11</v>
      </c>
      <c r="F2742" s="195" t="n">
        <v>19147.3</v>
      </c>
      <c r="G2742" s="195" t="n">
        <v>18843.21</v>
      </c>
    </row>
    <row r="2743">
      <c r="A2743" s="196" t="inlineStr">
        <is>
          <t>2026-04-30</t>
        </is>
      </c>
      <c r="B2743" s="196" t="inlineStr">
        <is>
          <t>CAD</t>
        </is>
      </c>
      <c r="C2743" s="196" t="inlineStr">
        <is>
          <t>CANADIAN DOLLAR</t>
        </is>
      </c>
      <c r="D2743" s="184" t="n">
        <v>18756.28</v>
      </c>
      <c r="E2743" s="184" t="n">
        <v>18945.74</v>
      </c>
      <c r="F2743" s="184" t="n">
        <v>19567.27</v>
      </c>
      <c r="G2743" s="184" t="n">
        <v>19256.5</v>
      </c>
    </row>
    <row r="2744">
      <c r="A2744" s="194" t="inlineStr">
        <is>
          <t>2026-04-30</t>
        </is>
      </c>
      <c r="B2744" s="194" t="inlineStr">
        <is>
          <t>CHF</t>
        </is>
      </c>
      <c r="C2744" s="194" t="inlineStr">
        <is>
          <t>SWISS FRANC</t>
        </is>
      </c>
      <c r="D2744" s="195" t="n">
        <v>32504.08</v>
      </c>
      <c r="E2744" s="195" t="n">
        <v>32832.41</v>
      </c>
      <c r="F2744" s="195" t="n">
        <v>33909.5</v>
      </c>
      <c r="G2744" s="195" t="n">
        <v>33370.96</v>
      </c>
    </row>
    <row r="2745">
      <c r="A2745" s="196" t="inlineStr">
        <is>
          <t>2026-04-30</t>
        </is>
      </c>
      <c r="B2745" s="196" t="inlineStr">
        <is>
          <t>CNY</t>
        </is>
      </c>
      <c r="C2745" s="196" t="inlineStr">
        <is>
          <t>YUAN RENMINBI</t>
        </is>
      </c>
      <c r="D2745" s="184" t="n">
        <v>3756.64</v>
      </c>
      <c r="E2745" s="184" t="n">
        <v>3794.58</v>
      </c>
      <c r="F2745" s="184" t="n">
        <v>3919.07</v>
      </c>
      <c r="G2745" s="184" t="n">
        <v>3856.82</v>
      </c>
    </row>
    <row r="2746">
      <c r="A2746" s="194" t="inlineStr">
        <is>
          <t>2026-04-30</t>
        </is>
      </c>
      <c r="B2746" s="194" t="inlineStr">
        <is>
          <t>DKK</t>
        </is>
      </c>
      <c r="C2746" s="194" t="inlineStr">
        <is>
          <t>DANISH KRONE</t>
        </is>
      </c>
      <c r="D2746" s="195" t="n"/>
      <c r="E2746" s="195" t="n">
        <v>4047.37</v>
      </c>
      <c r="F2746" s="195" t="n">
        <v>4205.31</v>
      </c>
      <c r="G2746" s="195" t="n">
        <v>4126.34</v>
      </c>
    </row>
    <row r="2747">
      <c r="A2747" s="196" t="inlineStr">
        <is>
          <t>2026-04-30</t>
        </is>
      </c>
      <c r="B2747" s="196" t="inlineStr">
        <is>
          <t>EUR</t>
        </is>
      </c>
      <c r="C2747" s="196" t="inlineStr">
        <is>
          <t>EURO</t>
        </is>
      </c>
      <c r="D2747" s="184" t="n">
        <v>30026.59</v>
      </c>
      <c r="E2747" s="184" t="n">
        <v>30329.89</v>
      </c>
      <c r="F2747" s="184" t="n">
        <v>31633.51</v>
      </c>
      <c r="G2747" s="184" t="n">
        <v>30981.7</v>
      </c>
    </row>
    <row r="2748">
      <c r="A2748" s="194" t="inlineStr">
        <is>
          <t>2026-04-30</t>
        </is>
      </c>
      <c r="B2748" s="194" t="inlineStr">
        <is>
          <t>GBP</t>
        </is>
      </c>
      <c r="C2748" s="194" t="inlineStr">
        <is>
          <t>POUND STERLING</t>
        </is>
      </c>
      <c r="D2748" s="195" t="n">
        <v>34646.46</v>
      </c>
      <c r="E2748" s="195" t="n">
        <v>34996.43</v>
      </c>
      <c r="F2748" s="195" t="n">
        <v>36144.52</v>
      </c>
      <c r="G2748" s="195" t="n">
        <v>35570.48</v>
      </c>
    </row>
    <row r="2749">
      <c r="A2749" s="196" t="inlineStr">
        <is>
          <t>2026-04-30</t>
        </is>
      </c>
      <c r="B2749" s="196" t="inlineStr">
        <is>
          <t>HKD</t>
        </is>
      </c>
      <c r="C2749" s="196" t="inlineStr">
        <is>
          <t>HONGKONG DOLLAR</t>
        </is>
      </c>
      <c r="D2749" s="184" t="n">
        <v>3266.14</v>
      </c>
      <c r="E2749" s="184" t="n">
        <v>3299.13</v>
      </c>
      <c r="F2749" s="184" t="n">
        <v>3427.87</v>
      </c>
      <c r="G2749" s="184" t="n">
        <v>3363.5</v>
      </c>
    </row>
    <row r="2750">
      <c r="A2750" s="194" t="inlineStr">
        <is>
          <t>2026-04-30</t>
        </is>
      </c>
      <c r="B2750" s="194" t="inlineStr">
        <is>
          <t>INR</t>
        </is>
      </c>
      <c r="C2750" s="194" t="inlineStr">
        <is>
          <t>INDIAN RUPEE</t>
        </is>
      </c>
      <c r="D2750" s="195" t="n"/>
      <c r="E2750" s="195" t="n">
        <v>276.14</v>
      </c>
      <c r="F2750" s="195" t="n">
        <v>288.24</v>
      </c>
      <c r="G2750" s="195" t="n">
        <v>282.19</v>
      </c>
    </row>
    <row r="2751">
      <c r="A2751" s="196" t="inlineStr">
        <is>
          <t>2026-04-30</t>
        </is>
      </c>
      <c r="B2751" s="196" t="inlineStr">
        <is>
          <t>JPY</t>
        </is>
      </c>
      <c r="C2751" s="196" t="inlineStr">
        <is>
          <t>YEN</t>
        </is>
      </c>
      <c r="D2751" s="184" t="n">
        <v>159.07</v>
      </c>
      <c r="E2751" s="184" t="n">
        <v>160.68</v>
      </c>
      <c r="F2751" s="184" t="n">
        <v>169.3</v>
      </c>
      <c r="G2751" s="184" t="n">
        <v>164.99</v>
      </c>
    </row>
    <row r="2752">
      <c r="A2752" s="194" t="inlineStr">
        <is>
          <t>2026-04-30</t>
        </is>
      </c>
      <c r="B2752" s="194" t="inlineStr">
        <is>
          <t>KRW</t>
        </is>
      </c>
      <c r="C2752" s="194" t="inlineStr">
        <is>
          <t>KOREAN WON</t>
        </is>
      </c>
      <c r="D2752" s="195" t="n">
        <v>15.39</v>
      </c>
      <c r="E2752" s="195" t="n">
        <v>17.1</v>
      </c>
      <c r="F2752" s="195" t="n">
        <v>18.56</v>
      </c>
      <c r="G2752" s="195" t="n">
        <v>17.83</v>
      </c>
    </row>
    <row r="2753">
      <c r="A2753" s="196" t="inlineStr">
        <is>
          <t>2026-04-30</t>
        </is>
      </c>
      <c r="B2753" s="196" t="inlineStr">
        <is>
          <t>KWD</t>
        </is>
      </c>
      <c r="C2753" s="196" t="inlineStr">
        <is>
          <t>KUWAITI DINAR</t>
        </is>
      </c>
      <c r="D2753" s="184" t="n"/>
      <c r="E2753" s="184" t="n">
        <v>85445.53</v>
      </c>
      <c r="F2753" s="184" t="n">
        <v>89654.7</v>
      </c>
      <c r="G2753" s="184" t="n">
        <v>87550.12</v>
      </c>
    </row>
    <row r="2754">
      <c r="A2754" s="194" t="inlineStr">
        <is>
          <t>2026-04-30</t>
        </is>
      </c>
      <c r="B2754" s="194" t="inlineStr">
        <is>
          <t>MYR</t>
        </is>
      </c>
      <c r="C2754" s="194" t="inlineStr">
        <is>
          <t>MALAYSIAN RINGGIT</t>
        </is>
      </c>
      <c r="D2754" s="195" t="n"/>
      <c r="E2754" s="195" t="n">
        <v>6597.32</v>
      </c>
      <c r="F2754" s="195" t="n">
        <v>6745.94</v>
      </c>
      <c r="G2754" s="195" t="n">
        <v>6671.63</v>
      </c>
    </row>
    <row r="2755">
      <c r="A2755" s="196" t="inlineStr">
        <is>
          <t>2026-04-30</t>
        </is>
      </c>
      <c r="B2755" s="196" t="inlineStr">
        <is>
          <t>NOK</t>
        </is>
      </c>
      <c r="C2755" s="196" t="inlineStr">
        <is>
          <t>NORWEGIAN KRONER</t>
        </is>
      </c>
      <c r="D2755" s="184" t="n"/>
      <c r="E2755" s="184" t="n">
        <v>2770.3</v>
      </c>
      <c r="F2755" s="184" t="n">
        <v>2889.94</v>
      </c>
      <c r="G2755" s="184" t="n">
        <v>2830.12</v>
      </c>
    </row>
    <row r="2756">
      <c r="A2756" s="194" t="inlineStr">
        <is>
          <t>2026-04-30</t>
        </is>
      </c>
      <c r="B2756" s="194" t="inlineStr">
        <is>
          <t>RUB</t>
        </is>
      </c>
      <c r="C2756" s="194" t="inlineStr">
        <is>
          <t>RUSSIAN RUBLE</t>
        </is>
      </c>
      <c r="D2756" s="195" t="n"/>
      <c r="E2756" s="195" t="n">
        <v>334</v>
      </c>
      <c r="F2756" s="195" t="n">
        <v>370</v>
      </c>
      <c r="G2756" s="195" t="n">
        <v>352</v>
      </c>
    </row>
    <row r="2757">
      <c r="A2757" s="196" t="inlineStr">
        <is>
          <t>2026-04-30</t>
        </is>
      </c>
      <c r="B2757" s="196" t="inlineStr">
        <is>
          <t>SAR</t>
        </is>
      </c>
      <c r="C2757" s="196" t="inlineStr">
        <is>
          <t>SAUDI RIAL</t>
        </is>
      </c>
      <c r="D2757" s="184" t="n"/>
      <c r="E2757" s="184" t="n">
        <v>6983</v>
      </c>
      <c r="F2757" s="184" t="n">
        <v>7289.03</v>
      </c>
      <c r="G2757" s="184" t="n">
        <v>7136.02</v>
      </c>
    </row>
    <row r="2758">
      <c r="A2758" s="194" t="inlineStr">
        <is>
          <t>2026-04-30</t>
        </is>
      </c>
      <c r="B2758" s="194" t="inlineStr">
        <is>
          <t>SEK</t>
        </is>
      </c>
      <c r="C2758" s="194" t="inlineStr">
        <is>
          <t>SWEDISH KRONA</t>
        </is>
      </c>
      <c r="D2758" s="195" t="n"/>
      <c r="E2758" s="195" t="n">
        <v>2780</v>
      </c>
      <c r="F2758" s="195" t="n">
        <v>2900.06</v>
      </c>
      <c r="G2758" s="195" t="n">
        <v>2840.03</v>
      </c>
    </row>
    <row r="2759">
      <c r="A2759" s="196" t="inlineStr">
        <is>
          <t>2026-04-30</t>
        </is>
      </c>
      <c r="B2759" s="196" t="inlineStr">
        <is>
          <t>SGD</t>
        </is>
      </c>
      <c r="C2759" s="196" t="inlineStr">
        <is>
          <t>SINGAPORE DOLLAR</t>
        </is>
      </c>
      <c r="D2759" s="184" t="n">
        <v>20069.22</v>
      </c>
      <c r="E2759" s="184" t="n">
        <v>20271.94</v>
      </c>
      <c r="F2759" s="184" t="n">
        <v>20978.91</v>
      </c>
      <c r="G2759" s="184" t="n">
        <v>20625.42</v>
      </c>
    </row>
    <row r="2760">
      <c r="A2760" s="194" t="inlineStr">
        <is>
          <t>2026-04-30</t>
        </is>
      </c>
      <c r="B2760" s="194" t="inlineStr">
        <is>
          <t>THB</t>
        </is>
      </c>
      <c r="C2760" s="194" t="inlineStr">
        <is>
          <t>THAILAND BAHT</t>
        </is>
      </c>
      <c r="D2760" s="195" t="n">
        <v>711.0700000000001</v>
      </c>
      <c r="E2760" s="195" t="n">
        <v>790.08</v>
      </c>
      <c r="F2760" s="195" t="n">
        <v>824.2</v>
      </c>
      <c r="G2760" s="195" t="n">
        <v>807.14</v>
      </c>
    </row>
    <row r="2761">
      <c r="A2761" s="196" t="inlineStr">
        <is>
          <t>2026-04-30</t>
        </is>
      </c>
      <c r="B2761" s="196" t="inlineStr">
        <is>
          <t>USD</t>
        </is>
      </c>
      <c r="C2761" s="196" t="inlineStr">
        <is>
          <t>US DOLLAR</t>
        </is>
      </c>
      <c r="D2761" s="184" t="n">
        <v>26108</v>
      </c>
      <c r="E2761" s="184" t="n">
        <v>26138</v>
      </c>
      <c r="F2761" s="184" t="n">
        <v>26368</v>
      </c>
      <c r="G2761" s="184" t="n">
        <v>26253</v>
      </c>
    </row>
    <row r="2762">
      <c r="A2762" s="194" t="inlineStr">
        <is>
          <t>2026-04-29</t>
        </is>
      </c>
      <c r="B2762" s="194" t="inlineStr">
        <is>
          <t>AUD</t>
        </is>
      </c>
      <c r="C2762" s="194" t="inlineStr">
        <is>
          <t>AUSTRALIAN DOLLAR</t>
        </is>
      </c>
      <c r="D2762" s="195" t="n">
        <v>18353.72</v>
      </c>
      <c r="E2762" s="195" t="n">
        <v>18539.11</v>
      </c>
      <c r="F2762" s="195" t="n">
        <v>19147.3</v>
      </c>
      <c r="G2762" s="195" t="n">
        <v>18843.21</v>
      </c>
    </row>
    <row r="2763">
      <c r="A2763" s="196" t="inlineStr">
        <is>
          <t>2026-04-29</t>
        </is>
      </c>
      <c r="B2763" s="196" t="inlineStr">
        <is>
          <t>CAD</t>
        </is>
      </c>
      <c r="C2763" s="196" t="inlineStr">
        <is>
          <t>CANADIAN DOLLAR</t>
        </is>
      </c>
      <c r="D2763" s="184" t="n">
        <v>18756.28</v>
      </c>
      <c r="E2763" s="184" t="n">
        <v>18945.74</v>
      </c>
      <c r="F2763" s="184" t="n">
        <v>19567.27</v>
      </c>
      <c r="G2763" s="184" t="n">
        <v>19256.5</v>
      </c>
    </row>
    <row r="2764">
      <c r="A2764" s="194" t="inlineStr">
        <is>
          <t>2026-04-29</t>
        </is>
      </c>
      <c r="B2764" s="194" t="inlineStr">
        <is>
          <t>CHF</t>
        </is>
      </c>
      <c r="C2764" s="194" t="inlineStr">
        <is>
          <t>SWISS FRANC</t>
        </is>
      </c>
      <c r="D2764" s="195" t="n">
        <v>32504.08</v>
      </c>
      <c r="E2764" s="195" t="n">
        <v>32832.41</v>
      </c>
      <c r="F2764" s="195" t="n">
        <v>33909.5</v>
      </c>
      <c r="G2764" s="195" t="n">
        <v>33370.96</v>
      </c>
    </row>
    <row r="2765">
      <c r="A2765" s="196" t="inlineStr">
        <is>
          <t>2026-04-29</t>
        </is>
      </c>
      <c r="B2765" s="196" t="inlineStr">
        <is>
          <t>CNY</t>
        </is>
      </c>
      <c r="C2765" s="196" t="inlineStr">
        <is>
          <t>YUAN RENMINBI</t>
        </is>
      </c>
      <c r="D2765" s="184" t="n">
        <v>3756.64</v>
      </c>
      <c r="E2765" s="184" t="n">
        <v>3794.58</v>
      </c>
      <c r="F2765" s="184" t="n">
        <v>3919.07</v>
      </c>
      <c r="G2765" s="184" t="n">
        <v>3856.82</v>
      </c>
    </row>
    <row r="2766">
      <c r="A2766" s="194" t="inlineStr">
        <is>
          <t>2026-04-29</t>
        </is>
      </c>
      <c r="B2766" s="194" t="inlineStr">
        <is>
          <t>DKK</t>
        </is>
      </c>
      <c r="C2766" s="194" t="inlineStr">
        <is>
          <t>DANISH KRONE</t>
        </is>
      </c>
      <c r="D2766" s="195" t="n"/>
      <c r="E2766" s="195" t="n">
        <v>4047.37</v>
      </c>
      <c r="F2766" s="195" t="n">
        <v>4205.31</v>
      </c>
      <c r="G2766" s="195" t="n">
        <v>4126.34</v>
      </c>
    </row>
    <row r="2767">
      <c r="A2767" s="196" t="inlineStr">
        <is>
          <t>2026-04-29</t>
        </is>
      </c>
      <c r="B2767" s="196" t="inlineStr">
        <is>
          <t>EUR</t>
        </is>
      </c>
      <c r="C2767" s="196" t="inlineStr">
        <is>
          <t>EURO</t>
        </is>
      </c>
      <c r="D2767" s="184" t="n">
        <v>30026.59</v>
      </c>
      <c r="E2767" s="184" t="n">
        <v>30329.89</v>
      </c>
      <c r="F2767" s="184" t="n">
        <v>31633.51</v>
      </c>
      <c r="G2767" s="184" t="n">
        <v>30981.7</v>
      </c>
    </row>
    <row r="2768">
      <c r="A2768" s="194" t="inlineStr">
        <is>
          <t>2026-04-29</t>
        </is>
      </c>
      <c r="B2768" s="194" t="inlineStr">
        <is>
          <t>GBP</t>
        </is>
      </c>
      <c r="C2768" s="194" t="inlineStr">
        <is>
          <t>POUND STERLING</t>
        </is>
      </c>
      <c r="D2768" s="195" t="n">
        <v>34646.46</v>
      </c>
      <c r="E2768" s="195" t="n">
        <v>34996.43</v>
      </c>
      <c r="F2768" s="195" t="n">
        <v>36144.52</v>
      </c>
      <c r="G2768" s="195" t="n">
        <v>35570.48</v>
      </c>
    </row>
    <row r="2769">
      <c r="A2769" s="196" t="inlineStr">
        <is>
          <t>2026-04-29</t>
        </is>
      </c>
      <c r="B2769" s="196" t="inlineStr">
        <is>
          <t>HKD</t>
        </is>
      </c>
      <c r="C2769" s="196" t="inlineStr">
        <is>
          <t>HONGKONG DOLLAR</t>
        </is>
      </c>
      <c r="D2769" s="184" t="n">
        <v>3266.14</v>
      </c>
      <c r="E2769" s="184" t="n">
        <v>3299.13</v>
      </c>
      <c r="F2769" s="184" t="n">
        <v>3427.87</v>
      </c>
      <c r="G2769" s="184" t="n">
        <v>3363.5</v>
      </c>
    </row>
    <row r="2770">
      <c r="A2770" s="194" t="inlineStr">
        <is>
          <t>2026-04-29</t>
        </is>
      </c>
      <c r="B2770" s="194" t="inlineStr">
        <is>
          <t>INR</t>
        </is>
      </c>
      <c r="C2770" s="194" t="inlineStr">
        <is>
          <t>INDIAN RUPEE</t>
        </is>
      </c>
      <c r="D2770" s="195" t="n"/>
      <c r="E2770" s="195" t="n">
        <v>276.14</v>
      </c>
      <c r="F2770" s="195" t="n">
        <v>288.24</v>
      </c>
      <c r="G2770" s="195" t="n">
        <v>282.19</v>
      </c>
    </row>
    <row r="2771">
      <c r="A2771" s="196" t="inlineStr">
        <is>
          <t>2026-04-29</t>
        </is>
      </c>
      <c r="B2771" s="196" t="inlineStr">
        <is>
          <t>JPY</t>
        </is>
      </c>
      <c r="C2771" s="196" t="inlineStr">
        <is>
          <t>YEN</t>
        </is>
      </c>
      <c r="D2771" s="184" t="n">
        <v>159.07</v>
      </c>
      <c r="E2771" s="184" t="n">
        <v>160.68</v>
      </c>
      <c r="F2771" s="184" t="n">
        <v>169.3</v>
      </c>
      <c r="G2771" s="184" t="n">
        <v>164.99</v>
      </c>
    </row>
    <row r="2772">
      <c r="A2772" s="194" t="inlineStr">
        <is>
          <t>2026-04-29</t>
        </is>
      </c>
      <c r="B2772" s="194" t="inlineStr">
        <is>
          <t>KRW</t>
        </is>
      </c>
      <c r="C2772" s="194" t="inlineStr">
        <is>
          <t>KOREAN WON</t>
        </is>
      </c>
      <c r="D2772" s="195" t="n">
        <v>15.39</v>
      </c>
      <c r="E2772" s="195" t="n">
        <v>17.1</v>
      </c>
      <c r="F2772" s="195" t="n">
        <v>18.56</v>
      </c>
      <c r="G2772" s="195" t="n">
        <v>17.83</v>
      </c>
    </row>
    <row r="2773">
      <c r="A2773" s="196" t="inlineStr">
        <is>
          <t>2026-04-29</t>
        </is>
      </c>
      <c r="B2773" s="196" t="inlineStr">
        <is>
          <t>KWD</t>
        </is>
      </c>
      <c r="C2773" s="196" t="inlineStr">
        <is>
          <t>KUWAITI DINAR</t>
        </is>
      </c>
      <c r="D2773" s="184" t="n"/>
      <c r="E2773" s="184" t="n">
        <v>85445.53</v>
      </c>
      <c r="F2773" s="184" t="n">
        <v>89654.7</v>
      </c>
      <c r="G2773" s="184" t="n">
        <v>87550.12</v>
      </c>
    </row>
    <row r="2774">
      <c r="A2774" s="194" t="inlineStr">
        <is>
          <t>2026-04-29</t>
        </is>
      </c>
      <c r="B2774" s="194" t="inlineStr">
        <is>
          <t>MYR</t>
        </is>
      </c>
      <c r="C2774" s="194" t="inlineStr">
        <is>
          <t>MALAYSIAN RINGGIT</t>
        </is>
      </c>
      <c r="D2774" s="195" t="n"/>
      <c r="E2774" s="195" t="n">
        <v>6597.32</v>
      </c>
      <c r="F2774" s="195" t="n">
        <v>6745.94</v>
      </c>
      <c r="G2774" s="195" t="n">
        <v>6671.63</v>
      </c>
    </row>
    <row r="2775">
      <c r="A2775" s="196" t="inlineStr">
        <is>
          <t>2026-04-29</t>
        </is>
      </c>
      <c r="B2775" s="196" t="inlineStr">
        <is>
          <t>NOK</t>
        </is>
      </c>
      <c r="C2775" s="196" t="inlineStr">
        <is>
          <t>NORWEGIAN KRONER</t>
        </is>
      </c>
      <c r="D2775" s="184" t="n"/>
      <c r="E2775" s="184" t="n">
        <v>2770.3</v>
      </c>
      <c r="F2775" s="184" t="n">
        <v>2889.94</v>
      </c>
      <c r="G2775" s="184" t="n">
        <v>2830.12</v>
      </c>
    </row>
    <row r="2776">
      <c r="A2776" s="194" t="inlineStr">
        <is>
          <t>2026-04-29</t>
        </is>
      </c>
      <c r="B2776" s="194" t="inlineStr">
        <is>
          <t>RUB</t>
        </is>
      </c>
      <c r="C2776" s="194" t="inlineStr">
        <is>
          <t>RUSSIAN RUBLE</t>
        </is>
      </c>
      <c r="D2776" s="195" t="n"/>
      <c r="E2776" s="195" t="n">
        <v>334</v>
      </c>
      <c r="F2776" s="195" t="n">
        <v>370</v>
      </c>
      <c r="G2776" s="195" t="n">
        <v>352</v>
      </c>
    </row>
    <row r="2777">
      <c r="A2777" s="196" t="inlineStr">
        <is>
          <t>2026-04-29</t>
        </is>
      </c>
      <c r="B2777" s="196" t="inlineStr">
        <is>
          <t>SAR</t>
        </is>
      </c>
      <c r="C2777" s="196" t="inlineStr">
        <is>
          <t>SAUDI RIAL</t>
        </is>
      </c>
      <c r="D2777" s="184" t="n"/>
      <c r="E2777" s="184" t="n">
        <v>6983</v>
      </c>
      <c r="F2777" s="184" t="n">
        <v>7289.03</v>
      </c>
      <c r="G2777" s="184" t="n">
        <v>7136.02</v>
      </c>
    </row>
    <row r="2778">
      <c r="A2778" s="194" t="inlineStr">
        <is>
          <t>2026-04-29</t>
        </is>
      </c>
      <c r="B2778" s="194" t="inlineStr">
        <is>
          <t>SEK</t>
        </is>
      </c>
      <c r="C2778" s="194" t="inlineStr">
        <is>
          <t>SWEDISH KRONA</t>
        </is>
      </c>
      <c r="D2778" s="195" t="n"/>
      <c r="E2778" s="195" t="n">
        <v>2780</v>
      </c>
      <c r="F2778" s="195" t="n">
        <v>2900.06</v>
      </c>
      <c r="G2778" s="195" t="n">
        <v>2840.03</v>
      </c>
    </row>
    <row r="2779">
      <c r="A2779" s="196" t="inlineStr">
        <is>
          <t>2026-04-29</t>
        </is>
      </c>
      <c r="B2779" s="196" t="inlineStr">
        <is>
          <t>SGD</t>
        </is>
      </c>
      <c r="C2779" s="196" t="inlineStr">
        <is>
          <t>SINGAPORE DOLLAR</t>
        </is>
      </c>
      <c r="D2779" s="184" t="n">
        <v>20069.22</v>
      </c>
      <c r="E2779" s="184" t="n">
        <v>20271.94</v>
      </c>
      <c r="F2779" s="184" t="n">
        <v>20978.91</v>
      </c>
      <c r="G2779" s="184" t="n">
        <v>20625.42</v>
      </c>
    </row>
    <row r="2780">
      <c r="A2780" s="194" t="inlineStr">
        <is>
          <t>2026-04-29</t>
        </is>
      </c>
      <c r="B2780" s="194" t="inlineStr">
        <is>
          <t>THB</t>
        </is>
      </c>
      <c r="C2780" s="194" t="inlineStr">
        <is>
          <t>THAILAND BAHT</t>
        </is>
      </c>
      <c r="D2780" s="195" t="n">
        <v>711.0700000000001</v>
      </c>
      <c r="E2780" s="195" t="n">
        <v>790.08</v>
      </c>
      <c r="F2780" s="195" t="n">
        <v>824.2</v>
      </c>
      <c r="G2780" s="195" t="n">
        <v>807.14</v>
      </c>
    </row>
    <row r="2781">
      <c r="A2781" s="196" t="inlineStr">
        <is>
          <t>2026-04-29</t>
        </is>
      </c>
      <c r="B2781" s="196" t="inlineStr">
        <is>
          <t>USD</t>
        </is>
      </c>
      <c r="C2781" s="196" t="inlineStr">
        <is>
          <t>US DOLLAR</t>
        </is>
      </c>
      <c r="D2781" s="184" t="n">
        <v>26108</v>
      </c>
      <c r="E2781" s="184" t="n">
        <v>26138</v>
      </c>
      <c r="F2781" s="184" t="n">
        <v>26368</v>
      </c>
      <c r="G2781" s="184" t="n">
        <v>26253</v>
      </c>
    </row>
    <row r="2782">
      <c r="A2782" s="194" t="inlineStr">
        <is>
          <t>2026-04-28</t>
        </is>
      </c>
      <c r="B2782" s="194" t="inlineStr">
        <is>
          <t>AUD</t>
        </is>
      </c>
      <c r="C2782" s="194" t="inlineStr">
        <is>
          <t>AUSTRALIAN DOLLAR</t>
        </is>
      </c>
      <c r="D2782" s="195" t="n">
        <v>18423.02</v>
      </c>
      <c r="E2782" s="195" t="n">
        <v>18609.11</v>
      </c>
      <c r="F2782" s="195" t="n">
        <v>19205.03</v>
      </c>
      <c r="G2782" s="195" t="n">
        <v>18907.07</v>
      </c>
    </row>
    <row r="2783">
      <c r="A2783" s="196" t="inlineStr">
        <is>
          <t>2026-04-28</t>
        </is>
      </c>
      <c r="B2783" s="196" t="inlineStr">
        <is>
          <t>CAD</t>
        </is>
      </c>
      <c r="C2783" s="196" t="inlineStr">
        <is>
          <t>CANADIAN DOLLAR</t>
        </is>
      </c>
      <c r="D2783" s="184" t="n">
        <v>18826.43</v>
      </c>
      <c r="E2783" s="184" t="n">
        <v>19016.6</v>
      </c>
      <c r="F2783" s="184" t="n">
        <v>19625.57</v>
      </c>
      <c r="G2783" s="184" t="n">
        <v>19321.08</v>
      </c>
    </row>
    <row r="2784">
      <c r="A2784" s="194" t="inlineStr">
        <is>
          <t>2026-04-28</t>
        </is>
      </c>
      <c r="B2784" s="194" t="inlineStr">
        <is>
          <t>CHF</t>
        </is>
      </c>
      <c r="C2784" s="194" t="inlineStr">
        <is>
          <t>SWISS FRANC</t>
        </is>
      </c>
      <c r="D2784" s="195" t="n">
        <v>32648.77</v>
      </c>
      <c r="E2784" s="195" t="n">
        <v>32978.55</v>
      </c>
      <c r="F2784" s="195" t="n">
        <v>34034.62</v>
      </c>
      <c r="G2784" s="195" t="n">
        <v>33506.59</v>
      </c>
    </row>
    <row r="2785">
      <c r="A2785" s="196" t="inlineStr">
        <is>
          <t>2026-04-28</t>
        </is>
      </c>
      <c r="B2785" s="196" t="inlineStr">
        <is>
          <t>CNY</t>
        </is>
      </c>
      <c r="C2785" s="196" t="inlineStr">
        <is>
          <t>YUAN RENMINBI</t>
        </is>
      </c>
      <c r="D2785" s="184" t="n">
        <v>3758.89</v>
      </c>
      <c r="E2785" s="184" t="n">
        <v>3796.86</v>
      </c>
      <c r="F2785" s="184" t="n">
        <v>3918.45</v>
      </c>
      <c r="G2785" s="184" t="n">
        <v>3857.66</v>
      </c>
    </row>
    <row r="2786">
      <c r="A2786" s="194" t="inlineStr">
        <is>
          <t>2026-04-28</t>
        </is>
      </c>
      <c r="B2786" s="194" t="inlineStr">
        <is>
          <t>DKK</t>
        </is>
      </c>
      <c r="C2786" s="194" t="inlineStr">
        <is>
          <t>DANISH KRONE</t>
        </is>
      </c>
      <c r="D2786" s="195" t="n"/>
      <c r="E2786" s="195" t="n">
        <v>4052.77</v>
      </c>
      <c r="F2786" s="195" t="n">
        <v>4207.72</v>
      </c>
      <c r="G2786" s="195" t="n">
        <v>4130.24</v>
      </c>
    </row>
    <row r="2787">
      <c r="A2787" s="196" t="inlineStr">
        <is>
          <t>2026-04-28</t>
        </is>
      </c>
      <c r="B2787" s="196" t="inlineStr">
        <is>
          <t>EUR</t>
        </is>
      </c>
      <c r="C2787" s="196" t="inlineStr">
        <is>
          <t>EURO</t>
        </is>
      </c>
      <c r="D2787" s="184" t="n">
        <v>30059.96</v>
      </c>
      <c r="E2787" s="184" t="n">
        <v>30363.59</v>
      </c>
      <c r="F2787" s="184" t="n">
        <v>31644.65</v>
      </c>
      <c r="G2787" s="184" t="n">
        <v>31004.12</v>
      </c>
    </row>
    <row r="2788">
      <c r="A2788" s="194" t="inlineStr">
        <is>
          <t>2026-04-28</t>
        </is>
      </c>
      <c r="B2788" s="194" t="inlineStr">
        <is>
          <t>GBP</t>
        </is>
      </c>
      <c r="C2788" s="194" t="inlineStr">
        <is>
          <t>POUND STERLING</t>
        </is>
      </c>
      <c r="D2788" s="195" t="n">
        <v>34702.93</v>
      </c>
      <c r="E2788" s="195" t="n">
        <v>35053.46</v>
      </c>
      <c r="F2788" s="195" t="n">
        <v>36175.98</v>
      </c>
      <c r="G2788" s="195" t="n">
        <v>35614.72</v>
      </c>
    </row>
    <row r="2789">
      <c r="A2789" s="196" t="inlineStr">
        <is>
          <t>2026-04-28</t>
        </is>
      </c>
      <c r="B2789" s="196" t="inlineStr">
        <is>
          <t>HKD</t>
        </is>
      </c>
      <c r="C2789" s="196" t="inlineStr">
        <is>
          <t>HONGKONG DOLLAR</t>
        </is>
      </c>
      <c r="D2789" s="184" t="n">
        <v>3266.72</v>
      </c>
      <c r="E2789" s="184" t="n">
        <v>3299.72</v>
      </c>
      <c r="F2789" s="184" t="n">
        <v>3425.88</v>
      </c>
      <c r="G2789" s="184" t="n">
        <v>3362.8</v>
      </c>
    </row>
    <row r="2790">
      <c r="A2790" s="194" t="inlineStr">
        <is>
          <t>2026-04-28</t>
        </is>
      </c>
      <c r="B2790" s="194" t="inlineStr">
        <is>
          <t>INR</t>
        </is>
      </c>
      <c r="C2790" s="194" t="inlineStr">
        <is>
          <t>INDIAN RUPEE</t>
        </is>
      </c>
      <c r="D2790" s="195" t="n"/>
      <c r="E2790" s="195" t="n">
        <v>278.04</v>
      </c>
      <c r="F2790" s="195" t="n">
        <v>290.01</v>
      </c>
      <c r="G2790" s="195" t="n">
        <v>284.02</v>
      </c>
    </row>
    <row r="2791">
      <c r="A2791" s="196" t="inlineStr">
        <is>
          <t>2026-04-28</t>
        </is>
      </c>
      <c r="B2791" s="196" t="inlineStr">
        <is>
          <t>JPY</t>
        </is>
      </c>
      <c r="C2791" s="196" t="inlineStr">
        <is>
          <t>YEN</t>
        </is>
      </c>
      <c r="D2791" s="184" t="n">
        <v>159.98</v>
      </c>
      <c r="E2791" s="184" t="n">
        <v>161.6</v>
      </c>
      <c r="F2791" s="184" t="n">
        <v>170.14</v>
      </c>
      <c r="G2791" s="184" t="n">
        <v>165.87</v>
      </c>
    </row>
    <row r="2792">
      <c r="A2792" s="194" t="inlineStr">
        <is>
          <t>2026-04-28</t>
        </is>
      </c>
      <c r="B2792" s="194" t="inlineStr">
        <is>
          <t>KRW</t>
        </is>
      </c>
      <c r="C2792" s="194" t="inlineStr">
        <is>
          <t>KOREAN WON</t>
        </is>
      </c>
      <c r="D2792" s="195" t="n">
        <v>15.45</v>
      </c>
      <c r="E2792" s="195" t="n">
        <v>17.16</v>
      </c>
      <c r="F2792" s="195" t="n">
        <v>18.62</v>
      </c>
      <c r="G2792" s="195" t="n">
        <v>17.89</v>
      </c>
    </row>
    <row r="2793">
      <c r="A2793" s="196" t="inlineStr">
        <is>
          <t>2026-04-28</t>
        </is>
      </c>
      <c r="B2793" s="196" t="inlineStr">
        <is>
          <t>KWD</t>
        </is>
      </c>
      <c r="C2793" s="196" t="inlineStr">
        <is>
          <t>KUWAITI DINAR</t>
        </is>
      </c>
      <c r="D2793" s="184" t="n"/>
      <c r="E2793" s="184" t="n">
        <v>85473.42</v>
      </c>
      <c r="F2793" s="184" t="n">
        <v>89615.97</v>
      </c>
      <c r="G2793" s="184" t="n">
        <v>87544.7</v>
      </c>
    </row>
    <row r="2794">
      <c r="A2794" s="194" t="inlineStr">
        <is>
          <t>2026-04-28</t>
        </is>
      </c>
      <c r="B2794" s="194" t="inlineStr">
        <is>
          <t>MYR</t>
        </is>
      </c>
      <c r="C2794" s="194" t="inlineStr">
        <is>
          <t>MALAYSIAN RINGGIT</t>
        </is>
      </c>
      <c r="D2794" s="195" t="n"/>
      <c r="E2794" s="195" t="n">
        <v>6600.66</v>
      </c>
      <c r="F2794" s="195" t="n">
        <v>6744.24</v>
      </c>
      <c r="G2794" s="195" t="n">
        <v>6672.45</v>
      </c>
    </row>
    <row r="2795">
      <c r="A2795" s="196" t="inlineStr">
        <is>
          <t>2026-04-28</t>
        </is>
      </c>
      <c r="B2795" s="196" t="inlineStr">
        <is>
          <t>NOK</t>
        </is>
      </c>
      <c r="C2795" s="196" t="inlineStr">
        <is>
          <t>NORWEGIAN KRONER</t>
        </is>
      </c>
      <c r="D2795" s="184" t="n"/>
      <c r="E2795" s="184" t="n">
        <v>2773.81</v>
      </c>
      <c r="F2795" s="184" t="n">
        <v>2891.41</v>
      </c>
      <c r="G2795" s="184" t="n">
        <v>2832.61</v>
      </c>
    </row>
    <row r="2796">
      <c r="A2796" s="194" t="inlineStr">
        <is>
          <t>2026-04-28</t>
        </is>
      </c>
      <c r="B2796" s="194" t="inlineStr">
        <is>
          <t>RUB</t>
        </is>
      </c>
      <c r="C2796" s="194" t="inlineStr">
        <is>
          <t>RUSSIAN RUBLE</t>
        </is>
      </c>
      <c r="D2796" s="195" t="n"/>
      <c r="E2796" s="195" t="n">
        <v>334.8</v>
      </c>
      <c r="F2796" s="195" t="n">
        <v>370.6</v>
      </c>
      <c r="G2796" s="195" t="n">
        <v>352.7</v>
      </c>
    </row>
    <row r="2797">
      <c r="A2797" s="196" t="inlineStr">
        <is>
          <t>2026-04-28</t>
        </is>
      </c>
      <c r="B2797" s="196" t="inlineStr">
        <is>
          <t>SAR</t>
        </is>
      </c>
      <c r="C2797" s="196" t="inlineStr">
        <is>
          <t>SAUDI RIAL</t>
        </is>
      </c>
      <c r="D2797" s="184" t="n"/>
      <c r="E2797" s="184" t="n">
        <v>6982.63</v>
      </c>
      <c r="F2797" s="184" t="n">
        <v>7283.12</v>
      </c>
      <c r="G2797" s="184" t="n">
        <v>7132.88</v>
      </c>
    </row>
    <row r="2798">
      <c r="A2798" s="194" t="inlineStr">
        <is>
          <t>2026-04-28</t>
        </is>
      </c>
      <c r="B2798" s="194" t="inlineStr">
        <is>
          <t>SEK</t>
        </is>
      </c>
      <c r="C2798" s="194" t="inlineStr">
        <is>
          <t>SWEDISH KRONA</t>
        </is>
      </c>
      <c r="D2798" s="195" t="n"/>
      <c r="E2798" s="195" t="n">
        <v>2792.33</v>
      </c>
      <c r="F2798" s="195" t="n">
        <v>2910.72</v>
      </c>
      <c r="G2798" s="195" t="n">
        <v>2851.52</v>
      </c>
    </row>
    <row r="2799">
      <c r="A2799" s="196" t="inlineStr">
        <is>
          <t>2026-04-28</t>
        </is>
      </c>
      <c r="B2799" s="196" t="inlineStr">
        <is>
          <t>SGD</t>
        </is>
      </c>
      <c r="C2799" s="196" t="inlineStr">
        <is>
          <t>SINGAPORE DOLLAR</t>
        </is>
      </c>
      <c r="D2799" s="184" t="n">
        <v>20121.18</v>
      </c>
      <c r="E2799" s="184" t="n">
        <v>20324.42</v>
      </c>
      <c r="F2799" s="184" t="n">
        <v>21017.27</v>
      </c>
      <c r="G2799" s="184" t="n">
        <v>20670.84</v>
      </c>
    </row>
    <row r="2800">
      <c r="A2800" s="194" t="inlineStr">
        <is>
          <t>2026-04-28</t>
        </is>
      </c>
      <c r="B2800" s="194" t="inlineStr">
        <is>
          <t>THB</t>
        </is>
      </c>
      <c r="C2800" s="194" t="inlineStr">
        <is>
          <t>THAILAND BAHT</t>
        </is>
      </c>
      <c r="D2800" s="195" t="n">
        <v>716.55</v>
      </c>
      <c r="E2800" s="195" t="n">
        <v>796.17</v>
      </c>
      <c r="F2800" s="195" t="n">
        <v>829.9299999999999</v>
      </c>
      <c r="G2800" s="195" t="n">
        <v>813.05</v>
      </c>
    </row>
    <row r="2801">
      <c r="A2801" s="196" t="inlineStr">
        <is>
          <t>2026-04-28</t>
        </is>
      </c>
      <c r="B2801" s="196" t="inlineStr">
        <is>
          <t>USD</t>
        </is>
      </c>
      <c r="C2801" s="196" t="inlineStr">
        <is>
          <t>US DOLLAR</t>
        </is>
      </c>
      <c r="D2801" s="184" t="n">
        <v>26106</v>
      </c>
      <c r="E2801" s="184" t="n">
        <v>26136</v>
      </c>
      <c r="F2801" s="184" t="n">
        <v>26366</v>
      </c>
      <c r="G2801" s="184" t="n">
        <v>26251</v>
      </c>
    </row>
    <row r="2802">
      <c r="A2802" s="194" t="inlineStr">
        <is>
          <t>2026-04-27</t>
        </is>
      </c>
      <c r="B2802" s="194" t="inlineStr">
        <is>
          <t>AUD</t>
        </is>
      </c>
      <c r="C2802" s="194" t="inlineStr">
        <is>
          <t>AUSTRALIAN DOLLAR</t>
        </is>
      </c>
      <c r="D2802" s="195" t="n">
        <v>18336.48</v>
      </c>
      <c r="E2802" s="195" t="n">
        <v>18521.7</v>
      </c>
      <c r="F2802" s="195" t="n">
        <v>19114.83</v>
      </c>
      <c r="G2802" s="195" t="n">
        <v>18818.26</v>
      </c>
    </row>
    <row r="2803">
      <c r="A2803" s="196" t="inlineStr">
        <is>
          <t>2026-04-27</t>
        </is>
      </c>
      <c r="B2803" s="196" t="inlineStr">
        <is>
          <t>CAD</t>
        </is>
      </c>
      <c r="C2803" s="196" t="inlineStr">
        <is>
          <t>CANADIAN DOLLAR</t>
        </is>
      </c>
      <c r="D2803" s="184" t="n">
        <v>18771.1</v>
      </c>
      <c r="E2803" s="184" t="n">
        <v>18960.71</v>
      </c>
      <c r="F2803" s="184" t="n">
        <v>19567.89</v>
      </c>
      <c r="G2803" s="184" t="n">
        <v>19264.3</v>
      </c>
    </row>
    <row r="2804">
      <c r="A2804" s="194" t="inlineStr">
        <is>
          <t>2026-04-27</t>
        </is>
      </c>
      <c r="B2804" s="194" t="inlineStr">
        <is>
          <t>CHF</t>
        </is>
      </c>
      <c r="C2804" s="194" t="inlineStr">
        <is>
          <t>SWISS FRANC</t>
        </is>
      </c>
      <c r="D2804" s="195" t="n">
        <v>32682.08</v>
      </c>
      <c r="E2804" s="195" t="n">
        <v>33012.2</v>
      </c>
      <c r="F2804" s="195" t="n">
        <v>34069.37</v>
      </c>
      <c r="G2804" s="195" t="n">
        <v>33540.79</v>
      </c>
    </row>
    <row r="2805">
      <c r="A2805" s="196" t="inlineStr">
        <is>
          <t>2026-04-27</t>
        </is>
      </c>
      <c r="B2805" s="196" t="inlineStr">
        <is>
          <t>CNY</t>
        </is>
      </c>
      <c r="C2805" s="196" t="inlineStr">
        <is>
          <t>YUAN RENMINBI</t>
        </is>
      </c>
      <c r="D2805" s="184" t="n">
        <v>3755.59</v>
      </c>
      <c r="E2805" s="184" t="n">
        <v>3793.53</v>
      </c>
      <c r="F2805" s="184" t="n">
        <v>3915.01</v>
      </c>
      <c r="G2805" s="184" t="n">
        <v>3854.27</v>
      </c>
    </row>
    <row r="2806">
      <c r="A2806" s="194" t="inlineStr">
        <is>
          <t>2026-04-27</t>
        </is>
      </c>
      <c r="B2806" s="194" t="inlineStr">
        <is>
          <t>DKK</t>
        </is>
      </c>
      <c r="C2806" s="194" t="inlineStr">
        <is>
          <t>DANISH KRONE</t>
        </is>
      </c>
      <c r="D2806" s="195" t="n"/>
      <c r="E2806" s="195" t="n">
        <v>4046.79</v>
      </c>
      <c r="F2806" s="195" t="n">
        <v>4201.52</v>
      </c>
      <c r="G2806" s="195" t="n">
        <v>4124.16</v>
      </c>
    </row>
    <row r="2807">
      <c r="A2807" s="196" t="inlineStr">
        <is>
          <t>2026-04-27</t>
        </is>
      </c>
      <c r="B2807" s="196" t="inlineStr">
        <is>
          <t>EUR</t>
        </is>
      </c>
      <c r="C2807" s="196" t="inlineStr">
        <is>
          <t>EURO</t>
        </is>
      </c>
      <c r="D2807" s="184" t="n">
        <v>30017.75</v>
      </c>
      <c r="E2807" s="184" t="n">
        <v>30320.96</v>
      </c>
      <c r="F2807" s="184" t="n">
        <v>31600.24</v>
      </c>
      <c r="G2807" s="184" t="n">
        <v>30960.6</v>
      </c>
    </row>
    <row r="2808">
      <c r="A2808" s="194" t="inlineStr">
        <is>
          <t>2026-04-27</t>
        </is>
      </c>
      <c r="B2808" s="194" t="inlineStr">
        <is>
          <t>GBP</t>
        </is>
      </c>
      <c r="C2808" s="194" t="inlineStr">
        <is>
          <t>POUND STERLING</t>
        </is>
      </c>
      <c r="D2808" s="195" t="n">
        <v>34607.64</v>
      </c>
      <c r="E2808" s="195" t="n">
        <v>34957.22</v>
      </c>
      <c r="F2808" s="195" t="n">
        <v>36076.67</v>
      </c>
      <c r="G2808" s="195" t="n">
        <v>35516.94</v>
      </c>
    </row>
    <row r="2809">
      <c r="A2809" s="196" t="inlineStr">
        <is>
          <t>2026-04-27</t>
        </is>
      </c>
      <c r="B2809" s="196" t="inlineStr">
        <is>
          <t>HKD</t>
        </is>
      </c>
      <c r="C2809" s="196" t="inlineStr">
        <is>
          <t>HONGKONG DOLLAR</t>
        </is>
      </c>
      <c r="D2809" s="184" t="n">
        <v>3267.15</v>
      </c>
      <c r="E2809" s="184" t="n">
        <v>3300.15</v>
      </c>
      <c r="F2809" s="184" t="n">
        <v>3426.33</v>
      </c>
      <c r="G2809" s="184" t="n">
        <v>3363.24</v>
      </c>
    </row>
    <row r="2810">
      <c r="A2810" s="194" t="inlineStr">
        <is>
          <t>2026-04-27</t>
        </is>
      </c>
      <c r="B2810" s="194" t="inlineStr">
        <is>
          <t>INR</t>
        </is>
      </c>
      <c r="C2810" s="194" t="inlineStr">
        <is>
          <t>INDIAN RUPEE</t>
        </is>
      </c>
      <c r="D2810" s="195" t="n"/>
      <c r="E2810" s="195" t="n">
        <v>279.12</v>
      </c>
      <c r="F2810" s="195" t="n">
        <v>291.14</v>
      </c>
      <c r="G2810" s="195" t="n">
        <v>285.13</v>
      </c>
    </row>
    <row r="2811">
      <c r="A2811" s="196" t="inlineStr">
        <is>
          <t>2026-04-27</t>
        </is>
      </c>
      <c r="B2811" s="196" t="inlineStr">
        <is>
          <t>JPY</t>
        </is>
      </c>
      <c r="C2811" s="196" t="inlineStr">
        <is>
          <t>YEN</t>
        </is>
      </c>
      <c r="D2811" s="184" t="n">
        <v>159.34</v>
      </c>
      <c r="E2811" s="184" t="n">
        <v>160.95</v>
      </c>
      <c r="F2811" s="184" t="n">
        <v>169.46</v>
      </c>
      <c r="G2811" s="184" t="n">
        <v>165.2</v>
      </c>
    </row>
    <row r="2812">
      <c r="A2812" s="194" t="inlineStr">
        <is>
          <t>2026-04-27</t>
        </is>
      </c>
      <c r="B2812" s="194" t="inlineStr">
        <is>
          <t>KRW</t>
        </is>
      </c>
      <c r="C2812" s="194" t="inlineStr">
        <is>
          <t>KOREAN WON</t>
        </is>
      </c>
      <c r="D2812" s="195" t="n">
        <v>15.36</v>
      </c>
      <c r="E2812" s="195" t="n">
        <v>17.06</v>
      </c>
      <c r="F2812" s="195" t="n">
        <v>18.51</v>
      </c>
      <c r="G2812" s="195" t="n">
        <v>17.78</v>
      </c>
    </row>
    <row r="2813">
      <c r="A2813" s="196" t="inlineStr">
        <is>
          <t>2026-04-27</t>
        </is>
      </c>
      <c r="B2813" s="196" t="inlineStr">
        <is>
          <t>KWD</t>
        </is>
      </c>
      <c r="C2813" s="196" t="inlineStr">
        <is>
          <t>KUWAITI DINAR</t>
        </is>
      </c>
      <c r="D2813" s="184" t="n"/>
      <c r="E2813" s="184" t="n">
        <v>85440.94</v>
      </c>
      <c r="F2813" s="184" t="n">
        <v>89581.97</v>
      </c>
      <c r="G2813" s="184" t="n">
        <v>87511.46000000001</v>
      </c>
    </row>
    <row r="2814">
      <c r="A2814" s="194" t="inlineStr">
        <is>
          <t>2026-04-27</t>
        </is>
      </c>
      <c r="B2814" s="194" t="inlineStr">
        <is>
          <t>MYR</t>
        </is>
      </c>
      <c r="C2814" s="194" t="inlineStr">
        <is>
          <t>MALAYSIAN RINGGIT</t>
        </is>
      </c>
      <c r="D2814" s="195" t="n"/>
      <c r="E2814" s="195" t="n">
        <v>6573.18</v>
      </c>
      <c r="F2814" s="195" t="n">
        <v>6716.16</v>
      </c>
      <c r="G2814" s="195" t="n">
        <v>6644.67</v>
      </c>
    </row>
    <row r="2815">
      <c r="A2815" s="196" t="inlineStr">
        <is>
          <t>2026-04-27</t>
        </is>
      </c>
      <c r="B2815" s="196" t="inlineStr">
        <is>
          <t>NOK</t>
        </is>
      </c>
      <c r="C2815" s="196" t="inlineStr">
        <is>
          <t>NORWEGIAN KRONER</t>
        </is>
      </c>
      <c r="D2815" s="184" t="n"/>
      <c r="E2815" s="184" t="n">
        <v>2771.42</v>
      </c>
      <c r="F2815" s="184" t="n">
        <v>2888.92</v>
      </c>
      <c r="G2815" s="184" t="n">
        <v>2830.17</v>
      </c>
    </row>
    <row r="2816">
      <c r="A2816" s="194" t="inlineStr">
        <is>
          <t>2026-04-27</t>
        </is>
      </c>
      <c r="B2816" s="194" t="inlineStr">
        <is>
          <t>RUB</t>
        </is>
      </c>
      <c r="C2816" s="194" t="inlineStr">
        <is>
          <t>RUSSIAN RUBLE</t>
        </is>
      </c>
      <c r="D2816" s="195" t="n"/>
      <c r="E2816" s="195" t="n">
        <v>333.67</v>
      </c>
      <c r="F2816" s="195" t="n">
        <v>369.35</v>
      </c>
      <c r="G2816" s="195" t="n">
        <v>351.51</v>
      </c>
    </row>
    <row r="2817">
      <c r="A2817" s="196" t="inlineStr">
        <is>
          <t>2026-04-27</t>
        </is>
      </c>
      <c r="B2817" s="196" t="inlineStr">
        <is>
          <t>SAR</t>
        </is>
      </c>
      <c r="C2817" s="196" t="inlineStr">
        <is>
          <t>SAUDI RIAL</t>
        </is>
      </c>
      <c r="D2817" s="184" t="n"/>
      <c r="E2817" s="184" t="n">
        <v>6980.54</v>
      </c>
      <c r="F2817" s="184" t="n">
        <v>7280.94</v>
      </c>
      <c r="G2817" s="184" t="n">
        <v>7130.74</v>
      </c>
    </row>
    <row r="2818">
      <c r="A2818" s="194" t="inlineStr">
        <is>
          <t>2026-04-27</t>
        </is>
      </c>
      <c r="B2818" s="194" t="inlineStr">
        <is>
          <t>SEK</t>
        </is>
      </c>
      <c r="C2818" s="194" t="inlineStr">
        <is>
          <t>SWEDISH KRONA</t>
        </is>
      </c>
      <c r="D2818" s="195" t="n"/>
      <c r="E2818" s="195" t="n">
        <v>2792.39</v>
      </c>
      <c r="F2818" s="195" t="n">
        <v>2910.78</v>
      </c>
      <c r="G2818" s="195" t="n">
        <v>2851.58</v>
      </c>
    </row>
    <row r="2819">
      <c r="A2819" s="196" t="inlineStr">
        <is>
          <t>2026-04-27</t>
        </is>
      </c>
      <c r="B2819" s="196" t="inlineStr">
        <is>
          <t>SGD</t>
        </is>
      </c>
      <c r="C2819" s="196" t="inlineStr">
        <is>
          <t>SINGAPORE DOLLAR</t>
        </is>
      </c>
      <c r="D2819" s="184" t="n">
        <v>20083.6</v>
      </c>
      <c r="E2819" s="184" t="n">
        <v>20286.46</v>
      </c>
      <c r="F2819" s="184" t="n">
        <v>20978.03</v>
      </c>
      <c r="G2819" s="184" t="n">
        <v>20632.24</v>
      </c>
    </row>
    <row r="2820">
      <c r="A2820" s="194" t="inlineStr">
        <is>
          <t>2026-04-27</t>
        </is>
      </c>
      <c r="B2820" s="194" t="inlineStr">
        <is>
          <t>THB</t>
        </is>
      </c>
      <c r="C2820" s="194" t="inlineStr">
        <is>
          <t>THAILAND BAHT</t>
        </is>
      </c>
      <c r="D2820" s="195" t="n">
        <v>717.61</v>
      </c>
      <c r="E2820" s="195" t="n">
        <v>797.35</v>
      </c>
      <c r="F2820" s="195" t="n">
        <v>831.15</v>
      </c>
      <c r="G2820" s="195" t="n">
        <v>814.25</v>
      </c>
    </row>
    <row r="2821">
      <c r="A2821" s="196" t="inlineStr">
        <is>
          <t>2026-04-27</t>
        </is>
      </c>
      <c r="B2821" s="196" t="inlineStr">
        <is>
          <t>USD</t>
        </is>
      </c>
      <c r="C2821" s="196" t="inlineStr">
        <is>
          <t>US DOLLAR</t>
        </is>
      </c>
      <c r="D2821" s="184" t="n">
        <v>26108</v>
      </c>
      <c r="E2821" s="184" t="n">
        <v>26138</v>
      </c>
      <c r="F2821" s="184" t="n">
        <v>26368</v>
      </c>
      <c r="G2821" s="184" t="n">
        <v>26253</v>
      </c>
    </row>
    <row r="2822">
      <c r="A2822" s="194" t="inlineStr">
        <is>
          <t>2026-04-26</t>
        </is>
      </c>
      <c r="B2822" s="194" t="inlineStr">
        <is>
          <t>AUD</t>
        </is>
      </c>
      <c r="C2822" s="194" t="inlineStr">
        <is>
          <t>AUSTRALIAN DOLLAR</t>
        </is>
      </c>
      <c r="D2822" s="195" t="n">
        <v>18336.48</v>
      </c>
      <c r="E2822" s="195" t="n">
        <v>18521.7</v>
      </c>
      <c r="F2822" s="195" t="n">
        <v>19114.83</v>
      </c>
      <c r="G2822" s="195" t="n">
        <v>18818.26</v>
      </c>
    </row>
    <row r="2823">
      <c r="A2823" s="196" t="inlineStr">
        <is>
          <t>2026-04-26</t>
        </is>
      </c>
      <c r="B2823" s="196" t="inlineStr">
        <is>
          <t>CAD</t>
        </is>
      </c>
      <c r="C2823" s="196" t="inlineStr">
        <is>
          <t>CANADIAN DOLLAR</t>
        </is>
      </c>
      <c r="D2823" s="184" t="n">
        <v>18771.1</v>
      </c>
      <c r="E2823" s="184" t="n">
        <v>18960.71</v>
      </c>
      <c r="F2823" s="184" t="n">
        <v>19567.89</v>
      </c>
      <c r="G2823" s="184" t="n">
        <v>19264.3</v>
      </c>
    </row>
    <row r="2824">
      <c r="A2824" s="194" t="inlineStr">
        <is>
          <t>2026-04-26</t>
        </is>
      </c>
      <c r="B2824" s="194" t="inlineStr">
        <is>
          <t>CHF</t>
        </is>
      </c>
      <c r="C2824" s="194" t="inlineStr">
        <is>
          <t>SWISS FRANC</t>
        </is>
      </c>
      <c r="D2824" s="195" t="n">
        <v>32682.08</v>
      </c>
      <c r="E2824" s="195" t="n">
        <v>33012.2</v>
      </c>
      <c r="F2824" s="195" t="n">
        <v>34069.37</v>
      </c>
      <c r="G2824" s="195" t="n">
        <v>33540.79</v>
      </c>
    </row>
    <row r="2825">
      <c r="A2825" s="196" t="inlineStr">
        <is>
          <t>2026-04-26</t>
        </is>
      </c>
      <c r="B2825" s="196" t="inlineStr">
        <is>
          <t>CNY</t>
        </is>
      </c>
      <c r="C2825" s="196" t="inlineStr">
        <is>
          <t>YUAN RENMINBI</t>
        </is>
      </c>
      <c r="D2825" s="184" t="n">
        <v>3755.59</v>
      </c>
      <c r="E2825" s="184" t="n">
        <v>3793.53</v>
      </c>
      <c r="F2825" s="184" t="n">
        <v>3915.01</v>
      </c>
      <c r="G2825" s="184" t="n">
        <v>3854.27</v>
      </c>
    </row>
    <row r="2826">
      <c r="A2826" s="194" t="inlineStr">
        <is>
          <t>2026-04-26</t>
        </is>
      </c>
      <c r="B2826" s="194" t="inlineStr">
        <is>
          <t>DKK</t>
        </is>
      </c>
      <c r="C2826" s="194" t="inlineStr">
        <is>
          <t>DANISH KRONE</t>
        </is>
      </c>
      <c r="D2826" s="195" t="n"/>
      <c r="E2826" s="195" t="n">
        <v>4046.79</v>
      </c>
      <c r="F2826" s="195" t="n">
        <v>4201.52</v>
      </c>
      <c r="G2826" s="195" t="n">
        <v>4124.16</v>
      </c>
    </row>
    <row r="2827">
      <c r="A2827" s="196" t="inlineStr">
        <is>
          <t>2026-04-26</t>
        </is>
      </c>
      <c r="B2827" s="196" t="inlineStr">
        <is>
          <t>EUR</t>
        </is>
      </c>
      <c r="C2827" s="196" t="inlineStr">
        <is>
          <t>EURO</t>
        </is>
      </c>
      <c r="D2827" s="184" t="n">
        <v>30017.75</v>
      </c>
      <c r="E2827" s="184" t="n">
        <v>30320.96</v>
      </c>
      <c r="F2827" s="184" t="n">
        <v>31600.24</v>
      </c>
      <c r="G2827" s="184" t="n">
        <v>30960.6</v>
      </c>
    </row>
    <row r="2828">
      <c r="A2828" s="194" t="inlineStr">
        <is>
          <t>2026-04-26</t>
        </is>
      </c>
      <c r="B2828" s="194" t="inlineStr">
        <is>
          <t>GBP</t>
        </is>
      </c>
      <c r="C2828" s="194" t="inlineStr">
        <is>
          <t>POUND STERLING</t>
        </is>
      </c>
      <c r="D2828" s="195" t="n">
        <v>34607.64</v>
      </c>
      <c r="E2828" s="195" t="n">
        <v>34957.22</v>
      </c>
      <c r="F2828" s="195" t="n">
        <v>36076.67</v>
      </c>
      <c r="G2828" s="195" t="n">
        <v>35516.94</v>
      </c>
    </row>
    <row r="2829">
      <c r="A2829" s="196" t="inlineStr">
        <is>
          <t>2026-04-26</t>
        </is>
      </c>
      <c r="B2829" s="196" t="inlineStr">
        <is>
          <t>HKD</t>
        </is>
      </c>
      <c r="C2829" s="196" t="inlineStr">
        <is>
          <t>HONGKONG DOLLAR</t>
        </is>
      </c>
      <c r="D2829" s="184" t="n">
        <v>3267.15</v>
      </c>
      <c r="E2829" s="184" t="n">
        <v>3300.15</v>
      </c>
      <c r="F2829" s="184" t="n">
        <v>3426.33</v>
      </c>
      <c r="G2829" s="184" t="n">
        <v>3363.24</v>
      </c>
    </row>
    <row r="2830">
      <c r="A2830" s="194" t="inlineStr">
        <is>
          <t>2026-04-26</t>
        </is>
      </c>
      <c r="B2830" s="194" t="inlineStr">
        <is>
          <t>INR</t>
        </is>
      </c>
      <c r="C2830" s="194" t="inlineStr">
        <is>
          <t>INDIAN RUPEE</t>
        </is>
      </c>
      <c r="D2830" s="195" t="n"/>
      <c r="E2830" s="195" t="n">
        <v>279.12</v>
      </c>
      <c r="F2830" s="195" t="n">
        <v>291.14</v>
      </c>
      <c r="G2830" s="195" t="n">
        <v>285.13</v>
      </c>
    </row>
    <row r="2831">
      <c r="A2831" s="196" t="inlineStr">
        <is>
          <t>2026-04-26</t>
        </is>
      </c>
      <c r="B2831" s="196" t="inlineStr">
        <is>
          <t>JPY</t>
        </is>
      </c>
      <c r="C2831" s="196" t="inlineStr">
        <is>
          <t>YEN</t>
        </is>
      </c>
      <c r="D2831" s="184" t="n">
        <v>159.34</v>
      </c>
      <c r="E2831" s="184" t="n">
        <v>160.95</v>
      </c>
      <c r="F2831" s="184" t="n">
        <v>169.46</v>
      </c>
      <c r="G2831" s="184" t="n">
        <v>165.2</v>
      </c>
    </row>
    <row r="2832">
      <c r="A2832" s="194" t="inlineStr">
        <is>
          <t>2026-04-26</t>
        </is>
      </c>
      <c r="B2832" s="194" t="inlineStr">
        <is>
          <t>KRW</t>
        </is>
      </c>
      <c r="C2832" s="194" t="inlineStr">
        <is>
          <t>KOREAN WON</t>
        </is>
      </c>
      <c r="D2832" s="195" t="n">
        <v>15.36</v>
      </c>
      <c r="E2832" s="195" t="n">
        <v>17.06</v>
      </c>
      <c r="F2832" s="195" t="n">
        <v>18.51</v>
      </c>
      <c r="G2832" s="195" t="n">
        <v>17.78</v>
      </c>
    </row>
    <row r="2833">
      <c r="A2833" s="196" t="inlineStr">
        <is>
          <t>2026-04-26</t>
        </is>
      </c>
      <c r="B2833" s="196" t="inlineStr">
        <is>
          <t>KWD</t>
        </is>
      </c>
      <c r="C2833" s="196" t="inlineStr">
        <is>
          <t>KUWAITI DINAR</t>
        </is>
      </c>
      <c r="D2833" s="184" t="n"/>
      <c r="E2833" s="184" t="n">
        <v>85440.94</v>
      </c>
      <c r="F2833" s="184" t="n">
        <v>89581.97</v>
      </c>
      <c r="G2833" s="184" t="n">
        <v>87511.46000000001</v>
      </c>
    </row>
    <row r="2834">
      <c r="A2834" s="194" t="inlineStr">
        <is>
          <t>2026-04-26</t>
        </is>
      </c>
      <c r="B2834" s="194" t="inlineStr">
        <is>
          <t>MYR</t>
        </is>
      </c>
      <c r="C2834" s="194" t="inlineStr">
        <is>
          <t>MALAYSIAN RINGGIT</t>
        </is>
      </c>
      <c r="D2834" s="195" t="n"/>
      <c r="E2834" s="195" t="n">
        <v>6573.18</v>
      </c>
      <c r="F2834" s="195" t="n">
        <v>6716.16</v>
      </c>
      <c r="G2834" s="195" t="n">
        <v>6644.67</v>
      </c>
    </row>
    <row r="2835">
      <c r="A2835" s="196" t="inlineStr">
        <is>
          <t>2026-04-26</t>
        </is>
      </c>
      <c r="B2835" s="196" t="inlineStr">
        <is>
          <t>NOK</t>
        </is>
      </c>
      <c r="C2835" s="196" t="inlineStr">
        <is>
          <t>NORWEGIAN KRONER</t>
        </is>
      </c>
      <c r="D2835" s="184" t="n"/>
      <c r="E2835" s="184" t="n">
        <v>2771.42</v>
      </c>
      <c r="F2835" s="184" t="n">
        <v>2888.92</v>
      </c>
      <c r="G2835" s="184" t="n">
        <v>2830.17</v>
      </c>
    </row>
    <row r="2836">
      <c r="A2836" s="194" t="inlineStr">
        <is>
          <t>2026-04-26</t>
        </is>
      </c>
      <c r="B2836" s="194" t="inlineStr">
        <is>
          <t>RUB</t>
        </is>
      </c>
      <c r="C2836" s="194" t="inlineStr">
        <is>
          <t>RUSSIAN RUBLE</t>
        </is>
      </c>
      <c r="D2836" s="195" t="n"/>
      <c r="E2836" s="195" t="n">
        <v>333.67</v>
      </c>
      <c r="F2836" s="195" t="n">
        <v>369.35</v>
      </c>
      <c r="G2836" s="195" t="n">
        <v>351.51</v>
      </c>
    </row>
    <row r="2837">
      <c r="A2837" s="196" t="inlineStr">
        <is>
          <t>2026-04-26</t>
        </is>
      </c>
      <c r="B2837" s="196" t="inlineStr">
        <is>
          <t>SAR</t>
        </is>
      </c>
      <c r="C2837" s="196" t="inlineStr">
        <is>
          <t>SAUDI RIAL</t>
        </is>
      </c>
      <c r="D2837" s="184" t="n"/>
      <c r="E2837" s="184" t="n">
        <v>6980.54</v>
      </c>
      <c r="F2837" s="184" t="n">
        <v>7280.94</v>
      </c>
      <c r="G2837" s="184" t="n">
        <v>7130.74</v>
      </c>
    </row>
    <row r="2838">
      <c r="A2838" s="194" t="inlineStr">
        <is>
          <t>2026-04-26</t>
        </is>
      </c>
      <c r="B2838" s="194" t="inlineStr">
        <is>
          <t>SEK</t>
        </is>
      </c>
      <c r="C2838" s="194" t="inlineStr">
        <is>
          <t>SWEDISH KRONA</t>
        </is>
      </c>
      <c r="D2838" s="195" t="n"/>
      <c r="E2838" s="195" t="n">
        <v>2792.39</v>
      </c>
      <c r="F2838" s="195" t="n">
        <v>2910.78</v>
      </c>
      <c r="G2838" s="195" t="n">
        <v>2851.58</v>
      </c>
    </row>
    <row r="2839">
      <c r="A2839" s="196" t="inlineStr">
        <is>
          <t>2026-04-26</t>
        </is>
      </c>
      <c r="B2839" s="196" t="inlineStr">
        <is>
          <t>SGD</t>
        </is>
      </c>
      <c r="C2839" s="196" t="inlineStr">
        <is>
          <t>SINGAPORE DOLLAR</t>
        </is>
      </c>
      <c r="D2839" s="184" t="n">
        <v>20083.6</v>
      </c>
      <c r="E2839" s="184" t="n">
        <v>20286.46</v>
      </c>
      <c r="F2839" s="184" t="n">
        <v>20978.03</v>
      </c>
      <c r="G2839" s="184" t="n">
        <v>20632.24</v>
      </c>
    </row>
    <row r="2840">
      <c r="A2840" s="194" t="inlineStr">
        <is>
          <t>2026-04-26</t>
        </is>
      </c>
      <c r="B2840" s="194" t="inlineStr">
        <is>
          <t>THB</t>
        </is>
      </c>
      <c r="C2840" s="194" t="inlineStr">
        <is>
          <t>THAILAND BAHT</t>
        </is>
      </c>
      <c r="D2840" s="195" t="n">
        <v>717.61</v>
      </c>
      <c r="E2840" s="195" t="n">
        <v>797.35</v>
      </c>
      <c r="F2840" s="195" t="n">
        <v>831.15</v>
      </c>
      <c r="G2840" s="195" t="n">
        <v>814.25</v>
      </c>
    </row>
    <row r="2841">
      <c r="A2841" s="196" t="inlineStr">
        <is>
          <t>2026-04-26</t>
        </is>
      </c>
      <c r="B2841" s="196" t="inlineStr">
        <is>
          <t>USD</t>
        </is>
      </c>
      <c r="C2841" s="196" t="inlineStr">
        <is>
          <t>US DOLLAR</t>
        </is>
      </c>
      <c r="D2841" s="184" t="n">
        <v>26108</v>
      </c>
      <c r="E2841" s="184" t="n">
        <v>26138</v>
      </c>
      <c r="F2841" s="184" t="n">
        <v>26368</v>
      </c>
      <c r="G2841" s="184" t="n">
        <v>26253</v>
      </c>
    </row>
    <row r="2842">
      <c r="A2842" s="194" t="inlineStr">
        <is>
          <t>2026-04-25</t>
        </is>
      </c>
      <c r="B2842" s="194" t="inlineStr">
        <is>
          <t>AUD</t>
        </is>
      </c>
      <c r="C2842" s="194" t="inlineStr">
        <is>
          <t>AUSTRALIAN DOLLAR</t>
        </is>
      </c>
      <c r="D2842" s="195" t="n">
        <v>18336.48</v>
      </c>
      <c r="E2842" s="195" t="n">
        <v>18521.7</v>
      </c>
      <c r="F2842" s="195" t="n">
        <v>19114.83</v>
      </c>
      <c r="G2842" s="195" t="n">
        <v>18818.26</v>
      </c>
    </row>
    <row r="2843">
      <c r="A2843" s="196" t="inlineStr">
        <is>
          <t>2026-04-25</t>
        </is>
      </c>
      <c r="B2843" s="196" t="inlineStr">
        <is>
          <t>CAD</t>
        </is>
      </c>
      <c r="C2843" s="196" t="inlineStr">
        <is>
          <t>CANADIAN DOLLAR</t>
        </is>
      </c>
      <c r="D2843" s="184" t="n">
        <v>18771.1</v>
      </c>
      <c r="E2843" s="184" t="n">
        <v>18960.71</v>
      </c>
      <c r="F2843" s="184" t="n">
        <v>19567.89</v>
      </c>
      <c r="G2843" s="184" t="n">
        <v>19264.3</v>
      </c>
    </row>
    <row r="2844">
      <c r="A2844" s="194" t="inlineStr">
        <is>
          <t>2026-04-25</t>
        </is>
      </c>
      <c r="B2844" s="194" t="inlineStr">
        <is>
          <t>CHF</t>
        </is>
      </c>
      <c r="C2844" s="194" t="inlineStr">
        <is>
          <t>SWISS FRANC</t>
        </is>
      </c>
      <c r="D2844" s="195" t="n">
        <v>32682.08</v>
      </c>
      <c r="E2844" s="195" t="n">
        <v>33012.2</v>
      </c>
      <c r="F2844" s="195" t="n">
        <v>34069.37</v>
      </c>
      <c r="G2844" s="195" t="n">
        <v>33540.79</v>
      </c>
    </row>
    <row r="2845">
      <c r="A2845" s="196" t="inlineStr">
        <is>
          <t>2026-04-25</t>
        </is>
      </c>
      <c r="B2845" s="196" t="inlineStr">
        <is>
          <t>CNY</t>
        </is>
      </c>
      <c r="C2845" s="196" t="inlineStr">
        <is>
          <t>YUAN RENMINBI</t>
        </is>
      </c>
      <c r="D2845" s="184" t="n">
        <v>3755.59</v>
      </c>
      <c r="E2845" s="184" t="n">
        <v>3793.53</v>
      </c>
      <c r="F2845" s="184" t="n">
        <v>3915.01</v>
      </c>
      <c r="G2845" s="184" t="n">
        <v>3854.27</v>
      </c>
    </row>
    <row r="2846">
      <c r="A2846" s="194" t="inlineStr">
        <is>
          <t>2026-04-25</t>
        </is>
      </c>
      <c r="B2846" s="194" t="inlineStr">
        <is>
          <t>DKK</t>
        </is>
      </c>
      <c r="C2846" s="194" t="inlineStr">
        <is>
          <t>DANISH KRONE</t>
        </is>
      </c>
      <c r="D2846" s="195" t="n"/>
      <c r="E2846" s="195" t="n">
        <v>4046.79</v>
      </c>
      <c r="F2846" s="195" t="n">
        <v>4201.52</v>
      </c>
      <c r="G2846" s="195" t="n">
        <v>4124.16</v>
      </c>
    </row>
    <row r="2847">
      <c r="A2847" s="196" t="inlineStr">
        <is>
          <t>2026-04-25</t>
        </is>
      </c>
      <c r="B2847" s="196" t="inlineStr">
        <is>
          <t>EUR</t>
        </is>
      </c>
      <c r="C2847" s="196" t="inlineStr">
        <is>
          <t>EURO</t>
        </is>
      </c>
      <c r="D2847" s="184" t="n">
        <v>30017.75</v>
      </c>
      <c r="E2847" s="184" t="n">
        <v>30320.96</v>
      </c>
      <c r="F2847" s="184" t="n">
        <v>31600.24</v>
      </c>
      <c r="G2847" s="184" t="n">
        <v>30960.6</v>
      </c>
    </row>
    <row r="2848">
      <c r="A2848" s="194" t="inlineStr">
        <is>
          <t>2026-04-25</t>
        </is>
      </c>
      <c r="B2848" s="194" t="inlineStr">
        <is>
          <t>GBP</t>
        </is>
      </c>
      <c r="C2848" s="194" t="inlineStr">
        <is>
          <t>POUND STERLING</t>
        </is>
      </c>
      <c r="D2848" s="195" t="n">
        <v>34607.64</v>
      </c>
      <c r="E2848" s="195" t="n">
        <v>34957.22</v>
      </c>
      <c r="F2848" s="195" t="n">
        <v>36076.67</v>
      </c>
      <c r="G2848" s="195" t="n">
        <v>35516.94</v>
      </c>
    </row>
    <row r="2849">
      <c r="A2849" s="196" t="inlineStr">
        <is>
          <t>2026-04-25</t>
        </is>
      </c>
      <c r="B2849" s="196" t="inlineStr">
        <is>
          <t>HKD</t>
        </is>
      </c>
      <c r="C2849" s="196" t="inlineStr">
        <is>
          <t>HONGKONG DOLLAR</t>
        </is>
      </c>
      <c r="D2849" s="184" t="n">
        <v>3267.15</v>
      </c>
      <c r="E2849" s="184" t="n">
        <v>3300.15</v>
      </c>
      <c r="F2849" s="184" t="n">
        <v>3426.33</v>
      </c>
      <c r="G2849" s="184" t="n">
        <v>3363.24</v>
      </c>
    </row>
    <row r="2850">
      <c r="A2850" s="194" t="inlineStr">
        <is>
          <t>2026-04-25</t>
        </is>
      </c>
      <c r="B2850" s="194" t="inlineStr">
        <is>
          <t>INR</t>
        </is>
      </c>
      <c r="C2850" s="194" t="inlineStr">
        <is>
          <t>INDIAN RUPEE</t>
        </is>
      </c>
      <c r="D2850" s="195" t="n"/>
      <c r="E2850" s="195" t="n">
        <v>279.12</v>
      </c>
      <c r="F2850" s="195" t="n">
        <v>291.14</v>
      </c>
      <c r="G2850" s="195" t="n">
        <v>285.13</v>
      </c>
    </row>
    <row r="2851">
      <c r="A2851" s="196" t="inlineStr">
        <is>
          <t>2026-04-25</t>
        </is>
      </c>
      <c r="B2851" s="196" t="inlineStr">
        <is>
          <t>JPY</t>
        </is>
      </c>
      <c r="C2851" s="196" t="inlineStr">
        <is>
          <t>YEN</t>
        </is>
      </c>
      <c r="D2851" s="184" t="n">
        <v>159.34</v>
      </c>
      <c r="E2851" s="184" t="n">
        <v>160.95</v>
      </c>
      <c r="F2851" s="184" t="n">
        <v>169.46</v>
      </c>
      <c r="G2851" s="184" t="n">
        <v>165.2</v>
      </c>
    </row>
    <row r="2852">
      <c r="A2852" s="194" t="inlineStr">
        <is>
          <t>2026-04-25</t>
        </is>
      </c>
      <c r="B2852" s="194" t="inlineStr">
        <is>
          <t>KRW</t>
        </is>
      </c>
      <c r="C2852" s="194" t="inlineStr">
        <is>
          <t>KOREAN WON</t>
        </is>
      </c>
      <c r="D2852" s="195" t="n">
        <v>15.36</v>
      </c>
      <c r="E2852" s="195" t="n">
        <v>17.06</v>
      </c>
      <c r="F2852" s="195" t="n">
        <v>18.51</v>
      </c>
      <c r="G2852" s="195" t="n">
        <v>17.78</v>
      </c>
    </row>
    <row r="2853">
      <c r="A2853" s="196" t="inlineStr">
        <is>
          <t>2026-04-25</t>
        </is>
      </c>
      <c r="B2853" s="196" t="inlineStr">
        <is>
          <t>KWD</t>
        </is>
      </c>
      <c r="C2853" s="196" t="inlineStr">
        <is>
          <t>KUWAITI DINAR</t>
        </is>
      </c>
      <c r="D2853" s="184" t="n"/>
      <c r="E2853" s="184" t="n">
        <v>85440.94</v>
      </c>
      <c r="F2853" s="184" t="n">
        <v>89581.97</v>
      </c>
      <c r="G2853" s="184" t="n">
        <v>87511.46000000001</v>
      </c>
    </row>
    <row r="2854">
      <c r="A2854" s="194" t="inlineStr">
        <is>
          <t>2026-04-25</t>
        </is>
      </c>
      <c r="B2854" s="194" t="inlineStr">
        <is>
          <t>MYR</t>
        </is>
      </c>
      <c r="C2854" s="194" t="inlineStr">
        <is>
          <t>MALAYSIAN RINGGIT</t>
        </is>
      </c>
      <c r="D2854" s="195" t="n"/>
      <c r="E2854" s="195" t="n">
        <v>6573.18</v>
      </c>
      <c r="F2854" s="195" t="n">
        <v>6716.16</v>
      </c>
      <c r="G2854" s="195" t="n">
        <v>6644.67</v>
      </c>
    </row>
    <row r="2855">
      <c r="A2855" s="196" t="inlineStr">
        <is>
          <t>2026-04-25</t>
        </is>
      </c>
      <c r="B2855" s="196" t="inlineStr">
        <is>
          <t>NOK</t>
        </is>
      </c>
      <c r="C2855" s="196" t="inlineStr">
        <is>
          <t>NORWEGIAN KRONER</t>
        </is>
      </c>
      <c r="D2855" s="184" t="n"/>
      <c r="E2855" s="184" t="n">
        <v>2771.42</v>
      </c>
      <c r="F2855" s="184" t="n">
        <v>2888.92</v>
      </c>
      <c r="G2855" s="184" t="n">
        <v>2830.17</v>
      </c>
    </row>
    <row r="2856">
      <c r="A2856" s="194" t="inlineStr">
        <is>
          <t>2026-04-25</t>
        </is>
      </c>
      <c r="B2856" s="194" t="inlineStr">
        <is>
          <t>RUB</t>
        </is>
      </c>
      <c r="C2856" s="194" t="inlineStr">
        <is>
          <t>RUSSIAN RUBLE</t>
        </is>
      </c>
      <c r="D2856" s="195" t="n"/>
      <c r="E2856" s="195" t="n">
        <v>333.67</v>
      </c>
      <c r="F2856" s="195" t="n">
        <v>369.35</v>
      </c>
      <c r="G2856" s="195" t="n">
        <v>351.51</v>
      </c>
    </row>
    <row r="2857">
      <c r="A2857" s="196" t="inlineStr">
        <is>
          <t>2026-04-25</t>
        </is>
      </c>
      <c r="B2857" s="196" t="inlineStr">
        <is>
          <t>SAR</t>
        </is>
      </c>
      <c r="C2857" s="196" t="inlineStr">
        <is>
          <t>SAUDI RIAL</t>
        </is>
      </c>
      <c r="D2857" s="184" t="n"/>
      <c r="E2857" s="184" t="n">
        <v>6980.54</v>
      </c>
      <c r="F2857" s="184" t="n">
        <v>7280.94</v>
      </c>
      <c r="G2857" s="184" t="n">
        <v>7130.74</v>
      </c>
    </row>
    <row r="2858">
      <c r="A2858" s="194" t="inlineStr">
        <is>
          <t>2026-04-25</t>
        </is>
      </c>
      <c r="B2858" s="194" t="inlineStr">
        <is>
          <t>SEK</t>
        </is>
      </c>
      <c r="C2858" s="194" t="inlineStr">
        <is>
          <t>SWEDISH KRONA</t>
        </is>
      </c>
      <c r="D2858" s="195" t="n"/>
      <c r="E2858" s="195" t="n">
        <v>2792.39</v>
      </c>
      <c r="F2858" s="195" t="n">
        <v>2910.78</v>
      </c>
      <c r="G2858" s="195" t="n">
        <v>2851.58</v>
      </c>
    </row>
    <row r="2859">
      <c r="A2859" s="196" t="inlineStr">
        <is>
          <t>2026-04-25</t>
        </is>
      </c>
      <c r="B2859" s="196" t="inlineStr">
        <is>
          <t>SGD</t>
        </is>
      </c>
      <c r="C2859" s="196" t="inlineStr">
        <is>
          <t>SINGAPORE DOLLAR</t>
        </is>
      </c>
      <c r="D2859" s="184" t="n">
        <v>20083.6</v>
      </c>
      <c r="E2859" s="184" t="n">
        <v>20286.46</v>
      </c>
      <c r="F2859" s="184" t="n">
        <v>20978.03</v>
      </c>
      <c r="G2859" s="184" t="n">
        <v>20632.24</v>
      </c>
    </row>
    <row r="2860">
      <c r="A2860" s="194" t="inlineStr">
        <is>
          <t>2026-04-25</t>
        </is>
      </c>
      <c r="B2860" s="194" t="inlineStr">
        <is>
          <t>THB</t>
        </is>
      </c>
      <c r="C2860" s="194" t="inlineStr">
        <is>
          <t>THAILAND BAHT</t>
        </is>
      </c>
      <c r="D2860" s="195" t="n">
        <v>717.61</v>
      </c>
      <c r="E2860" s="195" t="n">
        <v>797.35</v>
      </c>
      <c r="F2860" s="195" t="n">
        <v>831.15</v>
      </c>
      <c r="G2860" s="195" t="n">
        <v>814.25</v>
      </c>
    </row>
    <row r="2861">
      <c r="A2861" s="196" t="inlineStr">
        <is>
          <t>2026-04-25</t>
        </is>
      </c>
      <c r="B2861" s="196" t="inlineStr">
        <is>
          <t>USD</t>
        </is>
      </c>
      <c r="C2861" s="196" t="inlineStr">
        <is>
          <t>US DOLLAR</t>
        </is>
      </c>
      <c r="D2861" s="184" t="n">
        <v>26108</v>
      </c>
      <c r="E2861" s="184" t="n">
        <v>26138</v>
      </c>
      <c r="F2861" s="184" t="n">
        <v>26368</v>
      </c>
      <c r="G2861" s="184" t="n">
        <v>26253</v>
      </c>
    </row>
    <row r="2862">
      <c r="A2862" s="194" t="inlineStr">
        <is>
          <t>2026-04-24</t>
        </is>
      </c>
      <c r="B2862" s="194" t="inlineStr">
        <is>
          <t>AUD</t>
        </is>
      </c>
      <c r="C2862" s="194" t="inlineStr">
        <is>
          <t>AUSTRALIAN DOLLAR</t>
        </is>
      </c>
      <c r="D2862" s="195" t="n">
        <v>18336.48</v>
      </c>
      <c r="E2862" s="195" t="n">
        <v>18521.7</v>
      </c>
      <c r="F2862" s="195" t="n">
        <v>19114.83</v>
      </c>
      <c r="G2862" s="195" t="n">
        <v>18818.26</v>
      </c>
    </row>
    <row r="2863">
      <c r="A2863" s="196" t="inlineStr">
        <is>
          <t>2026-04-24</t>
        </is>
      </c>
      <c r="B2863" s="196" t="inlineStr">
        <is>
          <t>CAD</t>
        </is>
      </c>
      <c r="C2863" s="196" t="inlineStr">
        <is>
          <t>CANADIAN DOLLAR</t>
        </is>
      </c>
      <c r="D2863" s="184" t="n">
        <v>18771.1</v>
      </c>
      <c r="E2863" s="184" t="n">
        <v>18960.71</v>
      </c>
      <c r="F2863" s="184" t="n">
        <v>19567.89</v>
      </c>
      <c r="G2863" s="184" t="n">
        <v>19264.3</v>
      </c>
    </row>
    <row r="2864">
      <c r="A2864" s="194" t="inlineStr">
        <is>
          <t>2026-04-24</t>
        </is>
      </c>
      <c r="B2864" s="194" t="inlineStr">
        <is>
          <t>CHF</t>
        </is>
      </c>
      <c r="C2864" s="194" t="inlineStr">
        <is>
          <t>SWISS FRANC</t>
        </is>
      </c>
      <c r="D2864" s="195" t="n">
        <v>32682.08</v>
      </c>
      <c r="E2864" s="195" t="n">
        <v>33012.2</v>
      </c>
      <c r="F2864" s="195" t="n">
        <v>34069.37</v>
      </c>
      <c r="G2864" s="195" t="n">
        <v>33540.79</v>
      </c>
    </row>
    <row r="2865">
      <c r="A2865" s="196" t="inlineStr">
        <is>
          <t>2026-04-24</t>
        </is>
      </c>
      <c r="B2865" s="196" t="inlineStr">
        <is>
          <t>CNY</t>
        </is>
      </c>
      <c r="C2865" s="196" t="inlineStr">
        <is>
          <t>YUAN RENMINBI</t>
        </is>
      </c>
      <c r="D2865" s="184" t="n">
        <v>3755.59</v>
      </c>
      <c r="E2865" s="184" t="n">
        <v>3793.53</v>
      </c>
      <c r="F2865" s="184" t="n">
        <v>3915.01</v>
      </c>
      <c r="G2865" s="184" t="n">
        <v>3854.27</v>
      </c>
    </row>
    <row r="2866">
      <c r="A2866" s="194" t="inlineStr">
        <is>
          <t>2026-04-24</t>
        </is>
      </c>
      <c r="B2866" s="194" t="inlineStr">
        <is>
          <t>DKK</t>
        </is>
      </c>
      <c r="C2866" s="194" t="inlineStr">
        <is>
          <t>DANISH KRONE</t>
        </is>
      </c>
      <c r="D2866" s="195" t="n"/>
      <c r="E2866" s="195" t="n">
        <v>4046.79</v>
      </c>
      <c r="F2866" s="195" t="n">
        <v>4201.52</v>
      </c>
      <c r="G2866" s="195" t="n">
        <v>4124.16</v>
      </c>
    </row>
    <row r="2867">
      <c r="A2867" s="196" t="inlineStr">
        <is>
          <t>2026-04-24</t>
        </is>
      </c>
      <c r="B2867" s="196" t="inlineStr">
        <is>
          <t>EUR</t>
        </is>
      </c>
      <c r="C2867" s="196" t="inlineStr">
        <is>
          <t>EURO</t>
        </is>
      </c>
      <c r="D2867" s="184" t="n">
        <v>30017.75</v>
      </c>
      <c r="E2867" s="184" t="n">
        <v>30320.96</v>
      </c>
      <c r="F2867" s="184" t="n">
        <v>31600.24</v>
      </c>
      <c r="G2867" s="184" t="n">
        <v>30960.6</v>
      </c>
    </row>
    <row r="2868">
      <c r="A2868" s="194" t="inlineStr">
        <is>
          <t>2026-04-24</t>
        </is>
      </c>
      <c r="B2868" s="194" t="inlineStr">
        <is>
          <t>GBP</t>
        </is>
      </c>
      <c r="C2868" s="194" t="inlineStr">
        <is>
          <t>POUND STERLING</t>
        </is>
      </c>
      <c r="D2868" s="195" t="n">
        <v>34607.64</v>
      </c>
      <c r="E2868" s="195" t="n">
        <v>34957.22</v>
      </c>
      <c r="F2868" s="195" t="n">
        <v>36076.67</v>
      </c>
      <c r="G2868" s="195" t="n">
        <v>35516.94</v>
      </c>
    </row>
    <row r="2869">
      <c r="A2869" s="196" t="inlineStr">
        <is>
          <t>2026-04-24</t>
        </is>
      </c>
      <c r="B2869" s="196" t="inlineStr">
        <is>
          <t>HKD</t>
        </is>
      </c>
      <c r="C2869" s="196" t="inlineStr">
        <is>
          <t>HONGKONG DOLLAR</t>
        </is>
      </c>
      <c r="D2869" s="184" t="n">
        <v>3267.15</v>
      </c>
      <c r="E2869" s="184" t="n">
        <v>3300.15</v>
      </c>
      <c r="F2869" s="184" t="n">
        <v>3426.33</v>
      </c>
      <c r="G2869" s="184" t="n">
        <v>3363.24</v>
      </c>
    </row>
    <row r="2870">
      <c r="A2870" s="194" t="inlineStr">
        <is>
          <t>2026-04-24</t>
        </is>
      </c>
      <c r="B2870" s="194" t="inlineStr">
        <is>
          <t>INR</t>
        </is>
      </c>
      <c r="C2870" s="194" t="inlineStr">
        <is>
          <t>INDIAN RUPEE</t>
        </is>
      </c>
      <c r="D2870" s="195" t="n"/>
      <c r="E2870" s="195" t="n">
        <v>279.12</v>
      </c>
      <c r="F2870" s="195" t="n">
        <v>291.14</v>
      </c>
      <c r="G2870" s="195" t="n">
        <v>285.13</v>
      </c>
    </row>
    <row r="2871">
      <c r="A2871" s="196" t="inlineStr">
        <is>
          <t>2026-04-24</t>
        </is>
      </c>
      <c r="B2871" s="196" t="inlineStr">
        <is>
          <t>JPY</t>
        </is>
      </c>
      <c r="C2871" s="196" t="inlineStr">
        <is>
          <t>YEN</t>
        </is>
      </c>
      <c r="D2871" s="184" t="n">
        <v>159.34</v>
      </c>
      <c r="E2871" s="184" t="n">
        <v>160.95</v>
      </c>
      <c r="F2871" s="184" t="n">
        <v>169.46</v>
      </c>
      <c r="G2871" s="184" t="n">
        <v>165.2</v>
      </c>
    </row>
    <row r="2872">
      <c r="A2872" s="194" t="inlineStr">
        <is>
          <t>2026-04-24</t>
        </is>
      </c>
      <c r="B2872" s="194" t="inlineStr">
        <is>
          <t>KRW</t>
        </is>
      </c>
      <c r="C2872" s="194" t="inlineStr">
        <is>
          <t>KOREAN WON</t>
        </is>
      </c>
      <c r="D2872" s="195" t="n">
        <v>15.36</v>
      </c>
      <c r="E2872" s="195" t="n">
        <v>17.06</v>
      </c>
      <c r="F2872" s="195" t="n">
        <v>18.51</v>
      </c>
      <c r="G2872" s="195" t="n">
        <v>17.78</v>
      </c>
    </row>
    <row r="2873">
      <c r="A2873" s="196" t="inlineStr">
        <is>
          <t>2026-04-24</t>
        </is>
      </c>
      <c r="B2873" s="196" t="inlineStr">
        <is>
          <t>KWD</t>
        </is>
      </c>
      <c r="C2873" s="196" t="inlineStr">
        <is>
          <t>KUWAITI DINAR</t>
        </is>
      </c>
      <c r="D2873" s="184" t="n"/>
      <c r="E2873" s="184" t="n">
        <v>85440.94</v>
      </c>
      <c r="F2873" s="184" t="n">
        <v>89581.97</v>
      </c>
      <c r="G2873" s="184" t="n">
        <v>87511.46000000001</v>
      </c>
    </row>
    <row r="2874">
      <c r="A2874" s="194" t="inlineStr">
        <is>
          <t>2026-04-24</t>
        </is>
      </c>
      <c r="B2874" s="194" t="inlineStr">
        <is>
          <t>MYR</t>
        </is>
      </c>
      <c r="C2874" s="194" t="inlineStr">
        <is>
          <t>MALAYSIAN RINGGIT</t>
        </is>
      </c>
      <c r="D2874" s="195" t="n"/>
      <c r="E2874" s="195" t="n">
        <v>6573.18</v>
      </c>
      <c r="F2874" s="195" t="n">
        <v>6716.16</v>
      </c>
      <c r="G2874" s="195" t="n">
        <v>6644.67</v>
      </c>
    </row>
    <row r="2875">
      <c r="A2875" s="196" t="inlineStr">
        <is>
          <t>2026-04-24</t>
        </is>
      </c>
      <c r="B2875" s="196" t="inlineStr">
        <is>
          <t>NOK</t>
        </is>
      </c>
      <c r="C2875" s="196" t="inlineStr">
        <is>
          <t>NORWEGIAN KRONER</t>
        </is>
      </c>
      <c r="D2875" s="184" t="n"/>
      <c r="E2875" s="184" t="n">
        <v>2771.42</v>
      </c>
      <c r="F2875" s="184" t="n">
        <v>2888.92</v>
      </c>
      <c r="G2875" s="184" t="n">
        <v>2830.17</v>
      </c>
    </row>
    <row r="2876">
      <c r="A2876" s="194" t="inlineStr">
        <is>
          <t>2026-04-24</t>
        </is>
      </c>
      <c r="B2876" s="194" t="inlineStr">
        <is>
          <t>RUB</t>
        </is>
      </c>
      <c r="C2876" s="194" t="inlineStr">
        <is>
          <t>RUSSIAN RUBLE</t>
        </is>
      </c>
      <c r="D2876" s="195" t="n"/>
      <c r="E2876" s="195" t="n">
        <v>333.67</v>
      </c>
      <c r="F2876" s="195" t="n">
        <v>369.35</v>
      </c>
      <c r="G2876" s="195" t="n">
        <v>351.51</v>
      </c>
    </row>
    <row r="2877">
      <c r="A2877" s="196" t="inlineStr">
        <is>
          <t>2026-04-24</t>
        </is>
      </c>
      <c r="B2877" s="196" t="inlineStr">
        <is>
          <t>SAR</t>
        </is>
      </c>
      <c r="C2877" s="196" t="inlineStr">
        <is>
          <t>SAUDI RIAL</t>
        </is>
      </c>
      <c r="D2877" s="184" t="n"/>
      <c r="E2877" s="184" t="n">
        <v>6980.54</v>
      </c>
      <c r="F2877" s="184" t="n">
        <v>7280.94</v>
      </c>
      <c r="G2877" s="184" t="n">
        <v>7130.74</v>
      </c>
    </row>
    <row r="2878">
      <c r="A2878" s="194" t="inlineStr">
        <is>
          <t>2026-04-24</t>
        </is>
      </c>
      <c r="B2878" s="194" t="inlineStr">
        <is>
          <t>SEK</t>
        </is>
      </c>
      <c r="C2878" s="194" t="inlineStr">
        <is>
          <t>SWEDISH KRONA</t>
        </is>
      </c>
      <c r="D2878" s="195" t="n"/>
      <c r="E2878" s="195" t="n">
        <v>2792.39</v>
      </c>
      <c r="F2878" s="195" t="n">
        <v>2910.78</v>
      </c>
      <c r="G2878" s="195" t="n">
        <v>2851.58</v>
      </c>
    </row>
    <row r="2879">
      <c r="A2879" s="196" t="inlineStr">
        <is>
          <t>2026-04-24</t>
        </is>
      </c>
      <c r="B2879" s="196" t="inlineStr">
        <is>
          <t>SGD</t>
        </is>
      </c>
      <c r="C2879" s="196" t="inlineStr">
        <is>
          <t>SINGAPORE DOLLAR</t>
        </is>
      </c>
      <c r="D2879" s="184" t="n">
        <v>20083.6</v>
      </c>
      <c r="E2879" s="184" t="n">
        <v>20286.46</v>
      </c>
      <c r="F2879" s="184" t="n">
        <v>20978.03</v>
      </c>
      <c r="G2879" s="184" t="n">
        <v>20632.24</v>
      </c>
    </row>
    <row r="2880">
      <c r="A2880" s="194" t="inlineStr">
        <is>
          <t>2026-04-24</t>
        </is>
      </c>
      <c r="B2880" s="194" t="inlineStr">
        <is>
          <t>THB</t>
        </is>
      </c>
      <c r="C2880" s="194" t="inlineStr">
        <is>
          <t>THAILAND BAHT</t>
        </is>
      </c>
      <c r="D2880" s="195" t="n">
        <v>717.61</v>
      </c>
      <c r="E2880" s="195" t="n">
        <v>797.35</v>
      </c>
      <c r="F2880" s="195" t="n">
        <v>831.15</v>
      </c>
      <c r="G2880" s="195" t="n">
        <v>814.25</v>
      </c>
    </row>
    <row r="2881">
      <c r="A2881" s="196" t="inlineStr">
        <is>
          <t>2026-04-24</t>
        </is>
      </c>
      <c r="B2881" s="196" t="inlineStr">
        <is>
          <t>USD</t>
        </is>
      </c>
      <c r="C2881" s="196" t="inlineStr">
        <is>
          <t>US DOLLAR</t>
        </is>
      </c>
      <c r="D2881" s="184" t="n">
        <v>26108</v>
      </c>
      <c r="E2881" s="184" t="n">
        <v>26138</v>
      </c>
      <c r="F2881" s="184" t="n">
        <v>26368</v>
      </c>
      <c r="G2881" s="184" t="n">
        <v>26253</v>
      </c>
    </row>
    <row r="2882">
      <c r="A2882" s="194" t="inlineStr">
        <is>
          <t>2026-04-23</t>
        </is>
      </c>
      <c r="B2882" s="194" t="inlineStr">
        <is>
          <t>AUD</t>
        </is>
      </c>
      <c r="C2882" s="194" t="inlineStr">
        <is>
          <t>AUSTRALIAN DOLLAR</t>
        </is>
      </c>
      <c r="D2882" s="195" t="n">
        <v>18370.55</v>
      </c>
      <c r="E2882" s="195" t="n">
        <v>18556.11</v>
      </c>
      <c r="F2882" s="195" t="n">
        <v>19150.35</v>
      </c>
      <c r="G2882" s="195" t="n">
        <v>18853.23</v>
      </c>
    </row>
    <row r="2883">
      <c r="A2883" s="196" t="inlineStr">
        <is>
          <t>2026-04-23</t>
        </is>
      </c>
      <c r="B2883" s="196" t="inlineStr">
        <is>
          <t>CAD</t>
        </is>
      </c>
      <c r="C2883" s="196" t="inlineStr">
        <is>
          <t>CANADIAN DOLLAR</t>
        </is>
      </c>
      <c r="D2883" s="184" t="n">
        <v>18773.58</v>
      </c>
      <c r="E2883" s="184" t="n">
        <v>18963.21</v>
      </c>
      <c r="F2883" s="184" t="n">
        <v>19570.49</v>
      </c>
      <c r="G2883" s="184" t="n">
        <v>19266.85</v>
      </c>
    </row>
    <row r="2884">
      <c r="A2884" s="194" t="inlineStr">
        <is>
          <t>2026-04-23</t>
        </is>
      </c>
      <c r="B2884" s="194" t="inlineStr">
        <is>
          <t>CHF</t>
        </is>
      </c>
      <c r="C2884" s="194" t="inlineStr">
        <is>
          <t>SWISS FRANC</t>
        </is>
      </c>
      <c r="D2884" s="195" t="n">
        <v>32715.49</v>
      </c>
      <c r="E2884" s="195" t="n">
        <v>33045.95</v>
      </c>
      <c r="F2884" s="195" t="n">
        <v>34104.22</v>
      </c>
      <c r="G2884" s="195" t="n">
        <v>33575.08</v>
      </c>
    </row>
    <row r="2885">
      <c r="A2885" s="196" t="inlineStr">
        <is>
          <t>2026-04-23</t>
        </is>
      </c>
      <c r="B2885" s="196" t="inlineStr">
        <is>
          <t>CNY</t>
        </is>
      </c>
      <c r="C2885" s="196" t="inlineStr">
        <is>
          <t>YUAN RENMINBI</t>
        </is>
      </c>
      <c r="D2885" s="184" t="n">
        <v>3757.19</v>
      </c>
      <c r="E2885" s="184" t="n">
        <v>3795.14</v>
      </c>
      <c r="F2885" s="184" t="n">
        <v>3916.68</v>
      </c>
      <c r="G2885" s="184" t="n">
        <v>3855.91</v>
      </c>
    </row>
    <row r="2886">
      <c r="A2886" s="194" t="inlineStr">
        <is>
          <t>2026-04-23</t>
        </is>
      </c>
      <c r="B2886" s="194" t="inlineStr">
        <is>
          <t>DKK</t>
        </is>
      </c>
      <c r="C2886" s="194" t="inlineStr">
        <is>
          <t>DANISH KRONE</t>
        </is>
      </c>
      <c r="D2886" s="195" t="n"/>
      <c r="E2886" s="195" t="n">
        <v>4049.43</v>
      </c>
      <c r="F2886" s="195" t="n">
        <v>4204.27</v>
      </c>
      <c r="G2886" s="195" t="n">
        <v>4126.85</v>
      </c>
    </row>
    <row r="2887">
      <c r="A2887" s="196" t="inlineStr">
        <is>
          <t>2026-04-23</t>
        </is>
      </c>
      <c r="B2887" s="196" t="inlineStr">
        <is>
          <t>EUR</t>
        </is>
      </c>
      <c r="C2887" s="196" t="inlineStr">
        <is>
          <t>EURO</t>
        </is>
      </c>
      <c r="D2887" s="184" t="n">
        <v>30037.12</v>
      </c>
      <c r="E2887" s="184" t="n">
        <v>30340.52</v>
      </c>
      <c r="F2887" s="184" t="n">
        <v>31620.64</v>
      </c>
      <c r="G2887" s="184" t="n">
        <v>30980.58</v>
      </c>
    </row>
    <row r="2888">
      <c r="A2888" s="194" t="inlineStr">
        <is>
          <t>2026-04-23</t>
        </is>
      </c>
      <c r="B2888" s="194" t="inlineStr">
        <is>
          <t>GBP</t>
        </is>
      </c>
      <c r="C2888" s="194" t="inlineStr">
        <is>
          <t>POUND STERLING</t>
        </is>
      </c>
      <c r="D2888" s="195" t="n">
        <v>34643.22</v>
      </c>
      <c r="E2888" s="195" t="n">
        <v>34993.15</v>
      </c>
      <c r="F2888" s="195" t="n">
        <v>36113.77</v>
      </c>
      <c r="G2888" s="195" t="n">
        <v>35553.46</v>
      </c>
    </row>
    <row r="2889">
      <c r="A2889" s="196" t="inlineStr">
        <is>
          <t>2026-04-23</t>
        </is>
      </c>
      <c r="B2889" s="196" t="inlineStr">
        <is>
          <t>HKD</t>
        </is>
      </c>
      <c r="C2889" s="196" t="inlineStr">
        <is>
          <t>HONGKONG DOLLAR</t>
        </is>
      </c>
      <c r="D2889" s="184" t="n">
        <v>3265.49</v>
      </c>
      <c r="E2889" s="184" t="n">
        <v>3298.47</v>
      </c>
      <c r="F2889" s="184" t="n">
        <v>3424.6</v>
      </c>
      <c r="G2889" s="184" t="n">
        <v>3361.54</v>
      </c>
    </row>
    <row r="2890">
      <c r="A2890" s="194" t="inlineStr">
        <is>
          <t>2026-04-23</t>
        </is>
      </c>
      <c r="B2890" s="194" t="inlineStr">
        <is>
          <t>INR</t>
        </is>
      </c>
      <c r="C2890" s="194" t="inlineStr">
        <is>
          <t>INDIAN RUPEE</t>
        </is>
      </c>
      <c r="D2890" s="195" t="n"/>
      <c r="E2890" s="195" t="n">
        <v>279.02</v>
      </c>
      <c r="F2890" s="195" t="n">
        <v>291.03</v>
      </c>
      <c r="G2890" s="195" t="n">
        <v>285.02</v>
      </c>
    </row>
    <row r="2891">
      <c r="A2891" s="196" t="inlineStr">
        <is>
          <t>2026-04-23</t>
        </is>
      </c>
      <c r="B2891" s="196" t="inlineStr">
        <is>
          <t>JPY</t>
        </is>
      </c>
      <c r="C2891" s="196" t="inlineStr">
        <is>
          <t>YEN</t>
        </is>
      </c>
      <c r="D2891" s="184" t="n">
        <v>159.45</v>
      </c>
      <c r="E2891" s="184" t="n">
        <v>161.06</v>
      </c>
      <c r="F2891" s="184" t="n">
        <v>169.58</v>
      </c>
      <c r="G2891" s="184" t="n">
        <v>165.32</v>
      </c>
    </row>
    <row r="2892">
      <c r="A2892" s="194" t="inlineStr">
        <is>
          <t>2026-04-23</t>
        </is>
      </c>
      <c r="B2892" s="194" t="inlineStr">
        <is>
          <t>KRW</t>
        </is>
      </c>
      <c r="C2892" s="194" t="inlineStr">
        <is>
          <t>KOREAN WON</t>
        </is>
      </c>
      <c r="D2892" s="195" t="n">
        <v>15.4</v>
      </c>
      <c r="E2892" s="195" t="n">
        <v>17.11</v>
      </c>
      <c r="F2892" s="195" t="n">
        <v>18.57</v>
      </c>
      <c r="G2892" s="195" t="n">
        <v>17.84</v>
      </c>
    </row>
    <row r="2893">
      <c r="A2893" s="196" t="inlineStr">
        <is>
          <t>2026-04-23</t>
        </is>
      </c>
      <c r="B2893" s="196" t="inlineStr">
        <is>
          <t>KWD</t>
        </is>
      </c>
      <c r="C2893" s="196" t="inlineStr">
        <is>
          <t>KUWAITI DINAR</t>
        </is>
      </c>
      <c r="D2893" s="184" t="n"/>
      <c r="E2893" s="184" t="n">
        <v>85408.47</v>
      </c>
      <c r="F2893" s="184" t="n">
        <v>89547.98</v>
      </c>
      <c r="G2893" s="184" t="n">
        <v>87478.22</v>
      </c>
    </row>
    <row r="2894">
      <c r="A2894" s="194" t="inlineStr">
        <is>
          <t>2026-04-23</t>
        </is>
      </c>
      <c r="B2894" s="194" t="inlineStr">
        <is>
          <t>MYR</t>
        </is>
      </c>
      <c r="C2894" s="194" t="inlineStr">
        <is>
          <t>MALAYSIAN RINGGIT</t>
        </is>
      </c>
      <c r="D2894" s="195" t="n"/>
      <c r="E2894" s="195" t="n">
        <v>6585.64</v>
      </c>
      <c r="F2894" s="195" t="n">
        <v>6728.9</v>
      </c>
      <c r="G2894" s="195" t="n">
        <v>6657.27</v>
      </c>
    </row>
    <row r="2895">
      <c r="A2895" s="196" t="inlineStr">
        <is>
          <t>2026-04-23</t>
        </is>
      </c>
      <c r="B2895" s="196" t="inlineStr">
        <is>
          <t>NOK</t>
        </is>
      </c>
      <c r="C2895" s="196" t="inlineStr">
        <is>
          <t>NORWEGIAN KRONER</t>
        </is>
      </c>
      <c r="D2895" s="184" t="n"/>
      <c r="E2895" s="184" t="n">
        <v>2774.06</v>
      </c>
      <c r="F2895" s="184" t="n">
        <v>2891.68</v>
      </c>
      <c r="G2895" s="184" t="n">
        <v>2832.87</v>
      </c>
    </row>
    <row r="2896">
      <c r="A2896" s="194" t="inlineStr">
        <is>
          <t>2026-04-23</t>
        </is>
      </c>
      <c r="B2896" s="194" t="inlineStr">
        <is>
          <t>RUB</t>
        </is>
      </c>
      <c r="C2896" s="194" t="inlineStr">
        <is>
          <t>RUSSIAN RUBLE</t>
        </is>
      </c>
      <c r="D2896" s="195" t="n"/>
      <c r="E2896" s="195" t="n">
        <v>333.54</v>
      </c>
      <c r="F2896" s="195" t="n">
        <v>369.21</v>
      </c>
      <c r="G2896" s="195" t="n">
        <v>351.38</v>
      </c>
    </row>
    <row r="2897">
      <c r="A2897" s="196" t="inlineStr">
        <is>
          <t>2026-04-23</t>
        </is>
      </c>
      <c r="B2897" s="196" t="inlineStr">
        <is>
          <t>SAR</t>
        </is>
      </c>
      <c r="C2897" s="196" t="inlineStr">
        <is>
          <t>SAUDI RIAL</t>
        </is>
      </c>
      <c r="D2897" s="184" t="n"/>
      <c r="E2897" s="184" t="n">
        <v>6977.7</v>
      </c>
      <c r="F2897" s="184" t="n">
        <v>7277.98</v>
      </c>
      <c r="G2897" s="184" t="n">
        <v>7127.84</v>
      </c>
    </row>
    <row r="2898">
      <c r="A2898" s="194" t="inlineStr">
        <is>
          <t>2026-04-23</t>
        </is>
      </c>
      <c r="B2898" s="194" t="inlineStr">
        <is>
          <t>SEK</t>
        </is>
      </c>
      <c r="C2898" s="194" t="inlineStr">
        <is>
          <t>SWEDISH KRONA</t>
        </is>
      </c>
      <c r="D2898" s="195" t="n"/>
      <c r="E2898" s="195" t="n">
        <v>2798.87</v>
      </c>
      <c r="F2898" s="195" t="n">
        <v>2917.54</v>
      </c>
      <c r="G2898" s="195" t="n">
        <v>2858.2</v>
      </c>
    </row>
    <row r="2899">
      <c r="A2899" s="196" t="inlineStr">
        <is>
          <t>2026-04-23</t>
        </is>
      </c>
      <c r="B2899" s="196" t="inlineStr">
        <is>
          <t>SGD</t>
        </is>
      </c>
      <c r="C2899" s="196" t="inlineStr">
        <is>
          <t>SINGAPORE DOLLAR</t>
        </is>
      </c>
      <c r="D2899" s="184" t="n">
        <v>20102.74</v>
      </c>
      <c r="E2899" s="184" t="n">
        <v>20305.79</v>
      </c>
      <c r="F2899" s="184" t="n">
        <v>20998.03</v>
      </c>
      <c r="G2899" s="184" t="n">
        <v>20651.91</v>
      </c>
    </row>
    <row r="2900">
      <c r="A2900" s="194" t="inlineStr">
        <is>
          <t>2026-04-23</t>
        </is>
      </c>
      <c r="B2900" s="194" t="inlineStr">
        <is>
          <t>THB</t>
        </is>
      </c>
      <c r="C2900" s="194" t="inlineStr">
        <is>
          <t>THAILAND BAHT</t>
        </is>
      </c>
      <c r="D2900" s="195" t="n">
        <v>719.5599999999999</v>
      </c>
      <c r="E2900" s="195" t="n">
        <v>799.51</v>
      </c>
      <c r="F2900" s="195" t="n">
        <v>833.41</v>
      </c>
      <c r="G2900" s="195" t="n">
        <v>816.46</v>
      </c>
    </row>
    <row r="2901">
      <c r="A2901" s="196" t="inlineStr">
        <is>
          <t>2026-04-23</t>
        </is>
      </c>
      <c r="B2901" s="196" t="inlineStr">
        <is>
          <t>USD</t>
        </is>
      </c>
      <c r="C2901" s="196" t="inlineStr">
        <is>
          <t>US DOLLAR</t>
        </is>
      </c>
      <c r="D2901" s="184" t="n">
        <v>26100</v>
      </c>
      <c r="E2901" s="184" t="n">
        <v>26130</v>
      </c>
      <c r="F2901" s="184" t="n">
        <v>26360</v>
      </c>
      <c r="G2901" s="184" t="n">
        <v>26245</v>
      </c>
    </row>
    <row r="2902">
      <c r="A2902" s="194" t="inlineStr">
        <is>
          <t>2026-04-22</t>
        </is>
      </c>
      <c r="B2902" s="194" t="inlineStr">
        <is>
          <t>AUD</t>
        </is>
      </c>
      <c r="C2902" s="194" t="inlineStr">
        <is>
          <t>AUSTRALIAN DOLLAR</t>
        </is>
      </c>
      <c r="D2902" s="195" t="n">
        <v>18355.16</v>
      </c>
      <c r="E2902" s="195" t="n">
        <v>18540.57</v>
      </c>
      <c r="F2902" s="195" t="n">
        <v>19133.58</v>
      </c>
      <c r="G2902" s="195" t="n">
        <v>18837.08</v>
      </c>
    </row>
    <row r="2903">
      <c r="A2903" s="196" t="inlineStr">
        <is>
          <t>2026-04-22</t>
        </is>
      </c>
      <c r="B2903" s="196" t="inlineStr">
        <is>
          <t>CAD</t>
        </is>
      </c>
      <c r="C2903" s="196" t="inlineStr">
        <is>
          <t>CANADIAN DOLLAR</t>
        </is>
      </c>
      <c r="D2903" s="184" t="n">
        <v>18783.2</v>
      </c>
      <c r="E2903" s="184" t="n">
        <v>18972.93</v>
      </c>
      <c r="F2903" s="184" t="n">
        <v>19579.78</v>
      </c>
      <c r="G2903" s="184" t="n">
        <v>19276.36</v>
      </c>
    </row>
    <row r="2904">
      <c r="A2904" s="194" t="inlineStr">
        <is>
          <t>2026-04-22</t>
        </is>
      </c>
      <c r="B2904" s="194" t="inlineStr">
        <is>
          <t>CHF</t>
        </is>
      </c>
      <c r="C2904" s="194" t="inlineStr">
        <is>
          <t>SWISS FRANC</t>
        </is>
      </c>
      <c r="D2904" s="195" t="n">
        <v>32862.18</v>
      </c>
      <c r="E2904" s="195" t="n">
        <v>33194.12</v>
      </c>
      <c r="F2904" s="195" t="n">
        <v>34255.83</v>
      </c>
      <c r="G2904" s="195" t="n">
        <v>33724.98</v>
      </c>
    </row>
    <row r="2905">
      <c r="A2905" s="196" t="inlineStr">
        <is>
          <t>2026-04-22</t>
        </is>
      </c>
      <c r="B2905" s="196" t="inlineStr">
        <is>
          <t>CNY</t>
        </is>
      </c>
      <c r="C2905" s="196" t="inlineStr">
        <is>
          <t>YUAN RENMINBI</t>
        </is>
      </c>
      <c r="D2905" s="184" t="n">
        <v>3760</v>
      </c>
      <c r="E2905" s="184" t="n">
        <v>3797.98</v>
      </c>
      <c r="F2905" s="184" t="n">
        <v>3919.46</v>
      </c>
      <c r="G2905" s="184" t="n">
        <v>3858.72</v>
      </c>
    </row>
    <row r="2906">
      <c r="A2906" s="194" t="inlineStr">
        <is>
          <t>2026-04-22</t>
        </is>
      </c>
      <c r="B2906" s="194" t="inlineStr">
        <is>
          <t>DKK</t>
        </is>
      </c>
      <c r="C2906" s="194" t="inlineStr">
        <is>
          <t>DANISH KRONE</t>
        </is>
      </c>
      <c r="D2906" s="195" t="n"/>
      <c r="E2906" s="195" t="n">
        <v>4059.36</v>
      </c>
      <c r="F2906" s="195" t="n">
        <v>4214.41</v>
      </c>
      <c r="G2906" s="195" t="n">
        <v>4136.88</v>
      </c>
    </row>
    <row r="2907">
      <c r="A2907" s="196" t="inlineStr">
        <is>
          <t>2026-04-22</t>
        </is>
      </c>
      <c r="B2907" s="196" t="inlineStr">
        <is>
          <t>EUR</t>
        </is>
      </c>
      <c r="C2907" s="196" t="inlineStr">
        <is>
          <t>EURO</t>
        </is>
      </c>
      <c r="D2907" s="184" t="n">
        <v>30111.49</v>
      </c>
      <c r="E2907" s="184" t="n">
        <v>30415.65</v>
      </c>
      <c r="F2907" s="184" t="n">
        <v>31697.74</v>
      </c>
      <c r="G2907" s="184" t="n">
        <v>31056.7</v>
      </c>
    </row>
    <row r="2908">
      <c r="A2908" s="194" t="inlineStr">
        <is>
          <t>2026-04-22</t>
        </is>
      </c>
      <c r="B2908" s="194" t="inlineStr">
        <is>
          <t>GBP</t>
        </is>
      </c>
      <c r="C2908" s="194" t="inlineStr">
        <is>
          <t>POUND STERLING</t>
        </is>
      </c>
      <c r="D2908" s="195" t="n">
        <v>34640.65</v>
      </c>
      <c r="E2908" s="195" t="n">
        <v>34990.56</v>
      </c>
      <c r="F2908" s="195" t="n">
        <v>36109.73</v>
      </c>
      <c r="G2908" s="195" t="n">
        <v>35550.15</v>
      </c>
    </row>
    <row r="2909">
      <c r="A2909" s="196" t="inlineStr">
        <is>
          <t>2026-04-22</t>
        </is>
      </c>
      <c r="B2909" s="196" t="inlineStr">
        <is>
          <t>HKD</t>
        </is>
      </c>
      <c r="C2909" s="196" t="inlineStr">
        <is>
          <t>HONGKONG DOLLAR</t>
        </is>
      </c>
      <c r="D2909" s="184" t="n">
        <v>3266.74</v>
      </c>
      <c r="E2909" s="184" t="n">
        <v>3299.74</v>
      </c>
      <c r="F2909" s="184" t="n">
        <v>3425.78</v>
      </c>
      <c r="G2909" s="184" t="n">
        <v>3362.76</v>
      </c>
    </row>
    <row r="2910">
      <c r="A2910" s="194" t="inlineStr">
        <is>
          <t>2026-04-22</t>
        </is>
      </c>
      <c r="B2910" s="194" t="inlineStr">
        <is>
          <t>INR</t>
        </is>
      </c>
      <c r="C2910" s="194" t="inlineStr">
        <is>
          <t>INDIAN RUPEE</t>
        </is>
      </c>
      <c r="D2910" s="195" t="n"/>
      <c r="E2910" s="195" t="n">
        <v>279.92</v>
      </c>
      <c r="F2910" s="195" t="n">
        <v>291.96</v>
      </c>
      <c r="G2910" s="195" t="n">
        <v>285.94</v>
      </c>
    </row>
    <row r="2911">
      <c r="A2911" s="196" t="inlineStr">
        <is>
          <t>2026-04-22</t>
        </is>
      </c>
      <c r="B2911" s="196" t="inlineStr">
        <is>
          <t>JPY</t>
        </is>
      </c>
      <c r="C2911" s="196" t="inlineStr">
        <is>
          <t>YEN</t>
        </is>
      </c>
      <c r="D2911" s="184" t="n">
        <v>160.33</v>
      </c>
      <c r="E2911" s="184" t="n">
        <v>161.94</v>
      </c>
      <c r="F2911" s="184" t="n">
        <v>170.5</v>
      </c>
      <c r="G2911" s="184" t="n">
        <v>166.22</v>
      </c>
    </row>
    <row r="2912">
      <c r="A2912" s="194" t="inlineStr">
        <is>
          <t>2026-04-22</t>
        </is>
      </c>
      <c r="B2912" s="194" t="inlineStr">
        <is>
          <t>KRW</t>
        </is>
      </c>
      <c r="C2912" s="194" t="inlineStr">
        <is>
          <t>KOREAN WON</t>
        </is>
      </c>
      <c r="D2912" s="195" t="n">
        <v>15.39</v>
      </c>
      <c r="E2912" s="195" t="n">
        <v>17.1</v>
      </c>
      <c r="F2912" s="195" t="n">
        <v>18.55</v>
      </c>
      <c r="G2912" s="195" t="n">
        <v>17.83</v>
      </c>
    </row>
    <row r="2913">
      <c r="A2913" s="196" t="inlineStr">
        <is>
          <t>2026-04-22</t>
        </is>
      </c>
      <c r="B2913" s="196" t="inlineStr">
        <is>
          <t>KWD</t>
        </is>
      </c>
      <c r="C2913" s="196" t="inlineStr">
        <is>
          <t>KUWAITI DINAR</t>
        </is>
      </c>
      <c r="D2913" s="184" t="n"/>
      <c r="E2913" s="184" t="n">
        <v>85436.35000000001</v>
      </c>
      <c r="F2913" s="184" t="n">
        <v>89573.81</v>
      </c>
      <c r="G2913" s="184" t="n">
        <v>87505.08</v>
      </c>
    </row>
    <row r="2914">
      <c r="A2914" s="194" t="inlineStr">
        <is>
          <t>2026-04-22</t>
        </is>
      </c>
      <c r="B2914" s="194" t="inlineStr">
        <is>
          <t>MYR</t>
        </is>
      </c>
      <c r="C2914" s="194" t="inlineStr">
        <is>
          <t>MALAYSIAN RINGGIT</t>
        </is>
      </c>
      <c r="D2914" s="195" t="n"/>
      <c r="E2914" s="195" t="n">
        <v>6587.3</v>
      </c>
      <c r="F2914" s="195" t="n">
        <v>6730.34</v>
      </c>
      <c r="G2914" s="195" t="n">
        <v>6658.82</v>
      </c>
    </row>
    <row r="2915">
      <c r="A2915" s="196" t="inlineStr">
        <is>
          <t>2026-04-22</t>
        </is>
      </c>
      <c r="B2915" s="196" t="inlineStr">
        <is>
          <t>NOK</t>
        </is>
      </c>
      <c r="C2915" s="196" t="inlineStr">
        <is>
          <t>NORWEGIAN KRONER</t>
        </is>
      </c>
      <c r="D2915" s="184" t="n"/>
      <c r="E2915" s="184" t="n">
        <v>2762.35</v>
      </c>
      <c r="F2915" s="184" t="n">
        <v>2879.36</v>
      </c>
      <c r="G2915" s="184" t="n">
        <v>2820.86</v>
      </c>
    </row>
    <row r="2916">
      <c r="A2916" s="194" t="inlineStr">
        <is>
          <t>2026-04-22</t>
        </is>
      </c>
      <c r="B2916" s="194" t="inlineStr">
        <is>
          <t>RUB</t>
        </is>
      </c>
      <c r="C2916" s="194" t="inlineStr">
        <is>
          <t>RUSSIAN RUBLE</t>
        </is>
      </c>
      <c r="D2916" s="195" t="n"/>
      <c r="E2916" s="195" t="n">
        <v>333.75</v>
      </c>
      <c r="F2916" s="195" t="n">
        <v>369.42</v>
      </c>
      <c r="G2916" s="195" t="n">
        <v>351.58</v>
      </c>
    </row>
    <row r="2917">
      <c r="A2917" s="196" t="inlineStr">
        <is>
          <t>2026-04-22</t>
        </is>
      </c>
      <c r="B2917" s="196" t="inlineStr">
        <is>
          <t>SAR</t>
        </is>
      </c>
      <c r="C2917" s="196" t="inlineStr">
        <is>
          <t>SAUDI RIAL</t>
        </is>
      </c>
      <c r="D2917" s="184" t="n"/>
      <c r="E2917" s="184" t="n">
        <v>6977.7</v>
      </c>
      <c r="F2917" s="184" t="n">
        <v>7277.7</v>
      </c>
      <c r="G2917" s="184" t="n">
        <v>7127.7</v>
      </c>
    </row>
    <row r="2918">
      <c r="A2918" s="194" t="inlineStr">
        <is>
          <t>2026-04-22</t>
        </is>
      </c>
      <c r="B2918" s="194" t="inlineStr">
        <is>
          <t>SEK</t>
        </is>
      </c>
      <c r="C2918" s="194" t="inlineStr">
        <is>
          <t>SWEDISH KRONA</t>
        </is>
      </c>
      <c r="D2918" s="195" t="n"/>
      <c r="E2918" s="195" t="n">
        <v>2811.14</v>
      </c>
      <c r="F2918" s="195" t="n">
        <v>2930.22</v>
      </c>
      <c r="G2918" s="195" t="n">
        <v>2870.68</v>
      </c>
    </row>
    <row r="2919">
      <c r="A2919" s="196" t="inlineStr">
        <is>
          <t>2026-04-22</t>
        </is>
      </c>
      <c r="B2919" s="196" t="inlineStr">
        <is>
          <t>SGD</t>
        </is>
      </c>
      <c r="C2919" s="196" t="inlineStr">
        <is>
          <t>SINGAPORE DOLLAR</t>
        </is>
      </c>
      <c r="D2919" s="184" t="n">
        <v>20120.1</v>
      </c>
      <c r="E2919" s="184" t="n">
        <v>20323.33</v>
      </c>
      <c r="F2919" s="184" t="n">
        <v>21015.37</v>
      </c>
      <c r="G2919" s="184" t="n">
        <v>20669.35</v>
      </c>
    </row>
    <row r="2920">
      <c r="A2920" s="194" t="inlineStr">
        <is>
          <t>2026-04-22</t>
        </is>
      </c>
      <c r="B2920" s="194" t="inlineStr">
        <is>
          <t>THB</t>
        </is>
      </c>
      <c r="C2920" s="194" t="inlineStr">
        <is>
          <t>THAILAND BAHT</t>
        </is>
      </c>
      <c r="D2920" s="195" t="n">
        <v>721.58</v>
      </c>
      <c r="E2920" s="195" t="n">
        <v>801.75</v>
      </c>
      <c r="F2920" s="195" t="n">
        <v>835.71</v>
      </c>
      <c r="G2920" s="195" t="n">
        <v>818.73</v>
      </c>
    </row>
    <row r="2921">
      <c r="A2921" s="196" t="inlineStr">
        <is>
          <t>2026-04-22</t>
        </is>
      </c>
      <c r="B2921" s="196" t="inlineStr">
        <is>
          <t>USD</t>
        </is>
      </c>
      <c r="C2921" s="196" t="inlineStr">
        <is>
          <t>US DOLLAR</t>
        </is>
      </c>
      <c r="D2921" s="184" t="n">
        <v>26095</v>
      </c>
      <c r="E2921" s="184" t="n">
        <v>26125</v>
      </c>
      <c r="F2921" s="184" t="n">
        <v>26355</v>
      </c>
      <c r="G2921" s="184" t="n">
        <v>26240</v>
      </c>
    </row>
    <row r="2922">
      <c r="A2922" s="194" t="inlineStr">
        <is>
          <t>2026-04-21</t>
        </is>
      </c>
      <c r="B2922" s="194" t="inlineStr">
        <is>
          <t>AUD</t>
        </is>
      </c>
      <c r="C2922" s="194" t="inlineStr">
        <is>
          <t>AUSTRALIAN DOLLAR</t>
        </is>
      </c>
      <c r="D2922" s="195" t="n">
        <v>18405.29</v>
      </c>
      <c r="E2922" s="195" t="n">
        <v>18591.2</v>
      </c>
      <c r="F2922" s="195" t="n">
        <v>19186.55</v>
      </c>
      <c r="G2922" s="195" t="n">
        <v>18888.88</v>
      </c>
    </row>
    <row r="2923">
      <c r="A2923" s="196" t="inlineStr">
        <is>
          <t>2026-04-21</t>
        </is>
      </c>
      <c r="B2923" s="196" t="inlineStr">
        <is>
          <t>CAD</t>
        </is>
      </c>
      <c r="C2923" s="196" t="inlineStr">
        <is>
          <t>CANADIAN DOLLAR</t>
        </is>
      </c>
      <c r="D2923" s="184" t="n">
        <v>18813.15</v>
      </c>
      <c r="E2923" s="184" t="n">
        <v>19003.18</v>
      </c>
      <c r="F2923" s="184" t="n">
        <v>19611.72</v>
      </c>
      <c r="G2923" s="184" t="n">
        <v>19307.45</v>
      </c>
    </row>
    <row r="2924">
      <c r="A2924" s="194" t="inlineStr">
        <is>
          <t>2026-04-21</t>
        </is>
      </c>
      <c r="B2924" s="194" t="inlineStr">
        <is>
          <t>CHF</t>
        </is>
      </c>
      <c r="C2924" s="194" t="inlineStr">
        <is>
          <t>SWISS FRANC</t>
        </is>
      </c>
      <c r="D2924" s="195" t="n">
        <v>32967.11</v>
      </c>
      <c r="E2924" s="195" t="n">
        <v>33300.11</v>
      </c>
      <c r="F2924" s="195" t="n">
        <v>34366.49</v>
      </c>
      <c r="G2924" s="195" t="n">
        <v>33833.3</v>
      </c>
    </row>
    <row r="2925">
      <c r="A2925" s="196" t="inlineStr">
        <is>
          <t>2026-04-21</t>
        </is>
      </c>
      <c r="B2925" s="196" t="inlineStr">
        <is>
          <t>CNY</t>
        </is>
      </c>
      <c r="C2925" s="196" t="inlineStr">
        <is>
          <t>YUAN RENMINBI</t>
        </is>
      </c>
      <c r="D2925" s="184" t="n">
        <v>3764.73</v>
      </c>
      <c r="E2925" s="184" t="n">
        <v>3802.75</v>
      </c>
      <c r="F2925" s="184" t="n">
        <v>3924.53</v>
      </c>
      <c r="G2925" s="184" t="n">
        <v>3863.64</v>
      </c>
    </row>
    <row r="2926">
      <c r="A2926" s="194" t="inlineStr">
        <is>
          <t>2026-04-21</t>
        </is>
      </c>
      <c r="B2926" s="194" t="inlineStr">
        <is>
          <t>DKK</t>
        </is>
      </c>
      <c r="C2926" s="194" t="inlineStr">
        <is>
          <t>DANISH KRONE</t>
        </is>
      </c>
      <c r="D2926" s="195" t="n"/>
      <c r="E2926" s="195" t="n">
        <v>4075.32</v>
      </c>
      <c r="F2926" s="195" t="n">
        <v>4231.15</v>
      </c>
      <c r="G2926" s="195" t="n">
        <v>4153.23</v>
      </c>
    </row>
    <row r="2927">
      <c r="A2927" s="196" t="inlineStr">
        <is>
          <t>2026-04-21</t>
        </is>
      </c>
      <c r="B2927" s="196" t="inlineStr">
        <is>
          <t>EUR</t>
        </is>
      </c>
      <c r="C2927" s="196" t="inlineStr">
        <is>
          <t>EURO</t>
        </is>
      </c>
      <c r="D2927" s="184" t="n">
        <v>30231.58</v>
      </c>
      <c r="E2927" s="184" t="n">
        <v>30536.95</v>
      </c>
      <c r="F2927" s="184" t="n">
        <v>31825.33</v>
      </c>
      <c r="G2927" s="184" t="n">
        <v>31181.14</v>
      </c>
    </row>
    <row r="2928">
      <c r="A2928" s="194" t="inlineStr">
        <is>
          <t>2026-04-21</t>
        </is>
      </c>
      <c r="B2928" s="194" t="inlineStr">
        <is>
          <t>GBP</t>
        </is>
      </c>
      <c r="C2928" s="194" t="inlineStr">
        <is>
          <t>POUND STERLING</t>
        </is>
      </c>
      <c r="D2928" s="195" t="n">
        <v>34696.26</v>
      </c>
      <c r="E2928" s="195" t="n">
        <v>35046.73</v>
      </c>
      <c r="F2928" s="195" t="n">
        <v>36169.04</v>
      </c>
      <c r="G2928" s="195" t="n">
        <v>35607.88</v>
      </c>
    </row>
    <row r="2929">
      <c r="A2929" s="196" t="inlineStr">
        <is>
          <t>2026-04-21</t>
        </is>
      </c>
      <c r="B2929" s="196" t="inlineStr">
        <is>
          <t>HKD</t>
        </is>
      </c>
      <c r="C2929" s="196" t="inlineStr">
        <is>
          <t>HONGKONG DOLLAR</t>
        </is>
      </c>
      <c r="D2929" s="184" t="n">
        <v>3267.65</v>
      </c>
      <c r="E2929" s="184" t="n">
        <v>3300.65</v>
      </c>
      <c r="F2929" s="184" t="n">
        <v>3426.86</v>
      </c>
      <c r="G2929" s="184" t="n">
        <v>3363.76</v>
      </c>
    </row>
    <row r="2930">
      <c r="A2930" s="194" t="inlineStr">
        <is>
          <t>2026-04-21</t>
        </is>
      </c>
      <c r="B2930" s="194" t="inlineStr">
        <is>
          <t>INR</t>
        </is>
      </c>
      <c r="C2930" s="194" t="inlineStr">
        <is>
          <t>INDIAN RUPEE</t>
        </is>
      </c>
      <c r="D2930" s="195" t="n"/>
      <c r="E2930" s="195" t="n">
        <v>281.2</v>
      </c>
      <c r="F2930" s="195" t="n">
        <v>293.3</v>
      </c>
      <c r="G2930" s="195" t="n">
        <v>287.25</v>
      </c>
    </row>
    <row r="2931">
      <c r="A2931" s="196" t="inlineStr">
        <is>
          <t>2026-04-21</t>
        </is>
      </c>
      <c r="B2931" s="196" t="inlineStr">
        <is>
          <t>JPY</t>
        </is>
      </c>
      <c r="C2931" s="196" t="inlineStr">
        <is>
          <t>YEN</t>
        </is>
      </c>
      <c r="D2931" s="184" t="n">
        <v>159.88</v>
      </c>
      <c r="E2931" s="184" t="n">
        <v>161.49</v>
      </c>
      <c r="F2931" s="184" t="n">
        <v>170.03</v>
      </c>
      <c r="G2931" s="184" t="n">
        <v>165.76</v>
      </c>
    </row>
    <row r="2932">
      <c r="A2932" s="194" t="inlineStr">
        <is>
          <t>2026-04-21</t>
        </is>
      </c>
      <c r="B2932" s="194" t="inlineStr">
        <is>
          <t>KRW</t>
        </is>
      </c>
      <c r="C2932" s="194" t="inlineStr">
        <is>
          <t>KOREAN WON</t>
        </is>
      </c>
      <c r="D2932" s="195" t="n">
        <v>15.47</v>
      </c>
      <c r="E2932" s="195" t="n">
        <v>17.19</v>
      </c>
      <c r="F2932" s="195" t="n">
        <v>18.65</v>
      </c>
      <c r="G2932" s="195" t="n">
        <v>17.92</v>
      </c>
    </row>
    <row r="2933">
      <c r="A2933" s="196" t="inlineStr">
        <is>
          <t>2026-04-21</t>
        </is>
      </c>
      <c r="B2933" s="196" t="inlineStr">
        <is>
          <t>KWD</t>
        </is>
      </c>
      <c r="C2933" s="196" t="inlineStr">
        <is>
          <t>KUWAITI DINAR</t>
        </is>
      </c>
      <c r="D2933" s="184" t="n"/>
      <c r="E2933" s="184" t="n">
        <v>85478.58</v>
      </c>
      <c r="F2933" s="184" t="n">
        <v>89621.42</v>
      </c>
      <c r="G2933" s="184" t="n">
        <v>87550</v>
      </c>
    </row>
    <row r="2934">
      <c r="A2934" s="194" t="inlineStr">
        <is>
          <t>2026-04-21</t>
        </is>
      </c>
      <c r="B2934" s="194" t="inlineStr">
        <is>
          <t>MYR</t>
        </is>
      </c>
      <c r="C2934" s="194" t="inlineStr">
        <is>
          <t>MALAYSIAN RINGGIT</t>
        </is>
      </c>
      <c r="D2934" s="195" t="n"/>
      <c r="E2934" s="195" t="n">
        <v>6600.58</v>
      </c>
      <c r="F2934" s="195" t="n">
        <v>6744.16</v>
      </c>
      <c r="G2934" s="195" t="n">
        <v>6672.37</v>
      </c>
    </row>
    <row r="2935">
      <c r="A2935" s="196" t="inlineStr">
        <is>
          <t>2026-04-21</t>
        </is>
      </c>
      <c r="B2935" s="196" t="inlineStr">
        <is>
          <t>NOK</t>
        </is>
      </c>
      <c r="C2935" s="196" t="inlineStr">
        <is>
          <t>NORWEGIAN KRONER</t>
        </is>
      </c>
      <c r="D2935" s="184" t="n"/>
      <c r="E2935" s="184" t="n">
        <v>2771.34</v>
      </c>
      <c r="F2935" s="184" t="n">
        <v>2888.85</v>
      </c>
      <c r="G2935" s="184" t="n">
        <v>2830.1</v>
      </c>
    </row>
    <row r="2936">
      <c r="A2936" s="194" t="inlineStr">
        <is>
          <t>2026-04-21</t>
        </is>
      </c>
      <c r="B2936" s="194" t="inlineStr">
        <is>
          <t>RUB</t>
        </is>
      </c>
      <c r="C2936" s="194" t="inlineStr">
        <is>
          <t>RUSSIAN RUBLE</t>
        </is>
      </c>
      <c r="D2936" s="195" t="n"/>
      <c r="E2936" s="195" t="n">
        <v>334.38</v>
      </c>
      <c r="F2936" s="195" t="n">
        <v>370.14</v>
      </c>
      <c r="G2936" s="195" t="n">
        <v>352.26</v>
      </c>
    </row>
    <row r="2937">
      <c r="A2937" s="196" t="inlineStr">
        <is>
          <t>2026-04-21</t>
        </is>
      </c>
      <c r="B2937" s="196" t="inlineStr">
        <is>
          <t>SAR</t>
        </is>
      </c>
      <c r="C2937" s="196" t="inlineStr">
        <is>
          <t>SAUDI RIAL</t>
        </is>
      </c>
      <c r="D2937" s="184" t="n"/>
      <c r="E2937" s="184" t="n">
        <v>6980.4</v>
      </c>
      <c r="F2937" s="184" t="n">
        <v>7280.8</v>
      </c>
      <c r="G2937" s="184" t="n">
        <v>7130.6</v>
      </c>
    </row>
    <row r="2938">
      <c r="A2938" s="194" t="inlineStr">
        <is>
          <t>2026-04-21</t>
        </is>
      </c>
      <c r="B2938" s="194" t="inlineStr">
        <is>
          <t>SEK</t>
        </is>
      </c>
      <c r="C2938" s="194" t="inlineStr">
        <is>
          <t>SWEDISH KRONA</t>
        </is>
      </c>
      <c r="D2938" s="195" t="n"/>
      <c r="E2938" s="195" t="n">
        <v>2826.46</v>
      </c>
      <c r="F2938" s="195" t="n">
        <v>2946.29</v>
      </c>
      <c r="G2938" s="195" t="n">
        <v>2886.38</v>
      </c>
    </row>
    <row r="2939">
      <c r="A2939" s="196" t="inlineStr">
        <is>
          <t>2026-04-21</t>
        </is>
      </c>
      <c r="B2939" s="196" t="inlineStr">
        <is>
          <t>SGD</t>
        </is>
      </c>
      <c r="C2939" s="196" t="inlineStr">
        <is>
          <t>SINGAPORE DOLLAR</t>
        </is>
      </c>
      <c r="D2939" s="184" t="n">
        <v>20188.69</v>
      </c>
      <c r="E2939" s="184" t="n">
        <v>20392.62</v>
      </c>
      <c r="F2939" s="184" t="n">
        <v>21087.8</v>
      </c>
      <c r="G2939" s="184" t="n">
        <v>20740.21</v>
      </c>
    </row>
    <row r="2940">
      <c r="A2940" s="194" t="inlineStr">
        <is>
          <t>2026-04-21</t>
        </is>
      </c>
      <c r="B2940" s="194" t="inlineStr">
        <is>
          <t>THB</t>
        </is>
      </c>
      <c r="C2940" s="194" t="inlineStr">
        <is>
          <t>THAILAND BAHT</t>
        </is>
      </c>
      <c r="D2940" s="195" t="n">
        <v>725.54</v>
      </c>
      <c r="E2940" s="195" t="n">
        <v>806.16</v>
      </c>
      <c r="F2940" s="195" t="n">
        <v>840.34</v>
      </c>
      <c r="G2940" s="195" t="n">
        <v>823.25</v>
      </c>
    </row>
    <row r="2941">
      <c r="A2941" s="196" t="inlineStr">
        <is>
          <t>2026-04-21</t>
        </is>
      </c>
      <c r="B2941" s="196" t="inlineStr">
        <is>
          <t>USD</t>
        </is>
      </c>
      <c r="C2941" s="196" t="inlineStr">
        <is>
          <t>US DOLLAR</t>
        </is>
      </c>
      <c r="D2941" s="184" t="n">
        <v>26097</v>
      </c>
      <c r="E2941" s="184" t="n">
        <v>26127</v>
      </c>
      <c r="F2941" s="184" t="n">
        <v>26357</v>
      </c>
      <c r="G2941" s="184" t="n">
        <v>26242</v>
      </c>
    </row>
    <row r="2942">
      <c r="A2942" s="194" t="inlineStr">
        <is>
          <t>2026-04-20</t>
        </is>
      </c>
      <c r="B2942" s="194" t="inlineStr">
        <is>
          <t>AUD</t>
        </is>
      </c>
      <c r="C2942" s="194" t="inlineStr">
        <is>
          <t>AUSTRALIAN DOLLAR</t>
        </is>
      </c>
      <c r="D2942" s="195" t="n">
        <v>18355.36</v>
      </c>
      <c r="E2942" s="195" t="n">
        <v>18540.77</v>
      </c>
      <c r="F2942" s="195" t="n">
        <v>19134.51</v>
      </c>
      <c r="G2942" s="195" t="n">
        <v>18837.64</v>
      </c>
    </row>
    <row r="2943">
      <c r="A2943" s="196" t="inlineStr">
        <is>
          <t>2026-04-20</t>
        </is>
      </c>
      <c r="B2943" s="196" t="inlineStr">
        <is>
          <t>CAD</t>
        </is>
      </c>
      <c r="C2943" s="196" t="inlineStr">
        <is>
          <t>CANADIAN DOLLAR</t>
        </is>
      </c>
      <c r="D2943" s="184" t="n">
        <v>18741.77</v>
      </c>
      <c r="E2943" s="184" t="n">
        <v>18931.08</v>
      </c>
      <c r="F2943" s="184" t="n">
        <v>19537.31</v>
      </c>
      <c r="G2943" s="184" t="n">
        <v>19234.2</v>
      </c>
    </row>
    <row r="2944">
      <c r="A2944" s="194" t="inlineStr">
        <is>
          <t>2026-04-20</t>
        </is>
      </c>
      <c r="B2944" s="194" t="inlineStr">
        <is>
          <t>CHF</t>
        </is>
      </c>
      <c r="C2944" s="194" t="inlineStr">
        <is>
          <t>SWISS FRANC</t>
        </is>
      </c>
      <c r="D2944" s="195" t="n">
        <v>32822.06</v>
      </c>
      <c r="E2944" s="195" t="n">
        <v>33153.59</v>
      </c>
      <c r="F2944" s="195" t="n">
        <v>34215.28</v>
      </c>
      <c r="G2944" s="195" t="n">
        <v>33684.44</v>
      </c>
    </row>
    <row r="2945">
      <c r="A2945" s="196" t="inlineStr">
        <is>
          <t>2026-04-20</t>
        </is>
      </c>
      <c r="B2945" s="196" t="inlineStr">
        <is>
          <t>CNY</t>
        </is>
      </c>
      <c r="C2945" s="196" t="inlineStr">
        <is>
          <t>YUAN RENMINBI</t>
        </is>
      </c>
      <c r="D2945" s="184" t="n">
        <v>3763.96</v>
      </c>
      <c r="E2945" s="184" t="n">
        <v>3801.98</v>
      </c>
      <c r="F2945" s="184" t="n">
        <v>3923.74</v>
      </c>
      <c r="G2945" s="184" t="n">
        <v>3862.86</v>
      </c>
    </row>
    <row r="2946">
      <c r="A2946" s="194" t="inlineStr">
        <is>
          <t>2026-04-20</t>
        </is>
      </c>
      <c r="B2946" s="194" t="inlineStr">
        <is>
          <t>DKK</t>
        </is>
      </c>
      <c r="C2946" s="194" t="inlineStr">
        <is>
          <t>DANISH KRONE</t>
        </is>
      </c>
      <c r="D2946" s="195" t="n"/>
      <c r="E2946" s="195" t="n">
        <v>4067.94</v>
      </c>
      <c r="F2946" s="195" t="n">
        <v>4223.48</v>
      </c>
      <c r="G2946" s="195" t="n">
        <v>4145.71</v>
      </c>
    </row>
    <row r="2947">
      <c r="A2947" s="196" t="inlineStr">
        <is>
          <t>2026-04-20</t>
        </is>
      </c>
      <c r="B2947" s="196" t="inlineStr">
        <is>
          <t>EUR</t>
        </is>
      </c>
      <c r="C2947" s="196" t="inlineStr">
        <is>
          <t>EURO</t>
        </is>
      </c>
      <c r="D2947" s="184" t="n">
        <v>30174.85</v>
      </c>
      <c r="E2947" s="184" t="n">
        <v>30479.65</v>
      </c>
      <c r="F2947" s="184" t="n">
        <v>31765.62</v>
      </c>
      <c r="G2947" s="184" t="n">
        <v>31122.64</v>
      </c>
    </row>
    <row r="2948">
      <c r="A2948" s="194" t="inlineStr">
        <is>
          <t>2026-04-20</t>
        </is>
      </c>
      <c r="B2948" s="194" t="inlineStr">
        <is>
          <t>GBP</t>
        </is>
      </c>
      <c r="C2948" s="194" t="inlineStr">
        <is>
          <t>POUND STERLING</t>
        </is>
      </c>
      <c r="D2948" s="195" t="n">
        <v>34639.88</v>
      </c>
      <c r="E2948" s="195" t="n">
        <v>34989.78</v>
      </c>
      <c r="F2948" s="195" t="n">
        <v>36110.26</v>
      </c>
      <c r="G2948" s="195" t="n">
        <v>35550.02</v>
      </c>
    </row>
    <row r="2949">
      <c r="A2949" s="196" t="inlineStr">
        <is>
          <t>2026-04-20</t>
        </is>
      </c>
      <c r="B2949" s="196" t="inlineStr">
        <is>
          <t>HKD</t>
        </is>
      </c>
      <c r="C2949" s="196" t="inlineStr">
        <is>
          <t>HONGKONG DOLLAR</t>
        </is>
      </c>
      <c r="D2949" s="184" t="n">
        <v>3267.02</v>
      </c>
      <c r="E2949" s="184" t="n">
        <v>3300.02</v>
      </c>
      <c r="F2949" s="184" t="n">
        <v>3426.2</v>
      </c>
      <c r="G2949" s="184" t="n">
        <v>3363.11</v>
      </c>
    </row>
    <row r="2950">
      <c r="A2950" s="194" t="inlineStr">
        <is>
          <t>2026-04-20</t>
        </is>
      </c>
      <c r="B2950" s="194" t="inlineStr">
        <is>
          <t>INR</t>
        </is>
      </c>
      <c r="C2950" s="194" t="inlineStr">
        <is>
          <t>INDIAN RUPEE</t>
        </is>
      </c>
      <c r="D2950" s="195" t="n"/>
      <c r="E2950" s="195" t="n">
        <v>282.83</v>
      </c>
      <c r="F2950" s="195" t="n">
        <v>295</v>
      </c>
      <c r="G2950" s="195" t="n">
        <v>288.91</v>
      </c>
    </row>
    <row r="2951">
      <c r="A2951" s="196" t="inlineStr">
        <is>
          <t>2026-04-20</t>
        </is>
      </c>
      <c r="B2951" s="196" t="inlineStr">
        <is>
          <t>JPY</t>
        </is>
      </c>
      <c r="C2951" s="196" t="inlineStr">
        <is>
          <t>YEN</t>
        </is>
      </c>
      <c r="D2951" s="184" t="n">
        <v>160.25</v>
      </c>
      <c r="E2951" s="184" t="n">
        <v>161.87</v>
      </c>
      <c r="F2951" s="184" t="n">
        <v>170.43</v>
      </c>
      <c r="G2951" s="184" t="n">
        <v>166.15</v>
      </c>
    </row>
    <row r="2952">
      <c r="A2952" s="194" t="inlineStr">
        <is>
          <t>2026-04-20</t>
        </is>
      </c>
      <c r="B2952" s="194" t="inlineStr">
        <is>
          <t>KRW</t>
        </is>
      </c>
      <c r="C2952" s="194" t="inlineStr">
        <is>
          <t>KOREAN WON</t>
        </is>
      </c>
      <c r="D2952" s="195" t="n">
        <v>15.46</v>
      </c>
      <c r="E2952" s="195" t="n">
        <v>17.18</v>
      </c>
      <c r="F2952" s="195" t="n">
        <v>18.64</v>
      </c>
      <c r="G2952" s="195" t="n">
        <v>17.91</v>
      </c>
    </row>
    <row r="2953">
      <c r="A2953" s="196" t="inlineStr">
        <is>
          <t>2026-04-20</t>
        </is>
      </c>
      <c r="B2953" s="196" t="inlineStr">
        <is>
          <t>KWD</t>
        </is>
      </c>
      <c r="C2953" s="196" t="inlineStr">
        <is>
          <t>KUWAITI DINAR</t>
        </is>
      </c>
      <c r="D2953" s="184" t="n"/>
      <c r="E2953" s="184" t="n">
        <v>85485.08</v>
      </c>
      <c r="F2953" s="184" t="n">
        <v>89628.22</v>
      </c>
      <c r="G2953" s="184" t="n">
        <v>87556.64999999999</v>
      </c>
    </row>
    <row r="2954">
      <c r="A2954" s="194" t="inlineStr">
        <is>
          <t>2026-04-20</t>
        </is>
      </c>
      <c r="B2954" s="194" t="inlineStr">
        <is>
          <t>MYR</t>
        </is>
      </c>
      <c r="C2954" s="194" t="inlineStr">
        <is>
          <t>MALAYSIAN RINGGIT</t>
        </is>
      </c>
      <c r="D2954" s="195" t="n"/>
      <c r="E2954" s="195" t="n">
        <v>6596.06</v>
      </c>
      <c r="F2954" s="195" t="n">
        <v>6739.55</v>
      </c>
      <c r="G2954" s="195" t="n">
        <v>6667.8</v>
      </c>
    </row>
    <row r="2955">
      <c r="A2955" s="196" t="inlineStr">
        <is>
          <t>2026-04-20</t>
        </is>
      </c>
      <c r="B2955" s="196" t="inlineStr">
        <is>
          <t>NOK</t>
        </is>
      </c>
      <c r="C2955" s="196" t="inlineStr">
        <is>
          <t>NORWEGIAN KRONER</t>
        </is>
      </c>
      <c r="D2955" s="184" t="n"/>
      <c r="E2955" s="184" t="n">
        <v>2750.46</v>
      </c>
      <c r="F2955" s="184" t="n">
        <v>2867.07</v>
      </c>
      <c r="G2955" s="184" t="n">
        <v>2808.77</v>
      </c>
    </row>
    <row r="2956">
      <c r="A2956" s="194" t="inlineStr">
        <is>
          <t>2026-04-20</t>
        </is>
      </c>
      <c r="B2956" s="194" t="inlineStr">
        <is>
          <t>RUB</t>
        </is>
      </c>
      <c r="C2956" s="194" t="inlineStr">
        <is>
          <t>RUSSIAN RUBLE</t>
        </is>
      </c>
      <c r="D2956" s="195" t="n"/>
      <c r="E2956" s="195" t="n">
        <v>329.78</v>
      </c>
      <c r="F2956" s="195" t="n">
        <v>365.05</v>
      </c>
      <c r="G2956" s="195" t="n">
        <v>347.42</v>
      </c>
    </row>
    <row r="2957">
      <c r="A2957" s="196" t="inlineStr">
        <is>
          <t>2026-04-20</t>
        </is>
      </c>
      <c r="B2957" s="196" t="inlineStr">
        <is>
          <t>SAR</t>
        </is>
      </c>
      <c r="C2957" s="196" t="inlineStr">
        <is>
          <t>SAUDI RIAL</t>
        </is>
      </c>
      <c r="D2957" s="184" t="n"/>
      <c r="E2957" s="184" t="n">
        <v>6980.56</v>
      </c>
      <c r="F2957" s="184" t="n">
        <v>7280.96</v>
      </c>
      <c r="G2957" s="184" t="n">
        <v>7130.76</v>
      </c>
    </row>
    <row r="2958">
      <c r="A2958" s="194" t="inlineStr">
        <is>
          <t>2026-04-20</t>
        </is>
      </c>
      <c r="B2958" s="194" t="inlineStr">
        <is>
          <t>SEK</t>
        </is>
      </c>
      <c r="C2958" s="194" t="inlineStr">
        <is>
          <t>SWEDISH KRONA</t>
        </is>
      </c>
      <c r="D2958" s="195" t="n"/>
      <c r="E2958" s="195" t="n">
        <v>2812.5</v>
      </c>
      <c r="F2958" s="195" t="n">
        <v>2931.74</v>
      </c>
      <c r="G2958" s="195" t="n">
        <v>2872.12</v>
      </c>
    </row>
    <row r="2959">
      <c r="A2959" s="196" t="inlineStr">
        <is>
          <t>2026-04-20</t>
        </is>
      </c>
      <c r="B2959" s="196" t="inlineStr">
        <is>
          <t>SGD</t>
        </is>
      </c>
      <c r="C2959" s="196" t="inlineStr">
        <is>
          <t>SINGAPORE DOLLAR</t>
        </is>
      </c>
      <c r="D2959" s="184" t="n">
        <v>20163.23</v>
      </c>
      <c r="E2959" s="184" t="n">
        <v>20366.9</v>
      </c>
      <c r="F2959" s="184" t="n">
        <v>21061.21</v>
      </c>
      <c r="G2959" s="184" t="n">
        <v>20714.06</v>
      </c>
    </row>
    <row r="2960">
      <c r="A2960" s="194" t="inlineStr">
        <is>
          <t>2026-04-20</t>
        </is>
      </c>
      <c r="B2960" s="194" t="inlineStr">
        <is>
          <t>THB</t>
        </is>
      </c>
      <c r="C2960" s="194" t="inlineStr">
        <is>
          <t>THAILAND BAHT</t>
        </is>
      </c>
      <c r="D2960" s="195" t="n">
        <v>724.6900000000001</v>
      </c>
      <c r="E2960" s="195" t="n">
        <v>805.21</v>
      </c>
      <c r="F2960" s="195" t="n">
        <v>839.35</v>
      </c>
      <c r="G2960" s="195" t="n">
        <v>822.28</v>
      </c>
    </row>
    <row r="2961">
      <c r="A2961" s="196" t="inlineStr">
        <is>
          <t>2026-04-20</t>
        </is>
      </c>
      <c r="B2961" s="196" t="inlineStr">
        <is>
          <t>USD</t>
        </is>
      </c>
      <c r="C2961" s="196" t="inlineStr">
        <is>
          <t>US DOLLAR</t>
        </is>
      </c>
      <c r="D2961" s="184" t="n">
        <v>26098</v>
      </c>
      <c r="E2961" s="184" t="n">
        <v>26128</v>
      </c>
      <c r="F2961" s="184" t="n">
        <v>26358</v>
      </c>
      <c r="G2961" s="184" t="n">
        <v>26243</v>
      </c>
    </row>
    <row r="2962">
      <c r="A2962" s="194" t="inlineStr">
        <is>
          <t>2026-04-19</t>
        </is>
      </c>
      <c r="B2962" s="194" t="inlineStr">
        <is>
          <t>AUD</t>
        </is>
      </c>
      <c r="C2962" s="194" t="inlineStr">
        <is>
          <t>AUSTRALIAN DOLLAR</t>
        </is>
      </c>
      <c r="D2962" s="195" t="n">
        <v>18375.89</v>
      </c>
      <c r="E2962" s="195" t="n">
        <v>18561.51</v>
      </c>
      <c r="F2962" s="195" t="n">
        <v>19155.91</v>
      </c>
      <c r="G2962" s="195" t="n">
        <v>18858.71</v>
      </c>
    </row>
    <row r="2963">
      <c r="A2963" s="196" t="inlineStr">
        <is>
          <t>2026-04-19</t>
        </is>
      </c>
      <c r="B2963" s="196" t="inlineStr">
        <is>
          <t>CAD</t>
        </is>
      </c>
      <c r="C2963" s="196" t="inlineStr">
        <is>
          <t>CANADIAN DOLLAR</t>
        </is>
      </c>
      <c r="D2963" s="184" t="n">
        <v>18736.29</v>
      </c>
      <c r="E2963" s="184" t="n">
        <v>18925.55</v>
      </c>
      <c r="F2963" s="184" t="n">
        <v>19531.6</v>
      </c>
      <c r="G2963" s="184" t="n">
        <v>19228.57</v>
      </c>
    </row>
    <row r="2964">
      <c r="A2964" s="194" t="inlineStr">
        <is>
          <t>2026-04-19</t>
        </is>
      </c>
      <c r="B2964" s="194" t="inlineStr">
        <is>
          <t>CHF</t>
        </is>
      </c>
      <c r="C2964" s="194" t="inlineStr">
        <is>
          <t>SWISS FRANC</t>
        </is>
      </c>
      <c r="D2964" s="195" t="n">
        <v>32755.04</v>
      </c>
      <c r="E2964" s="195" t="n">
        <v>33085.9</v>
      </c>
      <c r="F2964" s="195" t="n">
        <v>34145.41</v>
      </c>
      <c r="G2964" s="195" t="n">
        <v>33615.66</v>
      </c>
    </row>
    <row r="2965">
      <c r="A2965" s="196" t="inlineStr">
        <is>
          <t>2026-04-19</t>
        </is>
      </c>
      <c r="B2965" s="196" t="inlineStr">
        <is>
          <t>CNY</t>
        </is>
      </c>
      <c r="C2965" s="196" t="inlineStr">
        <is>
          <t>YUAN RENMINBI</t>
        </is>
      </c>
      <c r="D2965" s="184" t="n">
        <v>3760.82</v>
      </c>
      <c r="E2965" s="184" t="n">
        <v>3798.81</v>
      </c>
      <c r="F2965" s="184" t="n">
        <v>3920.46</v>
      </c>
      <c r="G2965" s="184" t="n">
        <v>3859.64</v>
      </c>
    </row>
    <row r="2966">
      <c r="A2966" s="194" t="inlineStr">
        <is>
          <t>2026-04-19</t>
        </is>
      </c>
      <c r="B2966" s="194" t="inlineStr">
        <is>
          <t>DKK</t>
        </is>
      </c>
      <c r="C2966" s="194" t="inlineStr">
        <is>
          <t>DANISH KRONE</t>
        </is>
      </c>
      <c r="D2966" s="195" t="n"/>
      <c r="E2966" s="195" t="n">
        <v>4073.19</v>
      </c>
      <c r="F2966" s="195" t="n">
        <v>4228.93</v>
      </c>
      <c r="G2966" s="195" t="n">
        <v>4151.06</v>
      </c>
    </row>
    <row r="2967">
      <c r="A2967" s="196" t="inlineStr">
        <is>
          <t>2026-04-19</t>
        </is>
      </c>
      <c r="B2967" s="196" t="inlineStr">
        <is>
          <t>EUR</t>
        </is>
      </c>
      <c r="C2967" s="196" t="inlineStr">
        <is>
          <t>EURO</t>
        </is>
      </c>
      <c r="D2967" s="184" t="n">
        <v>30213.35</v>
      </c>
      <c r="E2967" s="184" t="n">
        <v>30518.53</v>
      </c>
      <c r="F2967" s="184" t="n">
        <v>31806.14</v>
      </c>
      <c r="G2967" s="184" t="n">
        <v>31162.34</v>
      </c>
    </row>
    <row r="2968">
      <c r="A2968" s="194" t="inlineStr">
        <is>
          <t>2026-04-19</t>
        </is>
      </c>
      <c r="B2968" s="194" t="inlineStr">
        <is>
          <t>GBP</t>
        </is>
      </c>
      <c r="C2968" s="194" t="inlineStr">
        <is>
          <t>POUND STERLING</t>
        </is>
      </c>
      <c r="D2968" s="195" t="n">
        <v>34680.94</v>
      </c>
      <c r="E2968" s="195" t="n">
        <v>35031.25</v>
      </c>
      <c r="F2968" s="195" t="n">
        <v>36153.06</v>
      </c>
      <c r="G2968" s="195" t="n">
        <v>35592.16</v>
      </c>
    </row>
    <row r="2969">
      <c r="A2969" s="196" t="inlineStr">
        <is>
          <t>2026-04-19</t>
        </is>
      </c>
      <c r="B2969" s="196" t="inlineStr">
        <is>
          <t>HKD</t>
        </is>
      </c>
      <c r="C2969" s="196" t="inlineStr">
        <is>
          <t>HONGKONG DOLLAR</t>
        </is>
      </c>
      <c r="D2969" s="184" t="n">
        <v>3269.73</v>
      </c>
      <c r="E2969" s="184" t="n">
        <v>3302.76</v>
      </c>
      <c r="F2969" s="184" t="n">
        <v>3429.04</v>
      </c>
      <c r="G2969" s="184" t="n">
        <v>3365.9</v>
      </c>
    </row>
    <row r="2970">
      <c r="A2970" s="194" t="inlineStr">
        <is>
          <t>2026-04-19</t>
        </is>
      </c>
      <c r="B2970" s="194" t="inlineStr">
        <is>
          <t>INR</t>
        </is>
      </c>
      <c r="C2970" s="194" t="inlineStr">
        <is>
          <t>INDIAN RUPEE</t>
        </is>
      </c>
      <c r="D2970" s="195" t="n"/>
      <c r="E2970" s="195" t="n">
        <v>281.87</v>
      </c>
      <c r="F2970" s="195" t="n">
        <v>294</v>
      </c>
      <c r="G2970" s="195" t="n">
        <v>287.94</v>
      </c>
    </row>
    <row r="2971">
      <c r="A2971" s="196" t="inlineStr">
        <is>
          <t>2026-04-19</t>
        </is>
      </c>
      <c r="B2971" s="196" t="inlineStr">
        <is>
          <t>JPY</t>
        </is>
      </c>
      <c r="C2971" s="196" t="inlineStr">
        <is>
          <t>YEN</t>
        </is>
      </c>
      <c r="D2971" s="184" t="n">
        <v>160.07</v>
      </c>
      <c r="E2971" s="184" t="n">
        <v>161.69</v>
      </c>
      <c r="F2971" s="184" t="n">
        <v>170.24</v>
      </c>
      <c r="G2971" s="184" t="n">
        <v>165.96</v>
      </c>
    </row>
    <row r="2972">
      <c r="A2972" s="194" t="inlineStr">
        <is>
          <t>2026-04-19</t>
        </is>
      </c>
      <c r="B2972" s="194" t="inlineStr">
        <is>
          <t>KRW</t>
        </is>
      </c>
      <c r="C2972" s="194" t="inlineStr">
        <is>
          <t>KOREAN WON</t>
        </is>
      </c>
      <c r="D2972" s="195" t="n">
        <v>15.54</v>
      </c>
      <c r="E2972" s="195" t="n">
        <v>17.27</v>
      </c>
      <c r="F2972" s="195" t="n">
        <v>18.74</v>
      </c>
      <c r="G2972" s="195" t="n">
        <v>18</v>
      </c>
    </row>
    <row r="2973">
      <c r="A2973" s="196" t="inlineStr">
        <is>
          <t>2026-04-19</t>
        </is>
      </c>
      <c r="B2973" s="196" t="inlineStr">
        <is>
          <t>KWD</t>
        </is>
      </c>
      <c r="C2973" s="196" t="inlineStr">
        <is>
          <t>KUWAITI DINAR</t>
        </is>
      </c>
      <c r="D2973" s="184" t="n"/>
      <c r="E2973" s="184" t="n">
        <v>85513</v>
      </c>
      <c r="F2973" s="184" t="n">
        <v>89657.5</v>
      </c>
      <c r="G2973" s="184" t="n">
        <v>87585.25</v>
      </c>
    </row>
    <row r="2974">
      <c r="A2974" s="194" t="inlineStr">
        <is>
          <t>2026-04-19</t>
        </is>
      </c>
      <c r="B2974" s="194" t="inlineStr">
        <is>
          <t>MYR</t>
        </is>
      </c>
      <c r="C2974" s="194" t="inlineStr">
        <is>
          <t>MALAYSIAN RINGGIT</t>
        </is>
      </c>
      <c r="D2974" s="195" t="n"/>
      <c r="E2974" s="195" t="n">
        <v>6586.06</v>
      </c>
      <c r="F2974" s="195" t="n">
        <v>6729.33</v>
      </c>
      <c r="G2974" s="195" t="n">
        <v>6657.7</v>
      </c>
    </row>
    <row r="2975">
      <c r="A2975" s="196" t="inlineStr">
        <is>
          <t>2026-04-19</t>
        </is>
      </c>
      <c r="B2975" s="196" t="inlineStr">
        <is>
          <t>NOK</t>
        </is>
      </c>
      <c r="C2975" s="196" t="inlineStr">
        <is>
          <t>NORWEGIAN KRONER</t>
        </is>
      </c>
      <c r="D2975" s="184" t="n"/>
      <c r="E2975" s="184" t="n">
        <v>2756.04</v>
      </c>
      <c r="F2975" s="184" t="n">
        <v>2872.89</v>
      </c>
      <c r="G2975" s="184" t="n">
        <v>2814.46</v>
      </c>
    </row>
    <row r="2976">
      <c r="A2976" s="194" t="inlineStr">
        <is>
          <t>2026-04-19</t>
        </is>
      </c>
      <c r="B2976" s="194" t="inlineStr">
        <is>
          <t>RUB</t>
        </is>
      </c>
      <c r="C2976" s="194" t="inlineStr">
        <is>
          <t>RUSSIAN RUBLE</t>
        </is>
      </c>
      <c r="D2976" s="195" t="n"/>
      <c r="E2976" s="195" t="n">
        <v>328.25</v>
      </c>
      <c r="F2976" s="195" t="n">
        <v>363.35</v>
      </c>
      <c r="G2976" s="195" t="n">
        <v>345.8</v>
      </c>
    </row>
    <row r="2977">
      <c r="A2977" s="196" t="inlineStr">
        <is>
          <t>2026-04-19</t>
        </is>
      </c>
      <c r="B2977" s="196" t="inlineStr">
        <is>
          <t>SAR</t>
        </is>
      </c>
      <c r="C2977" s="196" t="inlineStr">
        <is>
          <t>SAUDI RIAL</t>
        </is>
      </c>
      <c r="D2977" s="184" t="n"/>
      <c r="E2977" s="184" t="n">
        <v>6982.24</v>
      </c>
      <c r="F2977" s="184" t="n">
        <v>7282.71</v>
      </c>
      <c r="G2977" s="184" t="n">
        <v>7132.48</v>
      </c>
    </row>
    <row r="2978">
      <c r="A2978" s="194" t="inlineStr">
        <is>
          <t>2026-04-19</t>
        </is>
      </c>
      <c r="B2978" s="194" t="inlineStr">
        <is>
          <t>SEK</t>
        </is>
      </c>
      <c r="C2978" s="194" t="inlineStr">
        <is>
          <t>SWEDISH KRONA</t>
        </is>
      </c>
      <c r="D2978" s="195" t="n"/>
      <c r="E2978" s="195" t="n">
        <v>2807.54</v>
      </c>
      <c r="F2978" s="195" t="n">
        <v>2926.57</v>
      </c>
      <c r="G2978" s="195" t="n">
        <v>2867.06</v>
      </c>
    </row>
    <row r="2979">
      <c r="A2979" s="196" t="inlineStr">
        <is>
          <t>2026-04-19</t>
        </is>
      </c>
      <c r="B2979" s="196" t="inlineStr">
        <is>
          <t>SGD</t>
        </is>
      </c>
      <c r="C2979" s="196" t="inlineStr">
        <is>
          <t>SINGAPORE DOLLAR</t>
        </is>
      </c>
      <c r="D2979" s="184" t="n">
        <v>20145.81</v>
      </c>
      <c r="E2979" s="184" t="n">
        <v>20349.3</v>
      </c>
      <c r="F2979" s="184" t="n">
        <v>21043</v>
      </c>
      <c r="G2979" s="184" t="n">
        <v>20696.15</v>
      </c>
    </row>
    <row r="2980">
      <c r="A2980" s="194" t="inlineStr">
        <is>
          <t>2026-04-19</t>
        </is>
      </c>
      <c r="B2980" s="194" t="inlineStr">
        <is>
          <t>THB</t>
        </is>
      </c>
      <c r="C2980" s="194" t="inlineStr">
        <is>
          <t>THAILAND BAHT</t>
        </is>
      </c>
      <c r="D2980" s="195" t="n">
        <v>724.47</v>
      </c>
      <c r="E2980" s="195" t="n">
        <v>804.96</v>
      </c>
      <c r="F2980" s="195" t="n">
        <v>839.09</v>
      </c>
      <c r="G2980" s="195" t="n">
        <v>822.03</v>
      </c>
    </row>
    <row r="2981">
      <c r="A2981" s="196" t="inlineStr">
        <is>
          <t>2026-04-19</t>
        </is>
      </c>
      <c r="B2981" s="196" t="inlineStr">
        <is>
          <t>USD</t>
        </is>
      </c>
      <c r="C2981" s="196" t="inlineStr">
        <is>
          <t>US DOLLAR</t>
        </is>
      </c>
      <c r="D2981" s="184" t="n">
        <v>26097</v>
      </c>
      <c r="E2981" s="184" t="n">
        <v>26127</v>
      </c>
      <c r="F2981" s="184" t="n">
        <v>26357</v>
      </c>
      <c r="G2981" s="184" t="n">
        <v>26242</v>
      </c>
    </row>
    <row r="2982">
      <c r="A2982" s="194" t="inlineStr">
        <is>
          <t>2026-04-18</t>
        </is>
      </c>
      <c r="B2982" s="194" t="inlineStr">
        <is>
          <t>AUD</t>
        </is>
      </c>
      <c r="C2982" s="194" t="inlineStr">
        <is>
          <t>AUSTRALIAN DOLLAR</t>
        </is>
      </c>
      <c r="D2982" s="195" t="n">
        <v>18375.89</v>
      </c>
      <c r="E2982" s="195" t="n">
        <v>18561.51</v>
      </c>
      <c r="F2982" s="195" t="n">
        <v>19155.91</v>
      </c>
      <c r="G2982" s="195" t="n">
        <v>18858.71</v>
      </c>
    </row>
    <row r="2983">
      <c r="A2983" s="196" t="inlineStr">
        <is>
          <t>2026-04-18</t>
        </is>
      </c>
      <c r="B2983" s="196" t="inlineStr">
        <is>
          <t>CAD</t>
        </is>
      </c>
      <c r="C2983" s="196" t="inlineStr">
        <is>
          <t>CANADIAN DOLLAR</t>
        </is>
      </c>
      <c r="D2983" s="184" t="n">
        <v>18736.29</v>
      </c>
      <c r="E2983" s="184" t="n">
        <v>18925.55</v>
      </c>
      <c r="F2983" s="184" t="n">
        <v>19531.6</v>
      </c>
      <c r="G2983" s="184" t="n">
        <v>19228.57</v>
      </c>
    </row>
    <row r="2984">
      <c r="A2984" s="194" t="inlineStr">
        <is>
          <t>2026-04-18</t>
        </is>
      </c>
      <c r="B2984" s="194" t="inlineStr">
        <is>
          <t>CHF</t>
        </is>
      </c>
      <c r="C2984" s="194" t="inlineStr">
        <is>
          <t>SWISS FRANC</t>
        </is>
      </c>
      <c r="D2984" s="195" t="n">
        <v>32755.04</v>
      </c>
      <c r="E2984" s="195" t="n">
        <v>33085.9</v>
      </c>
      <c r="F2984" s="195" t="n">
        <v>34145.41</v>
      </c>
      <c r="G2984" s="195" t="n">
        <v>33615.66</v>
      </c>
    </row>
    <row r="2985">
      <c r="A2985" s="196" t="inlineStr">
        <is>
          <t>2026-04-18</t>
        </is>
      </c>
      <c r="B2985" s="196" t="inlineStr">
        <is>
          <t>CNY</t>
        </is>
      </c>
      <c r="C2985" s="196" t="inlineStr">
        <is>
          <t>YUAN RENMINBI</t>
        </is>
      </c>
      <c r="D2985" s="184" t="n">
        <v>3760.82</v>
      </c>
      <c r="E2985" s="184" t="n">
        <v>3798.81</v>
      </c>
      <c r="F2985" s="184" t="n">
        <v>3920.46</v>
      </c>
      <c r="G2985" s="184" t="n">
        <v>3859.64</v>
      </c>
    </row>
    <row r="2986">
      <c r="A2986" s="194" t="inlineStr">
        <is>
          <t>2026-04-18</t>
        </is>
      </c>
      <c r="B2986" s="194" t="inlineStr">
        <is>
          <t>DKK</t>
        </is>
      </c>
      <c r="C2986" s="194" t="inlineStr">
        <is>
          <t>DANISH KRONE</t>
        </is>
      </c>
      <c r="D2986" s="195" t="n"/>
      <c r="E2986" s="195" t="n">
        <v>4073.19</v>
      </c>
      <c r="F2986" s="195" t="n">
        <v>4228.93</v>
      </c>
      <c r="G2986" s="195" t="n">
        <v>4151.06</v>
      </c>
    </row>
    <row r="2987">
      <c r="A2987" s="196" t="inlineStr">
        <is>
          <t>2026-04-18</t>
        </is>
      </c>
      <c r="B2987" s="196" t="inlineStr">
        <is>
          <t>EUR</t>
        </is>
      </c>
      <c r="C2987" s="196" t="inlineStr">
        <is>
          <t>EURO</t>
        </is>
      </c>
      <c r="D2987" s="184" t="n">
        <v>30213.35</v>
      </c>
      <c r="E2987" s="184" t="n">
        <v>30518.53</v>
      </c>
      <c r="F2987" s="184" t="n">
        <v>31806.14</v>
      </c>
      <c r="G2987" s="184" t="n">
        <v>31162.34</v>
      </c>
    </row>
    <row r="2988">
      <c r="A2988" s="194" t="inlineStr">
        <is>
          <t>2026-04-18</t>
        </is>
      </c>
      <c r="B2988" s="194" t="inlineStr">
        <is>
          <t>GBP</t>
        </is>
      </c>
      <c r="C2988" s="194" t="inlineStr">
        <is>
          <t>POUND STERLING</t>
        </is>
      </c>
      <c r="D2988" s="195" t="n">
        <v>34680.94</v>
      </c>
      <c r="E2988" s="195" t="n">
        <v>35031.25</v>
      </c>
      <c r="F2988" s="195" t="n">
        <v>36153.06</v>
      </c>
      <c r="G2988" s="195" t="n">
        <v>35592.16</v>
      </c>
    </row>
    <row r="2989">
      <c r="A2989" s="196" t="inlineStr">
        <is>
          <t>2026-04-18</t>
        </is>
      </c>
      <c r="B2989" s="196" t="inlineStr">
        <is>
          <t>HKD</t>
        </is>
      </c>
      <c r="C2989" s="196" t="inlineStr">
        <is>
          <t>HONGKONG DOLLAR</t>
        </is>
      </c>
      <c r="D2989" s="184" t="n">
        <v>3269.73</v>
      </c>
      <c r="E2989" s="184" t="n">
        <v>3302.76</v>
      </c>
      <c r="F2989" s="184" t="n">
        <v>3429.04</v>
      </c>
      <c r="G2989" s="184" t="n">
        <v>3365.9</v>
      </c>
    </row>
    <row r="2990">
      <c r="A2990" s="194" t="inlineStr">
        <is>
          <t>2026-04-18</t>
        </is>
      </c>
      <c r="B2990" s="194" t="inlineStr">
        <is>
          <t>INR</t>
        </is>
      </c>
      <c r="C2990" s="194" t="inlineStr">
        <is>
          <t>INDIAN RUPEE</t>
        </is>
      </c>
      <c r="D2990" s="195" t="n"/>
      <c r="E2990" s="195" t="n">
        <v>281.87</v>
      </c>
      <c r="F2990" s="195" t="n">
        <v>294</v>
      </c>
      <c r="G2990" s="195" t="n">
        <v>287.94</v>
      </c>
    </row>
    <row r="2991">
      <c r="A2991" s="196" t="inlineStr">
        <is>
          <t>2026-04-18</t>
        </is>
      </c>
      <c r="B2991" s="196" t="inlineStr">
        <is>
          <t>JPY</t>
        </is>
      </c>
      <c r="C2991" s="196" t="inlineStr">
        <is>
          <t>YEN</t>
        </is>
      </c>
      <c r="D2991" s="184" t="n">
        <v>160.07</v>
      </c>
      <c r="E2991" s="184" t="n">
        <v>161.69</v>
      </c>
      <c r="F2991" s="184" t="n">
        <v>170.24</v>
      </c>
      <c r="G2991" s="184" t="n">
        <v>165.96</v>
      </c>
    </row>
    <row r="2992">
      <c r="A2992" s="194" t="inlineStr">
        <is>
          <t>2026-04-18</t>
        </is>
      </c>
      <c r="B2992" s="194" t="inlineStr">
        <is>
          <t>KRW</t>
        </is>
      </c>
      <c r="C2992" s="194" t="inlineStr">
        <is>
          <t>KOREAN WON</t>
        </is>
      </c>
      <c r="D2992" s="195" t="n">
        <v>15.54</v>
      </c>
      <c r="E2992" s="195" t="n">
        <v>17.27</v>
      </c>
      <c r="F2992" s="195" t="n">
        <v>18.74</v>
      </c>
      <c r="G2992" s="195" t="n">
        <v>18</v>
      </c>
    </row>
    <row r="2993">
      <c r="A2993" s="196" t="inlineStr">
        <is>
          <t>2026-04-18</t>
        </is>
      </c>
      <c r="B2993" s="196" t="inlineStr">
        <is>
          <t>KWD</t>
        </is>
      </c>
      <c r="C2993" s="196" t="inlineStr">
        <is>
          <t>KUWAITI DINAR</t>
        </is>
      </c>
      <c r="D2993" s="184" t="n"/>
      <c r="E2993" s="184" t="n">
        <v>85513</v>
      </c>
      <c r="F2993" s="184" t="n">
        <v>89657.5</v>
      </c>
      <c r="G2993" s="184" t="n">
        <v>87585.25</v>
      </c>
    </row>
    <row r="2994">
      <c r="A2994" s="194" t="inlineStr">
        <is>
          <t>2026-04-18</t>
        </is>
      </c>
      <c r="B2994" s="194" t="inlineStr">
        <is>
          <t>MYR</t>
        </is>
      </c>
      <c r="C2994" s="194" t="inlineStr">
        <is>
          <t>MALAYSIAN RINGGIT</t>
        </is>
      </c>
      <c r="D2994" s="195" t="n"/>
      <c r="E2994" s="195" t="n">
        <v>6586.06</v>
      </c>
      <c r="F2994" s="195" t="n">
        <v>6729.33</v>
      </c>
      <c r="G2994" s="195" t="n">
        <v>6657.7</v>
      </c>
    </row>
    <row r="2995">
      <c r="A2995" s="196" t="inlineStr">
        <is>
          <t>2026-04-18</t>
        </is>
      </c>
      <c r="B2995" s="196" t="inlineStr">
        <is>
          <t>NOK</t>
        </is>
      </c>
      <c r="C2995" s="196" t="inlineStr">
        <is>
          <t>NORWEGIAN KRONER</t>
        </is>
      </c>
      <c r="D2995" s="184" t="n"/>
      <c r="E2995" s="184" t="n">
        <v>2756.04</v>
      </c>
      <c r="F2995" s="184" t="n">
        <v>2872.89</v>
      </c>
      <c r="G2995" s="184" t="n">
        <v>2814.46</v>
      </c>
    </row>
    <row r="2996">
      <c r="A2996" s="194" t="inlineStr">
        <is>
          <t>2026-04-18</t>
        </is>
      </c>
      <c r="B2996" s="194" t="inlineStr">
        <is>
          <t>RUB</t>
        </is>
      </c>
      <c r="C2996" s="194" t="inlineStr">
        <is>
          <t>RUSSIAN RUBLE</t>
        </is>
      </c>
      <c r="D2996" s="195" t="n"/>
      <c r="E2996" s="195" t="n">
        <v>328.25</v>
      </c>
      <c r="F2996" s="195" t="n">
        <v>363.35</v>
      </c>
      <c r="G2996" s="195" t="n">
        <v>345.8</v>
      </c>
    </row>
    <row r="2997">
      <c r="A2997" s="196" t="inlineStr">
        <is>
          <t>2026-04-18</t>
        </is>
      </c>
      <c r="B2997" s="196" t="inlineStr">
        <is>
          <t>SAR</t>
        </is>
      </c>
      <c r="C2997" s="196" t="inlineStr">
        <is>
          <t>SAUDI RIAL</t>
        </is>
      </c>
      <c r="D2997" s="184" t="n"/>
      <c r="E2997" s="184" t="n">
        <v>6982.24</v>
      </c>
      <c r="F2997" s="184" t="n">
        <v>7282.71</v>
      </c>
      <c r="G2997" s="184" t="n">
        <v>7132.48</v>
      </c>
    </row>
    <row r="2998">
      <c r="A2998" s="194" t="inlineStr">
        <is>
          <t>2026-04-18</t>
        </is>
      </c>
      <c r="B2998" s="194" t="inlineStr">
        <is>
          <t>SEK</t>
        </is>
      </c>
      <c r="C2998" s="194" t="inlineStr">
        <is>
          <t>SWEDISH KRONA</t>
        </is>
      </c>
      <c r="D2998" s="195" t="n"/>
      <c r="E2998" s="195" t="n">
        <v>2807.54</v>
      </c>
      <c r="F2998" s="195" t="n">
        <v>2926.57</v>
      </c>
      <c r="G2998" s="195" t="n">
        <v>2867.06</v>
      </c>
    </row>
    <row r="2999">
      <c r="A2999" s="196" t="inlineStr">
        <is>
          <t>2026-04-18</t>
        </is>
      </c>
      <c r="B2999" s="196" t="inlineStr">
        <is>
          <t>SGD</t>
        </is>
      </c>
      <c r="C2999" s="196" t="inlineStr">
        <is>
          <t>SINGAPORE DOLLAR</t>
        </is>
      </c>
      <c r="D2999" s="184" t="n">
        <v>20145.81</v>
      </c>
      <c r="E2999" s="184" t="n">
        <v>20349.3</v>
      </c>
      <c r="F2999" s="184" t="n">
        <v>21043</v>
      </c>
      <c r="G2999" s="184" t="n">
        <v>20696.15</v>
      </c>
    </row>
    <row r="3000">
      <c r="A3000" s="194" t="inlineStr">
        <is>
          <t>2026-04-18</t>
        </is>
      </c>
      <c r="B3000" s="194" t="inlineStr">
        <is>
          <t>THB</t>
        </is>
      </c>
      <c r="C3000" s="194" t="inlineStr">
        <is>
          <t>THAILAND BAHT</t>
        </is>
      </c>
      <c r="D3000" s="195" t="n">
        <v>724.47</v>
      </c>
      <c r="E3000" s="195" t="n">
        <v>804.96</v>
      </c>
      <c r="F3000" s="195" t="n">
        <v>839.09</v>
      </c>
      <c r="G3000" s="195" t="n">
        <v>822.03</v>
      </c>
    </row>
    <row r="3001">
      <c r="A3001" s="196" t="inlineStr">
        <is>
          <t>2026-04-18</t>
        </is>
      </c>
      <c r="B3001" s="196" t="inlineStr">
        <is>
          <t>USD</t>
        </is>
      </c>
      <c r="C3001" s="196" t="inlineStr">
        <is>
          <t>US DOLLAR</t>
        </is>
      </c>
      <c r="D3001" s="184" t="n">
        <v>26097</v>
      </c>
      <c r="E3001" s="184" t="n">
        <v>26127</v>
      </c>
      <c r="F3001" s="184" t="n">
        <v>26357</v>
      </c>
      <c r="G3001" s="184" t="n">
        <v>26242</v>
      </c>
    </row>
    <row r="3002">
      <c r="A3002" s="194" t="inlineStr">
        <is>
          <t>2026-04-17</t>
        </is>
      </c>
      <c r="B3002" s="194" t="inlineStr">
        <is>
          <t>AUD</t>
        </is>
      </c>
      <c r="C3002" s="194" t="inlineStr">
        <is>
          <t>AUSTRALIAN DOLLAR</t>
        </is>
      </c>
      <c r="D3002" s="195" t="n">
        <v>18375.89</v>
      </c>
      <c r="E3002" s="195" t="n">
        <v>18561.51</v>
      </c>
      <c r="F3002" s="195" t="n">
        <v>19155.91</v>
      </c>
      <c r="G3002" s="195" t="n">
        <v>18858.71</v>
      </c>
    </row>
    <row r="3003">
      <c r="A3003" s="196" t="inlineStr">
        <is>
          <t>2026-04-17</t>
        </is>
      </c>
      <c r="B3003" s="196" t="inlineStr">
        <is>
          <t>CAD</t>
        </is>
      </c>
      <c r="C3003" s="196" t="inlineStr">
        <is>
          <t>CANADIAN DOLLAR</t>
        </is>
      </c>
      <c r="D3003" s="184" t="n">
        <v>18736.29</v>
      </c>
      <c r="E3003" s="184" t="n">
        <v>18925.55</v>
      </c>
      <c r="F3003" s="184" t="n">
        <v>19531.6</v>
      </c>
      <c r="G3003" s="184" t="n">
        <v>19228.57</v>
      </c>
    </row>
    <row r="3004">
      <c r="A3004" s="194" t="inlineStr">
        <is>
          <t>2026-04-17</t>
        </is>
      </c>
      <c r="B3004" s="194" t="inlineStr">
        <is>
          <t>CHF</t>
        </is>
      </c>
      <c r="C3004" s="194" t="inlineStr">
        <is>
          <t>SWISS FRANC</t>
        </is>
      </c>
      <c r="D3004" s="195" t="n">
        <v>32755.04</v>
      </c>
      <c r="E3004" s="195" t="n">
        <v>33085.9</v>
      </c>
      <c r="F3004" s="195" t="n">
        <v>34145.41</v>
      </c>
      <c r="G3004" s="195" t="n">
        <v>33615.66</v>
      </c>
    </row>
    <row r="3005">
      <c r="A3005" s="196" t="inlineStr">
        <is>
          <t>2026-04-17</t>
        </is>
      </c>
      <c r="B3005" s="196" t="inlineStr">
        <is>
          <t>CNY</t>
        </is>
      </c>
      <c r="C3005" s="196" t="inlineStr">
        <is>
          <t>YUAN RENMINBI</t>
        </is>
      </c>
      <c r="D3005" s="184" t="n">
        <v>3760.82</v>
      </c>
      <c r="E3005" s="184" t="n">
        <v>3798.81</v>
      </c>
      <c r="F3005" s="184" t="n">
        <v>3920.46</v>
      </c>
      <c r="G3005" s="184" t="n">
        <v>3859.64</v>
      </c>
    </row>
    <row r="3006">
      <c r="A3006" s="194" t="inlineStr">
        <is>
          <t>2026-04-17</t>
        </is>
      </c>
      <c r="B3006" s="194" t="inlineStr">
        <is>
          <t>DKK</t>
        </is>
      </c>
      <c r="C3006" s="194" t="inlineStr">
        <is>
          <t>DANISH KRONE</t>
        </is>
      </c>
      <c r="D3006" s="195" t="n"/>
      <c r="E3006" s="195" t="n">
        <v>4073.19</v>
      </c>
      <c r="F3006" s="195" t="n">
        <v>4228.93</v>
      </c>
      <c r="G3006" s="195" t="n">
        <v>4151.06</v>
      </c>
    </row>
    <row r="3007">
      <c r="A3007" s="196" t="inlineStr">
        <is>
          <t>2026-04-17</t>
        </is>
      </c>
      <c r="B3007" s="196" t="inlineStr">
        <is>
          <t>EUR</t>
        </is>
      </c>
      <c r="C3007" s="196" t="inlineStr">
        <is>
          <t>EURO</t>
        </is>
      </c>
      <c r="D3007" s="184" t="n">
        <v>30213.35</v>
      </c>
      <c r="E3007" s="184" t="n">
        <v>30518.53</v>
      </c>
      <c r="F3007" s="184" t="n">
        <v>31806.14</v>
      </c>
      <c r="G3007" s="184" t="n">
        <v>31162.34</v>
      </c>
    </row>
    <row r="3008">
      <c r="A3008" s="194" t="inlineStr">
        <is>
          <t>2026-04-17</t>
        </is>
      </c>
      <c r="B3008" s="194" t="inlineStr">
        <is>
          <t>GBP</t>
        </is>
      </c>
      <c r="C3008" s="194" t="inlineStr">
        <is>
          <t>POUND STERLING</t>
        </is>
      </c>
      <c r="D3008" s="195" t="n">
        <v>34680.94</v>
      </c>
      <c r="E3008" s="195" t="n">
        <v>35031.25</v>
      </c>
      <c r="F3008" s="195" t="n">
        <v>36153.06</v>
      </c>
      <c r="G3008" s="195" t="n">
        <v>35592.16</v>
      </c>
    </row>
    <row r="3009">
      <c r="A3009" s="196" t="inlineStr">
        <is>
          <t>2026-04-17</t>
        </is>
      </c>
      <c r="B3009" s="196" t="inlineStr">
        <is>
          <t>HKD</t>
        </is>
      </c>
      <c r="C3009" s="196" t="inlineStr">
        <is>
          <t>HONGKONG DOLLAR</t>
        </is>
      </c>
      <c r="D3009" s="184" t="n">
        <v>3269.73</v>
      </c>
      <c r="E3009" s="184" t="n">
        <v>3302.76</v>
      </c>
      <c r="F3009" s="184" t="n">
        <v>3429.04</v>
      </c>
      <c r="G3009" s="184" t="n">
        <v>3365.9</v>
      </c>
    </row>
    <row r="3010">
      <c r="A3010" s="194" t="inlineStr">
        <is>
          <t>2026-04-17</t>
        </is>
      </c>
      <c r="B3010" s="194" t="inlineStr">
        <is>
          <t>INR</t>
        </is>
      </c>
      <c r="C3010" s="194" t="inlineStr">
        <is>
          <t>INDIAN RUPEE</t>
        </is>
      </c>
      <c r="D3010" s="195" t="n"/>
      <c r="E3010" s="195" t="n">
        <v>281.87</v>
      </c>
      <c r="F3010" s="195" t="n">
        <v>294</v>
      </c>
      <c r="G3010" s="195" t="n">
        <v>287.94</v>
      </c>
    </row>
    <row r="3011">
      <c r="A3011" s="196" t="inlineStr">
        <is>
          <t>2026-04-17</t>
        </is>
      </c>
      <c r="B3011" s="196" t="inlineStr">
        <is>
          <t>JPY</t>
        </is>
      </c>
      <c r="C3011" s="196" t="inlineStr">
        <is>
          <t>YEN</t>
        </is>
      </c>
      <c r="D3011" s="184" t="n">
        <v>160.07</v>
      </c>
      <c r="E3011" s="184" t="n">
        <v>161.69</v>
      </c>
      <c r="F3011" s="184" t="n">
        <v>170.24</v>
      </c>
      <c r="G3011" s="184" t="n">
        <v>165.96</v>
      </c>
    </row>
    <row r="3012">
      <c r="A3012" s="194" t="inlineStr">
        <is>
          <t>2026-04-17</t>
        </is>
      </c>
      <c r="B3012" s="194" t="inlineStr">
        <is>
          <t>KRW</t>
        </is>
      </c>
      <c r="C3012" s="194" t="inlineStr">
        <is>
          <t>KOREAN WON</t>
        </is>
      </c>
      <c r="D3012" s="195" t="n">
        <v>15.54</v>
      </c>
      <c r="E3012" s="195" t="n">
        <v>17.27</v>
      </c>
      <c r="F3012" s="195" t="n">
        <v>18.74</v>
      </c>
      <c r="G3012" s="195" t="n">
        <v>18</v>
      </c>
    </row>
    <row r="3013">
      <c r="A3013" s="196" t="inlineStr">
        <is>
          <t>2026-04-17</t>
        </is>
      </c>
      <c r="B3013" s="196" t="inlineStr">
        <is>
          <t>KWD</t>
        </is>
      </c>
      <c r="C3013" s="196" t="inlineStr">
        <is>
          <t>KUWAITI DINAR</t>
        </is>
      </c>
      <c r="D3013" s="184" t="n"/>
      <c r="E3013" s="184" t="n">
        <v>85513</v>
      </c>
      <c r="F3013" s="184" t="n">
        <v>89657.5</v>
      </c>
      <c r="G3013" s="184" t="n">
        <v>87585.25</v>
      </c>
    </row>
    <row r="3014">
      <c r="A3014" s="194" t="inlineStr">
        <is>
          <t>2026-04-17</t>
        </is>
      </c>
      <c r="B3014" s="194" t="inlineStr">
        <is>
          <t>MYR</t>
        </is>
      </c>
      <c r="C3014" s="194" t="inlineStr">
        <is>
          <t>MALAYSIAN RINGGIT</t>
        </is>
      </c>
      <c r="D3014" s="195" t="n"/>
      <c r="E3014" s="195" t="n">
        <v>6586.06</v>
      </c>
      <c r="F3014" s="195" t="n">
        <v>6729.33</v>
      </c>
      <c r="G3014" s="195" t="n">
        <v>6657.7</v>
      </c>
    </row>
    <row r="3015">
      <c r="A3015" s="196" t="inlineStr">
        <is>
          <t>2026-04-17</t>
        </is>
      </c>
      <c r="B3015" s="196" t="inlineStr">
        <is>
          <t>NOK</t>
        </is>
      </c>
      <c r="C3015" s="196" t="inlineStr">
        <is>
          <t>NORWEGIAN KRONER</t>
        </is>
      </c>
      <c r="D3015" s="184" t="n"/>
      <c r="E3015" s="184" t="n">
        <v>2756.04</v>
      </c>
      <c r="F3015" s="184" t="n">
        <v>2872.89</v>
      </c>
      <c r="G3015" s="184" t="n">
        <v>2814.46</v>
      </c>
    </row>
    <row r="3016">
      <c r="A3016" s="194" t="inlineStr">
        <is>
          <t>2026-04-17</t>
        </is>
      </c>
      <c r="B3016" s="194" t="inlineStr">
        <is>
          <t>RUB</t>
        </is>
      </c>
      <c r="C3016" s="194" t="inlineStr">
        <is>
          <t>RUSSIAN RUBLE</t>
        </is>
      </c>
      <c r="D3016" s="195" t="n"/>
      <c r="E3016" s="195" t="n">
        <v>328.25</v>
      </c>
      <c r="F3016" s="195" t="n">
        <v>363.35</v>
      </c>
      <c r="G3016" s="195" t="n">
        <v>345.8</v>
      </c>
    </row>
    <row r="3017">
      <c r="A3017" s="196" t="inlineStr">
        <is>
          <t>2026-04-17</t>
        </is>
      </c>
      <c r="B3017" s="196" t="inlineStr">
        <is>
          <t>SAR</t>
        </is>
      </c>
      <c r="C3017" s="196" t="inlineStr">
        <is>
          <t>SAUDI RIAL</t>
        </is>
      </c>
      <c r="D3017" s="184" t="n"/>
      <c r="E3017" s="184" t="n">
        <v>6982.24</v>
      </c>
      <c r="F3017" s="184" t="n">
        <v>7282.71</v>
      </c>
      <c r="G3017" s="184" t="n">
        <v>7132.48</v>
      </c>
    </row>
    <row r="3018">
      <c r="A3018" s="194" t="inlineStr">
        <is>
          <t>2026-04-17</t>
        </is>
      </c>
      <c r="B3018" s="194" t="inlineStr">
        <is>
          <t>SEK</t>
        </is>
      </c>
      <c r="C3018" s="194" t="inlineStr">
        <is>
          <t>SWEDISH KRONA</t>
        </is>
      </c>
      <c r="D3018" s="195" t="n"/>
      <c r="E3018" s="195" t="n">
        <v>2807.54</v>
      </c>
      <c r="F3018" s="195" t="n">
        <v>2926.57</v>
      </c>
      <c r="G3018" s="195" t="n">
        <v>2867.06</v>
      </c>
    </row>
    <row r="3019">
      <c r="A3019" s="196" t="inlineStr">
        <is>
          <t>2026-04-17</t>
        </is>
      </c>
      <c r="B3019" s="196" t="inlineStr">
        <is>
          <t>SGD</t>
        </is>
      </c>
      <c r="C3019" s="196" t="inlineStr">
        <is>
          <t>SINGAPORE DOLLAR</t>
        </is>
      </c>
      <c r="D3019" s="184" t="n">
        <v>20145.81</v>
      </c>
      <c r="E3019" s="184" t="n">
        <v>20349.3</v>
      </c>
      <c r="F3019" s="184" t="n">
        <v>21043</v>
      </c>
      <c r="G3019" s="184" t="n">
        <v>20696.15</v>
      </c>
    </row>
    <row r="3020">
      <c r="A3020" s="194" t="inlineStr">
        <is>
          <t>2026-04-17</t>
        </is>
      </c>
      <c r="B3020" s="194" t="inlineStr">
        <is>
          <t>THB</t>
        </is>
      </c>
      <c r="C3020" s="194" t="inlineStr">
        <is>
          <t>THAILAND BAHT</t>
        </is>
      </c>
      <c r="D3020" s="195" t="n">
        <v>724.47</v>
      </c>
      <c r="E3020" s="195" t="n">
        <v>804.96</v>
      </c>
      <c r="F3020" s="195" t="n">
        <v>839.09</v>
      </c>
      <c r="G3020" s="195" t="n">
        <v>822.03</v>
      </c>
    </row>
    <row r="3021">
      <c r="A3021" s="196" t="inlineStr">
        <is>
          <t>2026-04-17</t>
        </is>
      </c>
      <c r="B3021" s="196" t="inlineStr">
        <is>
          <t>USD</t>
        </is>
      </c>
      <c r="C3021" s="196" t="inlineStr">
        <is>
          <t>US DOLLAR</t>
        </is>
      </c>
      <c r="D3021" s="184" t="n">
        <v>26097</v>
      </c>
      <c r="E3021" s="184" t="n">
        <v>26127</v>
      </c>
      <c r="F3021" s="184" t="n">
        <v>26357</v>
      </c>
      <c r="G3021" s="184" t="n">
        <v>26242</v>
      </c>
    </row>
    <row r="3022">
      <c r="A3022" s="194" t="inlineStr">
        <is>
          <t>2026-04-16</t>
        </is>
      </c>
      <c r="B3022" s="194" t="inlineStr">
        <is>
          <t>AUD</t>
        </is>
      </c>
      <c r="C3022" s="194" t="inlineStr">
        <is>
          <t>AUSTRALIAN DOLLAR</t>
        </is>
      </c>
      <c r="D3022" s="195" t="n">
        <v>18410.89</v>
      </c>
      <c r="E3022" s="195" t="n">
        <v>18596.86</v>
      </c>
      <c r="F3022" s="195" t="n">
        <v>19192.39</v>
      </c>
      <c r="G3022" s="195" t="n">
        <v>18894.62</v>
      </c>
    </row>
    <row r="3023">
      <c r="A3023" s="196" t="inlineStr">
        <is>
          <t>2026-04-16</t>
        </is>
      </c>
      <c r="B3023" s="196" t="inlineStr">
        <is>
          <t>CAD</t>
        </is>
      </c>
      <c r="C3023" s="196" t="inlineStr">
        <is>
          <t>CANADIAN DOLLAR</t>
        </is>
      </c>
      <c r="D3023" s="184" t="n">
        <v>18691.8</v>
      </c>
      <c r="E3023" s="184" t="n">
        <v>18880.6</v>
      </c>
      <c r="F3023" s="184" t="n">
        <v>19485.23</v>
      </c>
      <c r="G3023" s="184" t="n">
        <v>19182.92</v>
      </c>
    </row>
    <row r="3024">
      <c r="A3024" s="194" t="inlineStr">
        <is>
          <t>2026-04-16</t>
        </is>
      </c>
      <c r="B3024" s="194" t="inlineStr">
        <is>
          <t>CHF</t>
        </is>
      </c>
      <c r="C3024" s="194" t="inlineStr">
        <is>
          <t>SWISS FRANC</t>
        </is>
      </c>
      <c r="D3024" s="195" t="n">
        <v>32857.84</v>
      </c>
      <c r="E3024" s="195" t="n">
        <v>33189.73</v>
      </c>
      <c r="F3024" s="195" t="n">
        <v>34252.59</v>
      </c>
      <c r="G3024" s="195" t="n">
        <v>33721.16</v>
      </c>
    </row>
    <row r="3025">
      <c r="A3025" s="196" t="inlineStr">
        <is>
          <t>2026-04-16</t>
        </is>
      </c>
      <c r="B3025" s="196" t="inlineStr">
        <is>
          <t>CNY</t>
        </is>
      </c>
      <c r="C3025" s="196" t="inlineStr">
        <is>
          <t>YUAN RENMINBI</t>
        </is>
      </c>
      <c r="D3025" s="184" t="n">
        <v>3763.86</v>
      </c>
      <c r="E3025" s="184" t="n">
        <v>3801.87</v>
      </c>
      <c r="F3025" s="184" t="n">
        <v>3923.62</v>
      </c>
      <c r="G3025" s="184" t="n">
        <v>3862.74</v>
      </c>
    </row>
    <row r="3026">
      <c r="A3026" s="194" t="inlineStr">
        <is>
          <t>2026-04-16</t>
        </is>
      </c>
      <c r="B3026" s="194" t="inlineStr">
        <is>
          <t>DKK</t>
        </is>
      </c>
      <c r="C3026" s="194" t="inlineStr">
        <is>
          <t>DANISH KRONE</t>
        </is>
      </c>
      <c r="D3026" s="195" t="n"/>
      <c r="E3026" s="195" t="n">
        <v>4083.29</v>
      </c>
      <c r="F3026" s="195" t="n">
        <v>4239.42</v>
      </c>
      <c r="G3026" s="195" t="n">
        <v>4161.35</v>
      </c>
    </row>
    <row r="3027">
      <c r="A3027" s="196" t="inlineStr">
        <is>
          <t>2026-04-16</t>
        </is>
      </c>
      <c r="B3027" s="196" t="inlineStr">
        <is>
          <t>EUR</t>
        </is>
      </c>
      <c r="C3027" s="196" t="inlineStr">
        <is>
          <t>EURO</t>
        </is>
      </c>
      <c r="D3027" s="184" t="n">
        <v>30287.14</v>
      </c>
      <c r="E3027" s="184" t="n">
        <v>30593.07</v>
      </c>
      <c r="F3027" s="184" t="n">
        <v>31883.83</v>
      </c>
      <c r="G3027" s="184" t="n">
        <v>31238.45</v>
      </c>
    </row>
    <row r="3028">
      <c r="A3028" s="194" t="inlineStr">
        <is>
          <t>2026-04-16</t>
        </is>
      </c>
      <c r="B3028" s="194" t="inlineStr">
        <is>
          <t>GBP</t>
        </is>
      </c>
      <c r="C3028" s="194" t="inlineStr">
        <is>
          <t>POUND STERLING</t>
        </is>
      </c>
      <c r="D3028" s="195" t="n">
        <v>34818.02</v>
      </c>
      <c r="E3028" s="195" t="n">
        <v>35169.72</v>
      </c>
      <c r="F3028" s="195" t="n">
        <v>36295.98</v>
      </c>
      <c r="G3028" s="195" t="n">
        <v>35732.85</v>
      </c>
    </row>
    <row r="3029">
      <c r="A3029" s="196" t="inlineStr">
        <is>
          <t>2026-04-16</t>
        </is>
      </c>
      <c r="B3029" s="196" t="inlineStr">
        <is>
          <t>HKD</t>
        </is>
      </c>
      <c r="C3029" s="196" t="inlineStr">
        <is>
          <t>HONGKONG DOLLAR</t>
        </is>
      </c>
      <c r="D3029" s="184" t="n">
        <v>3267.9</v>
      </c>
      <c r="E3029" s="184" t="n">
        <v>3300.91</v>
      </c>
      <c r="F3029" s="184" t="n">
        <v>3427.12</v>
      </c>
      <c r="G3029" s="184" t="n">
        <v>3364.02</v>
      </c>
    </row>
    <row r="3030">
      <c r="A3030" s="194" t="inlineStr">
        <is>
          <t>2026-04-16</t>
        </is>
      </c>
      <c r="B3030" s="194" t="inlineStr">
        <is>
          <t>INR</t>
        </is>
      </c>
      <c r="C3030" s="194" t="inlineStr">
        <is>
          <t>INDIAN RUPEE</t>
        </is>
      </c>
      <c r="D3030" s="195" t="n"/>
      <c r="E3030" s="195" t="n">
        <v>280.43</v>
      </c>
      <c r="F3030" s="195" t="n">
        <v>292.49</v>
      </c>
      <c r="G3030" s="195" t="n">
        <v>286.46</v>
      </c>
    </row>
    <row r="3031">
      <c r="A3031" s="196" t="inlineStr">
        <is>
          <t>2026-04-16</t>
        </is>
      </c>
      <c r="B3031" s="196" t="inlineStr">
        <is>
          <t>JPY</t>
        </is>
      </c>
      <c r="C3031" s="196" t="inlineStr">
        <is>
          <t>YEN</t>
        </is>
      </c>
      <c r="D3031" s="184" t="n">
        <v>160.06</v>
      </c>
      <c r="E3031" s="184" t="n">
        <v>161.68</v>
      </c>
      <c r="F3031" s="184" t="n">
        <v>170.23</v>
      </c>
      <c r="G3031" s="184" t="n">
        <v>165.96</v>
      </c>
    </row>
    <row r="3032">
      <c r="A3032" s="194" t="inlineStr">
        <is>
          <t>2026-04-16</t>
        </is>
      </c>
      <c r="B3032" s="194" t="inlineStr">
        <is>
          <t>KRW</t>
        </is>
      </c>
      <c r="C3032" s="194" t="inlineStr">
        <is>
          <t>KOREAN WON</t>
        </is>
      </c>
      <c r="D3032" s="195" t="n">
        <v>15.44</v>
      </c>
      <c r="E3032" s="195" t="n">
        <v>17.15</v>
      </c>
      <c r="F3032" s="195" t="n">
        <v>18.61</v>
      </c>
      <c r="G3032" s="195" t="n">
        <v>17.88</v>
      </c>
    </row>
    <row r="3033">
      <c r="A3033" s="196" t="inlineStr">
        <is>
          <t>2026-04-16</t>
        </is>
      </c>
      <c r="B3033" s="196" t="inlineStr">
        <is>
          <t>KWD</t>
        </is>
      </c>
      <c r="C3033" s="196" t="inlineStr">
        <is>
          <t>KUWAITI DINAR</t>
        </is>
      </c>
      <c r="D3033" s="184" t="n"/>
      <c r="E3033" s="184" t="n">
        <v>85468.84</v>
      </c>
      <c r="F3033" s="184" t="n">
        <v>89611.22</v>
      </c>
      <c r="G3033" s="184" t="n">
        <v>87540.03</v>
      </c>
    </row>
    <row r="3034">
      <c r="A3034" s="194" t="inlineStr">
        <is>
          <t>2026-04-16</t>
        </is>
      </c>
      <c r="B3034" s="194" t="inlineStr">
        <is>
          <t>MYR</t>
        </is>
      </c>
      <c r="C3034" s="194" t="inlineStr">
        <is>
          <t>MALAYSIAN RINGGIT</t>
        </is>
      </c>
      <c r="D3034" s="195" t="n"/>
      <c r="E3034" s="195" t="n">
        <v>6599.82</v>
      </c>
      <c r="F3034" s="195" t="n">
        <v>6743.39</v>
      </c>
      <c r="G3034" s="195" t="n">
        <v>6671.6</v>
      </c>
    </row>
    <row r="3035">
      <c r="A3035" s="196" t="inlineStr">
        <is>
          <t>2026-04-16</t>
        </is>
      </c>
      <c r="B3035" s="196" t="inlineStr">
        <is>
          <t>NOK</t>
        </is>
      </c>
      <c r="C3035" s="196" t="inlineStr">
        <is>
          <t>NORWEGIAN KRONER</t>
        </is>
      </c>
      <c r="D3035" s="184" t="n"/>
      <c r="E3035" s="184" t="n">
        <v>2749.55</v>
      </c>
      <c r="F3035" s="184" t="n">
        <v>2866.13</v>
      </c>
      <c r="G3035" s="184" t="n">
        <v>2807.84</v>
      </c>
    </row>
    <row r="3036">
      <c r="A3036" s="194" t="inlineStr">
        <is>
          <t>2026-04-16</t>
        </is>
      </c>
      <c r="B3036" s="194" t="inlineStr">
        <is>
          <t>RUB</t>
        </is>
      </c>
      <c r="C3036" s="194" t="inlineStr">
        <is>
          <t>RUSSIAN RUBLE</t>
        </is>
      </c>
      <c r="D3036" s="195" t="n"/>
      <c r="E3036" s="195" t="n">
        <v>329.7</v>
      </c>
      <c r="F3036" s="195" t="n">
        <v>364.96</v>
      </c>
      <c r="G3036" s="195" t="n">
        <v>347.33</v>
      </c>
    </row>
    <row r="3037">
      <c r="A3037" s="196" t="inlineStr">
        <is>
          <t>2026-04-16</t>
        </is>
      </c>
      <c r="B3037" s="196" t="inlineStr">
        <is>
          <t>SAR</t>
        </is>
      </c>
      <c r="C3037" s="196" t="inlineStr">
        <is>
          <t>SAUDI RIAL</t>
        </is>
      </c>
      <c r="D3037" s="184" t="n"/>
      <c r="E3037" s="184" t="n">
        <v>6978.3</v>
      </c>
      <c r="F3037" s="184" t="n">
        <v>7278.61</v>
      </c>
      <c r="G3037" s="184" t="n">
        <v>7128.46</v>
      </c>
    </row>
    <row r="3038">
      <c r="A3038" s="194" t="inlineStr">
        <is>
          <t>2026-04-16</t>
        </is>
      </c>
      <c r="B3038" s="194" t="inlineStr">
        <is>
          <t>SEK</t>
        </is>
      </c>
      <c r="C3038" s="194" t="inlineStr">
        <is>
          <t>SWEDISH KRONA</t>
        </is>
      </c>
      <c r="D3038" s="195" t="n"/>
      <c r="E3038" s="195" t="n">
        <v>2820.14</v>
      </c>
      <c r="F3038" s="195" t="n">
        <v>2939.71</v>
      </c>
      <c r="G3038" s="195" t="n">
        <v>2879.92</v>
      </c>
    </row>
    <row r="3039">
      <c r="A3039" s="196" t="inlineStr">
        <is>
          <t>2026-04-16</t>
        </is>
      </c>
      <c r="B3039" s="196" t="inlineStr">
        <is>
          <t>SGD</t>
        </is>
      </c>
      <c r="C3039" s="196" t="inlineStr">
        <is>
          <t>SINGAPORE DOLLAR</t>
        </is>
      </c>
      <c r="D3039" s="184" t="n">
        <v>20187.98</v>
      </c>
      <c r="E3039" s="184" t="n">
        <v>20391.9</v>
      </c>
      <c r="F3039" s="184" t="n">
        <v>21087.06</v>
      </c>
      <c r="G3039" s="184" t="n">
        <v>20739.48</v>
      </c>
    </row>
    <row r="3040">
      <c r="A3040" s="194" t="inlineStr">
        <is>
          <t>2026-04-16</t>
        </is>
      </c>
      <c r="B3040" s="194" t="inlineStr">
        <is>
          <t>THB</t>
        </is>
      </c>
      <c r="C3040" s="194" t="inlineStr">
        <is>
          <t>THAILAND BAHT</t>
        </is>
      </c>
      <c r="D3040" s="195" t="n">
        <v>726.37</v>
      </c>
      <c r="E3040" s="195" t="n">
        <v>807.08</v>
      </c>
      <c r="F3040" s="195" t="n">
        <v>841.29</v>
      </c>
      <c r="G3040" s="195" t="n">
        <v>824.1799999999999</v>
      </c>
    </row>
    <row r="3041">
      <c r="A3041" s="196" t="inlineStr">
        <is>
          <t>2026-04-16</t>
        </is>
      </c>
      <c r="B3041" s="196" t="inlineStr">
        <is>
          <t>USD</t>
        </is>
      </c>
      <c r="C3041" s="196" t="inlineStr">
        <is>
          <t>US DOLLAR</t>
        </is>
      </c>
      <c r="D3041" s="184" t="n">
        <v>26097</v>
      </c>
      <c r="E3041" s="184" t="n">
        <v>26127</v>
      </c>
      <c r="F3041" s="184" t="n">
        <v>26357</v>
      </c>
      <c r="G3041" s="184" t="n">
        <v>26242</v>
      </c>
    </row>
    <row r="3042">
      <c r="A3042" s="194" t="inlineStr">
        <is>
          <t>2026-04-15</t>
        </is>
      </c>
      <c r="B3042" s="194" t="inlineStr">
        <is>
          <t>AUD</t>
        </is>
      </c>
      <c r="C3042" s="194" t="inlineStr">
        <is>
          <t>AUSTRALIAN DOLLAR</t>
        </is>
      </c>
      <c r="D3042" s="195" t="n">
        <v>18280.95</v>
      </c>
      <c r="E3042" s="195" t="n">
        <v>18465.6</v>
      </c>
      <c r="F3042" s="195" t="n">
        <v>19056.93</v>
      </c>
      <c r="G3042" s="195" t="n">
        <v>18761.26</v>
      </c>
    </row>
    <row r="3043">
      <c r="A3043" s="196" t="inlineStr">
        <is>
          <t>2026-04-15</t>
        </is>
      </c>
      <c r="B3043" s="196" t="inlineStr">
        <is>
          <t>CAD</t>
        </is>
      </c>
      <c r="C3043" s="196" t="inlineStr">
        <is>
          <t>CANADIAN DOLLAR</t>
        </is>
      </c>
      <c r="D3043" s="184" t="n">
        <v>18645.1</v>
      </c>
      <c r="E3043" s="184" t="n">
        <v>18833.44</v>
      </c>
      <c r="F3043" s="184" t="n">
        <v>19436.54</v>
      </c>
      <c r="G3043" s="184" t="n">
        <v>19134.99</v>
      </c>
    </row>
    <row r="3044">
      <c r="A3044" s="194" t="inlineStr">
        <is>
          <t>2026-04-15</t>
        </is>
      </c>
      <c r="B3044" s="194" t="inlineStr">
        <is>
          <t>CHF</t>
        </is>
      </c>
      <c r="C3044" s="194" t="inlineStr">
        <is>
          <t>SWISS FRANC</t>
        </is>
      </c>
      <c r="D3044" s="195" t="n">
        <v>32859.87</v>
      </c>
      <c r="E3044" s="195" t="n">
        <v>33191.79</v>
      </c>
      <c r="F3044" s="195" t="n">
        <v>34254.7</v>
      </c>
      <c r="G3044" s="195" t="n">
        <v>33723.24</v>
      </c>
    </row>
    <row r="3045">
      <c r="A3045" s="196" t="inlineStr">
        <is>
          <t>2026-04-15</t>
        </is>
      </c>
      <c r="B3045" s="196" t="inlineStr">
        <is>
          <t>CNY</t>
        </is>
      </c>
      <c r="C3045" s="196" t="inlineStr">
        <is>
          <t>YUAN RENMINBI</t>
        </is>
      </c>
      <c r="D3045" s="184" t="n">
        <v>3765.9</v>
      </c>
      <c r="E3045" s="184" t="n">
        <v>3803.94</v>
      </c>
      <c r="F3045" s="184" t="n">
        <v>3925.75</v>
      </c>
      <c r="G3045" s="184" t="n">
        <v>3864.84</v>
      </c>
    </row>
    <row r="3046">
      <c r="A3046" s="194" t="inlineStr">
        <is>
          <t>2026-04-15</t>
        </is>
      </c>
      <c r="B3046" s="194" t="inlineStr">
        <is>
          <t>DKK</t>
        </is>
      </c>
      <c r="C3046" s="194" t="inlineStr">
        <is>
          <t>DANISH KRONE</t>
        </is>
      </c>
      <c r="D3046" s="195" t="n"/>
      <c r="E3046" s="195" t="n">
        <v>4079.17</v>
      </c>
      <c r="F3046" s="195" t="n">
        <v>4235.14</v>
      </c>
      <c r="G3046" s="195" t="n">
        <v>4157.16</v>
      </c>
    </row>
    <row r="3047">
      <c r="A3047" s="196" t="inlineStr">
        <is>
          <t>2026-04-15</t>
        </is>
      </c>
      <c r="B3047" s="196" t="inlineStr">
        <is>
          <t>EUR</t>
        </is>
      </c>
      <c r="C3047" s="196" t="inlineStr">
        <is>
          <t>EURO</t>
        </is>
      </c>
      <c r="D3047" s="184" t="n">
        <v>30256.97</v>
      </c>
      <c r="E3047" s="184" t="n">
        <v>30562.6</v>
      </c>
      <c r="F3047" s="184" t="n">
        <v>31852.06</v>
      </c>
      <c r="G3047" s="184" t="n">
        <v>31207.33</v>
      </c>
    </row>
    <row r="3048">
      <c r="A3048" s="194" t="inlineStr">
        <is>
          <t>2026-04-15</t>
        </is>
      </c>
      <c r="B3048" s="194" t="inlineStr">
        <is>
          <t>GBP</t>
        </is>
      </c>
      <c r="C3048" s="194" t="inlineStr">
        <is>
          <t>POUND STERLING</t>
        </is>
      </c>
      <c r="D3048" s="195" t="n">
        <v>34822.08</v>
      </c>
      <c r="E3048" s="195" t="n">
        <v>35173.81</v>
      </c>
      <c r="F3048" s="195" t="n">
        <v>36300.19</v>
      </c>
      <c r="G3048" s="195" t="n">
        <v>35737</v>
      </c>
    </row>
    <row r="3049">
      <c r="A3049" s="196" t="inlineStr">
        <is>
          <t>2026-04-15</t>
        </is>
      </c>
      <c r="B3049" s="196" t="inlineStr">
        <is>
          <t>HKD</t>
        </is>
      </c>
      <c r="C3049" s="196" t="inlineStr">
        <is>
          <t>HONGKONG DOLLAR</t>
        </is>
      </c>
      <c r="D3049" s="184" t="n">
        <v>3266.64</v>
      </c>
      <c r="E3049" s="184" t="n">
        <v>3299.64</v>
      </c>
      <c r="F3049" s="184" t="n">
        <v>3425.8</v>
      </c>
      <c r="G3049" s="184" t="n">
        <v>3362.72</v>
      </c>
    </row>
    <row r="3050">
      <c r="A3050" s="194" t="inlineStr">
        <is>
          <t>2026-04-15</t>
        </is>
      </c>
      <c r="B3050" s="194" t="inlineStr">
        <is>
          <t>INR</t>
        </is>
      </c>
      <c r="C3050" s="194" t="inlineStr">
        <is>
          <t>INDIAN RUPEE</t>
        </is>
      </c>
      <c r="D3050" s="195" t="n"/>
      <c r="E3050" s="195" t="n">
        <v>281.11</v>
      </c>
      <c r="F3050" s="195" t="n">
        <v>293.21</v>
      </c>
      <c r="G3050" s="195" t="n">
        <v>287.16</v>
      </c>
    </row>
    <row r="3051">
      <c r="A3051" s="196" t="inlineStr">
        <is>
          <t>2026-04-15</t>
        </is>
      </c>
      <c r="B3051" s="196" t="inlineStr">
        <is>
          <t>JPY</t>
        </is>
      </c>
      <c r="C3051" s="196" t="inlineStr">
        <is>
          <t>YEN</t>
        </is>
      </c>
      <c r="D3051" s="184" t="n">
        <v>160.07</v>
      </c>
      <c r="E3051" s="184" t="n">
        <v>161.69</v>
      </c>
      <c r="F3051" s="184" t="n">
        <v>170.24</v>
      </c>
      <c r="G3051" s="184" t="n">
        <v>165.96</v>
      </c>
    </row>
    <row r="3052">
      <c r="A3052" s="194" t="inlineStr">
        <is>
          <t>2026-04-15</t>
        </is>
      </c>
      <c r="B3052" s="194" t="inlineStr">
        <is>
          <t>KRW</t>
        </is>
      </c>
      <c r="C3052" s="194" t="inlineStr">
        <is>
          <t>KOREAN WON</t>
        </is>
      </c>
      <c r="D3052" s="195" t="n">
        <v>15.48</v>
      </c>
      <c r="E3052" s="195" t="n">
        <v>17.2</v>
      </c>
      <c r="F3052" s="195" t="n">
        <v>18.66</v>
      </c>
      <c r="G3052" s="195" t="n">
        <v>17.93</v>
      </c>
    </row>
    <row r="3053">
      <c r="A3053" s="196" t="inlineStr">
        <is>
          <t>2026-04-15</t>
        </is>
      </c>
      <c r="B3053" s="196" t="inlineStr">
        <is>
          <t>KWD</t>
        </is>
      </c>
      <c r="C3053" s="196" t="inlineStr">
        <is>
          <t>KUWAITI DINAR</t>
        </is>
      </c>
      <c r="D3053" s="184" t="n"/>
      <c r="E3053" s="184" t="n">
        <v>85485.08</v>
      </c>
      <c r="F3053" s="184" t="n">
        <v>89628.22</v>
      </c>
      <c r="G3053" s="184" t="n">
        <v>87556.64999999999</v>
      </c>
    </row>
    <row r="3054">
      <c r="A3054" s="194" t="inlineStr">
        <is>
          <t>2026-04-15</t>
        </is>
      </c>
      <c r="B3054" s="194" t="inlineStr">
        <is>
          <t>MYR</t>
        </is>
      </c>
      <c r="C3054" s="194" t="inlineStr">
        <is>
          <t>MALAYSIAN RINGGIT</t>
        </is>
      </c>
      <c r="D3054" s="195" t="n"/>
      <c r="E3054" s="195" t="n">
        <v>6604.42</v>
      </c>
      <c r="F3054" s="195" t="n">
        <v>6748.09</v>
      </c>
      <c r="G3054" s="195" t="n">
        <v>6676.26</v>
      </c>
    </row>
    <row r="3055">
      <c r="A3055" s="196" t="inlineStr">
        <is>
          <t>2026-04-15</t>
        </is>
      </c>
      <c r="B3055" s="196" t="inlineStr">
        <is>
          <t>NOK</t>
        </is>
      </c>
      <c r="C3055" s="196" t="inlineStr">
        <is>
          <t>NORWEGIAN KRONER</t>
        </is>
      </c>
      <c r="D3055" s="184" t="n"/>
      <c r="E3055" s="184" t="n">
        <v>2728.96</v>
      </c>
      <c r="F3055" s="184" t="n">
        <v>2844.66</v>
      </c>
      <c r="G3055" s="184" t="n">
        <v>2786.81</v>
      </c>
    </row>
    <row r="3056">
      <c r="A3056" s="194" t="inlineStr">
        <is>
          <t>2026-04-15</t>
        </is>
      </c>
      <c r="B3056" s="194" t="inlineStr">
        <is>
          <t>RUB</t>
        </is>
      </c>
      <c r="C3056" s="194" t="inlineStr">
        <is>
          <t>RUSSIAN RUBLE</t>
        </is>
      </c>
      <c r="D3056" s="195" t="n"/>
      <c r="E3056" s="195" t="n">
        <v>332.52</v>
      </c>
      <c r="F3056" s="195" t="n">
        <v>368.08</v>
      </c>
      <c r="G3056" s="195" t="n">
        <v>350.3</v>
      </c>
    </row>
    <row r="3057">
      <c r="A3057" s="196" t="inlineStr">
        <is>
          <t>2026-04-15</t>
        </is>
      </c>
      <c r="B3057" s="196" t="inlineStr">
        <is>
          <t>SAR</t>
        </is>
      </c>
      <c r="C3057" s="196" t="inlineStr">
        <is>
          <t>SAUDI RIAL</t>
        </is>
      </c>
      <c r="D3057" s="184" t="n"/>
      <c r="E3057" s="184" t="n">
        <v>6978.33</v>
      </c>
      <c r="F3057" s="184" t="n">
        <v>7278.63</v>
      </c>
      <c r="G3057" s="184" t="n">
        <v>7128.48</v>
      </c>
    </row>
    <row r="3058">
      <c r="A3058" s="194" t="inlineStr">
        <is>
          <t>2026-04-15</t>
        </is>
      </c>
      <c r="B3058" s="194" t="inlineStr">
        <is>
          <t>SEK</t>
        </is>
      </c>
      <c r="C3058" s="194" t="inlineStr">
        <is>
          <t>SWEDISH KRONA</t>
        </is>
      </c>
      <c r="D3058" s="195" t="n"/>
      <c r="E3058" s="195" t="n">
        <v>2810.26</v>
      </c>
      <c r="F3058" s="195" t="n">
        <v>2929.41</v>
      </c>
      <c r="G3058" s="195" t="n">
        <v>2869.84</v>
      </c>
    </row>
    <row r="3059">
      <c r="A3059" s="196" t="inlineStr">
        <is>
          <t>2026-04-15</t>
        </is>
      </c>
      <c r="B3059" s="196" t="inlineStr">
        <is>
          <t>SGD</t>
        </is>
      </c>
      <c r="C3059" s="196" t="inlineStr">
        <is>
          <t>SINGAPORE DOLLAR</t>
        </is>
      </c>
      <c r="D3059" s="184" t="n">
        <v>20177.51</v>
      </c>
      <c r="E3059" s="184" t="n">
        <v>20381.33</v>
      </c>
      <c r="F3059" s="184" t="n">
        <v>21076.12</v>
      </c>
      <c r="G3059" s="184" t="n">
        <v>20728.72</v>
      </c>
    </row>
    <row r="3060">
      <c r="A3060" s="194" t="inlineStr">
        <is>
          <t>2026-04-15</t>
        </is>
      </c>
      <c r="B3060" s="194" t="inlineStr">
        <is>
          <t>THB</t>
        </is>
      </c>
      <c r="C3060" s="194" t="inlineStr">
        <is>
          <t>THAILAND BAHT</t>
        </is>
      </c>
      <c r="D3060" s="195" t="n">
        <v>726.05</v>
      </c>
      <c r="E3060" s="195" t="n">
        <v>806.72</v>
      </c>
      <c r="F3060" s="195" t="n">
        <v>840.9299999999999</v>
      </c>
      <c r="G3060" s="195" t="n">
        <v>823.8200000000001</v>
      </c>
    </row>
    <row r="3061">
      <c r="A3061" s="196" t="inlineStr">
        <is>
          <t>2026-04-15</t>
        </is>
      </c>
      <c r="B3061" s="196" t="inlineStr">
        <is>
          <t>USD</t>
        </is>
      </c>
      <c r="C3061" s="196" t="inlineStr">
        <is>
          <t>US DOLLAR</t>
        </is>
      </c>
      <c r="D3061" s="184" t="n">
        <v>26108</v>
      </c>
      <c r="E3061" s="184" t="n">
        <v>26138</v>
      </c>
      <c r="F3061" s="184" t="n">
        <v>26358</v>
      </c>
      <c r="G3061" s="184" t="n">
        <v>26248</v>
      </c>
    </row>
    <row r="3062">
      <c r="A3062" s="194" t="inlineStr">
        <is>
          <t>2026-04-14</t>
        </is>
      </c>
      <c r="B3062" s="194" t="inlineStr">
        <is>
          <t>AUD</t>
        </is>
      </c>
      <c r="C3062" s="194" t="inlineStr">
        <is>
          <t>AUSTRALIAN DOLLAR</t>
        </is>
      </c>
      <c r="D3062" s="195" t="n">
        <v>18180.87</v>
      </c>
      <c r="E3062" s="195" t="n">
        <v>18364.51</v>
      </c>
      <c r="F3062" s="195" t="n">
        <v>18952.61</v>
      </c>
      <c r="G3062" s="195" t="n">
        <v>18658.56</v>
      </c>
    </row>
    <row r="3063">
      <c r="A3063" s="196" t="inlineStr">
        <is>
          <t>2026-04-14</t>
        </is>
      </c>
      <c r="B3063" s="196" t="inlineStr">
        <is>
          <t>CAD</t>
        </is>
      </c>
      <c r="C3063" s="196" t="inlineStr">
        <is>
          <t>CANADIAN DOLLAR</t>
        </is>
      </c>
      <c r="D3063" s="184" t="n">
        <v>18624.81</v>
      </c>
      <c r="E3063" s="184" t="n">
        <v>18812.94</v>
      </c>
      <c r="F3063" s="184" t="n">
        <v>19415.39</v>
      </c>
      <c r="G3063" s="184" t="n">
        <v>19114.16</v>
      </c>
    </row>
    <row r="3064">
      <c r="A3064" s="194" t="inlineStr">
        <is>
          <t>2026-04-14</t>
        </is>
      </c>
      <c r="B3064" s="194" t="inlineStr">
        <is>
          <t>CHF</t>
        </is>
      </c>
      <c r="C3064" s="194" t="inlineStr">
        <is>
          <t>SWISS FRANC</t>
        </is>
      </c>
      <c r="D3064" s="195" t="n">
        <v>32784.32</v>
      </c>
      <c r="E3064" s="195" t="n">
        <v>33115.48</v>
      </c>
      <c r="F3064" s="195" t="n">
        <v>34175.94</v>
      </c>
      <c r="G3064" s="195" t="n">
        <v>33645.71</v>
      </c>
    </row>
    <row r="3065">
      <c r="A3065" s="196" t="inlineStr">
        <is>
          <t>2026-04-14</t>
        </is>
      </c>
      <c r="B3065" s="196" t="inlineStr">
        <is>
          <t>CNY</t>
        </is>
      </c>
      <c r="C3065" s="196" t="inlineStr">
        <is>
          <t>YUAN RENMINBI</t>
        </is>
      </c>
      <c r="D3065" s="184" t="n">
        <v>3765.07</v>
      </c>
      <c r="E3065" s="184" t="n">
        <v>3803.1</v>
      </c>
      <c r="F3065" s="184" t="n">
        <v>3924.89</v>
      </c>
      <c r="G3065" s="184" t="n">
        <v>3864</v>
      </c>
    </row>
    <row r="3066">
      <c r="A3066" s="194" t="inlineStr">
        <is>
          <t>2026-04-14</t>
        </is>
      </c>
      <c r="B3066" s="194" t="inlineStr">
        <is>
          <t>DKK</t>
        </is>
      </c>
      <c r="C3066" s="194" t="inlineStr">
        <is>
          <t>DANISH KRONE</t>
        </is>
      </c>
      <c r="D3066" s="195" t="n"/>
      <c r="E3066" s="195" t="n">
        <v>4071.14</v>
      </c>
      <c r="F3066" s="195" t="n">
        <v>4226.8</v>
      </c>
      <c r="G3066" s="195" t="n">
        <v>4148.97</v>
      </c>
    </row>
    <row r="3067">
      <c r="A3067" s="196" t="inlineStr">
        <is>
          <t>2026-04-14</t>
        </is>
      </c>
      <c r="B3067" s="196" t="inlineStr">
        <is>
          <t>EUR</t>
        </is>
      </c>
      <c r="C3067" s="196" t="inlineStr">
        <is>
          <t>EURO</t>
        </is>
      </c>
      <c r="D3067" s="184" t="n">
        <v>30192.82</v>
      </c>
      <c r="E3067" s="184" t="n">
        <v>30497.8</v>
      </c>
      <c r="F3067" s="184" t="n">
        <v>31784.53</v>
      </c>
      <c r="G3067" s="184" t="n">
        <v>31141.16</v>
      </c>
    </row>
    <row r="3068">
      <c r="A3068" s="194" t="inlineStr">
        <is>
          <t>2026-04-14</t>
        </is>
      </c>
      <c r="B3068" s="194" t="inlineStr">
        <is>
          <t>GBP</t>
        </is>
      </c>
      <c r="C3068" s="194" t="inlineStr">
        <is>
          <t>POUND STERLING</t>
        </is>
      </c>
      <c r="D3068" s="195" t="n">
        <v>34680.94</v>
      </c>
      <c r="E3068" s="195" t="n">
        <v>35031.25</v>
      </c>
      <c r="F3068" s="195" t="n">
        <v>36153.06</v>
      </c>
      <c r="G3068" s="195" t="n">
        <v>35592.16</v>
      </c>
    </row>
    <row r="3069">
      <c r="A3069" s="196" t="inlineStr">
        <is>
          <t>2026-04-14</t>
        </is>
      </c>
      <c r="B3069" s="196" t="inlineStr">
        <is>
          <t>HKD</t>
        </is>
      </c>
      <c r="C3069" s="196" t="inlineStr">
        <is>
          <t>HONGKONG DOLLAR</t>
        </is>
      </c>
      <c r="D3069" s="184" t="n">
        <v>3267.52</v>
      </c>
      <c r="E3069" s="184" t="n">
        <v>3300.52</v>
      </c>
      <c r="F3069" s="184" t="n">
        <v>3426.72</v>
      </c>
      <c r="G3069" s="184" t="n">
        <v>3363.62</v>
      </c>
    </row>
    <row r="3070">
      <c r="A3070" s="194" t="inlineStr">
        <is>
          <t>2026-04-14</t>
        </is>
      </c>
      <c r="B3070" s="194" t="inlineStr">
        <is>
          <t>INR</t>
        </is>
      </c>
      <c r="C3070" s="194" t="inlineStr">
        <is>
          <t>INDIAN RUPEE</t>
        </is>
      </c>
      <c r="D3070" s="195" t="n"/>
      <c r="E3070" s="195" t="n">
        <v>280.69</v>
      </c>
      <c r="F3070" s="195" t="n">
        <v>292.77</v>
      </c>
      <c r="G3070" s="195" t="n">
        <v>286.73</v>
      </c>
    </row>
    <row r="3071">
      <c r="A3071" s="196" t="inlineStr">
        <is>
          <t>2026-04-14</t>
        </is>
      </c>
      <c r="B3071" s="196" t="inlineStr">
        <is>
          <t>JPY</t>
        </is>
      </c>
      <c r="C3071" s="196" t="inlineStr">
        <is>
          <t>YEN</t>
        </is>
      </c>
      <c r="D3071" s="184" t="n">
        <v>159.74</v>
      </c>
      <c r="E3071" s="184" t="n">
        <v>161.35</v>
      </c>
      <c r="F3071" s="184" t="n">
        <v>169.89</v>
      </c>
      <c r="G3071" s="184" t="n">
        <v>165.62</v>
      </c>
    </row>
    <row r="3072">
      <c r="A3072" s="194" t="inlineStr">
        <is>
          <t>2026-04-14</t>
        </is>
      </c>
      <c r="B3072" s="194" t="inlineStr">
        <is>
          <t>KRW</t>
        </is>
      </c>
      <c r="C3072" s="194" t="inlineStr">
        <is>
          <t>KOREAN WON</t>
        </is>
      </c>
      <c r="D3072" s="195" t="n">
        <v>15.36</v>
      </c>
      <c r="E3072" s="195" t="n">
        <v>17.07</v>
      </c>
      <c r="F3072" s="195" t="n">
        <v>18.52</v>
      </c>
      <c r="G3072" s="195" t="n">
        <v>17.8</v>
      </c>
    </row>
    <row r="3073">
      <c r="A3073" s="196" t="inlineStr">
        <is>
          <t>2026-04-14</t>
        </is>
      </c>
      <c r="B3073" s="196" t="inlineStr">
        <is>
          <t>KWD</t>
        </is>
      </c>
      <c r="C3073" s="196" t="inlineStr">
        <is>
          <t>KUWAITI DINAR</t>
        </is>
      </c>
      <c r="D3073" s="184" t="n"/>
      <c r="E3073" s="184" t="n">
        <v>85429.3</v>
      </c>
      <c r="F3073" s="184" t="n">
        <v>89569.74000000001</v>
      </c>
      <c r="G3073" s="184" t="n">
        <v>87499.52</v>
      </c>
    </row>
    <row r="3074">
      <c r="A3074" s="194" t="inlineStr">
        <is>
          <t>2026-04-14</t>
        </is>
      </c>
      <c r="B3074" s="194" t="inlineStr">
        <is>
          <t>MYR</t>
        </is>
      </c>
      <c r="C3074" s="194" t="inlineStr">
        <is>
          <t>MALAYSIAN RINGGIT</t>
        </is>
      </c>
      <c r="D3074" s="195" t="n"/>
      <c r="E3074" s="195" t="n">
        <v>6589.39</v>
      </c>
      <c r="F3074" s="195" t="n">
        <v>6732.73</v>
      </c>
      <c r="G3074" s="195" t="n">
        <v>6661.06</v>
      </c>
    </row>
    <row r="3075">
      <c r="A3075" s="196" t="inlineStr">
        <is>
          <t>2026-04-14</t>
        </is>
      </c>
      <c r="B3075" s="196" t="inlineStr">
        <is>
          <t>NOK</t>
        </is>
      </c>
      <c r="C3075" s="196" t="inlineStr">
        <is>
          <t>NORWEGIAN KRONER</t>
        </is>
      </c>
      <c r="D3075" s="184" t="n"/>
      <c r="E3075" s="184" t="n">
        <v>2732.51</v>
      </c>
      <c r="F3075" s="184" t="n">
        <v>2848.37</v>
      </c>
      <c r="G3075" s="184" t="n">
        <v>2790.44</v>
      </c>
    </row>
    <row r="3076">
      <c r="A3076" s="194" t="inlineStr">
        <is>
          <t>2026-04-14</t>
        </is>
      </c>
      <c r="B3076" s="194" t="inlineStr">
        <is>
          <t>RUB</t>
        </is>
      </c>
      <c r="C3076" s="194" t="inlineStr">
        <is>
          <t>RUSSIAN RUBLE</t>
        </is>
      </c>
      <c r="D3076" s="195" t="n"/>
      <c r="E3076" s="195" t="n">
        <v>328.47</v>
      </c>
      <c r="F3076" s="195" t="n">
        <v>363.59</v>
      </c>
      <c r="G3076" s="195" t="n">
        <v>346.03</v>
      </c>
    </row>
    <row r="3077">
      <c r="A3077" s="196" t="inlineStr">
        <is>
          <t>2026-04-14</t>
        </is>
      </c>
      <c r="B3077" s="196" t="inlineStr">
        <is>
          <t>SAR</t>
        </is>
      </c>
      <c r="C3077" s="196" t="inlineStr">
        <is>
          <t>SAUDI RIAL</t>
        </is>
      </c>
      <c r="D3077" s="184" t="n"/>
      <c r="E3077" s="184" t="n">
        <v>6977.58</v>
      </c>
      <c r="F3077" s="184" t="n">
        <v>7277.86</v>
      </c>
      <c r="G3077" s="184" t="n">
        <v>7127.72</v>
      </c>
    </row>
    <row r="3078">
      <c r="A3078" s="194" t="inlineStr">
        <is>
          <t>2026-04-14</t>
        </is>
      </c>
      <c r="B3078" s="194" t="inlineStr">
        <is>
          <t>SEK</t>
        </is>
      </c>
      <c r="C3078" s="194" t="inlineStr">
        <is>
          <t>SWEDISH KRONA</t>
        </is>
      </c>
      <c r="D3078" s="195" t="n"/>
      <c r="E3078" s="195" t="n">
        <v>2809.4</v>
      </c>
      <c r="F3078" s="195" t="n">
        <v>2928.52</v>
      </c>
      <c r="G3078" s="195" t="n">
        <v>2868.96</v>
      </c>
    </row>
    <row r="3079">
      <c r="A3079" s="196" t="inlineStr">
        <is>
          <t>2026-04-14</t>
        </is>
      </c>
      <c r="B3079" s="196" t="inlineStr">
        <is>
          <t>SGD</t>
        </is>
      </c>
      <c r="C3079" s="196" t="inlineStr">
        <is>
          <t>SINGAPORE DOLLAR</t>
        </is>
      </c>
      <c r="D3079" s="184" t="n">
        <v>20145.81</v>
      </c>
      <c r="E3079" s="184" t="n">
        <v>20349.3</v>
      </c>
      <c r="F3079" s="184" t="n">
        <v>21043</v>
      </c>
      <c r="G3079" s="184" t="n">
        <v>20696.15</v>
      </c>
    </row>
    <row r="3080">
      <c r="A3080" s="194" t="inlineStr">
        <is>
          <t>2026-04-14</t>
        </is>
      </c>
      <c r="B3080" s="194" t="inlineStr">
        <is>
          <t>THB</t>
        </is>
      </c>
      <c r="C3080" s="194" t="inlineStr">
        <is>
          <t>THAILAND BAHT</t>
        </is>
      </c>
      <c r="D3080" s="195" t="n">
        <v>725.14</v>
      </c>
      <c r="E3080" s="195" t="n">
        <v>805.72</v>
      </c>
      <c r="F3080" s="195" t="n">
        <v>839.88</v>
      </c>
      <c r="G3080" s="195" t="n">
        <v>822.8</v>
      </c>
    </row>
    <row r="3081">
      <c r="A3081" s="196" t="inlineStr">
        <is>
          <t>2026-04-14</t>
        </is>
      </c>
      <c r="B3081" s="196" t="inlineStr">
        <is>
          <t>USD</t>
        </is>
      </c>
      <c r="C3081" s="196" t="inlineStr">
        <is>
          <t>US DOLLAR</t>
        </is>
      </c>
      <c r="D3081" s="184" t="n">
        <v>26111</v>
      </c>
      <c r="E3081" s="184" t="n">
        <v>26141</v>
      </c>
      <c r="F3081" s="184" t="n">
        <v>26361</v>
      </c>
      <c r="G3081" s="184" t="n">
        <v>26251</v>
      </c>
    </row>
    <row r="3082">
      <c r="A3082" s="194" t="inlineStr">
        <is>
          <t>2026-04-13</t>
        </is>
      </c>
      <c r="B3082" s="194" t="inlineStr">
        <is>
          <t>AUD</t>
        </is>
      </c>
      <c r="C3082" s="194" t="inlineStr">
        <is>
          <t>AUSTRALIAN DOLLAR</t>
        </is>
      </c>
      <c r="D3082" s="195" t="n">
        <v>18099.63</v>
      </c>
      <c r="E3082" s="195" t="n">
        <v>18282.45</v>
      </c>
      <c r="F3082" s="195" t="n">
        <v>18867.91</v>
      </c>
      <c r="G3082" s="195" t="n">
        <v>18575.18</v>
      </c>
    </row>
    <row r="3083">
      <c r="A3083" s="196" t="inlineStr">
        <is>
          <t>2026-04-13</t>
        </is>
      </c>
      <c r="B3083" s="196" t="inlineStr">
        <is>
          <t>CAD</t>
        </is>
      </c>
      <c r="C3083" s="196" t="inlineStr">
        <is>
          <t>CANADIAN DOLLAR</t>
        </is>
      </c>
      <c r="D3083" s="184" t="n">
        <v>18538.22</v>
      </c>
      <c r="E3083" s="184" t="n">
        <v>18725.47</v>
      </c>
      <c r="F3083" s="184" t="n">
        <v>19325.12</v>
      </c>
      <c r="G3083" s="184" t="n">
        <v>19025.29</v>
      </c>
    </row>
    <row r="3084">
      <c r="A3084" s="194" t="inlineStr">
        <is>
          <t>2026-04-13</t>
        </is>
      </c>
      <c r="B3084" s="194" t="inlineStr">
        <is>
          <t>CHF</t>
        </is>
      </c>
      <c r="C3084" s="194" t="inlineStr">
        <is>
          <t>SWISS FRANC</t>
        </is>
      </c>
      <c r="D3084" s="195" t="n">
        <v>32499.97</v>
      </c>
      <c r="E3084" s="195" t="n">
        <v>32828.25</v>
      </c>
      <c r="F3084" s="195" t="n">
        <v>33879.51</v>
      </c>
      <c r="G3084" s="195" t="n">
        <v>33353.88</v>
      </c>
    </row>
    <row r="3085">
      <c r="A3085" s="196" t="inlineStr">
        <is>
          <t>2026-04-13</t>
        </is>
      </c>
      <c r="B3085" s="196" t="inlineStr">
        <is>
          <t>CNY</t>
        </is>
      </c>
      <c r="C3085" s="196" t="inlineStr">
        <is>
          <t>YUAN RENMINBI</t>
        </is>
      </c>
      <c r="D3085" s="184" t="n">
        <v>3756.91</v>
      </c>
      <c r="E3085" s="184" t="n">
        <v>3794.86</v>
      </c>
      <c r="F3085" s="184" t="n">
        <v>3916.38</v>
      </c>
      <c r="G3085" s="184" t="n">
        <v>3855.62</v>
      </c>
    </row>
    <row r="3086">
      <c r="A3086" s="194" t="inlineStr">
        <is>
          <t>2026-04-13</t>
        </is>
      </c>
      <c r="B3086" s="194" t="inlineStr">
        <is>
          <t>DKK</t>
        </is>
      </c>
      <c r="C3086" s="194" t="inlineStr">
        <is>
          <t>DANISH KRONE</t>
        </is>
      </c>
      <c r="D3086" s="195" t="n"/>
      <c r="E3086" s="195" t="n">
        <v>4047.18</v>
      </c>
      <c r="F3086" s="195" t="n">
        <v>4201.93</v>
      </c>
      <c r="G3086" s="195" t="n">
        <v>4124.56</v>
      </c>
    </row>
    <row r="3087">
      <c r="A3087" s="196" t="inlineStr">
        <is>
          <t>2026-04-13</t>
        </is>
      </c>
      <c r="B3087" s="196" t="inlineStr">
        <is>
          <t>EUR</t>
        </is>
      </c>
      <c r="C3087" s="196" t="inlineStr">
        <is>
          <t>EURO</t>
        </is>
      </c>
      <c r="D3087" s="184" t="n">
        <v>30018.89</v>
      </c>
      <c r="E3087" s="184" t="n">
        <v>30322.11</v>
      </c>
      <c r="F3087" s="184" t="n">
        <v>31601.42</v>
      </c>
      <c r="G3087" s="184" t="n">
        <v>30961.76</v>
      </c>
    </row>
    <row r="3088">
      <c r="A3088" s="194" t="inlineStr">
        <is>
          <t>2026-04-13</t>
        </is>
      </c>
      <c r="B3088" s="194" t="inlineStr">
        <is>
          <t>GBP</t>
        </is>
      </c>
      <c r="C3088" s="194" t="inlineStr">
        <is>
          <t>POUND STERLING</t>
        </is>
      </c>
      <c r="D3088" s="195" t="n">
        <v>34448.84</v>
      </c>
      <c r="E3088" s="195" t="n">
        <v>34796.8</v>
      </c>
      <c r="F3088" s="195" t="n">
        <v>35911.1</v>
      </c>
      <c r="G3088" s="195" t="n">
        <v>35353.95</v>
      </c>
    </row>
    <row r="3089">
      <c r="A3089" s="196" t="inlineStr">
        <is>
          <t>2026-04-13</t>
        </is>
      </c>
      <c r="B3089" s="196" t="inlineStr">
        <is>
          <t>HKD</t>
        </is>
      </c>
      <c r="C3089" s="196" t="inlineStr">
        <is>
          <t>HONGKONG DOLLAR</t>
        </is>
      </c>
      <c r="D3089" s="184" t="n">
        <v>3268.77</v>
      </c>
      <c r="E3089" s="184" t="n">
        <v>3301.78</v>
      </c>
      <c r="F3089" s="184" t="n">
        <v>3428.03</v>
      </c>
      <c r="G3089" s="184" t="n">
        <v>3364.9</v>
      </c>
    </row>
    <row r="3090">
      <c r="A3090" s="194" t="inlineStr">
        <is>
          <t>2026-04-13</t>
        </is>
      </c>
      <c r="B3090" s="194" t="inlineStr">
        <is>
          <t>INR</t>
        </is>
      </c>
      <c r="C3090" s="194" t="inlineStr">
        <is>
          <t>INDIAN RUPEE</t>
        </is>
      </c>
      <c r="D3090" s="195" t="n"/>
      <c r="E3090" s="195" t="n">
        <v>280.7</v>
      </c>
      <c r="F3090" s="195" t="n">
        <v>292.78</v>
      </c>
      <c r="G3090" s="195" t="n">
        <v>286.74</v>
      </c>
    </row>
    <row r="3091">
      <c r="A3091" s="196" t="inlineStr">
        <is>
          <t>2026-04-13</t>
        </is>
      </c>
      <c r="B3091" s="196" t="inlineStr">
        <is>
          <t>JPY</t>
        </is>
      </c>
      <c r="C3091" s="196" t="inlineStr">
        <is>
          <t>YEN</t>
        </is>
      </c>
      <c r="D3091" s="184" t="n">
        <v>159.22</v>
      </c>
      <c r="E3091" s="184" t="n">
        <v>160.83</v>
      </c>
      <c r="F3091" s="184" t="n">
        <v>169.33</v>
      </c>
      <c r="G3091" s="184" t="n">
        <v>165.08</v>
      </c>
    </row>
    <row r="3092">
      <c r="A3092" s="194" t="inlineStr">
        <is>
          <t>2026-04-13</t>
        </is>
      </c>
      <c r="B3092" s="194" t="inlineStr">
        <is>
          <t>KRW</t>
        </is>
      </c>
      <c r="C3092" s="194" t="inlineStr">
        <is>
          <t>KOREAN WON</t>
        </is>
      </c>
      <c r="D3092" s="195" t="n">
        <v>15.3</v>
      </c>
      <c r="E3092" s="195" t="n">
        <v>17</v>
      </c>
      <c r="F3092" s="195" t="n">
        <v>18.45</v>
      </c>
      <c r="G3092" s="195" t="n">
        <v>17.73</v>
      </c>
    </row>
    <row r="3093">
      <c r="A3093" s="196" t="inlineStr">
        <is>
          <t>2026-04-13</t>
        </is>
      </c>
      <c r="B3093" s="196" t="inlineStr">
        <is>
          <t>KWD</t>
        </is>
      </c>
      <c r="C3093" s="196" t="inlineStr">
        <is>
          <t>KUWAITI DINAR</t>
        </is>
      </c>
      <c r="D3093" s="184" t="n"/>
      <c r="E3093" s="184" t="n">
        <v>85445.53</v>
      </c>
      <c r="F3093" s="184" t="n">
        <v>89586.73</v>
      </c>
      <c r="G3093" s="184" t="n">
        <v>87516.13</v>
      </c>
    </row>
    <row r="3094">
      <c r="A3094" s="194" t="inlineStr">
        <is>
          <t>2026-04-13</t>
        </is>
      </c>
      <c r="B3094" s="194" t="inlineStr">
        <is>
          <t>MYR</t>
        </is>
      </c>
      <c r="C3094" s="194" t="inlineStr">
        <is>
          <t>MALAYSIAN RINGGIT</t>
        </is>
      </c>
      <c r="D3094" s="195" t="n"/>
      <c r="E3094" s="195" t="n">
        <v>6564.08</v>
      </c>
      <c r="F3094" s="195" t="n">
        <v>6706.87</v>
      </c>
      <c r="G3094" s="195" t="n">
        <v>6635.48</v>
      </c>
    </row>
    <row r="3095">
      <c r="A3095" s="196" t="inlineStr">
        <is>
          <t>2026-04-13</t>
        </is>
      </c>
      <c r="B3095" s="196" t="inlineStr">
        <is>
          <t>NOK</t>
        </is>
      </c>
      <c r="C3095" s="196" t="inlineStr">
        <is>
          <t>NORWEGIAN KRONER</t>
        </is>
      </c>
      <c r="D3095" s="184" t="n"/>
      <c r="E3095" s="184" t="n">
        <v>2719.27</v>
      </c>
      <c r="F3095" s="184" t="n">
        <v>2834.56</v>
      </c>
      <c r="G3095" s="184" t="n">
        <v>2776.92</v>
      </c>
    </row>
    <row r="3096">
      <c r="A3096" s="194" t="inlineStr">
        <is>
          <t>2026-04-13</t>
        </is>
      </c>
      <c r="B3096" s="194" t="inlineStr">
        <is>
          <t>RUB</t>
        </is>
      </c>
      <c r="C3096" s="194" t="inlineStr">
        <is>
          <t>RUSSIAN RUBLE</t>
        </is>
      </c>
      <c r="D3096" s="195" t="n"/>
      <c r="E3096" s="195" t="n">
        <v>327.67</v>
      </c>
      <c r="F3096" s="195" t="n">
        <v>362.71</v>
      </c>
      <c r="G3096" s="195" t="n">
        <v>345.19</v>
      </c>
    </row>
    <row r="3097">
      <c r="A3097" s="196" t="inlineStr">
        <is>
          <t>2026-04-13</t>
        </is>
      </c>
      <c r="B3097" s="196" t="inlineStr">
        <is>
          <t>SAR</t>
        </is>
      </c>
      <c r="C3097" s="196" t="inlineStr">
        <is>
          <t>SAUDI RIAL</t>
        </is>
      </c>
      <c r="D3097" s="184" t="n"/>
      <c r="E3097" s="184" t="n">
        <v>6978.91</v>
      </c>
      <c r="F3097" s="184" t="n">
        <v>7279.24</v>
      </c>
      <c r="G3097" s="184" t="n">
        <v>7129.08</v>
      </c>
    </row>
    <row r="3098">
      <c r="A3098" s="194" t="inlineStr">
        <is>
          <t>2026-04-13</t>
        </is>
      </c>
      <c r="B3098" s="194" t="inlineStr">
        <is>
          <t>SEK</t>
        </is>
      </c>
      <c r="C3098" s="194" t="inlineStr">
        <is>
          <t>SWEDISH KRONA</t>
        </is>
      </c>
      <c r="D3098" s="195" t="n"/>
      <c r="E3098" s="195" t="n">
        <v>2774.14</v>
      </c>
      <c r="F3098" s="195" t="n">
        <v>2891.76</v>
      </c>
      <c r="G3098" s="195" t="n">
        <v>2832.95</v>
      </c>
    </row>
    <row r="3099">
      <c r="A3099" s="196" t="inlineStr">
        <is>
          <t>2026-04-13</t>
        </is>
      </c>
      <c r="B3099" s="196" t="inlineStr">
        <is>
          <t>SGD</t>
        </is>
      </c>
      <c r="C3099" s="196" t="inlineStr">
        <is>
          <t>SINGAPORE DOLLAR</t>
        </is>
      </c>
      <c r="D3099" s="184" t="n">
        <v>20114.87</v>
      </c>
      <c r="E3099" s="184" t="n">
        <v>20318.05</v>
      </c>
      <c r="F3099" s="184" t="n">
        <v>21010.68</v>
      </c>
      <c r="G3099" s="184" t="n">
        <v>20664.36</v>
      </c>
    </row>
    <row r="3100">
      <c r="A3100" s="194" t="inlineStr">
        <is>
          <t>2026-04-13</t>
        </is>
      </c>
      <c r="B3100" s="194" t="inlineStr">
        <is>
          <t>THB</t>
        </is>
      </c>
      <c r="C3100" s="194" t="inlineStr">
        <is>
          <t>THAILAND BAHT</t>
        </is>
      </c>
      <c r="D3100" s="195" t="n">
        <v>721.6799999999999</v>
      </c>
      <c r="E3100" s="195" t="n">
        <v>801.86</v>
      </c>
      <c r="F3100" s="195" t="n">
        <v>835.86</v>
      </c>
      <c r="G3100" s="195" t="n">
        <v>818.86</v>
      </c>
    </row>
    <row r="3101">
      <c r="A3101" s="196" t="inlineStr">
        <is>
          <t>2026-04-13</t>
        </is>
      </c>
      <c r="B3101" s="196" t="inlineStr">
        <is>
          <t>USD</t>
        </is>
      </c>
      <c r="C3101" s="196" t="inlineStr">
        <is>
          <t>US DOLLAR</t>
        </is>
      </c>
      <c r="D3101" s="184" t="n">
        <v>26111</v>
      </c>
      <c r="E3101" s="184" t="n">
        <v>26141</v>
      </c>
      <c r="F3101" s="184" t="n">
        <v>26361</v>
      </c>
      <c r="G3101" s="184" t="n">
        <v>26251</v>
      </c>
    </row>
    <row r="3102">
      <c r="A3102" s="194" t="inlineStr">
        <is>
          <t>2026-04-12</t>
        </is>
      </c>
      <c r="B3102" s="194" t="inlineStr">
        <is>
          <t>AUD</t>
        </is>
      </c>
      <c r="C3102" s="194" t="inlineStr">
        <is>
          <t>AUSTRALIAN DOLLAR</t>
        </is>
      </c>
      <c r="D3102" s="195" t="n">
        <v>18141.5</v>
      </c>
      <c r="E3102" s="195" t="n">
        <v>18324.74</v>
      </c>
      <c r="F3102" s="195" t="n">
        <v>18911.57</v>
      </c>
      <c r="G3102" s="195" t="n">
        <v>18618.16</v>
      </c>
    </row>
    <row r="3103">
      <c r="A3103" s="196" t="inlineStr">
        <is>
          <t>2026-04-12</t>
        </is>
      </c>
      <c r="B3103" s="196" t="inlineStr">
        <is>
          <t>CAD</t>
        </is>
      </c>
      <c r="C3103" s="196" t="inlineStr">
        <is>
          <t>CANADIAN DOLLAR</t>
        </is>
      </c>
      <c r="D3103" s="184" t="n">
        <v>18564.69</v>
      </c>
      <c r="E3103" s="184" t="n">
        <v>18752.21</v>
      </c>
      <c r="F3103" s="184" t="n">
        <v>19352.72</v>
      </c>
      <c r="G3103" s="184" t="n">
        <v>19052.46</v>
      </c>
    </row>
    <row r="3104">
      <c r="A3104" s="194" t="inlineStr">
        <is>
          <t>2026-04-12</t>
        </is>
      </c>
      <c r="B3104" s="194" t="inlineStr">
        <is>
          <t>CHF</t>
        </is>
      </c>
      <c r="C3104" s="194" t="inlineStr">
        <is>
          <t>SWISS FRANC</t>
        </is>
      </c>
      <c r="D3104" s="195" t="n">
        <v>32442.44</v>
      </c>
      <c r="E3104" s="195" t="n">
        <v>32770.14</v>
      </c>
      <c r="F3104" s="195" t="n">
        <v>33819.56</v>
      </c>
      <c r="G3104" s="195" t="n">
        <v>33294.85</v>
      </c>
    </row>
    <row r="3105">
      <c r="A3105" s="196" t="inlineStr">
        <is>
          <t>2026-04-12</t>
        </is>
      </c>
      <c r="B3105" s="196" t="inlineStr">
        <is>
          <t>CNY</t>
        </is>
      </c>
      <c r="C3105" s="196" t="inlineStr">
        <is>
          <t>YUAN RENMINBI</t>
        </is>
      </c>
      <c r="D3105" s="184" t="n">
        <v>3756.47</v>
      </c>
      <c r="E3105" s="184" t="n">
        <v>3794.42</v>
      </c>
      <c r="F3105" s="184" t="n">
        <v>3915.93</v>
      </c>
      <c r="G3105" s="184" t="n">
        <v>3855.18</v>
      </c>
    </row>
    <row r="3106">
      <c r="A3106" s="194" t="inlineStr">
        <is>
          <t>2026-04-12</t>
        </is>
      </c>
      <c r="B3106" s="194" t="inlineStr">
        <is>
          <t>DKK</t>
        </is>
      </c>
      <c r="C3106" s="194" t="inlineStr">
        <is>
          <t>DANISH KRONE</t>
        </is>
      </c>
      <c r="D3106" s="195" t="n"/>
      <c r="E3106" s="195" t="n">
        <v>4042.8</v>
      </c>
      <c r="F3106" s="195" t="n">
        <v>4197.38</v>
      </c>
      <c r="G3106" s="195" t="n">
        <v>4120.09</v>
      </c>
    </row>
    <row r="3107">
      <c r="A3107" s="196" t="inlineStr">
        <is>
          <t>2026-04-12</t>
        </is>
      </c>
      <c r="B3107" s="196" t="inlineStr">
        <is>
          <t>EUR</t>
        </is>
      </c>
      <c r="C3107" s="196" t="inlineStr">
        <is>
          <t>EURO</t>
        </is>
      </c>
      <c r="D3107" s="184" t="n">
        <v>29984.4</v>
      </c>
      <c r="E3107" s="184" t="n">
        <v>30287.27</v>
      </c>
      <c r="F3107" s="184" t="n">
        <v>31565.13</v>
      </c>
      <c r="G3107" s="184" t="n">
        <v>30926.2</v>
      </c>
    </row>
    <row r="3108">
      <c r="A3108" s="194" t="inlineStr">
        <is>
          <t>2026-04-12</t>
        </is>
      </c>
      <c r="B3108" s="194" t="inlineStr">
        <is>
          <t>GBP</t>
        </is>
      </c>
      <c r="C3108" s="194" t="inlineStr">
        <is>
          <t>POUND STERLING</t>
        </is>
      </c>
      <c r="D3108" s="195" t="n">
        <v>34435.75</v>
      </c>
      <c r="E3108" s="195" t="n">
        <v>34783.58</v>
      </c>
      <c r="F3108" s="195" t="n">
        <v>35897.47</v>
      </c>
      <c r="G3108" s="195" t="n">
        <v>35340.52</v>
      </c>
    </row>
    <row r="3109">
      <c r="A3109" s="196" t="inlineStr">
        <is>
          <t>2026-04-12</t>
        </is>
      </c>
      <c r="B3109" s="196" t="inlineStr">
        <is>
          <t>HKD</t>
        </is>
      </c>
      <c r="C3109" s="196" t="inlineStr">
        <is>
          <t>HONGKONG DOLLAR</t>
        </is>
      </c>
      <c r="D3109" s="184" t="n">
        <v>3266.27</v>
      </c>
      <c r="E3109" s="184" t="n">
        <v>3299.27</v>
      </c>
      <c r="F3109" s="184" t="n">
        <v>3425.42</v>
      </c>
      <c r="G3109" s="184" t="n">
        <v>3362.34</v>
      </c>
    </row>
    <row r="3110">
      <c r="A3110" s="194" t="inlineStr">
        <is>
          <t>2026-04-12</t>
        </is>
      </c>
      <c r="B3110" s="194" t="inlineStr">
        <is>
          <t>INR</t>
        </is>
      </c>
      <c r="C3110" s="194" t="inlineStr">
        <is>
          <t>INDIAN RUPEE</t>
        </is>
      </c>
      <c r="D3110" s="195" t="n"/>
      <c r="E3110" s="195" t="n">
        <v>283.17</v>
      </c>
      <c r="F3110" s="195" t="n">
        <v>295.36</v>
      </c>
      <c r="G3110" s="195" t="n">
        <v>289.26</v>
      </c>
    </row>
    <row r="3111">
      <c r="A3111" s="196" t="inlineStr">
        <is>
          <t>2026-04-12</t>
        </is>
      </c>
      <c r="B3111" s="196" t="inlineStr">
        <is>
          <t>JPY</t>
        </is>
      </c>
      <c r="C3111" s="196" t="inlineStr">
        <is>
          <t>YEN</t>
        </is>
      </c>
      <c r="D3111" s="184" t="n">
        <v>159.6</v>
      </c>
      <c r="E3111" s="184" t="n">
        <v>161.21</v>
      </c>
      <c r="F3111" s="184" t="n">
        <v>169.74</v>
      </c>
      <c r="G3111" s="184" t="n">
        <v>165.48</v>
      </c>
    </row>
    <row r="3112">
      <c r="A3112" s="194" t="inlineStr">
        <is>
          <t>2026-04-12</t>
        </is>
      </c>
      <c r="B3112" s="194" t="inlineStr">
        <is>
          <t>KRW</t>
        </is>
      </c>
      <c r="C3112" s="194" t="inlineStr">
        <is>
          <t>KOREAN WON</t>
        </is>
      </c>
      <c r="D3112" s="195" t="n">
        <v>15.41</v>
      </c>
      <c r="E3112" s="195" t="n">
        <v>17.12</v>
      </c>
      <c r="F3112" s="195" t="n">
        <v>18.57</v>
      </c>
      <c r="G3112" s="195" t="n">
        <v>17.84</v>
      </c>
    </row>
    <row r="3113">
      <c r="A3113" s="196" t="inlineStr">
        <is>
          <t>2026-04-12</t>
        </is>
      </c>
      <c r="B3113" s="196" t="inlineStr">
        <is>
          <t>KWD</t>
        </is>
      </c>
      <c r="C3113" s="196" t="inlineStr">
        <is>
          <t>KUWAITI DINAR</t>
        </is>
      </c>
      <c r="D3113" s="184" t="n"/>
      <c r="E3113" s="184" t="n">
        <v>85440.94</v>
      </c>
      <c r="F3113" s="184" t="n">
        <v>89581.97</v>
      </c>
      <c r="G3113" s="184" t="n">
        <v>87511.46000000001</v>
      </c>
    </row>
    <row r="3114">
      <c r="A3114" s="194" t="inlineStr">
        <is>
          <t>2026-04-12</t>
        </is>
      </c>
      <c r="B3114" s="194" t="inlineStr">
        <is>
          <t>MYR</t>
        </is>
      </c>
      <c r="C3114" s="194" t="inlineStr">
        <is>
          <t>MALAYSIAN RINGGIT</t>
        </is>
      </c>
      <c r="D3114" s="195" t="n"/>
      <c r="E3114" s="195" t="n">
        <v>6561.59</v>
      </c>
      <c r="F3114" s="195" t="n">
        <v>6704.32</v>
      </c>
      <c r="G3114" s="195" t="n">
        <v>6632.96</v>
      </c>
    </row>
    <row r="3115">
      <c r="A3115" s="196" t="inlineStr">
        <is>
          <t>2026-04-12</t>
        </is>
      </c>
      <c r="B3115" s="196" t="inlineStr">
        <is>
          <t>NOK</t>
        </is>
      </c>
      <c r="C3115" s="196" t="inlineStr">
        <is>
          <t>NORWEGIAN KRONER</t>
        </is>
      </c>
      <c r="D3115" s="184" t="n"/>
      <c r="E3115" s="184" t="n">
        <v>2715.68</v>
      </c>
      <c r="F3115" s="184" t="n">
        <v>2830.83</v>
      </c>
      <c r="G3115" s="184" t="n">
        <v>2773.26</v>
      </c>
    </row>
    <row r="3116">
      <c r="A3116" s="194" t="inlineStr">
        <is>
          <t>2026-04-12</t>
        </is>
      </c>
      <c r="B3116" s="194" t="inlineStr">
        <is>
          <t>RUB</t>
        </is>
      </c>
      <c r="C3116" s="194" t="inlineStr">
        <is>
          <t>RUSSIAN RUBLE</t>
        </is>
      </c>
      <c r="D3116" s="195" t="n"/>
      <c r="E3116" s="195" t="n">
        <v>322.82</v>
      </c>
      <c r="F3116" s="195" t="n">
        <v>357.34</v>
      </c>
      <c r="G3116" s="195" t="n">
        <v>340.08</v>
      </c>
    </row>
    <row r="3117">
      <c r="A3117" s="196" t="inlineStr">
        <is>
          <t>2026-04-12</t>
        </is>
      </c>
      <c r="B3117" s="196" t="inlineStr">
        <is>
          <t>SAR</t>
        </is>
      </c>
      <c r="C3117" s="196" t="inlineStr">
        <is>
          <t>SAUDI RIAL</t>
        </is>
      </c>
      <c r="D3117" s="184" t="n"/>
      <c r="E3117" s="184" t="n">
        <v>6976.26</v>
      </c>
      <c r="F3117" s="184" t="n">
        <v>7276.47</v>
      </c>
      <c r="G3117" s="184" t="n">
        <v>7126.36</v>
      </c>
    </row>
    <row r="3118">
      <c r="A3118" s="194" t="inlineStr">
        <is>
          <t>2026-04-12</t>
        </is>
      </c>
      <c r="B3118" s="194" t="inlineStr">
        <is>
          <t>SEK</t>
        </is>
      </c>
      <c r="C3118" s="194" t="inlineStr">
        <is>
          <t>SWEDISH KRONA</t>
        </is>
      </c>
      <c r="D3118" s="195" t="n"/>
      <c r="E3118" s="195" t="n">
        <v>2773.68</v>
      </c>
      <c r="F3118" s="195" t="n">
        <v>2891.28</v>
      </c>
      <c r="G3118" s="195" t="n">
        <v>2832.48</v>
      </c>
    </row>
    <row r="3119">
      <c r="A3119" s="196" t="inlineStr">
        <is>
          <t>2026-04-12</t>
        </is>
      </c>
      <c r="B3119" s="196" t="inlineStr">
        <is>
          <t>SGD</t>
        </is>
      </c>
      <c r="C3119" s="196" t="inlineStr">
        <is>
          <t>SINGAPORE DOLLAR</t>
        </is>
      </c>
      <c r="D3119" s="184" t="n">
        <v>20137.23</v>
      </c>
      <c r="E3119" s="184" t="n">
        <v>20340.64</v>
      </c>
      <c r="F3119" s="184" t="n">
        <v>21034.05</v>
      </c>
      <c r="G3119" s="184" t="n">
        <v>20687.34</v>
      </c>
    </row>
    <row r="3120">
      <c r="A3120" s="194" t="inlineStr">
        <is>
          <t>2026-04-12</t>
        </is>
      </c>
      <c r="B3120" s="194" t="inlineStr">
        <is>
          <t>THB</t>
        </is>
      </c>
      <c r="C3120" s="194" t="inlineStr">
        <is>
          <t>THAILAND BAHT</t>
        </is>
      </c>
      <c r="D3120" s="195" t="n">
        <v>723.65</v>
      </c>
      <c r="E3120" s="195" t="n">
        <v>804.0599999999999</v>
      </c>
      <c r="F3120" s="195" t="n">
        <v>838.15</v>
      </c>
      <c r="G3120" s="195" t="n">
        <v>821.1</v>
      </c>
    </row>
    <row r="3121">
      <c r="A3121" s="196" t="inlineStr">
        <is>
          <t>2026-04-12</t>
        </is>
      </c>
      <c r="B3121" s="196" t="inlineStr">
        <is>
          <t>USD</t>
        </is>
      </c>
      <c r="C3121" s="196" t="inlineStr">
        <is>
          <t>US DOLLAR</t>
        </is>
      </c>
      <c r="D3121" s="184" t="n">
        <v>26100</v>
      </c>
      <c r="E3121" s="184" t="n">
        <v>26130</v>
      </c>
      <c r="F3121" s="184" t="n">
        <v>26360</v>
      </c>
      <c r="G3121" s="184" t="n">
        <v>26245</v>
      </c>
    </row>
    <row r="3122">
      <c r="A3122" s="194" t="inlineStr">
        <is>
          <t>2026-04-11</t>
        </is>
      </c>
      <c r="B3122" s="194" t="inlineStr">
        <is>
          <t>AUD</t>
        </is>
      </c>
      <c r="C3122" s="194" t="inlineStr">
        <is>
          <t>AUSTRALIAN DOLLAR</t>
        </is>
      </c>
      <c r="D3122" s="195" t="n">
        <v>18141.5</v>
      </c>
      <c r="E3122" s="195" t="n">
        <v>18324.74</v>
      </c>
      <c r="F3122" s="195" t="n">
        <v>18911.57</v>
      </c>
      <c r="G3122" s="195" t="n">
        <v>18618.16</v>
      </c>
    </row>
    <row r="3123">
      <c r="A3123" s="196" t="inlineStr">
        <is>
          <t>2026-04-11</t>
        </is>
      </c>
      <c r="B3123" s="196" t="inlineStr">
        <is>
          <t>CAD</t>
        </is>
      </c>
      <c r="C3123" s="196" t="inlineStr">
        <is>
          <t>CANADIAN DOLLAR</t>
        </is>
      </c>
      <c r="D3123" s="184" t="n">
        <v>18564.69</v>
      </c>
      <c r="E3123" s="184" t="n">
        <v>18752.21</v>
      </c>
      <c r="F3123" s="184" t="n">
        <v>19352.72</v>
      </c>
      <c r="G3123" s="184" t="n">
        <v>19052.46</v>
      </c>
    </row>
    <row r="3124">
      <c r="A3124" s="194" t="inlineStr">
        <is>
          <t>2026-04-11</t>
        </is>
      </c>
      <c r="B3124" s="194" t="inlineStr">
        <is>
          <t>CHF</t>
        </is>
      </c>
      <c r="C3124" s="194" t="inlineStr">
        <is>
          <t>SWISS FRANC</t>
        </is>
      </c>
      <c r="D3124" s="195" t="n">
        <v>32442.44</v>
      </c>
      <c r="E3124" s="195" t="n">
        <v>32770.14</v>
      </c>
      <c r="F3124" s="195" t="n">
        <v>33819.56</v>
      </c>
      <c r="G3124" s="195" t="n">
        <v>33294.85</v>
      </c>
    </row>
    <row r="3125">
      <c r="A3125" s="196" t="inlineStr">
        <is>
          <t>2026-04-11</t>
        </is>
      </c>
      <c r="B3125" s="196" t="inlineStr">
        <is>
          <t>CNY</t>
        </is>
      </c>
      <c r="C3125" s="196" t="inlineStr">
        <is>
          <t>YUAN RENMINBI</t>
        </is>
      </c>
      <c r="D3125" s="184" t="n">
        <v>3756.47</v>
      </c>
      <c r="E3125" s="184" t="n">
        <v>3794.42</v>
      </c>
      <c r="F3125" s="184" t="n">
        <v>3915.93</v>
      </c>
      <c r="G3125" s="184" t="n">
        <v>3855.18</v>
      </c>
    </row>
    <row r="3126">
      <c r="A3126" s="194" t="inlineStr">
        <is>
          <t>2026-04-11</t>
        </is>
      </c>
      <c r="B3126" s="194" t="inlineStr">
        <is>
          <t>DKK</t>
        </is>
      </c>
      <c r="C3126" s="194" t="inlineStr">
        <is>
          <t>DANISH KRONE</t>
        </is>
      </c>
      <c r="D3126" s="195" t="n"/>
      <c r="E3126" s="195" t="n">
        <v>4042.8</v>
      </c>
      <c r="F3126" s="195" t="n">
        <v>4197.38</v>
      </c>
      <c r="G3126" s="195" t="n">
        <v>4120.09</v>
      </c>
    </row>
    <row r="3127">
      <c r="A3127" s="196" t="inlineStr">
        <is>
          <t>2026-04-11</t>
        </is>
      </c>
      <c r="B3127" s="196" t="inlineStr">
        <is>
          <t>EUR</t>
        </is>
      </c>
      <c r="C3127" s="196" t="inlineStr">
        <is>
          <t>EURO</t>
        </is>
      </c>
      <c r="D3127" s="184" t="n">
        <v>29984.4</v>
      </c>
      <c r="E3127" s="184" t="n">
        <v>30287.27</v>
      </c>
      <c r="F3127" s="184" t="n">
        <v>31565.13</v>
      </c>
      <c r="G3127" s="184" t="n">
        <v>30926.2</v>
      </c>
    </row>
    <row r="3128">
      <c r="A3128" s="194" t="inlineStr">
        <is>
          <t>2026-04-11</t>
        </is>
      </c>
      <c r="B3128" s="194" t="inlineStr">
        <is>
          <t>GBP</t>
        </is>
      </c>
      <c r="C3128" s="194" t="inlineStr">
        <is>
          <t>POUND STERLING</t>
        </is>
      </c>
      <c r="D3128" s="195" t="n">
        <v>34435.75</v>
      </c>
      <c r="E3128" s="195" t="n">
        <v>34783.58</v>
      </c>
      <c r="F3128" s="195" t="n">
        <v>35897.47</v>
      </c>
      <c r="G3128" s="195" t="n">
        <v>35340.52</v>
      </c>
    </row>
    <row r="3129">
      <c r="A3129" s="196" t="inlineStr">
        <is>
          <t>2026-04-11</t>
        </is>
      </c>
      <c r="B3129" s="196" t="inlineStr">
        <is>
          <t>HKD</t>
        </is>
      </c>
      <c r="C3129" s="196" t="inlineStr">
        <is>
          <t>HONGKONG DOLLAR</t>
        </is>
      </c>
      <c r="D3129" s="184" t="n">
        <v>3266.27</v>
      </c>
      <c r="E3129" s="184" t="n">
        <v>3299.27</v>
      </c>
      <c r="F3129" s="184" t="n">
        <v>3425.42</v>
      </c>
      <c r="G3129" s="184" t="n">
        <v>3362.34</v>
      </c>
    </row>
    <row r="3130">
      <c r="A3130" s="194" t="inlineStr">
        <is>
          <t>2026-04-11</t>
        </is>
      </c>
      <c r="B3130" s="194" t="inlineStr">
        <is>
          <t>INR</t>
        </is>
      </c>
      <c r="C3130" s="194" t="inlineStr">
        <is>
          <t>INDIAN RUPEE</t>
        </is>
      </c>
      <c r="D3130" s="195" t="n"/>
      <c r="E3130" s="195" t="n">
        <v>283.17</v>
      </c>
      <c r="F3130" s="195" t="n">
        <v>295.36</v>
      </c>
      <c r="G3130" s="195" t="n">
        <v>289.26</v>
      </c>
    </row>
    <row r="3131">
      <c r="A3131" s="196" t="inlineStr">
        <is>
          <t>2026-04-11</t>
        </is>
      </c>
      <c r="B3131" s="196" t="inlineStr">
        <is>
          <t>JPY</t>
        </is>
      </c>
      <c r="C3131" s="196" t="inlineStr">
        <is>
          <t>YEN</t>
        </is>
      </c>
      <c r="D3131" s="184" t="n">
        <v>159.6</v>
      </c>
      <c r="E3131" s="184" t="n">
        <v>161.21</v>
      </c>
      <c r="F3131" s="184" t="n">
        <v>169.74</v>
      </c>
      <c r="G3131" s="184" t="n">
        <v>165.48</v>
      </c>
    </row>
    <row r="3132">
      <c r="A3132" s="194" t="inlineStr">
        <is>
          <t>2026-04-11</t>
        </is>
      </c>
      <c r="B3132" s="194" t="inlineStr">
        <is>
          <t>KRW</t>
        </is>
      </c>
      <c r="C3132" s="194" t="inlineStr">
        <is>
          <t>KOREAN WON</t>
        </is>
      </c>
      <c r="D3132" s="195" t="n">
        <v>15.41</v>
      </c>
      <c r="E3132" s="195" t="n">
        <v>17.12</v>
      </c>
      <c r="F3132" s="195" t="n">
        <v>18.57</v>
      </c>
      <c r="G3132" s="195" t="n">
        <v>17.84</v>
      </c>
    </row>
    <row r="3133">
      <c r="A3133" s="196" t="inlineStr">
        <is>
          <t>2026-04-11</t>
        </is>
      </c>
      <c r="B3133" s="196" t="inlineStr">
        <is>
          <t>KWD</t>
        </is>
      </c>
      <c r="C3133" s="196" t="inlineStr">
        <is>
          <t>KUWAITI DINAR</t>
        </is>
      </c>
      <c r="D3133" s="184" t="n"/>
      <c r="E3133" s="184" t="n">
        <v>85440.94</v>
      </c>
      <c r="F3133" s="184" t="n">
        <v>89581.97</v>
      </c>
      <c r="G3133" s="184" t="n">
        <v>87511.46000000001</v>
      </c>
    </row>
    <row r="3134">
      <c r="A3134" s="194" t="inlineStr">
        <is>
          <t>2026-04-11</t>
        </is>
      </c>
      <c r="B3134" s="194" t="inlineStr">
        <is>
          <t>MYR</t>
        </is>
      </c>
      <c r="C3134" s="194" t="inlineStr">
        <is>
          <t>MALAYSIAN RINGGIT</t>
        </is>
      </c>
      <c r="D3134" s="195" t="n"/>
      <c r="E3134" s="195" t="n">
        <v>6561.59</v>
      </c>
      <c r="F3134" s="195" t="n">
        <v>6704.32</v>
      </c>
      <c r="G3134" s="195" t="n">
        <v>6632.96</v>
      </c>
    </row>
    <row r="3135">
      <c r="A3135" s="196" t="inlineStr">
        <is>
          <t>2026-04-11</t>
        </is>
      </c>
      <c r="B3135" s="196" t="inlineStr">
        <is>
          <t>NOK</t>
        </is>
      </c>
      <c r="C3135" s="196" t="inlineStr">
        <is>
          <t>NORWEGIAN KRONER</t>
        </is>
      </c>
      <c r="D3135" s="184" t="n"/>
      <c r="E3135" s="184" t="n">
        <v>2715.68</v>
      </c>
      <c r="F3135" s="184" t="n">
        <v>2830.83</v>
      </c>
      <c r="G3135" s="184" t="n">
        <v>2773.26</v>
      </c>
    </row>
    <row r="3136">
      <c r="A3136" s="194" t="inlineStr">
        <is>
          <t>2026-04-11</t>
        </is>
      </c>
      <c r="B3136" s="194" t="inlineStr">
        <is>
          <t>RUB</t>
        </is>
      </c>
      <c r="C3136" s="194" t="inlineStr">
        <is>
          <t>RUSSIAN RUBLE</t>
        </is>
      </c>
      <c r="D3136" s="195" t="n"/>
      <c r="E3136" s="195" t="n">
        <v>322.82</v>
      </c>
      <c r="F3136" s="195" t="n">
        <v>357.34</v>
      </c>
      <c r="G3136" s="195" t="n">
        <v>340.08</v>
      </c>
    </row>
    <row r="3137">
      <c r="A3137" s="196" t="inlineStr">
        <is>
          <t>2026-04-11</t>
        </is>
      </c>
      <c r="B3137" s="196" t="inlineStr">
        <is>
          <t>SAR</t>
        </is>
      </c>
      <c r="C3137" s="196" t="inlineStr">
        <is>
          <t>SAUDI RIAL</t>
        </is>
      </c>
      <c r="D3137" s="184" t="n"/>
      <c r="E3137" s="184" t="n">
        <v>6976.26</v>
      </c>
      <c r="F3137" s="184" t="n">
        <v>7276.47</v>
      </c>
      <c r="G3137" s="184" t="n">
        <v>7126.36</v>
      </c>
    </row>
    <row r="3138">
      <c r="A3138" s="194" t="inlineStr">
        <is>
          <t>2026-04-11</t>
        </is>
      </c>
      <c r="B3138" s="194" t="inlineStr">
        <is>
          <t>SEK</t>
        </is>
      </c>
      <c r="C3138" s="194" t="inlineStr">
        <is>
          <t>SWEDISH KRONA</t>
        </is>
      </c>
      <c r="D3138" s="195" t="n"/>
      <c r="E3138" s="195" t="n">
        <v>2773.68</v>
      </c>
      <c r="F3138" s="195" t="n">
        <v>2891.28</v>
      </c>
      <c r="G3138" s="195" t="n">
        <v>2832.48</v>
      </c>
    </row>
    <row r="3139">
      <c r="A3139" s="196" t="inlineStr">
        <is>
          <t>2026-04-11</t>
        </is>
      </c>
      <c r="B3139" s="196" t="inlineStr">
        <is>
          <t>SGD</t>
        </is>
      </c>
      <c r="C3139" s="196" t="inlineStr">
        <is>
          <t>SINGAPORE DOLLAR</t>
        </is>
      </c>
      <c r="D3139" s="184" t="n">
        <v>20137.23</v>
      </c>
      <c r="E3139" s="184" t="n">
        <v>20340.64</v>
      </c>
      <c r="F3139" s="184" t="n">
        <v>21034.05</v>
      </c>
      <c r="G3139" s="184" t="n">
        <v>20687.34</v>
      </c>
    </row>
    <row r="3140">
      <c r="A3140" s="194" t="inlineStr">
        <is>
          <t>2026-04-11</t>
        </is>
      </c>
      <c r="B3140" s="194" t="inlineStr">
        <is>
          <t>THB</t>
        </is>
      </c>
      <c r="C3140" s="194" t="inlineStr">
        <is>
          <t>THAILAND BAHT</t>
        </is>
      </c>
      <c r="D3140" s="195" t="n">
        <v>723.65</v>
      </c>
      <c r="E3140" s="195" t="n">
        <v>804.0599999999999</v>
      </c>
      <c r="F3140" s="195" t="n">
        <v>838.15</v>
      </c>
      <c r="G3140" s="195" t="n">
        <v>821.1</v>
      </c>
    </row>
    <row r="3141">
      <c r="A3141" s="196" t="inlineStr">
        <is>
          <t>2026-04-11</t>
        </is>
      </c>
      <c r="B3141" s="196" t="inlineStr">
        <is>
          <t>USD</t>
        </is>
      </c>
      <c r="C3141" s="196" t="inlineStr">
        <is>
          <t>US DOLLAR</t>
        </is>
      </c>
      <c r="D3141" s="184" t="n">
        <v>26100</v>
      </c>
      <c r="E3141" s="184" t="n">
        <v>26130</v>
      </c>
      <c r="F3141" s="184" t="n">
        <v>26360</v>
      </c>
      <c r="G3141" s="184" t="n">
        <v>26245</v>
      </c>
    </row>
    <row r="3142">
      <c r="A3142" s="194" t="inlineStr">
        <is>
          <t>2026-04-10</t>
        </is>
      </c>
      <c r="B3142" s="194" t="inlineStr">
        <is>
          <t>AUD</t>
        </is>
      </c>
      <c r="C3142" s="194" t="inlineStr">
        <is>
          <t>AUSTRALIAN DOLLAR</t>
        </is>
      </c>
      <c r="D3142" s="195" t="n">
        <v>18141.5</v>
      </c>
      <c r="E3142" s="195" t="n">
        <v>18324.74</v>
      </c>
      <c r="F3142" s="195" t="n">
        <v>18911.57</v>
      </c>
      <c r="G3142" s="195" t="n">
        <v>18618.16</v>
      </c>
    </row>
    <row r="3143">
      <c r="A3143" s="196" t="inlineStr">
        <is>
          <t>2026-04-10</t>
        </is>
      </c>
      <c r="B3143" s="196" t="inlineStr">
        <is>
          <t>CAD</t>
        </is>
      </c>
      <c r="C3143" s="196" t="inlineStr">
        <is>
          <t>CANADIAN DOLLAR</t>
        </is>
      </c>
      <c r="D3143" s="184" t="n">
        <v>18564.69</v>
      </c>
      <c r="E3143" s="184" t="n">
        <v>18752.21</v>
      </c>
      <c r="F3143" s="184" t="n">
        <v>19352.72</v>
      </c>
      <c r="G3143" s="184" t="n">
        <v>19052.46</v>
      </c>
    </row>
    <row r="3144">
      <c r="A3144" s="194" t="inlineStr">
        <is>
          <t>2026-04-10</t>
        </is>
      </c>
      <c r="B3144" s="194" t="inlineStr">
        <is>
          <t>CHF</t>
        </is>
      </c>
      <c r="C3144" s="194" t="inlineStr">
        <is>
          <t>SWISS FRANC</t>
        </is>
      </c>
      <c r="D3144" s="195" t="n">
        <v>32442.44</v>
      </c>
      <c r="E3144" s="195" t="n">
        <v>32770.14</v>
      </c>
      <c r="F3144" s="195" t="n">
        <v>33819.56</v>
      </c>
      <c r="G3144" s="195" t="n">
        <v>33294.85</v>
      </c>
    </row>
    <row r="3145">
      <c r="A3145" s="196" t="inlineStr">
        <is>
          <t>2026-04-10</t>
        </is>
      </c>
      <c r="B3145" s="196" t="inlineStr">
        <is>
          <t>CNY</t>
        </is>
      </c>
      <c r="C3145" s="196" t="inlineStr">
        <is>
          <t>YUAN RENMINBI</t>
        </is>
      </c>
      <c r="D3145" s="184" t="n">
        <v>3756.47</v>
      </c>
      <c r="E3145" s="184" t="n">
        <v>3794.42</v>
      </c>
      <c r="F3145" s="184" t="n">
        <v>3915.93</v>
      </c>
      <c r="G3145" s="184" t="n">
        <v>3855.18</v>
      </c>
    </row>
    <row r="3146">
      <c r="A3146" s="194" t="inlineStr">
        <is>
          <t>2026-04-10</t>
        </is>
      </c>
      <c r="B3146" s="194" t="inlineStr">
        <is>
          <t>DKK</t>
        </is>
      </c>
      <c r="C3146" s="194" t="inlineStr">
        <is>
          <t>DANISH KRONE</t>
        </is>
      </c>
      <c r="D3146" s="195" t="n"/>
      <c r="E3146" s="195" t="n">
        <v>4042.8</v>
      </c>
      <c r="F3146" s="195" t="n">
        <v>4197.38</v>
      </c>
      <c r="G3146" s="195" t="n">
        <v>4120.09</v>
      </c>
    </row>
    <row r="3147">
      <c r="A3147" s="196" t="inlineStr">
        <is>
          <t>2026-04-10</t>
        </is>
      </c>
      <c r="B3147" s="196" t="inlineStr">
        <is>
          <t>EUR</t>
        </is>
      </c>
      <c r="C3147" s="196" t="inlineStr">
        <is>
          <t>EURO</t>
        </is>
      </c>
      <c r="D3147" s="184" t="n">
        <v>29984.4</v>
      </c>
      <c r="E3147" s="184" t="n">
        <v>30287.27</v>
      </c>
      <c r="F3147" s="184" t="n">
        <v>31565.13</v>
      </c>
      <c r="G3147" s="184" t="n">
        <v>30926.2</v>
      </c>
    </row>
    <row r="3148">
      <c r="A3148" s="194" t="inlineStr">
        <is>
          <t>2026-04-10</t>
        </is>
      </c>
      <c r="B3148" s="194" t="inlineStr">
        <is>
          <t>GBP</t>
        </is>
      </c>
      <c r="C3148" s="194" t="inlineStr">
        <is>
          <t>POUND STERLING</t>
        </is>
      </c>
      <c r="D3148" s="195" t="n">
        <v>34435.75</v>
      </c>
      <c r="E3148" s="195" t="n">
        <v>34783.58</v>
      </c>
      <c r="F3148" s="195" t="n">
        <v>35897.47</v>
      </c>
      <c r="G3148" s="195" t="n">
        <v>35340.52</v>
      </c>
    </row>
    <row r="3149">
      <c r="A3149" s="196" t="inlineStr">
        <is>
          <t>2026-04-10</t>
        </is>
      </c>
      <c r="B3149" s="196" t="inlineStr">
        <is>
          <t>HKD</t>
        </is>
      </c>
      <c r="C3149" s="196" t="inlineStr">
        <is>
          <t>HONGKONG DOLLAR</t>
        </is>
      </c>
      <c r="D3149" s="184" t="n">
        <v>3266.27</v>
      </c>
      <c r="E3149" s="184" t="n">
        <v>3299.27</v>
      </c>
      <c r="F3149" s="184" t="n">
        <v>3425.42</v>
      </c>
      <c r="G3149" s="184" t="n">
        <v>3362.34</v>
      </c>
    </row>
    <row r="3150">
      <c r="A3150" s="194" t="inlineStr">
        <is>
          <t>2026-04-10</t>
        </is>
      </c>
      <c r="B3150" s="194" t="inlineStr">
        <is>
          <t>INR</t>
        </is>
      </c>
      <c r="C3150" s="194" t="inlineStr">
        <is>
          <t>INDIAN RUPEE</t>
        </is>
      </c>
      <c r="D3150" s="195" t="n"/>
      <c r="E3150" s="195" t="n">
        <v>283.17</v>
      </c>
      <c r="F3150" s="195" t="n">
        <v>295.36</v>
      </c>
      <c r="G3150" s="195" t="n">
        <v>289.26</v>
      </c>
    </row>
    <row r="3151">
      <c r="A3151" s="196" t="inlineStr">
        <is>
          <t>2026-04-10</t>
        </is>
      </c>
      <c r="B3151" s="196" t="inlineStr">
        <is>
          <t>JPY</t>
        </is>
      </c>
      <c r="C3151" s="196" t="inlineStr">
        <is>
          <t>YEN</t>
        </is>
      </c>
      <c r="D3151" s="184" t="n">
        <v>159.6</v>
      </c>
      <c r="E3151" s="184" t="n">
        <v>161.21</v>
      </c>
      <c r="F3151" s="184" t="n">
        <v>169.74</v>
      </c>
      <c r="G3151" s="184" t="n">
        <v>165.48</v>
      </c>
    </row>
    <row r="3152">
      <c r="A3152" s="194" t="inlineStr">
        <is>
          <t>2026-04-10</t>
        </is>
      </c>
      <c r="B3152" s="194" t="inlineStr">
        <is>
          <t>KRW</t>
        </is>
      </c>
      <c r="C3152" s="194" t="inlineStr">
        <is>
          <t>KOREAN WON</t>
        </is>
      </c>
      <c r="D3152" s="195" t="n">
        <v>15.41</v>
      </c>
      <c r="E3152" s="195" t="n">
        <v>17.12</v>
      </c>
      <c r="F3152" s="195" t="n">
        <v>18.57</v>
      </c>
      <c r="G3152" s="195" t="n">
        <v>17.84</v>
      </c>
    </row>
    <row r="3153">
      <c r="A3153" s="196" t="inlineStr">
        <is>
          <t>2026-04-10</t>
        </is>
      </c>
      <c r="B3153" s="196" t="inlineStr">
        <is>
          <t>KWD</t>
        </is>
      </c>
      <c r="C3153" s="196" t="inlineStr">
        <is>
          <t>KUWAITI DINAR</t>
        </is>
      </c>
      <c r="D3153" s="184" t="n"/>
      <c r="E3153" s="184" t="n">
        <v>85440.94</v>
      </c>
      <c r="F3153" s="184" t="n">
        <v>89581.97</v>
      </c>
      <c r="G3153" s="184" t="n">
        <v>87511.46000000001</v>
      </c>
    </row>
    <row r="3154">
      <c r="A3154" s="194" t="inlineStr">
        <is>
          <t>2026-04-10</t>
        </is>
      </c>
      <c r="B3154" s="194" t="inlineStr">
        <is>
          <t>MYR</t>
        </is>
      </c>
      <c r="C3154" s="194" t="inlineStr">
        <is>
          <t>MALAYSIAN RINGGIT</t>
        </is>
      </c>
      <c r="D3154" s="195" t="n"/>
      <c r="E3154" s="195" t="n">
        <v>6561.59</v>
      </c>
      <c r="F3154" s="195" t="n">
        <v>6704.32</v>
      </c>
      <c r="G3154" s="195" t="n">
        <v>6632.96</v>
      </c>
    </row>
    <row r="3155">
      <c r="A3155" s="196" t="inlineStr">
        <is>
          <t>2026-04-10</t>
        </is>
      </c>
      <c r="B3155" s="196" t="inlineStr">
        <is>
          <t>NOK</t>
        </is>
      </c>
      <c r="C3155" s="196" t="inlineStr">
        <is>
          <t>NORWEGIAN KRONER</t>
        </is>
      </c>
      <c r="D3155" s="184" t="n"/>
      <c r="E3155" s="184" t="n">
        <v>2715.68</v>
      </c>
      <c r="F3155" s="184" t="n">
        <v>2830.83</v>
      </c>
      <c r="G3155" s="184" t="n">
        <v>2773.26</v>
      </c>
    </row>
    <row r="3156">
      <c r="A3156" s="194" t="inlineStr">
        <is>
          <t>2026-04-10</t>
        </is>
      </c>
      <c r="B3156" s="194" t="inlineStr">
        <is>
          <t>RUB</t>
        </is>
      </c>
      <c r="C3156" s="194" t="inlineStr">
        <is>
          <t>RUSSIAN RUBLE</t>
        </is>
      </c>
      <c r="D3156" s="195" t="n"/>
      <c r="E3156" s="195" t="n">
        <v>322.82</v>
      </c>
      <c r="F3156" s="195" t="n">
        <v>357.34</v>
      </c>
      <c r="G3156" s="195" t="n">
        <v>340.08</v>
      </c>
    </row>
    <row r="3157">
      <c r="A3157" s="196" t="inlineStr">
        <is>
          <t>2026-04-10</t>
        </is>
      </c>
      <c r="B3157" s="196" t="inlineStr">
        <is>
          <t>SAR</t>
        </is>
      </c>
      <c r="C3157" s="196" t="inlineStr">
        <is>
          <t>SAUDI RIAL</t>
        </is>
      </c>
      <c r="D3157" s="184" t="n"/>
      <c r="E3157" s="184" t="n">
        <v>6976.26</v>
      </c>
      <c r="F3157" s="184" t="n">
        <v>7276.47</v>
      </c>
      <c r="G3157" s="184" t="n">
        <v>7126.36</v>
      </c>
    </row>
    <row r="3158">
      <c r="A3158" s="194" t="inlineStr">
        <is>
          <t>2026-04-10</t>
        </is>
      </c>
      <c r="B3158" s="194" t="inlineStr">
        <is>
          <t>SEK</t>
        </is>
      </c>
      <c r="C3158" s="194" t="inlineStr">
        <is>
          <t>SWEDISH KRONA</t>
        </is>
      </c>
      <c r="D3158" s="195" t="n"/>
      <c r="E3158" s="195" t="n">
        <v>2773.68</v>
      </c>
      <c r="F3158" s="195" t="n">
        <v>2891.28</v>
      </c>
      <c r="G3158" s="195" t="n">
        <v>2832.48</v>
      </c>
    </row>
    <row r="3159">
      <c r="A3159" s="196" t="inlineStr">
        <is>
          <t>2026-04-10</t>
        </is>
      </c>
      <c r="B3159" s="196" t="inlineStr">
        <is>
          <t>SGD</t>
        </is>
      </c>
      <c r="C3159" s="196" t="inlineStr">
        <is>
          <t>SINGAPORE DOLLAR</t>
        </is>
      </c>
      <c r="D3159" s="184" t="n">
        <v>20137.23</v>
      </c>
      <c r="E3159" s="184" t="n">
        <v>20340.64</v>
      </c>
      <c r="F3159" s="184" t="n">
        <v>21034.05</v>
      </c>
      <c r="G3159" s="184" t="n">
        <v>20687.34</v>
      </c>
    </row>
    <row r="3160">
      <c r="A3160" s="194" t="inlineStr">
        <is>
          <t>2026-04-10</t>
        </is>
      </c>
      <c r="B3160" s="194" t="inlineStr">
        <is>
          <t>THB</t>
        </is>
      </c>
      <c r="C3160" s="194" t="inlineStr">
        <is>
          <t>THAILAND BAHT</t>
        </is>
      </c>
      <c r="D3160" s="195" t="n">
        <v>723.65</v>
      </c>
      <c r="E3160" s="195" t="n">
        <v>804.0599999999999</v>
      </c>
      <c r="F3160" s="195" t="n">
        <v>838.15</v>
      </c>
      <c r="G3160" s="195" t="n">
        <v>821.1</v>
      </c>
    </row>
    <row r="3161">
      <c r="A3161" s="196" t="inlineStr">
        <is>
          <t>2026-04-10</t>
        </is>
      </c>
      <c r="B3161" s="196" t="inlineStr">
        <is>
          <t>USD</t>
        </is>
      </c>
      <c r="C3161" s="196" t="inlineStr">
        <is>
          <t>US DOLLAR</t>
        </is>
      </c>
      <c r="D3161" s="184" t="n">
        <v>26100</v>
      </c>
      <c r="E3161" s="184" t="n">
        <v>26130</v>
      </c>
      <c r="F3161" s="184" t="n">
        <v>26360</v>
      </c>
      <c r="G3161" s="184" t="n">
        <v>26245</v>
      </c>
    </row>
    <row r="3162">
      <c r="A3162" s="194" t="inlineStr">
        <is>
          <t>2026-04-09</t>
        </is>
      </c>
      <c r="B3162" s="194" t="inlineStr">
        <is>
          <t>AUD</t>
        </is>
      </c>
      <c r="C3162" s="194" t="inlineStr">
        <is>
          <t>AUSTRALIAN DOLLAR</t>
        </is>
      </c>
      <c r="D3162" s="195" t="n">
        <v>18032.02</v>
      </c>
      <c r="E3162" s="195" t="n">
        <v>18214.16</v>
      </c>
      <c r="F3162" s="195" t="n">
        <v>18797.45</v>
      </c>
      <c r="G3162" s="195" t="n">
        <v>18505.8</v>
      </c>
    </row>
    <row r="3163">
      <c r="A3163" s="196" t="inlineStr">
        <is>
          <t>2026-04-09</t>
        </is>
      </c>
      <c r="B3163" s="196" t="inlineStr">
        <is>
          <t>CAD</t>
        </is>
      </c>
      <c r="C3163" s="196" t="inlineStr">
        <is>
          <t>CANADIAN DOLLAR</t>
        </is>
      </c>
      <c r="D3163" s="184" t="n">
        <v>18512.1</v>
      </c>
      <c r="E3163" s="184" t="n">
        <v>18699.09</v>
      </c>
      <c r="F3163" s="184" t="n">
        <v>19297.91</v>
      </c>
      <c r="G3163" s="184" t="n">
        <v>18998.5</v>
      </c>
    </row>
    <row r="3164">
      <c r="A3164" s="194" t="inlineStr">
        <is>
          <t>2026-04-09</t>
        </is>
      </c>
      <c r="B3164" s="194" t="inlineStr">
        <is>
          <t>CHF</t>
        </is>
      </c>
      <c r="C3164" s="194" t="inlineStr">
        <is>
          <t>SWISS FRANC</t>
        </is>
      </c>
      <c r="D3164" s="195" t="n">
        <v>32434.21</v>
      </c>
      <c r="E3164" s="195" t="n">
        <v>32761.83</v>
      </c>
      <c r="F3164" s="195" t="n">
        <v>33811</v>
      </c>
      <c r="G3164" s="195" t="n">
        <v>33286.42</v>
      </c>
    </row>
    <row r="3165">
      <c r="A3165" s="196" t="inlineStr">
        <is>
          <t>2026-04-09</t>
        </is>
      </c>
      <c r="B3165" s="196" t="inlineStr">
        <is>
          <t>CNY</t>
        </is>
      </c>
      <c r="C3165" s="196" t="inlineStr">
        <is>
          <t>YUAN RENMINBI</t>
        </is>
      </c>
      <c r="D3165" s="184" t="n">
        <v>3752.52</v>
      </c>
      <c r="E3165" s="184" t="n">
        <v>3790.42</v>
      </c>
      <c r="F3165" s="184" t="n">
        <v>3911.81</v>
      </c>
      <c r="G3165" s="184" t="n">
        <v>3851.12</v>
      </c>
    </row>
    <row r="3166">
      <c r="A3166" s="194" t="inlineStr">
        <is>
          <t>2026-04-09</t>
        </is>
      </c>
      <c r="B3166" s="194" t="inlineStr">
        <is>
          <t>DKK</t>
        </is>
      </c>
      <c r="C3166" s="194" t="inlineStr">
        <is>
          <t>DANISH KRONE</t>
        </is>
      </c>
      <c r="D3166" s="195" t="n"/>
      <c r="E3166" s="195" t="n">
        <v>4031.61</v>
      </c>
      <c r="F3166" s="195" t="n">
        <v>4185.77</v>
      </c>
      <c r="G3166" s="195" t="n">
        <v>4108.69</v>
      </c>
    </row>
    <row r="3167">
      <c r="A3167" s="196" t="inlineStr">
        <is>
          <t>2026-04-09</t>
        </is>
      </c>
      <c r="B3167" s="196" t="inlineStr">
        <is>
          <t>EUR</t>
        </is>
      </c>
      <c r="C3167" s="196" t="inlineStr">
        <is>
          <t>EURO</t>
        </is>
      </c>
      <c r="D3167" s="184" t="n">
        <v>29903.75</v>
      </c>
      <c r="E3167" s="184" t="n">
        <v>30205.81</v>
      </c>
      <c r="F3167" s="184" t="n">
        <v>31480.25</v>
      </c>
      <c r="G3167" s="184" t="n">
        <v>30843.03</v>
      </c>
    </row>
    <row r="3168">
      <c r="A3168" s="194" t="inlineStr">
        <is>
          <t>2026-04-09</t>
        </is>
      </c>
      <c r="B3168" s="194" t="inlineStr">
        <is>
          <t>GBP</t>
        </is>
      </c>
      <c r="C3168" s="194" t="inlineStr">
        <is>
          <t>POUND STERLING</t>
        </is>
      </c>
      <c r="D3168" s="195" t="n">
        <v>34327.77</v>
      </c>
      <c r="E3168" s="195" t="n">
        <v>34674.51</v>
      </c>
      <c r="F3168" s="195" t="n">
        <v>35784.93</v>
      </c>
      <c r="G3168" s="195" t="n">
        <v>35229.72</v>
      </c>
    </row>
    <row r="3169">
      <c r="A3169" s="196" t="inlineStr">
        <is>
          <t>2026-04-09</t>
        </is>
      </c>
      <c r="B3169" s="196" t="inlineStr">
        <is>
          <t>HKD</t>
        </is>
      </c>
      <c r="C3169" s="196" t="inlineStr">
        <is>
          <t>HONGKONG DOLLAR</t>
        </is>
      </c>
      <c r="D3169" s="184" t="n">
        <v>3264.99</v>
      </c>
      <c r="E3169" s="184" t="n">
        <v>3297.97</v>
      </c>
      <c r="F3169" s="184" t="n">
        <v>3424.07</v>
      </c>
      <c r="G3169" s="184" t="n">
        <v>3361.02</v>
      </c>
    </row>
    <row r="3170">
      <c r="A3170" s="194" t="inlineStr">
        <is>
          <t>2026-04-09</t>
        </is>
      </c>
      <c r="B3170" s="194" t="inlineStr">
        <is>
          <t>INR</t>
        </is>
      </c>
      <c r="C3170" s="194" t="inlineStr">
        <is>
          <t>INDIAN RUPEE</t>
        </is>
      </c>
      <c r="D3170" s="195" t="n"/>
      <c r="E3170" s="195" t="n">
        <v>282.31</v>
      </c>
      <c r="F3170" s="195" t="n">
        <v>294.46</v>
      </c>
      <c r="G3170" s="195" t="n">
        <v>288.38</v>
      </c>
    </row>
    <row r="3171">
      <c r="A3171" s="196" t="inlineStr">
        <is>
          <t>2026-04-09</t>
        </is>
      </c>
      <c r="B3171" s="196" t="inlineStr">
        <is>
          <t>JPY</t>
        </is>
      </c>
      <c r="C3171" s="196" t="inlineStr">
        <is>
          <t>YEN</t>
        </is>
      </c>
      <c r="D3171" s="184" t="n">
        <v>159.86</v>
      </c>
      <c r="E3171" s="184" t="n">
        <v>161.48</v>
      </c>
      <c r="F3171" s="184" t="n">
        <v>170.02</v>
      </c>
      <c r="G3171" s="184" t="n">
        <v>165.75</v>
      </c>
    </row>
    <row r="3172">
      <c r="A3172" s="194" t="inlineStr">
        <is>
          <t>2026-04-09</t>
        </is>
      </c>
      <c r="B3172" s="194" t="inlineStr">
        <is>
          <t>KRW</t>
        </is>
      </c>
      <c r="C3172" s="194" t="inlineStr">
        <is>
          <t>KOREAN WON</t>
        </is>
      </c>
      <c r="D3172" s="195" t="n">
        <v>15.37</v>
      </c>
      <c r="E3172" s="195" t="n">
        <v>17.07</v>
      </c>
      <c r="F3172" s="195" t="n">
        <v>18.52</v>
      </c>
      <c r="G3172" s="195" t="n">
        <v>17.8</v>
      </c>
    </row>
    <row r="3173">
      <c r="A3173" s="196" t="inlineStr">
        <is>
          <t>2026-04-09</t>
        </is>
      </c>
      <c r="B3173" s="196" t="inlineStr">
        <is>
          <t>KWD</t>
        </is>
      </c>
      <c r="C3173" s="196" t="inlineStr">
        <is>
          <t>KUWAITI DINAR</t>
        </is>
      </c>
      <c r="D3173" s="184" t="n"/>
      <c r="E3173" s="184" t="n">
        <v>85408.47</v>
      </c>
      <c r="F3173" s="184" t="n">
        <v>89547.98</v>
      </c>
      <c r="G3173" s="184" t="n">
        <v>87478.22</v>
      </c>
    </row>
    <row r="3174">
      <c r="A3174" s="194" t="inlineStr">
        <is>
          <t>2026-04-09</t>
        </is>
      </c>
      <c r="B3174" s="194" t="inlineStr">
        <is>
          <t>MYR</t>
        </is>
      </c>
      <c r="C3174" s="194" t="inlineStr">
        <is>
          <t>MALAYSIAN RINGGIT</t>
        </is>
      </c>
      <c r="D3174" s="195" t="n"/>
      <c r="E3174" s="195" t="n">
        <v>6537.69</v>
      </c>
      <c r="F3174" s="195" t="n">
        <v>6679.9</v>
      </c>
      <c r="G3174" s="195" t="n">
        <v>6608.8</v>
      </c>
    </row>
    <row r="3175">
      <c r="A3175" s="196" t="inlineStr">
        <is>
          <t>2026-04-09</t>
        </is>
      </c>
      <c r="B3175" s="196" t="inlineStr">
        <is>
          <t>NOK</t>
        </is>
      </c>
      <c r="C3175" s="196" t="inlineStr">
        <is>
          <t>NORWEGIAN KRONER</t>
        </is>
      </c>
      <c r="D3175" s="184" t="n"/>
      <c r="E3175" s="184" t="n">
        <v>2699.36</v>
      </c>
      <c r="F3175" s="184" t="n">
        <v>2813.81</v>
      </c>
      <c r="G3175" s="184" t="n">
        <v>2756.58</v>
      </c>
    </row>
    <row r="3176">
      <c r="A3176" s="194" t="inlineStr">
        <is>
          <t>2026-04-09</t>
        </is>
      </c>
      <c r="B3176" s="194" t="inlineStr">
        <is>
          <t>RUB</t>
        </is>
      </c>
      <c r="C3176" s="194" t="inlineStr">
        <is>
          <t>RUSSIAN RUBLE</t>
        </is>
      </c>
      <c r="D3176" s="195" t="n"/>
      <c r="E3176" s="195" t="n">
        <v>320.51</v>
      </c>
      <c r="F3176" s="195" t="n">
        <v>354.78</v>
      </c>
      <c r="G3176" s="195" t="n">
        <v>337.64</v>
      </c>
    </row>
    <row r="3177">
      <c r="A3177" s="196" t="inlineStr">
        <is>
          <t>2026-04-09</t>
        </is>
      </c>
      <c r="B3177" s="196" t="inlineStr">
        <is>
          <t>SAR</t>
        </is>
      </c>
      <c r="C3177" s="196" t="inlineStr">
        <is>
          <t>SAUDI RIAL</t>
        </is>
      </c>
      <c r="D3177" s="184" t="n"/>
      <c r="E3177" s="184" t="n">
        <v>6973.79</v>
      </c>
      <c r="F3177" s="184" t="n">
        <v>7273.91</v>
      </c>
      <c r="G3177" s="184" t="n">
        <v>7123.85</v>
      </c>
    </row>
    <row r="3178">
      <c r="A3178" s="194" t="inlineStr">
        <is>
          <t>2026-04-09</t>
        </is>
      </c>
      <c r="B3178" s="194" t="inlineStr">
        <is>
          <t>SEK</t>
        </is>
      </c>
      <c r="C3178" s="194" t="inlineStr">
        <is>
          <t>SWEDISH KRONA</t>
        </is>
      </c>
      <c r="D3178" s="195" t="n"/>
      <c r="E3178" s="195" t="n">
        <v>2768.07</v>
      </c>
      <c r="F3178" s="195" t="n">
        <v>2885.44</v>
      </c>
      <c r="G3178" s="195" t="n">
        <v>2826.76</v>
      </c>
    </row>
    <row r="3179">
      <c r="A3179" s="196" t="inlineStr">
        <is>
          <t>2026-04-09</t>
        </is>
      </c>
      <c r="B3179" s="196" t="inlineStr">
        <is>
          <t>SGD</t>
        </is>
      </c>
      <c r="C3179" s="196" t="inlineStr">
        <is>
          <t>SINGAPORE DOLLAR</t>
        </is>
      </c>
      <c r="D3179" s="184" t="n">
        <v>20102.74</v>
      </c>
      <c r="E3179" s="184" t="n">
        <v>20305.79</v>
      </c>
      <c r="F3179" s="184" t="n">
        <v>20998.03</v>
      </c>
      <c r="G3179" s="184" t="n">
        <v>20651.91</v>
      </c>
    </row>
    <row r="3180">
      <c r="A3180" s="194" t="inlineStr">
        <is>
          <t>2026-04-09</t>
        </is>
      </c>
      <c r="B3180" s="194" t="inlineStr">
        <is>
          <t>THB</t>
        </is>
      </c>
      <c r="C3180" s="194" t="inlineStr">
        <is>
          <t>THAILAND BAHT</t>
        </is>
      </c>
      <c r="D3180" s="195" t="n">
        <v>724.28</v>
      </c>
      <c r="E3180" s="195" t="n">
        <v>804.75</v>
      </c>
      <c r="F3180" s="195" t="n">
        <v>838.87</v>
      </c>
      <c r="G3180" s="195" t="n">
        <v>821.8099999999999</v>
      </c>
    </row>
    <row r="3181">
      <c r="A3181" s="196" t="inlineStr">
        <is>
          <t>2026-04-09</t>
        </is>
      </c>
      <c r="B3181" s="196" t="inlineStr">
        <is>
          <t>USD</t>
        </is>
      </c>
      <c r="C3181" s="196" t="inlineStr">
        <is>
          <t>US DOLLAR</t>
        </is>
      </c>
      <c r="D3181" s="184" t="n">
        <v>26087</v>
      </c>
      <c r="E3181" s="184" t="n">
        <v>26117</v>
      </c>
      <c r="F3181" s="184" t="n">
        <v>26357</v>
      </c>
      <c r="G3181" s="184" t="n">
        <v>26237</v>
      </c>
    </row>
    <row r="3182">
      <c r="A3182" s="194" t="inlineStr">
        <is>
          <t>2026-04-08</t>
        </is>
      </c>
      <c r="B3182" s="194" t="inlineStr">
        <is>
          <t>AUD</t>
        </is>
      </c>
      <c r="C3182" s="194" t="inlineStr">
        <is>
          <t>AUSTRALIAN DOLLAR</t>
        </is>
      </c>
      <c r="D3182" s="195" t="n">
        <v>18107.33</v>
      </c>
      <c r="E3182" s="195" t="n">
        <v>18290.23</v>
      </c>
      <c r="F3182" s="195" t="n">
        <v>18875.93</v>
      </c>
      <c r="G3182" s="195" t="n">
        <v>18583.08</v>
      </c>
    </row>
    <row r="3183">
      <c r="A3183" s="196" t="inlineStr">
        <is>
          <t>2026-04-08</t>
        </is>
      </c>
      <c r="B3183" s="196" t="inlineStr">
        <is>
          <t>CAD</t>
        </is>
      </c>
      <c r="C3183" s="196" t="inlineStr">
        <is>
          <t>CANADIAN DOLLAR</t>
        </is>
      </c>
      <c r="D3183" s="184" t="n">
        <v>18535.54</v>
      </c>
      <c r="E3183" s="184" t="n">
        <v>18722.77</v>
      </c>
      <c r="F3183" s="184" t="n">
        <v>19322.33</v>
      </c>
      <c r="G3183" s="184" t="n">
        <v>19022.55</v>
      </c>
    </row>
    <row r="3184">
      <c r="A3184" s="194" t="inlineStr">
        <is>
          <t>2026-04-08</t>
        </is>
      </c>
      <c r="B3184" s="194" t="inlineStr">
        <is>
          <t>CHF</t>
        </is>
      </c>
      <c r="C3184" s="194" t="inlineStr">
        <is>
          <t>SWISS FRANC</t>
        </is>
      </c>
      <c r="D3184" s="195" t="n">
        <v>32438.37</v>
      </c>
      <c r="E3184" s="195" t="n">
        <v>32766.03</v>
      </c>
      <c r="F3184" s="195" t="n">
        <v>33815.29</v>
      </c>
      <c r="G3184" s="195" t="n">
        <v>33290.66</v>
      </c>
    </row>
    <row r="3185">
      <c r="A3185" s="196" t="inlineStr">
        <is>
          <t>2026-04-08</t>
        </is>
      </c>
      <c r="B3185" s="196" t="inlineStr">
        <is>
          <t>CNY</t>
        </is>
      </c>
      <c r="C3185" s="196" t="inlineStr">
        <is>
          <t>YUAN RENMINBI</t>
        </is>
      </c>
      <c r="D3185" s="184" t="n">
        <v>3744.03</v>
      </c>
      <c r="E3185" s="184" t="n">
        <v>3781.85</v>
      </c>
      <c r="F3185" s="184" t="n">
        <v>3902.96</v>
      </c>
      <c r="G3185" s="184" t="n">
        <v>3842.4</v>
      </c>
    </row>
    <row r="3186">
      <c r="A3186" s="194" t="inlineStr">
        <is>
          <t>2026-04-08</t>
        </is>
      </c>
      <c r="B3186" s="194" t="inlineStr">
        <is>
          <t>DKK</t>
        </is>
      </c>
      <c r="C3186" s="194" t="inlineStr">
        <is>
          <t>DANISH KRONE</t>
        </is>
      </c>
      <c r="D3186" s="195" t="n"/>
      <c r="E3186" s="195" t="n">
        <v>4036.88</v>
      </c>
      <c r="F3186" s="195" t="n">
        <v>4191.23</v>
      </c>
      <c r="G3186" s="195" t="n">
        <v>4114.06</v>
      </c>
    </row>
    <row r="3187">
      <c r="A3187" s="196" t="inlineStr">
        <is>
          <t>2026-04-08</t>
        </is>
      </c>
      <c r="B3187" s="196" t="inlineStr">
        <is>
          <t>EUR</t>
        </is>
      </c>
      <c r="C3187" s="196" t="inlineStr">
        <is>
          <t>EURO</t>
        </is>
      </c>
      <c r="D3187" s="184" t="n">
        <v>29939.33</v>
      </c>
      <c r="E3187" s="184" t="n">
        <v>30241.75</v>
      </c>
      <c r="F3187" s="184" t="n">
        <v>31517.66</v>
      </c>
      <c r="G3187" s="184" t="n">
        <v>30879.7</v>
      </c>
    </row>
    <row r="3188">
      <c r="A3188" s="194" t="inlineStr">
        <is>
          <t>2026-04-08</t>
        </is>
      </c>
      <c r="B3188" s="194" t="inlineStr">
        <is>
          <t>GBP</t>
        </is>
      </c>
      <c r="C3188" s="194" t="inlineStr">
        <is>
          <t>POUND STERLING</t>
        </is>
      </c>
      <c r="D3188" s="195" t="n">
        <v>34341.04</v>
      </c>
      <c r="E3188" s="195" t="n">
        <v>34687.92</v>
      </c>
      <c r="F3188" s="195" t="n">
        <v>35798.73</v>
      </c>
      <c r="G3188" s="195" t="n">
        <v>35243.32</v>
      </c>
    </row>
    <row r="3189">
      <c r="A3189" s="196" t="inlineStr">
        <is>
          <t>2026-04-08</t>
        </is>
      </c>
      <c r="B3189" s="196" t="inlineStr">
        <is>
          <t>HKD</t>
        </is>
      </c>
      <c r="C3189" s="196" t="inlineStr">
        <is>
          <t>HONGKONG DOLLAR</t>
        </is>
      </c>
      <c r="D3189" s="184" t="n">
        <v>3267.01</v>
      </c>
      <c r="E3189" s="184" t="n">
        <v>3300.01</v>
      </c>
      <c r="F3189" s="184" t="n">
        <v>3426.19</v>
      </c>
      <c r="G3189" s="184" t="n">
        <v>3363.1</v>
      </c>
    </row>
    <row r="3190">
      <c r="A3190" s="194" t="inlineStr">
        <is>
          <t>2026-04-08</t>
        </is>
      </c>
      <c r="B3190" s="194" t="inlineStr">
        <is>
          <t>INR</t>
        </is>
      </c>
      <c r="C3190" s="194" t="inlineStr">
        <is>
          <t>INDIAN RUPEE</t>
        </is>
      </c>
      <c r="D3190" s="195" t="n"/>
      <c r="E3190" s="195" t="n">
        <v>282.06</v>
      </c>
      <c r="F3190" s="195" t="n">
        <v>294.2</v>
      </c>
      <c r="G3190" s="195" t="n">
        <v>288.13</v>
      </c>
    </row>
    <row r="3191">
      <c r="A3191" s="196" t="inlineStr">
        <is>
          <t>2026-04-08</t>
        </is>
      </c>
      <c r="B3191" s="196" t="inlineStr">
        <is>
          <t>JPY</t>
        </is>
      </c>
      <c r="C3191" s="196" t="inlineStr">
        <is>
          <t>YEN</t>
        </is>
      </c>
      <c r="D3191" s="184" t="n">
        <v>160.22</v>
      </c>
      <c r="E3191" s="184" t="n">
        <v>161.84</v>
      </c>
      <c r="F3191" s="184" t="n">
        <v>170.4</v>
      </c>
      <c r="G3191" s="184" t="n">
        <v>166.12</v>
      </c>
    </row>
    <row r="3192">
      <c r="A3192" s="194" t="inlineStr">
        <is>
          <t>2026-04-08</t>
        </is>
      </c>
      <c r="B3192" s="194" t="inlineStr">
        <is>
          <t>KRW</t>
        </is>
      </c>
      <c r="C3192" s="194" t="inlineStr">
        <is>
          <t>KOREAN WON</t>
        </is>
      </c>
      <c r="D3192" s="195" t="n">
        <v>15.4</v>
      </c>
      <c r="E3192" s="195" t="n">
        <v>17.11</v>
      </c>
      <c r="F3192" s="195" t="n">
        <v>18.56</v>
      </c>
      <c r="G3192" s="195" t="n">
        <v>17.84</v>
      </c>
    </row>
    <row r="3193">
      <c r="A3193" s="196" t="inlineStr">
        <is>
          <t>2026-04-08</t>
        </is>
      </c>
      <c r="B3193" s="196" t="inlineStr">
        <is>
          <t>KWD</t>
        </is>
      </c>
      <c r="C3193" s="196" t="inlineStr">
        <is>
          <t>KUWAITI DINAR</t>
        </is>
      </c>
      <c r="D3193" s="184" t="n"/>
      <c r="E3193" s="184" t="n">
        <v>85334.16</v>
      </c>
      <c r="F3193" s="184" t="n">
        <v>89469.97</v>
      </c>
      <c r="G3193" s="184" t="n">
        <v>87402.06</v>
      </c>
    </row>
    <row r="3194">
      <c r="A3194" s="194" t="inlineStr">
        <is>
          <t>2026-04-08</t>
        </is>
      </c>
      <c r="B3194" s="194" t="inlineStr">
        <is>
          <t>MYR</t>
        </is>
      </c>
      <c r="C3194" s="194" t="inlineStr">
        <is>
          <t>MALAYSIAN RINGGIT</t>
        </is>
      </c>
      <c r="D3194" s="195" t="n"/>
      <c r="E3194" s="195" t="n">
        <v>6519.74</v>
      </c>
      <c r="F3194" s="195" t="n">
        <v>6661.56</v>
      </c>
      <c r="G3194" s="195" t="n">
        <v>6590.65</v>
      </c>
    </row>
    <row r="3195">
      <c r="A3195" s="196" t="inlineStr">
        <is>
          <t>2026-04-08</t>
        </is>
      </c>
      <c r="B3195" s="196" t="inlineStr">
        <is>
          <t>NOK</t>
        </is>
      </c>
      <c r="C3195" s="196" t="inlineStr">
        <is>
          <t>NORWEGIAN KRONER</t>
        </is>
      </c>
      <c r="D3195" s="184" t="n"/>
      <c r="E3195" s="184" t="n">
        <v>2695.49</v>
      </c>
      <c r="F3195" s="184" t="n">
        <v>2809.77</v>
      </c>
      <c r="G3195" s="184" t="n">
        <v>2752.63</v>
      </c>
    </row>
    <row r="3196">
      <c r="A3196" s="194" t="inlineStr">
        <is>
          <t>2026-04-08</t>
        </is>
      </c>
      <c r="B3196" s="194" t="inlineStr">
        <is>
          <t>RUB</t>
        </is>
      </c>
      <c r="C3196" s="194" t="inlineStr">
        <is>
          <t>RUSSIAN RUBLE</t>
        </is>
      </c>
      <c r="D3196" s="195" t="n"/>
      <c r="E3196" s="195" t="n">
        <v>319.64</v>
      </c>
      <c r="F3196" s="195" t="n">
        <v>353.83</v>
      </c>
      <c r="G3196" s="195" t="n">
        <v>336.74</v>
      </c>
    </row>
    <row r="3197">
      <c r="A3197" s="196" t="inlineStr">
        <is>
          <t>2026-04-08</t>
        </is>
      </c>
      <c r="B3197" s="196" t="inlineStr">
        <is>
          <t>SAR</t>
        </is>
      </c>
      <c r="C3197" s="196" t="inlineStr">
        <is>
          <t>SAUDI RIAL</t>
        </is>
      </c>
      <c r="D3197" s="184" t="n"/>
      <c r="E3197" s="184" t="n">
        <v>6974.63</v>
      </c>
      <c r="F3197" s="184" t="n">
        <v>7274.78</v>
      </c>
      <c r="G3197" s="184" t="n">
        <v>7124.7</v>
      </c>
    </row>
    <row r="3198">
      <c r="A3198" s="194" t="inlineStr">
        <is>
          <t>2026-04-08</t>
        </is>
      </c>
      <c r="B3198" s="194" t="inlineStr">
        <is>
          <t>SEK</t>
        </is>
      </c>
      <c r="C3198" s="194" t="inlineStr">
        <is>
          <t>SWEDISH KRONA</t>
        </is>
      </c>
      <c r="D3198" s="195" t="n"/>
      <c r="E3198" s="195" t="n">
        <v>2761.55</v>
      </c>
      <c r="F3198" s="195" t="n">
        <v>2878.63</v>
      </c>
      <c r="G3198" s="195" t="n">
        <v>2820.09</v>
      </c>
    </row>
    <row r="3199">
      <c r="A3199" s="196" t="inlineStr">
        <is>
          <t>2026-04-08</t>
        </is>
      </c>
      <c r="B3199" s="196" t="inlineStr">
        <is>
          <t>SGD</t>
        </is>
      </c>
      <c r="C3199" s="196" t="inlineStr">
        <is>
          <t>SINGAPORE DOLLAR</t>
        </is>
      </c>
      <c r="D3199" s="184" t="n">
        <v>20094.38</v>
      </c>
      <c r="E3199" s="184" t="n">
        <v>20297.35</v>
      </c>
      <c r="F3199" s="184" t="n">
        <v>20989.28</v>
      </c>
      <c r="G3199" s="184" t="n">
        <v>20643.31</v>
      </c>
    </row>
    <row r="3200">
      <c r="A3200" s="194" t="inlineStr">
        <is>
          <t>2026-04-08</t>
        </is>
      </c>
      <c r="B3200" s="194" t="inlineStr">
        <is>
          <t>THB</t>
        </is>
      </c>
      <c r="C3200" s="194" t="inlineStr">
        <is>
          <t>THAILAND BAHT</t>
        </is>
      </c>
      <c r="D3200" s="195" t="n">
        <v>722.5700000000001</v>
      </c>
      <c r="E3200" s="195" t="n">
        <v>802.86</v>
      </c>
      <c r="F3200" s="195" t="n">
        <v>836.9</v>
      </c>
      <c r="G3200" s="195" t="n">
        <v>819.88</v>
      </c>
    </row>
    <row r="3201">
      <c r="A3201" s="196" t="inlineStr">
        <is>
          <t>2026-04-08</t>
        </is>
      </c>
      <c r="B3201" s="196" t="inlineStr">
        <is>
          <t>USD</t>
        </is>
      </c>
      <c r="C3201" s="196" t="inlineStr">
        <is>
          <t>US DOLLAR</t>
        </is>
      </c>
      <c r="D3201" s="184" t="n">
        <v>26111</v>
      </c>
      <c r="E3201" s="184" t="n">
        <v>26141</v>
      </c>
      <c r="F3201" s="184" t="n">
        <v>26361</v>
      </c>
      <c r="G3201" s="184" t="n">
        <v>26251</v>
      </c>
    </row>
    <row r="3202">
      <c r="A3202" s="194" t="inlineStr">
        <is>
          <t>2026-04-07</t>
        </is>
      </c>
      <c r="B3202" s="194" t="inlineStr">
        <is>
          <t>AUD</t>
        </is>
      </c>
      <c r="C3202" s="194" t="inlineStr">
        <is>
          <t>AUSTRALIAN DOLLAR</t>
        </is>
      </c>
      <c r="D3202" s="195" t="n">
        <v>17823.65</v>
      </c>
      <c r="E3202" s="195" t="n">
        <v>18003.68</v>
      </c>
      <c r="F3202" s="195" t="n">
        <v>18580.22</v>
      </c>
      <c r="G3202" s="195" t="n">
        <v>18291.95</v>
      </c>
    </row>
    <row r="3203">
      <c r="A3203" s="196" t="inlineStr">
        <is>
          <t>2026-04-07</t>
        </is>
      </c>
      <c r="B3203" s="196" t="inlineStr">
        <is>
          <t>CAD</t>
        </is>
      </c>
      <c r="C3203" s="196" t="inlineStr">
        <is>
          <t>CANADIAN DOLLAR</t>
        </is>
      </c>
      <c r="D3203" s="184" t="n">
        <v>18456.84</v>
      </c>
      <c r="E3203" s="184" t="n">
        <v>18643.27</v>
      </c>
      <c r="F3203" s="184" t="n">
        <v>19240.29</v>
      </c>
      <c r="G3203" s="184" t="n">
        <v>18941.78</v>
      </c>
    </row>
    <row r="3204">
      <c r="A3204" s="194" t="inlineStr">
        <is>
          <t>2026-04-07</t>
        </is>
      </c>
      <c r="B3204" s="194" t="inlineStr">
        <is>
          <t>CHF</t>
        </is>
      </c>
      <c r="C3204" s="194" t="inlineStr">
        <is>
          <t>SWISS FRANC</t>
        </is>
      </c>
      <c r="D3204" s="195" t="n">
        <v>32171.67</v>
      </c>
      <c r="E3204" s="195" t="n">
        <v>32496.63</v>
      </c>
      <c r="F3204" s="195" t="n">
        <v>33537.27</v>
      </c>
      <c r="G3204" s="195" t="n">
        <v>33016.95</v>
      </c>
    </row>
    <row r="3205">
      <c r="A3205" s="196" t="inlineStr">
        <is>
          <t>2026-04-07</t>
        </is>
      </c>
      <c r="B3205" s="196" t="inlineStr">
        <is>
          <t>CNY</t>
        </is>
      </c>
      <c r="C3205" s="196" t="inlineStr">
        <is>
          <t>YUAN RENMINBI</t>
        </is>
      </c>
      <c r="D3205" s="184" t="n">
        <v>3744.3</v>
      </c>
      <c r="E3205" s="184" t="n">
        <v>3782.12</v>
      </c>
      <c r="F3205" s="184" t="n">
        <v>3903.23</v>
      </c>
      <c r="G3205" s="184" t="n">
        <v>3842.68</v>
      </c>
    </row>
    <row r="3206">
      <c r="A3206" s="194" t="inlineStr">
        <is>
          <t>2026-04-07</t>
        </is>
      </c>
      <c r="B3206" s="194" t="inlineStr">
        <is>
          <t>DKK</t>
        </is>
      </c>
      <c r="C3206" s="194" t="inlineStr">
        <is>
          <t>DANISH KRONE</t>
        </is>
      </c>
      <c r="D3206" s="195" t="n"/>
      <c r="E3206" s="195" t="n">
        <v>4005.06</v>
      </c>
      <c r="F3206" s="195" t="n">
        <v>4158.19</v>
      </c>
      <c r="G3206" s="195" t="n">
        <v>4081.62</v>
      </c>
    </row>
    <row r="3207">
      <c r="A3207" s="196" t="inlineStr">
        <is>
          <t>2026-04-07</t>
        </is>
      </c>
      <c r="B3207" s="196" t="inlineStr">
        <is>
          <t>EUR</t>
        </is>
      </c>
      <c r="C3207" s="196" t="inlineStr">
        <is>
          <t>EURO</t>
        </is>
      </c>
      <c r="D3207" s="184" t="n">
        <v>29703.51</v>
      </c>
      <c r="E3207" s="184" t="n">
        <v>30003.55</v>
      </c>
      <c r="F3207" s="184" t="n">
        <v>31269.42</v>
      </c>
      <c r="G3207" s="184" t="n">
        <v>30636.48</v>
      </c>
    </row>
    <row r="3208">
      <c r="A3208" s="194" t="inlineStr">
        <is>
          <t>2026-04-07</t>
        </is>
      </c>
      <c r="B3208" s="194" t="inlineStr">
        <is>
          <t>GBP</t>
        </is>
      </c>
      <c r="C3208" s="194" t="inlineStr">
        <is>
          <t>POUND STERLING</t>
        </is>
      </c>
      <c r="D3208" s="195" t="n">
        <v>34086.92</v>
      </c>
      <c r="E3208" s="195" t="n">
        <v>34431.23</v>
      </c>
      <c r="F3208" s="195" t="n">
        <v>35533.83</v>
      </c>
      <c r="G3208" s="195" t="n">
        <v>34982.53</v>
      </c>
    </row>
    <row r="3209">
      <c r="A3209" s="196" t="inlineStr">
        <is>
          <t>2026-04-07</t>
        </is>
      </c>
      <c r="B3209" s="196" t="inlineStr">
        <is>
          <t>HKD</t>
        </is>
      </c>
      <c r="C3209" s="196" t="inlineStr">
        <is>
          <t>HONGKONG DOLLAR</t>
        </is>
      </c>
      <c r="D3209" s="184" t="n">
        <v>3266.43</v>
      </c>
      <c r="E3209" s="184" t="n">
        <v>3299.43</v>
      </c>
      <c r="F3209" s="184" t="n">
        <v>3425.58</v>
      </c>
      <c r="G3209" s="184" t="n">
        <v>3362.5</v>
      </c>
    </row>
    <row r="3210">
      <c r="A3210" s="194" t="inlineStr">
        <is>
          <t>2026-04-07</t>
        </is>
      </c>
      <c r="B3210" s="194" t="inlineStr">
        <is>
          <t>INR</t>
        </is>
      </c>
      <c r="C3210" s="194" t="inlineStr">
        <is>
          <t>INDIAN RUPEE</t>
        </is>
      </c>
      <c r="D3210" s="195" t="n"/>
      <c r="E3210" s="195" t="n">
        <v>281.87</v>
      </c>
      <c r="F3210" s="195" t="n">
        <v>294</v>
      </c>
      <c r="G3210" s="195" t="n">
        <v>287.94</v>
      </c>
    </row>
    <row r="3211">
      <c r="A3211" s="196" t="inlineStr">
        <is>
          <t>2026-04-07</t>
        </is>
      </c>
      <c r="B3211" s="196" t="inlineStr">
        <is>
          <t>JPY</t>
        </is>
      </c>
      <c r="C3211" s="196" t="inlineStr">
        <is>
          <t>YEN</t>
        </is>
      </c>
      <c r="D3211" s="184" t="n">
        <v>159.41</v>
      </c>
      <c r="E3211" s="184" t="n">
        <v>161.02</v>
      </c>
      <c r="F3211" s="184" t="n">
        <v>169.53</v>
      </c>
      <c r="G3211" s="184" t="n">
        <v>165.28</v>
      </c>
    </row>
    <row r="3212">
      <c r="A3212" s="194" t="inlineStr">
        <is>
          <t>2026-04-07</t>
        </is>
      </c>
      <c r="B3212" s="194" t="inlineStr">
        <is>
          <t>KRW</t>
        </is>
      </c>
      <c r="C3212" s="194" t="inlineStr">
        <is>
          <t>KOREAN WON</t>
        </is>
      </c>
      <c r="D3212" s="195" t="n">
        <v>15.23</v>
      </c>
      <c r="E3212" s="195" t="n">
        <v>16.92</v>
      </c>
      <c r="F3212" s="195" t="n">
        <v>18.36</v>
      </c>
      <c r="G3212" s="195" t="n">
        <v>17.64</v>
      </c>
    </row>
    <row r="3213">
      <c r="A3213" s="196" t="inlineStr">
        <is>
          <t>2026-04-07</t>
        </is>
      </c>
      <c r="B3213" s="196" t="inlineStr">
        <is>
          <t>KWD</t>
        </is>
      </c>
      <c r="C3213" s="196" t="inlineStr">
        <is>
          <t>KUWAITI DINAR</t>
        </is>
      </c>
      <c r="D3213" s="184" t="n"/>
      <c r="E3213" s="184" t="n">
        <v>85327.67999999999</v>
      </c>
      <c r="F3213" s="184" t="n">
        <v>89463.17999999999</v>
      </c>
      <c r="G3213" s="184" t="n">
        <v>87395.42999999999</v>
      </c>
    </row>
    <row r="3214">
      <c r="A3214" s="194" t="inlineStr">
        <is>
          <t>2026-04-07</t>
        </is>
      </c>
      <c r="B3214" s="194" t="inlineStr">
        <is>
          <t>MYR</t>
        </is>
      </c>
      <c r="C3214" s="194" t="inlineStr">
        <is>
          <t>MALAYSIAN RINGGIT</t>
        </is>
      </c>
      <c r="D3214" s="195" t="n"/>
      <c r="E3214" s="195" t="n">
        <v>6470.68</v>
      </c>
      <c r="F3214" s="195" t="n">
        <v>6611.43</v>
      </c>
      <c r="G3214" s="195" t="n">
        <v>6541.06</v>
      </c>
    </row>
    <row r="3215">
      <c r="A3215" s="196" t="inlineStr">
        <is>
          <t>2026-04-07</t>
        </is>
      </c>
      <c r="B3215" s="196" t="inlineStr">
        <is>
          <t>NOK</t>
        </is>
      </c>
      <c r="C3215" s="196" t="inlineStr">
        <is>
          <t>NORWEGIAN KRONER</t>
        </is>
      </c>
      <c r="D3215" s="184" t="n"/>
      <c r="E3215" s="184" t="n">
        <v>2670.29</v>
      </c>
      <c r="F3215" s="184" t="n">
        <v>2783.51</v>
      </c>
      <c r="G3215" s="184" t="n">
        <v>2726.9</v>
      </c>
    </row>
    <row r="3216">
      <c r="A3216" s="194" t="inlineStr">
        <is>
          <t>2026-04-07</t>
        </is>
      </c>
      <c r="B3216" s="194" t="inlineStr">
        <is>
          <t>RUB</t>
        </is>
      </c>
      <c r="C3216" s="194" t="inlineStr">
        <is>
          <t>RUSSIAN RUBLE</t>
        </is>
      </c>
      <c r="D3216" s="195" t="n"/>
      <c r="E3216" s="195" t="n">
        <v>318.69</v>
      </c>
      <c r="F3216" s="195" t="n">
        <v>352.77</v>
      </c>
      <c r="G3216" s="195" t="n">
        <v>335.73</v>
      </c>
    </row>
    <row r="3217">
      <c r="A3217" s="196" t="inlineStr">
        <is>
          <t>2026-04-07</t>
        </is>
      </c>
      <c r="B3217" s="196" t="inlineStr">
        <is>
          <t>SAR</t>
        </is>
      </c>
      <c r="C3217" s="196" t="inlineStr">
        <is>
          <t>SAUDI RIAL</t>
        </is>
      </c>
      <c r="D3217" s="184" t="n"/>
      <c r="E3217" s="184" t="n">
        <v>6974.48</v>
      </c>
      <c r="F3217" s="184" t="n">
        <v>7274.61</v>
      </c>
      <c r="G3217" s="184" t="n">
        <v>7124.54</v>
      </c>
    </row>
    <row r="3218">
      <c r="A3218" s="194" t="inlineStr">
        <is>
          <t>2026-04-07</t>
        </is>
      </c>
      <c r="B3218" s="194" t="inlineStr">
        <is>
          <t>SEK</t>
        </is>
      </c>
      <c r="C3218" s="194" t="inlineStr">
        <is>
          <t>SWEDISH KRONA</t>
        </is>
      </c>
      <c r="D3218" s="195" t="n"/>
      <c r="E3218" s="195" t="n">
        <v>2730.45</v>
      </c>
      <c r="F3218" s="195" t="n">
        <v>2846.22</v>
      </c>
      <c r="G3218" s="195" t="n">
        <v>2788.34</v>
      </c>
    </row>
    <row r="3219">
      <c r="A3219" s="196" t="inlineStr">
        <is>
          <t>2026-04-07</t>
        </is>
      </c>
      <c r="B3219" s="196" t="inlineStr">
        <is>
          <t>SGD</t>
        </is>
      </c>
      <c r="C3219" s="196" t="inlineStr">
        <is>
          <t>SINGAPORE DOLLAR</t>
        </is>
      </c>
      <c r="D3219" s="184" t="n">
        <v>19998.84</v>
      </c>
      <c r="E3219" s="184" t="n">
        <v>20200.84</v>
      </c>
      <c r="F3219" s="184" t="n">
        <v>20889.48</v>
      </c>
      <c r="G3219" s="184" t="n">
        <v>20545.16</v>
      </c>
    </row>
    <row r="3220">
      <c r="A3220" s="194" t="inlineStr">
        <is>
          <t>2026-04-07</t>
        </is>
      </c>
      <c r="B3220" s="194" t="inlineStr">
        <is>
          <t>THB</t>
        </is>
      </c>
      <c r="C3220" s="194" t="inlineStr">
        <is>
          <t>THAILAND BAHT</t>
        </is>
      </c>
      <c r="D3220" s="195" t="n">
        <v>715.4</v>
      </c>
      <c r="E3220" s="195" t="n">
        <v>794.88</v>
      </c>
      <c r="F3220" s="195" t="n">
        <v>828.59</v>
      </c>
      <c r="G3220" s="195" t="n">
        <v>811.74</v>
      </c>
    </row>
    <row r="3221">
      <c r="A3221" s="196" t="inlineStr">
        <is>
          <t>2026-04-07</t>
        </is>
      </c>
      <c r="B3221" s="196" t="inlineStr">
        <is>
          <t>USD</t>
        </is>
      </c>
      <c r="C3221" s="196" t="inlineStr">
        <is>
          <t>US DOLLAR</t>
        </is>
      </c>
      <c r="D3221" s="184" t="n">
        <v>26113</v>
      </c>
      <c r="E3221" s="184" t="n">
        <v>26143</v>
      </c>
      <c r="F3221" s="184" t="n">
        <v>26363</v>
      </c>
      <c r="G3221" s="184" t="n">
        <v>26253</v>
      </c>
    </row>
    <row r="3222">
      <c r="A3222" s="194" t="inlineStr">
        <is>
          <t>2026-04-06</t>
        </is>
      </c>
      <c r="B3222" s="194" t="inlineStr">
        <is>
          <t>AUD</t>
        </is>
      </c>
      <c r="C3222" s="194" t="inlineStr">
        <is>
          <t>AUSTRALIAN DOLLAR</t>
        </is>
      </c>
      <c r="D3222" s="195" t="n">
        <v>17694.1</v>
      </c>
      <c r="E3222" s="195" t="n">
        <v>17872.83</v>
      </c>
      <c r="F3222" s="195" t="n">
        <v>18445.17</v>
      </c>
      <c r="G3222" s="195" t="n">
        <v>18159</v>
      </c>
    </row>
    <row r="3223">
      <c r="A3223" s="196" t="inlineStr">
        <is>
          <t>2026-04-06</t>
        </is>
      </c>
      <c r="B3223" s="196" t="inlineStr">
        <is>
          <t>CAD</t>
        </is>
      </c>
      <c r="C3223" s="196" t="inlineStr">
        <is>
          <t>CANADIAN DOLLAR</t>
        </is>
      </c>
      <c r="D3223" s="184" t="n">
        <v>18414.55</v>
      </c>
      <c r="E3223" s="184" t="n">
        <v>18600.56</v>
      </c>
      <c r="F3223" s="184" t="n">
        <v>19196.2</v>
      </c>
      <c r="G3223" s="184" t="n">
        <v>18898.38</v>
      </c>
    </row>
    <row r="3224">
      <c r="A3224" s="194" t="inlineStr">
        <is>
          <t>2026-04-06</t>
        </is>
      </c>
      <c r="B3224" s="194" t="inlineStr">
        <is>
          <t>CHF</t>
        </is>
      </c>
      <c r="C3224" s="194" t="inlineStr">
        <is>
          <t>SWISS FRANC</t>
        </is>
      </c>
      <c r="D3224" s="195" t="n">
        <v>32053.59</v>
      </c>
      <c r="E3224" s="195" t="n">
        <v>32377.37</v>
      </c>
      <c r="F3224" s="195" t="n">
        <v>33414.19</v>
      </c>
      <c r="G3224" s="195" t="n">
        <v>32895.78</v>
      </c>
    </row>
    <row r="3225">
      <c r="A3225" s="196" t="inlineStr">
        <is>
          <t>2026-04-06</t>
        </is>
      </c>
      <c r="B3225" s="196" t="inlineStr">
        <is>
          <t>CNY</t>
        </is>
      </c>
      <c r="C3225" s="196" t="inlineStr">
        <is>
          <t>YUAN RENMINBI</t>
        </is>
      </c>
      <c r="D3225" s="184" t="n">
        <v>3730.05</v>
      </c>
      <c r="E3225" s="184" t="n">
        <v>3767.73</v>
      </c>
      <c r="F3225" s="184" t="n">
        <v>3888.39</v>
      </c>
      <c r="G3225" s="184" t="n">
        <v>3828.06</v>
      </c>
    </row>
    <row r="3226">
      <c r="A3226" s="194" t="inlineStr">
        <is>
          <t>2026-04-06</t>
        </is>
      </c>
      <c r="B3226" s="194" t="inlineStr">
        <is>
          <t>DKK</t>
        </is>
      </c>
      <c r="C3226" s="194" t="inlineStr">
        <is>
          <t>DANISH KRONE</t>
        </is>
      </c>
      <c r="D3226" s="195" t="n"/>
      <c r="E3226" s="195" t="n">
        <v>3983.76</v>
      </c>
      <c r="F3226" s="195" t="n">
        <v>4136.08</v>
      </c>
      <c r="G3226" s="195" t="n">
        <v>4059.92</v>
      </c>
    </row>
    <row r="3227">
      <c r="A3227" s="196" t="inlineStr">
        <is>
          <t>2026-04-06</t>
        </is>
      </c>
      <c r="B3227" s="196" t="inlineStr">
        <is>
          <t>EUR</t>
        </is>
      </c>
      <c r="C3227" s="196" t="inlineStr">
        <is>
          <t>EURO</t>
        </is>
      </c>
      <c r="D3227" s="184" t="n">
        <v>29549.21</v>
      </c>
      <c r="E3227" s="184" t="n">
        <v>29847.68</v>
      </c>
      <c r="F3227" s="184" t="n">
        <v>31106.97</v>
      </c>
      <c r="G3227" s="184" t="n">
        <v>30477.32</v>
      </c>
    </row>
    <row r="3228">
      <c r="A3228" s="194" t="inlineStr">
        <is>
          <t>2026-04-06</t>
        </is>
      </c>
      <c r="B3228" s="194" t="inlineStr">
        <is>
          <t>GBP</t>
        </is>
      </c>
      <c r="C3228" s="194" t="inlineStr">
        <is>
          <t>POUND STERLING</t>
        </is>
      </c>
      <c r="D3228" s="195" t="n">
        <v>33868.78</v>
      </c>
      <c r="E3228" s="195" t="n">
        <v>34210.89</v>
      </c>
      <c r="F3228" s="195" t="n">
        <v>35306.43</v>
      </c>
      <c r="G3228" s="195" t="n">
        <v>34758.66</v>
      </c>
    </row>
    <row r="3229">
      <c r="A3229" s="196" t="inlineStr">
        <is>
          <t>2026-04-06</t>
        </is>
      </c>
      <c r="B3229" s="196" t="inlineStr">
        <is>
          <t>HKD</t>
        </is>
      </c>
      <c r="C3229" s="196" t="inlineStr">
        <is>
          <t>HONGKONG DOLLAR</t>
        </is>
      </c>
      <c r="D3229" s="184" t="n">
        <v>3265.85</v>
      </c>
      <c r="E3229" s="184" t="n">
        <v>3298.83</v>
      </c>
      <c r="F3229" s="184" t="n">
        <v>3424.97</v>
      </c>
      <c r="G3229" s="184" t="n">
        <v>3361.9</v>
      </c>
    </row>
    <row r="3230">
      <c r="A3230" s="194" t="inlineStr">
        <is>
          <t>2026-04-06</t>
        </is>
      </c>
      <c r="B3230" s="194" t="inlineStr">
        <is>
          <t>INR</t>
        </is>
      </c>
      <c r="C3230" s="194" t="inlineStr">
        <is>
          <t>INDIAN RUPEE</t>
        </is>
      </c>
      <c r="D3230" s="195" t="n"/>
      <c r="E3230" s="195" t="n">
        <v>282.54</v>
      </c>
      <c r="F3230" s="195" t="n">
        <v>294.7</v>
      </c>
      <c r="G3230" s="195" t="n">
        <v>288.62</v>
      </c>
    </row>
    <row r="3231">
      <c r="A3231" s="196" t="inlineStr">
        <is>
          <t>2026-04-06</t>
        </is>
      </c>
      <c r="B3231" s="196" t="inlineStr">
        <is>
          <t>JPY</t>
        </is>
      </c>
      <c r="C3231" s="196" t="inlineStr">
        <is>
          <t>YEN</t>
        </is>
      </c>
      <c r="D3231" s="184" t="n">
        <v>159.22</v>
      </c>
      <c r="E3231" s="184" t="n">
        <v>160.83</v>
      </c>
      <c r="F3231" s="184" t="n">
        <v>169.33</v>
      </c>
      <c r="G3231" s="184" t="n">
        <v>165.08</v>
      </c>
    </row>
    <row r="3232">
      <c r="A3232" s="194" t="inlineStr">
        <is>
          <t>2026-04-06</t>
        </is>
      </c>
      <c r="B3232" s="194" t="inlineStr">
        <is>
          <t>KRW</t>
        </is>
      </c>
      <c r="C3232" s="194" t="inlineStr">
        <is>
          <t>KOREAN WON</t>
        </is>
      </c>
      <c r="D3232" s="195" t="n">
        <v>15.09</v>
      </c>
      <c r="E3232" s="195" t="n">
        <v>16.77</v>
      </c>
      <c r="F3232" s="195" t="n">
        <v>18.2</v>
      </c>
      <c r="G3232" s="195" t="n">
        <v>17.48</v>
      </c>
    </row>
    <row r="3233">
      <c r="A3233" s="196" t="inlineStr">
        <is>
          <t>2026-04-06</t>
        </is>
      </c>
      <c r="B3233" s="196" t="inlineStr">
        <is>
          <t>KWD</t>
        </is>
      </c>
      <c r="C3233" s="196" t="inlineStr">
        <is>
          <t>KUWAITI DINAR</t>
        </is>
      </c>
      <c r="D3233" s="184" t="n"/>
      <c r="E3233" s="184" t="n">
        <v>85334.16</v>
      </c>
      <c r="F3233" s="184" t="n">
        <v>89469.97</v>
      </c>
      <c r="G3233" s="184" t="n">
        <v>87402.06</v>
      </c>
    </row>
    <row r="3234">
      <c r="A3234" s="194" t="inlineStr">
        <is>
          <t>2026-04-06</t>
        </is>
      </c>
      <c r="B3234" s="194" t="inlineStr">
        <is>
          <t>MYR</t>
        </is>
      </c>
      <c r="C3234" s="194" t="inlineStr">
        <is>
          <t>MALAYSIAN RINGGIT</t>
        </is>
      </c>
      <c r="D3234" s="195" t="n"/>
      <c r="E3234" s="195" t="n">
        <v>6469.56</v>
      </c>
      <c r="F3234" s="195" t="n">
        <v>6610.29</v>
      </c>
      <c r="G3234" s="195" t="n">
        <v>6539.92</v>
      </c>
    </row>
    <row r="3235">
      <c r="A3235" s="196" t="inlineStr">
        <is>
          <t>2026-04-06</t>
        </is>
      </c>
      <c r="B3235" s="196" t="inlineStr">
        <is>
          <t>NOK</t>
        </is>
      </c>
      <c r="C3235" s="196" t="inlineStr">
        <is>
          <t>NORWEGIAN KRONER</t>
        </is>
      </c>
      <c r="D3235" s="184" t="n"/>
      <c r="E3235" s="184" t="n">
        <v>2639.11</v>
      </c>
      <c r="F3235" s="184" t="n">
        <v>2751.01</v>
      </c>
      <c r="G3235" s="184" t="n">
        <v>2695.06</v>
      </c>
    </row>
    <row r="3236">
      <c r="A3236" s="194" t="inlineStr">
        <is>
          <t>2026-04-06</t>
        </is>
      </c>
      <c r="B3236" s="194" t="inlineStr">
        <is>
          <t>RUB</t>
        </is>
      </c>
      <c r="C3236" s="194" t="inlineStr">
        <is>
          <t>RUSSIAN RUBLE</t>
        </is>
      </c>
      <c r="D3236" s="195" t="n"/>
      <c r="E3236" s="195" t="n">
        <v>313.33</v>
      </c>
      <c r="F3236" s="195" t="n">
        <v>346.84</v>
      </c>
      <c r="G3236" s="195" t="n">
        <v>330.08</v>
      </c>
    </row>
    <row r="3237">
      <c r="A3237" s="196" t="inlineStr">
        <is>
          <t>2026-04-06</t>
        </is>
      </c>
      <c r="B3237" s="196" t="inlineStr">
        <is>
          <t>SAR</t>
        </is>
      </c>
      <c r="C3237" s="196" t="inlineStr">
        <is>
          <t>SAUDI RIAL</t>
        </is>
      </c>
      <c r="D3237" s="184" t="n"/>
      <c r="E3237" s="184" t="n">
        <v>6975.38</v>
      </c>
      <c r="F3237" s="184" t="n">
        <v>7275.55</v>
      </c>
      <c r="G3237" s="184" t="n">
        <v>7125.46</v>
      </c>
    </row>
    <row r="3238">
      <c r="A3238" s="194" t="inlineStr">
        <is>
          <t>2026-04-06</t>
        </is>
      </c>
      <c r="B3238" s="194" t="inlineStr">
        <is>
          <t>SEK</t>
        </is>
      </c>
      <c r="C3238" s="194" t="inlineStr">
        <is>
          <t>SWEDISH KRONA</t>
        </is>
      </c>
      <c r="D3238" s="195" t="n"/>
      <c r="E3238" s="195" t="n">
        <v>2721.99</v>
      </c>
      <c r="F3238" s="195" t="n">
        <v>2837.4</v>
      </c>
      <c r="G3238" s="195" t="n">
        <v>2779.7</v>
      </c>
    </row>
    <row r="3239">
      <c r="A3239" s="196" t="inlineStr">
        <is>
          <t>2026-04-06</t>
        </is>
      </c>
      <c r="B3239" s="196" t="inlineStr">
        <is>
          <t>SGD</t>
        </is>
      </c>
      <c r="C3239" s="196" t="inlineStr">
        <is>
          <t>SINGAPORE DOLLAR</t>
        </is>
      </c>
      <c r="D3239" s="184" t="n">
        <v>19925.77</v>
      </c>
      <c r="E3239" s="184" t="n">
        <v>20127.04</v>
      </c>
      <c r="F3239" s="184" t="n">
        <v>20813.16</v>
      </c>
      <c r="G3239" s="184" t="n">
        <v>20470.1</v>
      </c>
    </row>
    <row r="3240">
      <c r="A3240" s="194" t="inlineStr">
        <is>
          <t>2026-04-06</t>
        </is>
      </c>
      <c r="B3240" s="194" t="inlineStr">
        <is>
          <t>THB</t>
        </is>
      </c>
      <c r="C3240" s="194" t="inlineStr">
        <is>
          <t>THAILAND BAHT</t>
        </is>
      </c>
      <c r="D3240" s="195" t="n">
        <v>710.63</v>
      </c>
      <c r="E3240" s="195" t="n">
        <v>789.59</v>
      </c>
      <c r="F3240" s="195" t="n">
        <v>823.0700000000001</v>
      </c>
      <c r="G3240" s="195" t="n">
        <v>806.33</v>
      </c>
    </row>
    <row r="3241">
      <c r="A3241" s="196" t="inlineStr">
        <is>
          <t>2026-04-06</t>
        </is>
      </c>
      <c r="B3241" s="196" t="inlineStr">
        <is>
          <t>USD</t>
        </is>
      </c>
      <c r="C3241" s="196" t="inlineStr">
        <is>
          <t>US DOLLAR</t>
        </is>
      </c>
      <c r="D3241" s="184" t="n">
        <v>26111</v>
      </c>
      <c r="E3241" s="184" t="n">
        <v>26141</v>
      </c>
      <c r="F3241" s="184" t="n">
        <v>26361</v>
      </c>
      <c r="G3241" s="184" t="n">
        <v>26251</v>
      </c>
    </row>
    <row r="3242">
      <c r="A3242" s="194" t="inlineStr">
        <is>
          <t>2026-04-05</t>
        </is>
      </c>
      <c r="B3242" s="194" t="inlineStr">
        <is>
          <t>AUD</t>
        </is>
      </c>
      <c r="C3242" s="194" t="inlineStr">
        <is>
          <t>AUSTRALIAN DOLLAR</t>
        </is>
      </c>
      <c r="D3242" s="195" t="n">
        <v>17727.47</v>
      </c>
      <c r="E3242" s="195" t="n">
        <v>17906.54</v>
      </c>
      <c r="F3242" s="195" t="n">
        <v>18479.95</v>
      </c>
      <c r="G3242" s="195" t="n">
        <v>18193.25</v>
      </c>
    </row>
    <row r="3243">
      <c r="A3243" s="196" t="inlineStr">
        <is>
          <t>2026-04-05</t>
        </is>
      </c>
      <c r="B3243" s="196" t="inlineStr">
        <is>
          <t>CAD</t>
        </is>
      </c>
      <c r="C3243" s="196" t="inlineStr">
        <is>
          <t>CANADIAN DOLLAR</t>
        </is>
      </c>
      <c r="D3243" s="184" t="n">
        <v>18441.01</v>
      </c>
      <c r="E3243" s="184" t="n">
        <v>18627.28</v>
      </c>
      <c r="F3243" s="184" t="n">
        <v>19223.78</v>
      </c>
      <c r="G3243" s="184" t="n">
        <v>18925.53</v>
      </c>
    </row>
    <row r="3244">
      <c r="A3244" s="194" t="inlineStr">
        <is>
          <t>2026-04-05</t>
        </is>
      </c>
      <c r="B3244" s="194" t="inlineStr">
        <is>
          <t>CHF</t>
        </is>
      </c>
      <c r="C3244" s="194" t="inlineStr">
        <is>
          <t>SWISS FRANC</t>
        </is>
      </c>
      <c r="D3244" s="195" t="n">
        <v>32149.94</v>
      </c>
      <c r="E3244" s="195" t="n">
        <v>32474.68</v>
      </c>
      <c r="F3244" s="195" t="n">
        <v>33514.62</v>
      </c>
      <c r="G3244" s="195" t="n">
        <v>32994.65</v>
      </c>
    </row>
    <row r="3245">
      <c r="A3245" s="196" t="inlineStr">
        <is>
          <t>2026-04-05</t>
        </is>
      </c>
      <c r="B3245" s="196" t="inlineStr">
        <is>
          <t>CNY</t>
        </is>
      </c>
      <c r="C3245" s="196" t="inlineStr">
        <is>
          <t>YUAN RENMINBI</t>
        </is>
      </c>
      <c r="D3245" s="184" t="n">
        <v>3731.63</v>
      </c>
      <c r="E3245" s="184" t="n">
        <v>3769.32</v>
      </c>
      <c r="F3245" s="184" t="n">
        <v>3890.02</v>
      </c>
      <c r="G3245" s="184" t="n">
        <v>3829.67</v>
      </c>
    </row>
    <row r="3246">
      <c r="A3246" s="194" t="inlineStr">
        <is>
          <t>2026-04-05</t>
        </is>
      </c>
      <c r="B3246" s="194" t="inlineStr">
        <is>
          <t>DKK</t>
        </is>
      </c>
      <c r="C3246" s="194" t="inlineStr">
        <is>
          <t>DANISH KRONE</t>
        </is>
      </c>
      <c r="D3246" s="195" t="n"/>
      <c r="E3246" s="195" t="n">
        <v>3991.88</v>
      </c>
      <c r="F3246" s="195" t="n">
        <v>4144.51</v>
      </c>
      <c r="G3246" s="195" t="n">
        <v>4068.2</v>
      </c>
    </row>
    <row r="3247">
      <c r="A3247" s="196" t="inlineStr">
        <is>
          <t>2026-04-05</t>
        </is>
      </c>
      <c r="B3247" s="196" t="inlineStr">
        <is>
          <t>EUR</t>
        </is>
      </c>
      <c r="C3247" s="196" t="inlineStr">
        <is>
          <t>EURO</t>
        </is>
      </c>
      <c r="D3247" s="184" t="n">
        <v>29605.67</v>
      </c>
      <c r="E3247" s="184" t="n">
        <v>29904.72</v>
      </c>
      <c r="F3247" s="184" t="n">
        <v>31166.42</v>
      </c>
      <c r="G3247" s="184" t="n">
        <v>30535.57</v>
      </c>
    </row>
    <row r="3248">
      <c r="A3248" s="194" t="inlineStr">
        <is>
          <t>2026-04-05</t>
        </is>
      </c>
      <c r="B3248" s="194" t="inlineStr">
        <is>
          <t>GBP</t>
        </is>
      </c>
      <c r="C3248" s="194" t="inlineStr">
        <is>
          <t>POUND STERLING</t>
        </is>
      </c>
      <c r="D3248" s="195" t="n">
        <v>33945.78</v>
      </c>
      <c r="E3248" s="195" t="n">
        <v>34288.67</v>
      </c>
      <c r="F3248" s="195" t="n">
        <v>35386.69</v>
      </c>
      <c r="G3248" s="195" t="n">
        <v>34837.68</v>
      </c>
    </row>
    <row r="3249">
      <c r="A3249" s="196" t="inlineStr">
        <is>
          <t>2026-04-05</t>
        </is>
      </c>
      <c r="B3249" s="196" t="inlineStr">
        <is>
          <t>HKD</t>
        </is>
      </c>
      <c r="C3249" s="196" t="inlineStr">
        <is>
          <t>HONGKONG DOLLAR</t>
        </is>
      </c>
      <c r="D3249" s="184" t="n">
        <v>3265.76</v>
      </c>
      <c r="E3249" s="184" t="n">
        <v>3298.75</v>
      </c>
      <c r="F3249" s="184" t="n">
        <v>3424.88</v>
      </c>
      <c r="G3249" s="184" t="n">
        <v>3361.82</v>
      </c>
    </row>
    <row r="3250">
      <c r="A3250" s="194" t="inlineStr">
        <is>
          <t>2026-04-05</t>
        </is>
      </c>
      <c r="B3250" s="194" t="inlineStr">
        <is>
          <t>INR</t>
        </is>
      </c>
      <c r="C3250" s="194" t="inlineStr">
        <is>
          <t>INDIAN RUPEE</t>
        </is>
      </c>
      <c r="D3250" s="195" t="n"/>
      <c r="E3250" s="195" t="n">
        <v>281.75</v>
      </c>
      <c r="F3250" s="195" t="n">
        <v>293.87</v>
      </c>
      <c r="G3250" s="195" t="n">
        <v>287.81</v>
      </c>
    </row>
    <row r="3251">
      <c r="A3251" s="196" t="inlineStr">
        <is>
          <t>2026-04-05</t>
        </is>
      </c>
      <c r="B3251" s="196" t="inlineStr">
        <is>
          <t>JPY</t>
        </is>
      </c>
      <c r="C3251" s="196" t="inlineStr">
        <is>
          <t>YEN</t>
        </is>
      </c>
      <c r="D3251" s="184" t="n">
        <v>159.83</v>
      </c>
      <c r="E3251" s="184" t="n">
        <v>161.45</v>
      </c>
      <c r="F3251" s="184" t="n">
        <v>169.98</v>
      </c>
      <c r="G3251" s="184" t="n">
        <v>165.71</v>
      </c>
    </row>
    <row r="3252">
      <c r="A3252" s="194" t="inlineStr">
        <is>
          <t>2026-04-05</t>
        </is>
      </c>
      <c r="B3252" s="194" t="inlineStr">
        <is>
          <t>KRW</t>
        </is>
      </c>
      <c r="C3252" s="194" t="inlineStr">
        <is>
          <t>KOREAN WON</t>
        </is>
      </c>
      <c r="D3252" s="195" t="n">
        <v>15.09</v>
      </c>
      <c r="E3252" s="195" t="n">
        <v>16.77</v>
      </c>
      <c r="F3252" s="195" t="n">
        <v>18.19</v>
      </c>
      <c r="G3252" s="195" t="n">
        <v>17.48</v>
      </c>
    </row>
    <row r="3253">
      <c r="A3253" s="196" t="inlineStr">
        <is>
          <t>2026-04-05</t>
        </is>
      </c>
      <c r="B3253" s="196" t="inlineStr">
        <is>
          <t>KWD</t>
        </is>
      </c>
      <c r="C3253" s="196" t="inlineStr">
        <is>
          <t>KUWAITI DINAR</t>
        </is>
      </c>
      <c r="D3253" s="184" t="n"/>
      <c r="E3253" s="184" t="n">
        <v>85361.98</v>
      </c>
      <c r="F3253" s="184" t="n">
        <v>89499.13</v>
      </c>
      <c r="G3253" s="184" t="n">
        <v>87430.56</v>
      </c>
    </row>
    <row r="3254">
      <c r="A3254" s="194" t="inlineStr">
        <is>
          <t>2026-04-05</t>
        </is>
      </c>
      <c r="B3254" s="194" t="inlineStr">
        <is>
          <t>MYR</t>
        </is>
      </c>
      <c r="C3254" s="194" t="inlineStr">
        <is>
          <t>MALAYSIAN RINGGIT</t>
        </is>
      </c>
      <c r="D3254" s="195" t="n"/>
      <c r="E3254" s="195" t="n">
        <v>6461.54</v>
      </c>
      <c r="F3254" s="195" t="n">
        <v>6602.1</v>
      </c>
      <c r="G3254" s="195" t="n">
        <v>6531.82</v>
      </c>
    </row>
    <row r="3255">
      <c r="A3255" s="196" t="inlineStr">
        <is>
          <t>2026-04-05</t>
        </is>
      </c>
      <c r="B3255" s="196" t="inlineStr">
        <is>
          <t>NOK</t>
        </is>
      </c>
      <c r="C3255" s="196" t="inlineStr">
        <is>
          <t>NORWEGIAN KRONER</t>
        </is>
      </c>
      <c r="D3255" s="184" t="n"/>
      <c r="E3255" s="184" t="n">
        <v>2652.46</v>
      </c>
      <c r="F3255" s="184" t="n">
        <v>2764.92</v>
      </c>
      <c r="G3255" s="184" t="n">
        <v>2708.69</v>
      </c>
    </row>
    <row r="3256">
      <c r="A3256" s="194" t="inlineStr">
        <is>
          <t>2026-04-05</t>
        </is>
      </c>
      <c r="B3256" s="194" t="inlineStr">
        <is>
          <t>RUB</t>
        </is>
      </c>
      <c r="C3256" s="194" t="inlineStr">
        <is>
          <t>RUSSIAN RUBLE</t>
        </is>
      </c>
      <c r="D3256" s="195" t="n"/>
      <c r="E3256" s="195" t="n">
        <v>312.57</v>
      </c>
      <c r="F3256" s="195" t="n">
        <v>346</v>
      </c>
      <c r="G3256" s="195" t="n">
        <v>329.28</v>
      </c>
    </row>
    <row r="3257">
      <c r="A3257" s="196" t="inlineStr">
        <is>
          <t>2026-04-05</t>
        </is>
      </c>
      <c r="B3257" s="196" t="inlineStr">
        <is>
          <t>SAR</t>
        </is>
      </c>
      <c r="C3257" s="196" t="inlineStr">
        <is>
          <t>SAUDI RIAL</t>
        </is>
      </c>
      <c r="D3257" s="184" t="n"/>
      <c r="E3257" s="184" t="n">
        <v>6977.24</v>
      </c>
      <c r="F3257" s="184" t="n">
        <v>7277.49</v>
      </c>
      <c r="G3257" s="184" t="n">
        <v>7127.36</v>
      </c>
    </row>
    <row r="3258">
      <c r="A3258" s="194" t="inlineStr">
        <is>
          <t>2026-04-05</t>
        </is>
      </c>
      <c r="B3258" s="194" t="inlineStr">
        <is>
          <t>SEK</t>
        </is>
      </c>
      <c r="C3258" s="194" t="inlineStr">
        <is>
          <t>SWEDISH KRONA</t>
        </is>
      </c>
      <c r="D3258" s="195" t="n"/>
      <c r="E3258" s="195" t="n">
        <v>2736.22</v>
      </c>
      <c r="F3258" s="195" t="n">
        <v>2852.23</v>
      </c>
      <c r="G3258" s="195" t="n">
        <v>2794.22</v>
      </c>
    </row>
    <row r="3259">
      <c r="A3259" s="196" t="inlineStr">
        <is>
          <t>2026-04-05</t>
        </is>
      </c>
      <c r="B3259" s="196" t="inlineStr">
        <is>
          <t>SGD</t>
        </is>
      </c>
      <c r="C3259" s="196" t="inlineStr">
        <is>
          <t>SINGAPORE DOLLAR</t>
        </is>
      </c>
      <c r="D3259" s="184" t="n">
        <v>19953.67</v>
      </c>
      <c r="E3259" s="184" t="n">
        <v>20155.23</v>
      </c>
      <c r="F3259" s="184" t="n">
        <v>20842.31</v>
      </c>
      <c r="G3259" s="184" t="n">
        <v>20498.77</v>
      </c>
    </row>
    <row r="3260">
      <c r="A3260" s="194" t="inlineStr">
        <is>
          <t>2026-04-05</t>
        </is>
      </c>
      <c r="B3260" s="194" t="inlineStr">
        <is>
          <t>THB</t>
        </is>
      </c>
      <c r="C3260" s="194" t="inlineStr">
        <is>
          <t>THAILAND BAHT</t>
        </is>
      </c>
      <c r="D3260" s="195" t="n">
        <v>711.29</v>
      </c>
      <c r="E3260" s="195" t="n">
        <v>790.3200000000001</v>
      </c>
      <c r="F3260" s="195" t="n">
        <v>823.83</v>
      </c>
      <c r="G3260" s="195" t="n">
        <v>807.08</v>
      </c>
    </row>
    <row r="3261">
      <c r="A3261" s="196" t="inlineStr">
        <is>
          <t>2026-04-05</t>
        </is>
      </c>
      <c r="B3261" s="196" t="inlineStr">
        <is>
          <t>USD</t>
        </is>
      </c>
      <c r="C3261" s="196" t="inlineStr">
        <is>
          <t>US DOLLAR</t>
        </is>
      </c>
      <c r="D3261" s="184" t="n">
        <v>26112</v>
      </c>
      <c r="E3261" s="184" t="n">
        <v>26142</v>
      </c>
      <c r="F3261" s="184" t="n">
        <v>26362</v>
      </c>
      <c r="G3261" s="184" t="n">
        <v>26252</v>
      </c>
    </row>
    <row r="3262">
      <c r="A3262" s="194" t="inlineStr">
        <is>
          <t>2026-04-04</t>
        </is>
      </c>
      <c r="B3262" s="194" t="inlineStr">
        <is>
          <t>AUD</t>
        </is>
      </c>
      <c r="C3262" s="194" t="inlineStr">
        <is>
          <t>AUSTRALIAN DOLLAR</t>
        </is>
      </c>
      <c r="D3262" s="195" t="n">
        <v>17727.47</v>
      </c>
      <c r="E3262" s="195" t="n">
        <v>17906.54</v>
      </c>
      <c r="F3262" s="195" t="n">
        <v>18479.95</v>
      </c>
      <c r="G3262" s="195" t="n">
        <v>18193.25</v>
      </c>
    </row>
    <row r="3263">
      <c r="A3263" s="196" t="inlineStr">
        <is>
          <t>2026-04-04</t>
        </is>
      </c>
      <c r="B3263" s="196" t="inlineStr">
        <is>
          <t>CAD</t>
        </is>
      </c>
      <c r="C3263" s="196" t="inlineStr">
        <is>
          <t>CANADIAN DOLLAR</t>
        </is>
      </c>
      <c r="D3263" s="184" t="n">
        <v>18441.01</v>
      </c>
      <c r="E3263" s="184" t="n">
        <v>18627.28</v>
      </c>
      <c r="F3263" s="184" t="n">
        <v>19223.78</v>
      </c>
      <c r="G3263" s="184" t="n">
        <v>18925.53</v>
      </c>
    </row>
    <row r="3264">
      <c r="A3264" s="194" t="inlineStr">
        <is>
          <t>2026-04-04</t>
        </is>
      </c>
      <c r="B3264" s="194" t="inlineStr">
        <is>
          <t>CHF</t>
        </is>
      </c>
      <c r="C3264" s="194" t="inlineStr">
        <is>
          <t>SWISS FRANC</t>
        </is>
      </c>
      <c r="D3264" s="195" t="n">
        <v>32149.94</v>
      </c>
      <c r="E3264" s="195" t="n">
        <v>32474.68</v>
      </c>
      <c r="F3264" s="195" t="n">
        <v>33514.62</v>
      </c>
      <c r="G3264" s="195" t="n">
        <v>32994.65</v>
      </c>
    </row>
    <row r="3265">
      <c r="A3265" s="196" t="inlineStr">
        <is>
          <t>2026-04-04</t>
        </is>
      </c>
      <c r="B3265" s="196" t="inlineStr">
        <is>
          <t>CNY</t>
        </is>
      </c>
      <c r="C3265" s="196" t="inlineStr">
        <is>
          <t>YUAN RENMINBI</t>
        </is>
      </c>
      <c r="D3265" s="184" t="n">
        <v>3731.63</v>
      </c>
      <c r="E3265" s="184" t="n">
        <v>3769.32</v>
      </c>
      <c r="F3265" s="184" t="n">
        <v>3890.02</v>
      </c>
      <c r="G3265" s="184" t="n">
        <v>3829.67</v>
      </c>
    </row>
    <row r="3266">
      <c r="A3266" s="194" t="inlineStr">
        <is>
          <t>2026-04-04</t>
        </is>
      </c>
      <c r="B3266" s="194" t="inlineStr">
        <is>
          <t>DKK</t>
        </is>
      </c>
      <c r="C3266" s="194" t="inlineStr">
        <is>
          <t>DANISH KRONE</t>
        </is>
      </c>
      <c r="D3266" s="195" t="n"/>
      <c r="E3266" s="195" t="n">
        <v>3991.88</v>
      </c>
      <c r="F3266" s="195" t="n">
        <v>4144.51</v>
      </c>
      <c r="G3266" s="195" t="n">
        <v>4068.2</v>
      </c>
    </row>
    <row r="3267">
      <c r="A3267" s="196" t="inlineStr">
        <is>
          <t>2026-04-04</t>
        </is>
      </c>
      <c r="B3267" s="196" t="inlineStr">
        <is>
          <t>EUR</t>
        </is>
      </c>
      <c r="C3267" s="196" t="inlineStr">
        <is>
          <t>EURO</t>
        </is>
      </c>
      <c r="D3267" s="184" t="n">
        <v>29605.67</v>
      </c>
      <c r="E3267" s="184" t="n">
        <v>29904.72</v>
      </c>
      <c r="F3267" s="184" t="n">
        <v>31166.42</v>
      </c>
      <c r="G3267" s="184" t="n">
        <v>30535.57</v>
      </c>
    </row>
    <row r="3268">
      <c r="A3268" s="194" t="inlineStr">
        <is>
          <t>2026-04-04</t>
        </is>
      </c>
      <c r="B3268" s="194" t="inlineStr">
        <is>
          <t>GBP</t>
        </is>
      </c>
      <c r="C3268" s="194" t="inlineStr">
        <is>
          <t>POUND STERLING</t>
        </is>
      </c>
      <c r="D3268" s="195" t="n">
        <v>33945.78</v>
      </c>
      <c r="E3268" s="195" t="n">
        <v>34288.67</v>
      </c>
      <c r="F3268" s="195" t="n">
        <v>35386.69</v>
      </c>
      <c r="G3268" s="195" t="n">
        <v>34837.68</v>
      </c>
    </row>
    <row r="3269">
      <c r="A3269" s="196" t="inlineStr">
        <is>
          <t>2026-04-04</t>
        </is>
      </c>
      <c r="B3269" s="196" t="inlineStr">
        <is>
          <t>HKD</t>
        </is>
      </c>
      <c r="C3269" s="196" t="inlineStr">
        <is>
          <t>HONGKONG DOLLAR</t>
        </is>
      </c>
      <c r="D3269" s="184" t="n">
        <v>3265.76</v>
      </c>
      <c r="E3269" s="184" t="n">
        <v>3298.75</v>
      </c>
      <c r="F3269" s="184" t="n">
        <v>3424.88</v>
      </c>
      <c r="G3269" s="184" t="n">
        <v>3361.82</v>
      </c>
    </row>
    <row r="3270">
      <c r="A3270" s="194" t="inlineStr">
        <is>
          <t>2026-04-04</t>
        </is>
      </c>
      <c r="B3270" s="194" t="inlineStr">
        <is>
          <t>INR</t>
        </is>
      </c>
      <c r="C3270" s="194" t="inlineStr">
        <is>
          <t>INDIAN RUPEE</t>
        </is>
      </c>
      <c r="D3270" s="195" t="n"/>
      <c r="E3270" s="195" t="n">
        <v>281.75</v>
      </c>
      <c r="F3270" s="195" t="n">
        <v>293.87</v>
      </c>
      <c r="G3270" s="195" t="n">
        <v>287.81</v>
      </c>
    </row>
    <row r="3271">
      <c r="A3271" s="196" t="inlineStr">
        <is>
          <t>2026-04-04</t>
        </is>
      </c>
      <c r="B3271" s="196" t="inlineStr">
        <is>
          <t>JPY</t>
        </is>
      </c>
      <c r="C3271" s="196" t="inlineStr">
        <is>
          <t>YEN</t>
        </is>
      </c>
      <c r="D3271" s="184" t="n">
        <v>159.83</v>
      </c>
      <c r="E3271" s="184" t="n">
        <v>161.45</v>
      </c>
      <c r="F3271" s="184" t="n">
        <v>169.98</v>
      </c>
      <c r="G3271" s="184" t="n">
        <v>165.71</v>
      </c>
    </row>
    <row r="3272">
      <c r="A3272" s="194" t="inlineStr">
        <is>
          <t>2026-04-04</t>
        </is>
      </c>
      <c r="B3272" s="194" t="inlineStr">
        <is>
          <t>KRW</t>
        </is>
      </c>
      <c r="C3272" s="194" t="inlineStr">
        <is>
          <t>KOREAN WON</t>
        </is>
      </c>
      <c r="D3272" s="195" t="n">
        <v>15.09</v>
      </c>
      <c r="E3272" s="195" t="n">
        <v>16.77</v>
      </c>
      <c r="F3272" s="195" t="n">
        <v>18.19</v>
      </c>
      <c r="G3272" s="195" t="n">
        <v>17.48</v>
      </c>
    </row>
    <row r="3273">
      <c r="A3273" s="196" t="inlineStr">
        <is>
          <t>2026-04-04</t>
        </is>
      </c>
      <c r="B3273" s="196" t="inlineStr">
        <is>
          <t>KWD</t>
        </is>
      </c>
      <c r="C3273" s="196" t="inlineStr">
        <is>
          <t>KUWAITI DINAR</t>
        </is>
      </c>
      <c r="D3273" s="184" t="n"/>
      <c r="E3273" s="184" t="n">
        <v>85361.98</v>
      </c>
      <c r="F3273" s="184" t="n">
        <v>89499.13</v>
      </c>
      <c r="G3273" s="184" t="n">
        <v>87430.56</v>
      </c>
    </row>
    <row r="3274">
      <c r="A3274" s="194" t="inlineStr">
        <is>
          <t>2026-04-04</t>
        </is>
      </c>
      <c r="B3274" s="194" t="inlineStr">
        <is>
          <t>MYR</t>
        </is>
      </c>
      <c r="C3274" s="194" t="inlineStr">
        <is>
          <t>MALAYSIAN RINGGIT</t>
        </is>
      </c>
      <c r="D3274" s="195" t="n"/>
      <c r="E3274" s="195" t="n">
        <v>6461.54</v>
      </c>
      <c r="F3274" s="195" t="n">
        <v>6602.1</v>
      </c>
      <c r="G3274" s="195" t="n">
        <v>6531.82</v>
      </c>
    </row>
    <row r="3275">
      <c r="A3275" s="196" t="inlineStr">
        <is>
          <t>2026-04-04</t>
        </is>
      </c>
      <c r="B3275" s="196" t="inlineStr">
        <is>
          <t>NOK</t>
        </is>
      </c>
      <c r="C3275" s="196" t="inlineStr">
        <is>
          <t>NORWEGIAN KRONER</t>
        </is>
      </c>
      <c r="D3275" s="184" t="n"/>
      <c r="E3275" s="184" t="n">
        <v>2652.46</v>
      </c>
      <c r="F3275" s="184" t="n">
        <v>2764.92</v>
      </c>
      <c r="G3275" s="184" t="n">
        <v>2708.69</v>
      </c>
    </row>
    <row r="3276">
      <c r="A3276" s="194" t="inlineStr">
        <is>
          <t>2026-04-04</t>
        </is>
      </c>
      <c r="B3276" s="194" t="inlineStr">
        <is>
          <t>RUB</t>
        </is>
      </c>
      <c r="C3276" s="194" t="inlineStr">
        <is>
          <t>RUSSIAN RUBLE</t>
        </is>
      </c>
      <c r="D3276" s="195" t="n"/>
      <c r="E3276" s="195" t="n">
        <v>312.57</v>
      </c>
      <c r="F3276" s="195" t="n">
        <v>346</v>
      </c>
      <c r="G3276" s="195" t="n">
        <v>329.28</v>
      </c>
    </row>
    <row r="3277">
      <c r="A3277" s="196" t="inlineStr">
        <is>
          <t>2026-04-04</t>
        </is>
      </c>
      <c r="B3277" s="196" t="inlineStr">
        <is>
          <t>SAR</t>
        </is>
      </c>
      <c r="C3277" s="196" t="inlineStr">
        <is>
          <t>SAUDI RIAL</t>
        </is>
      </c>
      <c r="D3277" s="184" t="n"/>
      <c r="E3277" s="184" t="n">
        <v>6977.24</v>
      </c>
      <c r="F3277" s="184" t="n">
        <v>7277.49</v>
      </c>
      <c r="G3277" s="184" t="n">
        <v>7127.36</v>
      </c>
    </row>
    <row r="3278">
      <c r="A3278" s="194" t="inlineStr">
        <is>
          <t>2026-04-04</t>
        </is>
      </c>
      <c r="B3278" s="194" t="inlineStr">
        <is>
          <t>SEK</t>
        </is>
      </c>
      <c r="C3278" s="194" t="inlineStr">
        <is>
          <t>SWEDISH KRONA</t>
        </is>
      </c>
      <c r="D3278" s="195" t="n"/>
      <c r="E3278" s="195" t="n">
        <v>2736.22</v>
      </c>
      <c r="F3278" s="195" t="n">
        <v>2852.23</v>
      </c>
      <c r="G3278" s="195" t="n">
        <v>2794.22</v>
      </c>
    </row>
    <row r="3279">
      <c r="A3279" s="196" t="inlineStr">
        <is>
          <t>2026-04-04</t>
        </is>
      </c>
      <c r="B3279" s="196" t="inlineStr">
        <is>
          <t>SGD</t>
        </is>
      </c>
      <c r="C3279" s="196" t="inlineStr">
        <is>
          <t>SINGAPORE DOLLAR</t>
        </is>
      </c>
      <c r="D3279" s="184" t="n">
        <v>19953.67</v>
      </c>
      <c r="E3279" s="184" t="n">
        <v>20155.23</v>
      </c>
      <c r="F3279" s="184" t="n">
        <v>20842.31</v>
      </c>
      <c r="G3279" s="184" t="n">
        <v>20498.77</v>
      </c>
    </row>
    <row r="3280">
      <c r="A3280" s="194" t="inlineStr">
        <is>
          <t>2026-04-04</t>
        </is>
      </c>
      <c r="B3280" s="194" t="inlineStr">
        <is>
          <t>THB</t>
        </is>
      </c>
      <c r="C3280" s="194" t="inlineStr">
        <is>
          <t>THAILAND BAHT</t>
        </is>
      </c>
      <c r="D3280" s="195" t="n">
        <v>711.29</v>
      </c>
      <c r="E3280" s="195" t="n">
        <v>790.3200000000001</v>
      </c>
      <c r="F3280" s="195" t="n">
        <v>823.83</v>
      </c>
      <c r="G3280" s="195" t="n">
        <v>807.08</v>
      </c>
    </row>
    <row r="3281">
      <c r="A3281" s="196" t="inlineStr">
        <is>
          <t>2026-04-04</t>
        </is>
      </c>
      <c r="B3281" s="196" t="inlineStr">
        <is>
          <t>USD</t>
        </is>
      </c>
      <c r="C3281" s="196" t="inlineStr">
        <is>
          <t>US DOLLAR</t>
        </is>
      </c>
      <c r="D3281" s="184" t="n">
        <v>26112</v>
      </c>
      <c r="E3281" s="184" t="n">
        <v>26142</v>
      </c>
      <c r="F3281" s="184" t="n">
        <v>26362</v>
      </c>
      <c r="G3281" s="184" t="n">
        <v>26252</v>
      </c>
    </row>
    <row r="3282">
      <c r="A3282" s="194" t="inlineStr">
        <is>
          <t>2026-04-03</t>
        </is>
      </c>
      <c r="B3282" s="194" t="inlineStr">
        <is>
          <t>AUD</t>
        </is>
      </c>
      <c r="C3282" s="194" t="inlineStr">
        <is>
          <t>AUSTRALIAN DOLLAR</t>
        </is>
      </c>
      <c r="D3282" s="195" t="n">
        <v>17727.47</v>
      </c>
      <c r="E3282" s="195" t="n">
        <v>17906.54</v>
      </c>
      <c r="F3282" s="195" t="n">
        <v>18479.95</v>
      </c>
      <c r="G3282" s="195" t="n">
        <v>18193.25</v>
      </c>
    </row>
    <row r="3283">
      <c r="A3283" s="196" t="inlineStr">
        <is>
          <t>2026-04-03</t>
        </is>
      </c>
      <c r="B3283" s="196" t="inlineStr">
        <is>
          <t>CAD</t>
        </is>
      </c>
      <c r="C3283" s="196" t="inlineStr">
        <is>
          <t>CANADIAN DOLLAR</t>
        </is>
      </c>
      <c r="D3283" s="184" t="n">
        <v>18441.01</v>
      </c>
      <c r="E3283" s="184" t="n">
        <v>18627.28</v>
      </c>
      <c r="F3283" s="184" t="n">
        <v>19223.78</v>
      </c>
      <c r="G3283" s="184" t="n">
        <v>18925.53</v>
      </c>
    </row>
    <row r="3284">
      <c r="A3284" s="194" t="inlineStr">
        <is>
          <t>2026-04-03</t>
        </is>
      </c>
      <c r="B3284" s="194" t="inlineStr">
        <is>
          <t>CHF</t>
        </is>
      </c>
      <c r="C3284" s="194" t="inlineStr">
        <is>
          <t>SWISS FRANC</t>
        </is>
      </c>
      <c r="D3284" s="195" t="n">
        <v>32149.94</v>
      </c>
      <c r="E3284" s="195" t="n">
        <v>32474.68</v>
      </c>
      <c r="F3284" s="195" t="n">
        <v>33514.62</v>
      </c>
      <c r="G3284" s="195" t="n">
        <v>32994.65</v>
      </c>
    </row>
    <row r="3285">
      <c r="A3285" s="196" t="inlineStr">
        <is>
          <t>2026-04-03</t>
        </is>
      </c>
      <c r="B3285" s="196" t="inlineStr">
        <is>
          <t>CNY</t>
        </is>
      </c>
      <c r="C3285" s="196" t="inlineStr">
        <is>
          <t>YUAN RENMINBI</t>
        </is>
      </c>
      <c r="D3285" s="184" t="n">
        <v>3731.63</v>
      </c>
      <c r="E3285" s="184" t="n">
        <v>3769.32</v>
      </c>
      <c r="F3285" s="184" t="n">
        <v>3890.02</v>
      </c>
      <c r="G3285" s="184" t="n">
        <v>3829.67</v>
      </c>
    </row>
    <row r="3286">
      <c r="A3286" s="194" t="inlineStr">
        <is>
          <t>2026-04-03</t>
        </is>
      </c>
      <c r="B3286" s="194" t="inlineStr">
        <is>
          <t>DKK</t>
        </is>
      </c>
      <c r="C3286" s="194" t="inlineStr">
        <is>
          <t>DANISH KRONE</t>
        </is>
      </c>
      <c r="D3286" s="195" t="n"/>
      <c r="E3286" s="195" t="n">
        <v>3991.88</v>
      </c>
      <c r="F3286" s="195" t="n">
        <v>4144.51</v>
      </c>
      <c r="G3286" s="195" t="n">
        <v>4068.2</v>
      </c>
    </row>
    <row r="3287">
      <c r="A3287" s="196" t="inlineStr">
        <is>
          <t>2026-04-03</t>
        </is>
      </c>
      <c r="B3287" s="196" t="inlineStr">
        <is>
          <t>EUR</t>
        </is>
      </c>
      <c r="C3287" s="196" t="inlineStr">
        <is>
          <t>EURO</t>
        </is>
      </c>
      <c r="D3287" s="184" t="n">
        <v>29605.67</v>
      </c>
      <c r="E3287" s="184" t="n">
        <v>29904.72</v>
      </c>
      <c r="F3287" s="184" t="n">
        <v>31166.42</v>
      </c>
      <c r="G3287" s="184" t="n">
        <v>30535.57</v>
      </c>
    </row>
    <row r="3288">
      <c r="A3288" s="194" t="inlineStr">
        <is>
          <t>2026-04-03</t>
        </is>
      </c>
      <c r="B3288" s="194" t="inlineStr">
        <is>
          <t>GBP</t>
        </is>
      </c>
      <c r="C3288" s="194" t="inlineStr">
        <is>
          <t>POUND STERLING</t>
        </is>
      </c>
      <c r="D3288" s="195" t="n">
        <v>33945.78</v>
      </c>
      <c r="E3288" s="195" t="n">
        <v>34288.67</v>
      </c>
      <c r="F3288" s="195" t="n">
        <v>35386.69</v>
      </c>
      <c r="G3288" s="195" t="n">
        <v>34837.68</v>
      </c>
    </row>
    <row r="3289">
      <c r="A3289" s="196" t="inlineStr">
        <is>
          <t>2026-04-03</t>
        </is>
      </c>
      <c r="B3289" s="196" t="inlineStr">
        <is>
          <t>HKD</t>
        </is>
      </c>
      <c r="C3289" s="196" t="inlineStr">
        <is>
          <t>HONGKONG DOLLAR</t>
        </is>
      </c>
      <c r="D3289" s="184" t="n">
        <v>3265.76</v>
      </c>
      <c r="E3289" s="184" t="n">
        <v>3298.75</v>
      </c>
      <c r="F3289" s="184" t="n">
        <v>3424.88</v>
      </c>
      <c r="G3289" s="184" t="n">
        <v>3361.82</v>
      </c>
    </row>
    <row r="3290">
      <c r="A3290" s="194" t="inlineStr">
        <is>
          <t>2026-04-03</t>
        </is>
      </c>
      <c r="B3290" s="194" t="inlineStr">
        <is>
          <t>INR</t>
        </is>
      </c>
      <c r="C3290" s="194" t="inlineStr">
        <is>
          <t>INDIAN RUPEE</t>
        </is>
      </c>
      <c r="D3290" s="195" t="n"/>
      <c r="E3290" s="195" t="n">
        <v>281.75</v>
      </c>
      <c r="F3290" s="195" t="n">
        <v>293.87</v>
      </c>
      <c r="G3290" s="195" t="n">
        <v>287.81</v>
      </c>
    </row>
    <row r="3291">
      <c r="A3291" s="196" t="inlineStr">
        <is>
          <t>2026-04-03</t>
        </is>
      </c>
      <c r="B3291" s="196" t="inlineStr">
        <is>
          <t>JPY</t>
        </is>
      </c>
      <c r="C3291" s="196" t="inlineStr">
        <is>
          <t>YEN</t>
        </is>
      </c>
      <c r="D3291" s="184" t="n">
        <v>159.83</v>
      </c>
      <c r="E3291" s="184" t="n">
        <v>161.45</v>
      </c>
      <c r="F3291" s="184" t="n">
        <v>169.98</v>
      </c>
      <c r="G3291" s="184" t="n">
        <v>165.71</v>
      </c>
    </row>
    <row r="3292">
      <c r="A3292" s="194" t="inlineStr">
        <is>
          <t>2026-04-03</t>
        </is>
      </c>
      <c r="B3292" s="194" t="inlineStr">
        <is>
          <t>KRW</t>
        </is>
      </c>
      <c r="C3292" s="194" t="inlineStr">
        <is>
          <t>KOREAN WON</t>
        </is>
      </c>
      <c r="D3292" s="195" t="n">
        <v>15.09</v>
      </c>
      <c r="E3292" s="195" t="n">
        <v>16.77</v>
      </c>
      <c r="F3292" s="195" t="n">
        <v>18.19</v>
      </c>
      <c r="G3292" s="195" t="n">
        <v>17.48</v>
      </c>
    </row>
    <row r="3293">
      <c r="A3293" s="196" t="inlineStr">
        <is>
          <t>2026-04-03</t>
        </is>
      </c>
      <c r="B3293" s="196" t="inlineStr">
        <is>
          <t>KWD</t>
        </is>
      </c>
      <c r="C3293" s="196" t="inlineStr">
        <is>
          <t>KUWAITI DINAR</t>
        </is>
      </c>
      <c r="D3293" s="184" t="n"/>
      <c r="E3293" s="184" t="n">
        <v>85361.98</v>
      </c>
      <c r="F3293" s="184" t="n">
        <v>89499.13</v>
      </c>
      <c r="G3293" s="184" t="n">
        <v>87430.56</v>
      </c>
    </row>
    <row r="3294">
      <c r="A3294" s="194" t="inlineStr">
        <is>
          <t>2026-04-03</t>
        </is>
      </c>
      <c r="B3294" s="194" t="inlineStr">
        <is>
          <t>MYR</t>
        </is>
      </c>
      <c r="C3294" s="194" t="inlineStr">
        <is>
          <t>MALAYSIAN RINGGIT</t>
        </is>
      </c>
      <c r="D3294" s="195" t="n"/>
      <c r="E3294" s="195" t="n">
        <v>6461.54</v>
      </c>
      <c r="F3294" s="195" t="n">
        <v>6602.1</v>
      </c>
      <c r="G3294" s="195" t="n">
        <v>6531.82</v>
      </c>
    </row>
    <row r="3295">
      <c r="A3295" s="196" t="inlineStr">
        <is>
          <t>2026-04-03</t>
        </is>
      </c>
      <c r="B3295" s="196" t="inlineStr">
        <is>
          <t>NOK</t>
        </is>
      </c>
      <c r="C3295" s="196" t="inlineStr">
        <is>
          <t>NORWEGIAN KRONER</t>
        </is>
      </c>
      <c r="D3295" s="184" t="n"/>
      <c r="E3295" s="184" t="n">
        <v>2652.46</v>
      </c>
      <c r="F3295" s="184" t="n">
        <v>2764.92</v>
      </c>
      <c r="G3295" s="184" t="n">
        <v>2708.69</v>
      </c>
    </row>
    <row r="3296">
      <c r="A3296" s="194" t="inlineStr">
        <is>
          <t>2026-04-03</t>
        </is>
      </c>
      <c r="B3296" s="194" t="inlineStr">
        <is>
          <t>RUB</t>
        </is>
      </c>
      <c r="C3296" s="194" t="inlineStr">
        <is>
          <t>RUSSIAN RUBLE</t>
        </is>
      </c>
      <c r="D3296" s="195" t="n"/>
      <c r="E3296" s="195" t="n">
        <v>312.57</v>
      </c>
      <c r="F3296" s="195" t="n">
        <v>346</v>
      </c>
      <c r="G3296" s="195" t="n">
        <v>329.28</v>
      </c>
    </row>
    <row r="3297">
      <c r="A3297" s="196" t="inlineStr">
        <is>
          <t>2026-04-03</t>
        </is>
      </c>
      <c r="B3297" s="196" t="inlineStr">
        <is>
          <t>SAR</t>
        </is>
      </c>
      <c r="C3297" s="196" t="inlineStr">
        <is>
          <t>SAUDI RIAL</t>
        </is>
      </c>
      <c r="D3297" s="184" t="n"/>
      <c r="E3297" s="184" t="n">
        <v>6977.24</v>
      </c>
      <c r="F3297" s="184" t="n">
        <v>7277.49</v>
      </c>
      <c r="G3297" s="184" t="n">
        <v>7127.36</v>
      </c>
    </row>
    <row r="3298">
      <c r="A3298" s="194" t="inlineStr">
        <is>
          <t>2026-04-03</t>
        </is>
      </c>
      <c r="B3298" s="194" t="inlineStr">
        <is>
          <t>SEK</t>
        </is>
      </c>
      <c r="C3298" s="194" t="inlineStr">
        <is>
          <t>SWEDISH KRONA</t>
        </is>
      </c>
      <c r="D3298" s="195" t="n"/>
      <c r="E3298" s="195" t="n">
        <v>2736.22</v>
      </c>
      <c r="F3298" s="195" t="n">
        <v>2852.23</v>
      </c>
      <c r="G3298" s="195" t="n">
        <v>2794.22</v>
      </c>
    </row>
    <row r="3299">
      <c r="A3299" s="196" t="inlineStr">
        <is>
          <t>2026-04-03</t>
        </is>
      </c>
      <c r="B3299" s="196" t="inlineStr">
        <is>
          <t>SGD</t>
        </is>
      </c>
      <c r="C3299" s="196" t="inlineStr">
        <is>
          <t>SINGAPORE DOLLAR</t>
        </is>
      </c>
      <c r="D3299" s="184" t="n">
        <v>19953.67</v>
      </c>
      <c r="E3299" s="184" t="n">
        <v>20155.23</v>
      </c>
      <c r="F3299" s="184" t="n">
        <v>20842.31</v>
      </c>
      <c r="G3299" s="184" t="n">
        <v>20498.77</v>
      </c>
    </row>
    <row r="3300">
      <c r="A3300" s="194" t="inlineStr">
        <is>
          <t>2026-04-03</t>
        </is>
      </c>
      <c r="B3300" s="194" t="inlineStr">
        <is>
          <t>THB</t>
        </is>
      </c>
      <c r="C3300" s="194" t="inlineStr">
        <is>
          <t>THAILAND BAHT</t>
        </is>
      </c>
      <c r="D3300" s="195" t="n">
        <v>711.29</v>
      </c>
      <c r="E3300" s="195" t="n">
        <v>790.3200000000001</v>
      </c>
      <c r="F3300" s="195" t="n">
        <v>823.83</v>
      </c>
      <c r="G3300" s="195" t="n">
        <v>807.08</v>
      </c>
    </row>
    <row r="3301">
      <c r="A3301" s="196" t="inlineStr">
        <is>
          <t>2026-04-03</t>
        </is>
      </c>
      <c r="B3301" s="196" t="inlineStr">
        <is>
          <t>USD</t>
        </is>
      </c>
      <c r="C3301" s="196" t="inlineStr">
        <is>
          <t>US DOLLAR</t>
        </is>
      </c>
      <c r="D3301" s="184" t="n">
        <v>26112</v>
      </c>
      <c r="E3301" s="184" t="n">
        <v>26142</v>
      </c>
      <c r="F3301" s="184" t="n">
        <v>26362</v>
      </c>
      <c r="G3301" s="184" t="n">
        <v>26252</v>
      </c>
    </row>
    <row r="3302">
      <c r="A3302" s="194" t="inlineStr">
        <is>
          <t>2026-04-02</t>
        </is>
      </c>
      <c r="B3302" s="194" t="inlineStr">
        <is>
          <t>AUD</t>
        </is>
      </c>
      <c r="C3302" s="194" t="inlineStr">
        <is>
          <t>AUSTRALIAN DOLLAR</t>
        </is>
      </c>
      <c r="D3302" s="195" t="n">
        <v>17789.07</v>
      </c>
      <c r="E3302" s="195" t="n">
        <v>17968.76</v>
      </c>
      <c r="F3302" s="195" t="n">
        <v>18544.17</v>
      </c>
      <c r="G3302" s="195" t="n">
        <v>18256.46</v>
      </c>
    </row>
    <row r="3303">
      <c r="A3303" s="196" t="inlineStr">
        <is>
          <t>2026-04-02</t>
        </is>
      </c>
      <c r="B3303" s="196" t="inlineStr">
        <is>
          <t>CAD</t>
        </is>
      </c>
      <c r="C3303" s="196" t="inlineStr">
        <is>
          <t>CANADIAN DOLLAR</t>
        </is>
      </c>
      <c r="D3303" s="184" t="n">
        <v>18507.48</v>
      </c>
      <c r="E3303" s="184" t="n">
        <v>18694.42</v>
      </c>
      <c r="F3303" s="184" t="n">
        <v>19293.07</v>
      </c>
      <c r="G3303" s="184" t="n">
        <v>18993.74</v>
      </c>
    </row>
    <row r="3304">
      <c r="A3304" s="194" t="inlineStr">
        <is>
          <t>2026-04-02</t>
        </is>
      </c>
      <c r="B3304" s="194" t="inlineStr">
        <is>
          <t>CHF</t>
        </is>
      </c>
      <c r="C3304" s="194" t="inlineStr">
        <is>
          <t>SWISS FRANC</t>
        </is>
      </c>
      <c r="D3304" s="195" t="n">
        <v>32372.92</v>
      </c>
      <c r="E3304" s="195" t="n">
        <v>32699.92</v>
      </c>
      <c r="F3304" s="195" t="n">
        <v>33747.06</v>
      </c>
      <c r="G3304" s="195" t="n">
        <v>33223.49</v>
      </c>
    </row>
    <row r="3305">
      <c r="A3305" s="196" t="inlineStr">
        <is>
          <t>2026-04-02</t>
        </is>
      </c>
      <c r="B3305" s="196" t="inlineStr">
        <is>
          <t>CNY</t>
        </is>
      </c>
      <c r="C3305" s="196" t="inlineStr">
        <is>
          <t>YUAN RENMINBI</t>
        </is>
      </c>
      <c r="D3305" s="184" t="n">
        <v>3735.7</v>
      </c>
      <c r="E3305" s="184" t="n">
        <v>3773.43</v>
      </c>
      <c r="F3305" s="184" t="n">
        <v>3894.27</v>
      </c>
      <c r="G3305" s="184" t="n">
        <v>3833.85</v>
      </c>
    </row>
    <row r="3306">
      <c r="A3306" s="194" t="inlineStr">
        <is>
          <t>2026-04-02</t>
        </is>
      </c>
      <c r="B3306" s="194" t="inlineStr">
        <is>
          <t>DKK</t>
        </is>
      </c>
      <c r="C3306" s="194" t="inlineStr">
        <is>
          <t>DANISH KRONE</t>
        </is>
      </c>
      <c r="D3306" s="195" t="n"/>
      <c r="E3306" s="195" t="n">
        <v>4012.08</v>
      </c>
      <c r="F3306" s="195" t="n">
        <v>4165.48</v>
      </c>
      <c r="G3306" s="195" t="n">
        <v>4088.78</v>
      </c>
    </row>
    <row r="3307">
      <c r="A3307" s="196" t="inlineStr">
        <is>
          <t>2026-04-02</t>
        </is>
      </c>
      <c r="B3307" s="196" t="inlineStr">
        <is>
          <t>EUR</t>
        </is>
      </c>
      <c r="C3307" s="196" t="inlineStr">
        <is>
          <t>EURO</t>
        </is>
      </c>
      <c r="D3307" s="184" t="n">
        <v>29757.1</v>
      </c>
      <c r="E3307" s="184" t="n">
        <v>30057.68</v>
      </c>
      <c r="F3307" s="184" t="n">
        <v>31325.83</v>
      </c>
      <c r="G3307" s="184" t="n">
        <v>30691.76</v>
      </c>
    </row>
    <row r="3308">
      <c r="A3308" s="194" t="inlineStr">
        <is>
          <t>2026-04-02</t>
        </is>
      </c>
      <c r="B3308" s="194" t="inlineStr">
        <is>
          <t>GBP</t>
        </is>
      </c>
      <c r="C3308" s="194" t="inlineStr">
        <is>
          <t>POUND STERLING</t>
        </is>
      </c>
      <c r="D3308" s="195" t="n">
        <v>34163.94</v>
      </c>
      <c r="E3308" s="195" t="n">
        <v>34509.03</v>
      </c>
      <c r="F3308" s="195" t="n">
        <v>35614.11</v>
      </c>
      <c r="G3308" s="195" t="n">
        <v>35061.57</v>
      </c>
    </row>
    <row r="3309">
      <c r="A3309" s="196" t="inlineStr">
        <is>
          <t>2026-04-02</t>
        </is>
      </c>
      <c r="B3309" s="196" t="inlineStr">
        <is>
          <t>HKD</t>
        </is>
      </c>
      <c r="C3309" s="196" t="inlineStr">
        <is>
          <t>HONGKONG DOLLAR</t>
        </is>
      </c>
      <c r="D3309" s="184" t="n">
        <v>3266.01</v>
      </c>
      <c r="E3309" s="184" t="n">
        <v>3299</v>
      </c>
      <c r="F3309" s="184" t="n">
        <v>3425.14</v>
      </c>
      <c r="G3309" s="184" t="n">
        <v>3362.07</v>
      </c>
    </row>
    <row r="3310">
      <c r="A3310" s="194" t="inlineStr">
        <is>
          <t>2026-04-02</t>
        </is>
      </c>
      <c r="B3310" s="194" t="inlineStr">
        <is>
          <t>INR</t>
        </is>
      </c>
      <c r="C3310" s="194" t="inlineStr">
        <is>
          <t>INDIAN RUPEE</t>
        </is>
      </c>
      <c r="D3310" s="195" t="n"/>
      <c r="E3310" s="195" t="n">
        <v>280.98</v>
      </c>
      <c r="F3310" s="195" t="n">
        <v>293.07</v>
      </c>
      <c r="G3310" s="195" t="n">
        <v>287.02</v>
      </c>
    </row>
    <row r="3311">
      <c r="A3311" s="196" t="inlineStr">
        <is>
          <t>2026-04-02</t>
        </is>
      </c>
      <c r="B3311" s="196" t="inlineStr">
        <is>
          <t>JPY</t>
        </is>
      </c>
      <c r="C3311" s="196" t="inlineStr">
        <is>
          <t>YEN</t>
        </is>
      </c>
      <c r="D3311" s="184" t="n">
        <v>160.26</v>
      </c>
      <c r="E3311" s="184" t="n">
        <v>161.87</v>
      </c>
      <c r="F3311" s="184" t="n">
        <v>170.43</v>
      </c>
      <c r="G3311" s="184" t="n">
        <v>166.15</v>
      </c>
    </row>
    <row r="3312">
      <c r="A3312" s="194" t="inlineStr">
        <is>
          <t>2026-04-02</t>
        </is>
      </c>
      <c r="B3312" s="194" t="inlineStr">
        <is>
          <t>KRW</t>
        </is>
      </c>
      <c r="C3312" s="194" t="inlineStr">
        <is>
          <t>KOREAN WON</t>
        </is>
      </c>
      <c r="D3312" s="195" t="n">
        <v>15.1</v>
      </c>
      <c r="E3312" s="195" t="n">
        <v>16.78</v>
      </c>
      <c r="F3312" s="195" t="n">
        <v>18.2</v>
      </c>
      <c r="G3312" s="195" t="n">
        <v>17.49</v>
      </c>
    </row>
    <row r="3313">
      <c r="A3313" s="196" t="inlineStr">
        <is>
          <t>2026-04-02</t>
        </is>
      </c>
      <c r="B3313" s="196" t="inlineStr">
        <is>
          <t>KWD</t>
        </is>
      </c>
      <c r="C3313" s="196" t="inlineStr">
        <is>
          <t>KUWAITI DINAR</t>
        </is>
      </c>
      <c r="D3313" s="184" t="n"/>
      <c r="E3313" s="184" t="n">
        <v>85389.81</v>
      </c>
      <c r="F3313" s="184" t="n">
        <v>89528.31</v>
      </c>
      <c r="G3313" s="184" t="n">
        <v>87459.06</v>
      </c>
    </row>
    <row r="3314">
      <c r="A3314" s="194" t="inlineStr">
        <is>
          <t>2026-04-02</t>
        </is>
      </c>
      <c r="B3314" s="194" t="inlineStr">
        <is>
          <t>MYR</t>
        </is>
      </c>
      <c r="C3314" s="194" t="inlineStr">
        <is>
          <t>MALAYSIAN RINGGIT</t>
        </is>
      </c>
      <c r="D3314" s="195" t="n"/>
      <c r="E3314" s="195" t="n">
        <v>6498.6</v>
      </c>
      <c r="F3314" s="195" t="n">
        <v>6639.97</v>
      </c>
      <c r="G3314" s="195" t="n">
        <v>6569.28</v>
      </c>
    </row>
    <row r="3315">
      <c r="A3315" s="196" t="inlineStr">
        <is>
          <t>2026-04-02</t>
        </is>
      </c>
      <c r="B3315" s="196" t="inlineStr">
        <is>
          <t>NOK</t>
        </is>
      </c>
      <c r="C3315" s="196" t="inlineStr">
        <is>
          <t>NORWEGIAN KRONER</t>
        </is>
      </c>
      <c r="D3315" s="184" t="n"/>
      <c r="E3315" s="184" t="n">
        <v>2656.91</v>
      </c>
      <c r="F3315" s="184" t="n">
        <v>2769.56</v>
      </c>
      <c r="G3315" s="184" t="n">
        <v>2713.23</v>
      </c>
    </row>
    <row r="3316">
      <c r="A3316" s="194" t="inlineStr">
        <is>
          <t>2026-04-02</t>
        </is>
      </c>
      <c r="B3316" s="194" t="inlineStr">
        <is>
          <t>RUB</t>
        </is>
      </c>
      <c r="C3316" s="194" t="inlineStr">
        <is>
          <t>RUSSIAN RUBLE</t>
        </is>
      </c>
      <c r="D3316" s="195" t="n"/>
      <c r="E3316" s="195" t="n">
        <v>312.18</v>
      </c>
      <c r="F3316" s="195" t="n">
        <v>345.57</v>
      </c>
      <c r="G3316" s="195" t="n">
        <v>328.88</v>
      </c>
    </row>
    <row r="3317">
      <c r="A3317" s="196" t="inlineStr">
        <is>
          <t>2026-04-02</t>
        </is>
      </c>
      <c r="B3317" s="196" t="inlineStr">
        <is>
          <t>SAR</t>
        </is>
      </c>
      <c r="C3317" s="196" t="inlineStr">
        <is>
          <t>SAUDI RIAL</t>
        </is>
      </c>
      <c r="D3317" s="184" t="n"/>
      <c r="E3317" s="184" t="n">
        <v>6978.72</v>
      </c>
      <c r="F3317" s="184" t="n">
        <v>7279.04</v>
      </c>
      <c r="G3317" s="184" t="n">
        <v>7128.88</v>
      </c>
    </row>
    <row r="3318">
      <c r="A3318" s="194" t="inlineStr">
        <is>
          <t>2026-04-02</t>
        </is>
      </c>
      <c r="B3318" s="194" t="inlineStr">
        <is>
          <t>SEK</t>
        </is>
      </c>
      <c r="C3318" s="194" t="inlineStr">
        <is>
          <t>SWEDISH KRONA</t>
        </is>
      </c>
      <c r="D3318" s="195" t="n"/>
      <c r="E3318" s="195" t="n">
        <v>2746.5</v>
      </c>
      <c r="F3318" s="195" t="n">
        <v>2862.95</v>
      </c>
      <c r="G3318" s="195" t="n">
        <v>2804.72</v>
      </c>
    </row>
    <row r="3319">
      <c r="A3319" s="196" t="inlineStr">
        <is>
          <t>2026-04-02</t>
        </is>
      </c>
      <c r="B3319" s="196" t="inlineStr">
        <is>
          <t>SGD</t>
        </is>
      </c>
      <c r="C3319" s="196" t="inlineStr">
        <is>
          <t>SINGAPORE DOLLAR</t>
        </is>
      </c>
      <c r="D3319" s="184" t="n">
        <v>20008.16</v>
      </c>
      <c r="E3319" s="184" t="n">
        <v>20210.26</v>
      </c>
      <c r="F3319" s="184" t="n">
        <v>20899.22</v>
      </c>
      <c r="G3319" s="184" t="n">
        <v>20554.74</v>
      </c>
    </row>
    <row r="3320">
      <c r="A3320" s="194" t="inlineStr">
        <is>
          <t>2026-04-02</t>
        </is>
      </c>
      <c r="B3320" s="194" t="inlineStr">
        <is>
          <t>THB</t>
        </is>
      </c>
      <c r="C3320" s="194" t="inlineStr">
        <is>
          <t>THAILAND BAHT</t>
        </is>
      </c>
      <c r="D3320" s="195" t="n">
        <v>714.13</v>
      </c>
      <c r="E3320" s="195" t="n">
        <v>793.48</v>
      </c>
      <c r="F3320" s="195" t="n">
        <v>827.12</v>
      </c>
      <c r="G3320" s="195" t="n">
        <v>810.3</v>
      </c>
    </row>
    <row r="3321">
      <c r="A3321" s="196" t="inlineStr">
        <is>
          <t>2026-04-02</t>
        </is>
      </c>
      <c r="B3321" s="196" t="inlineStr">
        <is>
          <t>USD</t>
        </is>
      </c>
      <c r="C3321" s="196" t="inlineStr">
        <is>
          <t>US DOLLAR</t>
        </is>
      </c>
      <c r="D3321" s="184" t="n">
        <v>26112</v>
      </c>
      <c r="E3321" s="184" t="n">
        <v>26142</v>
      </c>
      <c r="F3321" s="184" t="n">
        <v>26362</v>
      </c>
      <c r="G3321" s="184" t="n">
        <v>26252</v>
      </c>
    </row>
    <row r="3322">
      <c r="A3322" s="194" t="inlineStr">
        <is>
          <t>2026-04-01</t>
        </is>
      </c>
      <c r="B3322" s="194" t="inlineStr">
        <is>
          <t>AUD</t>
        </is>
      </c>
      <c r="C3322" s="194" t="inlineStr">
        <is>
          <t>AUSTRALIAN DOLLAR</t>
        </is>
      </c>
      <c r="D3322" s="195" t="n">
        <v>17778.8</v>
      </c>
      <c r="E3322" s="195" t="n">
        <v>17958.39</v>
      </c>
      <c r="F3322" s="195" t="n">
        <v>18533.47</v>
      </c>
      <c r="G3322" s="195" t="n">
        <v>18245.93</v>
      </c>
    </row>
    <row r="3323">
      <c r="A3323" s="196" t="inlineStr">
        <is>
          <t>2026-04-01</t>
        </is>
      </c>
      <c r="B3323" s="196" t="inlineStr">
        <is>
          <t>CAD</t>
        </is>
      </c>
      <c r="C3323" s="196" t="inlineStr">
        <is>
          <t>CANADIAN DOLLAR</t>
        </is>
      </c>
      <c r="D3323" s="184" t="n">
        <v>18474.18</v>
      </c>
      <c r="E3323" s="184" t="n">
        <v>18660.79</v>
      </c>
      <c r="F3323" s="184" t="n">
        <v>19258.36</v>
      </c>
      <c r="G3323" s="184" t="n">
        <v>18959.58</v>
      </c>
    </row>
    <row r="3324">
      <c r="A3324" s="194" t="inlineStr">
        <is>
          <t>2026-04-01</t>
        </is>
      </c>
      <c r="B3324" s="194" t="inlineStr">
        <is>
          <t>CHF</t>
        </is>
      </c>
      <c r="C3324" s="194" t="inlineStr">
        <is>
          <t>SWISS FRANC</t>
        </is>
      </c>
      <c r="D3324" s="195" t="n">
        <v>32218.53</v>
      </c>
      <c r="E3324" s="195" t="n">
        <v>32543.97</v>
      </c>
      <c r="F3324" s="195" t="n">
        <v>33586.12</v>
      </c>
      <c r="G3324" s="195" t="n">
        <v>33065.04</v>
      </c>
    </row>
    <row r="3325">
      <c r="A3325" s="196" t="inlineStr">
        <is>
          <t>2026-04-01</t>
        </is>
      </c>
      <c r="B3325" s="196" t="inlineStr">
        <is>
          <t>CNY</t>
        </is>
      </c>
      <c r="C3325" s="196" t="inlineStr">
        <is>
          <t>YUAN RENMINBI</t>
        </is>
      </c>
      <c r="D3325" s="184" t="n">
        <v>3721.62</v>
      </c>
      <c r="E3325" s="184" t="n">
        <v>3759.21</v>
      </c>
      <c r="F3325" s="184" t="n">
        <v>3879.59</v>
      </c>
      <c r="G3325" s="184" t="n">
        <v>3819.4</v>
      </c>
    </row>
    <row r="3326">
      <c r="A3326" s="194" t="inlineStr">
        <is>
          <t>2026-04-01</t>
        </is>
      </c>
      <c r="B3326" s="194" t="inlineStr">
        <is>
          <t>DKK</t>
        </is>
      </c>
      <c r="C3326" s="194" t="inlineStr">
        <is>
          <t>DANISH KRONE</t>
        </is>
      </c>
      <c r="D3326" s="195" t="n"/>
      <c r="E3326" s="195" t="n">
        <v>4005.92</v>
      </c>
      <c r="F3326" s="195" t="n">
        <v>4159.09</v>
      </c>
      <c r="G3326" s="195" t="n">
        <v>4082.5</v>
      </c>
    </row>
    <row r="3327">
      <c r="A3327" s="196" t="inlineStr">
        <is>
          <t>2026-04-01</t>
        </is>
      </c>
      <c r="B3327" s="196" t="inlineStr">
        <is>
          <t>EUR</t>
        </is>
      </c>
      <c r="C3327" s="196" t="inlineStr">
        <is>
          <t>EURO</t>
        </is>
      </c>
      <c r="D3327" s="184" t="n">
        <v>29710.9</v>
      </c>
      <c r="E3327" s="184" t="n">
        <v>30011.01</v>
      </c>
      <c r="F3327" s="184" t="n">
        <v>31277.19</v>
      </c>
      <c r="G3327" s="184" t="n">
        <v>30644.1</v>
      </c>
    </row>
    <row r="3328">
      <c r="A3328" s="194" t="inlineStr">
        <is>
          <t>2026-04-01</t>
        </is>
      </c>
      <c r="B3328" s="194" t="inlineStr">
        <is>
          <t>GBP</t>
        </is>
      </c>
      <c r="C3328" s="194" t="inlineStr">
        <is>
          <t>POUND STERLING</t>
        </is>
      </c>
      <c r="D3328" s="195" t="n">
        <v>34004.81</v>
      </c>
      <c r="E3328" s="195" t="n">
        <v>34348.3</v>
      </c>
      <c r="F3328" s="195" t="n">
        <v>35448.23</v>
      </c>
      <c r="G3328" s="195" t="n">
        <v>34898.26</v>
      </c>
    </row>
    <row r="3329">
      <c r="A3329" s="196" t="inlineStr">
        <is>
          <t>2026-04-01</t>
        </is>
      </c>
      <c r="B3329" s="196" t="inlineStr">
        <is>
          <t>HKD</t>
        </is>
      </c>
      <c r="C3329" s="196" t="inlineStr">
        <is>
          <t>HONGKONG DOLLAR</t>
        </is>
      </c>
      <c r="D3329" s="184" t="n">
        <v>3265.8</v>
      </c>
      <c r="E3329" s="184" t="n">
        <v>3298.79</v>
      </c>
      <c r="F3329" s="184" t="n">
        <v>3424.92</v>
      </c>
      <c r="G3329" s="184" t="n">
        <v>3361.86</v>
      </c>
    </row>
    <row r="3330">
      <c r="A3330" s="194" t="inlineStr">
        <is>
          <t>2026-04-01</t>
        </is>
      </c>
      <c r="B3330" s="194" t="inlineStr">
        <is>
          <t>INR</t>
        </is>
      </c>
      <c r="C3330" s="194" t="inlineStr">
        <is>
          <t>INDIAN RUPEE</t>
        </is>
      </c>
      <c r="D3330" s="195" t="n"/>
      <c r="E3330" s="195" t="n">
        <v>280.23</v>
      </c>
      <c r="F3330" s="195" t="n">
        <v>292.28</v>
      </c>
      <c r="G3330" s="195" t="n">
        <v>286.26</v>
      </c>
    </row>
    <row r="3331">
      <c r="A3331" s="196" t="inlineStr">
        <is>
          <t>2026-04-01</t>
        </is>
      </c>
      <c r="B3331" s="196" t="inlineStr">
        <is>
          <t>JPY</t>
        </is>
      </c>
      <c r="C3331" s="196" t="inlineStr">
        <is>
          <t>YEN</t>
        </is>
      </c>
      <c r="D3331" s="184" t="n">
        <v>160.31</v>
      </c>
      <c r="E3331" s="184" t="n">
        <v>161.92</v>
      </c>
      <c r="F3331" s="184" t="n">
        <v>170.49</v>
      </c>
      <c r="G3331" s="184" t="n">
        <v>166.2</v>
      </c>
    </row>
    <row r="3332">
      <c r="A3332" s="194" t="inlineStr">
        <is>
          <t>2026-04-01</t>
        </is>
      </c>
      <c r="B3332" s="194" t="inlineStr">
        <is>
          <t>KRW</t>
        </is>
      </c>
      <c r="C3332" s="194" t="inlineStr">
        <is>
          <t>KOREAN WON</t>
        </is>
      </c>
      <c r="D3332" s="195" t="n">
        <v>15.13</v>
      </c>
      <c r="E3332" s="195" t="n">
        <v>16.81</v>
      </c>
      <c r="F3332" s="195" t="n">
        <v>18.24</v>
      </c>
      <c r="G3332" s="195" t="n">
        <v>17.52</v>
      </c>
    </row>
    <row r="3333">
      <c r="A3333" s="196" t="inlineStr">
        <is>
          <t>2026-04-01</t>
        </is>
      </c>
      <c r="B3333" s="196" t="inlineStr">
        <is>
          <t>KWD</t>
        </is>
      </c>
      <c r="C3333" s="196" t="inlineStr">
        <is>
          <t>KUWAITI DINAR</t>
        </is>
      </c>
      <c r="D3333" s="184" t="n"/>
      <c r="E3333" s="184" t="n">
        <v>85334.16</v>
      </c>
      <c r="F3333" s="184" t="n">
        <v>89469.97</v>
      </c>
      <c r="G3333" s="184" t="n">
        <v>87402.06</v>
      </c>
    </row>
    <row r="3334">
      <c r="A3334" s="194" t="inlineStr">
        <is>
          <t>2026-04-01</t>
        </is>
      </c>
      <c r="B3334" s="194" t="inlineStr">
        <is>
          <t>MYR</t>
        </is>
      </c>
      <c r="C3334" s="194" t="inlineStr">
        <is>
          <t>MALAYSIAN RINGGIT</t>
        </is>
      </c>
      <c r="D3334" s="195" t="n"/>
      <c r="E3334" s="195" t="n">
        <v>6482.44</v>
      </c>
      <c r="F3334" s="195" t="n">
        <v>6623.45</v>
      </c>
      <c r="G3334" s="195" t="n">
        <v>6552.94</v>
      </c>
    </row>
    <row r="3335">
      <c r="A3335" s="196" t="inlineStr">
        <is>
          <t>2026-04-01</t>
        </is>
      </c>
      <c r="B3335" s="196" t="inlineStr">
        <is>
          <t>NOK</t>
        </is>
      </c>
      <c r="C3335" s="196" t="inlineStr">
        <is>
          <t>NORWEGIAN KRONER</t>
        </is>
      </c>
      <c r="D3335" s="184" t="n"/>
      <c r="E3335" s="184" t="n">
        <v>2669.64</v>
      </c>
      <c r="F3335" s="184" t="n">
        <v>2782.83</v>
      </c>
      <c r="G3335" s="184" t="n">
        <v>2726.23</v>
      </c>
    </row>
    <row r="3336">
      <c r="A3336" s="194" t="inlineStr">
        <is>
          <t>2026-04-01</t>
        </is>
      </c>
      <c r="B3336" s="194" t="inlineStr">
        <is>
          <t>RUB</t>
        </is>
      </c>
      <c r="C3336" s="194" t="inlineStr">
        <is>
          <t>RUSSIAN RUBLE</t>
        </is>
      </c>
      <c r="D3336" s="195" t="n"/>
      <c r="E3336" s="195" t="n">
        <v>308.34</v>
      </c>
      <c r="F3336" s="195" t="n">
        <v>341.31</v>
      </c>
      <c r="G3336" s="195" t="n">
        <v>324.82</v>
      </c>
    </row>
    <row r="3337">
      <c r="A3337" s="196" t="inlineStr">
        <is>
          <t>2026-04-01</t>
        </is>
      </c>
      <c r="B3337" s="196" t="inlineStr">
        <is>
          <t>SAR</t>
        </is>
      </c>
      <c r="C3337" s="196" t="inlineStr">
        <is>
          <t>SAUDI RIAL</t>
        </is>
      </c>
      <c r="D3337" s="184" t="n"/>
      <c r="E3337" s="184" t="n">
        <v>6979.28</v>
      </c>
      <c r="F3337" s="184" t="n">
        <v>7279.62</v>
      </c>
      <c r="G3337" s="184" t="n">
        <v>7129.45</v>
      </c>
    </row>
    <row r="3338">
      <c r="A3338" s="194" t="inlineStr">
        <is>
          <t>2026-04-01</t>
        </is>
      </c>
      <c r="B3338" s="194" t="inlineStr">
        <is>
          <t>SEK</t>
        </is>
      </c>
      <c r="C3338" s="194" t="inlineStr">
        <is>
          <t>SWEDISH KRONA</t>
        </is>
      </c>
      <c r="D3338" s="195" t="n"/>
      <c r="E3338" s="195" t="n">
        <v>2733.44</v>
      </c>
      <c r="F3338" s="195" t="n">
        <v>2849.33</v>
      </c>
      <c r="G3338" s="195" t="n">
        <v>2791.38</v>
      </c>
    </row>
    <row r="3339">
      <c r="A3339" s="196" t="inlineStr">
        <is>
          <t>2026-04-01</t>
        </is>
      </c>
      <c r="B3339" s="196" t="inlineStr">
        <is>
          <t>SGD</t>
        </is>
      </c>
      <c r="C3339" s="196" t="inlineStr">
        <is>
          <t>SINGAPORE DOLLAR</t>
        </is>
      </c>
      <c r="D3339" s="184" t="n">
        <v>19976.99</v>
      </c>
      <c r="E3339" s="184" t="n">
        <v>20178.78</v>
      </c>
      <c r="F3339" s="184" t="n">
        <v>20866.66</v>
      </c>
      <c r="G3339" s="184" t="n">
        <v>20522.72</v>
      </c>
    </row>
    <row r="3340">
      <c r="A3340" s="194" t="inlineStr">
        <is>
          <t>2026-04-01</t>
        </is>
      </c>
      <c r="B3340" s="194" t="inlineStr">
        <is>
          <t>THB</t>
        </is>
      </c>
      <c r="C3340" s="194" t="inlineStr">
        <is>
          <t>THAILAND BAHT</t>
        </is>
      </c>
      <c r="D3340" s="195" t="n">
        <v>715.01</v>
      </c>
      <c r="E3340" s="195" t="n">
        <v>794.46</v>
      </c>
      <c r="F3340" s="195" t="n">
        <v>828.14</v>
      </c>
      <c r="G3340" s="195" t="n">
        <v>811.3</v>
      </c>
    </row>
    <row r="3341">
      <c r="A3341" s="196" t="inlineStr">
        <is>
          <t>2026-04-01</t>
        </is>
      </c>
      <c r="B3341" s="196" t="inlineStr">
        <is>
          <t>USD</t>
        </is>
      </c>
      <c r="C3341" s="196" t="inlineStr">
        <is>
          <t>US DOLLAR</t>
        </is>
      </c>
      <c r="D3341" s="184" t="n">
        <v>26110</v>
      </c>
      <c r="E3341" s="184" t="n">
        <v>26140</v>
      </c>
      <c r="F3341" s="184" t="n">
        <v>26360</v>
      </c>
      <c r="G3341" s="184" t="n">
        <v>26250</v>
      </c>
    </row>
    <row r="3342">
      <c r="A3342" s="194" t="inlineStr">
        <is>
          <t>2026-03-31</t>
        </is>
      </c>
      <c r="B3342" s="194" t="inlineStr">
        <is>
          <t>AUD</t>
        </is>
      </c>
      <c r="C3342" s="194" t="inlineStr">
        <is>
          <t>AUSTRALIAN DOLLAR</t>
        </is>
      </c>
      <c r="D3342" s="195" t="n">
        <v>17581.17</v>
      </c>
      <c r="E3342" s="195" t="n">
        <v>17758.76</v>
      </c>
      <c r="F3342" s="195" t="n">
        <v>18327.45</v>
      </c>
      <c r="G3342" s="195" t="n">
        <v>18043.1</v>
      </c>
    </row>
    <row r="3343">
      <c r="A3343" s="196" t="inlineStr">
        <is>
          <t>2026-03-31</t>
        </is>
      </c>
      <c r="B3343" s="196" t="inlineStr">
        <is>
          <t>CAD</t>
        </is>
      </c>
      <c r="C3343" s="196" t="inlineStr">
        <is>
          <t>CANADIAN DOLLAR</t>
        </is>
      </c>
      <c r="D3343" s="184" t="n">
        <v>18431.74</v>
      </c>
      <c r="E3343" s="184" t="n">
        <v>18617.92</v>
      </c>
      <c r="F3343" s="184" t="n">
        <v>19214.12</v>
      </c>
      <c r="G3343" s="184" t="n">
        <v>18916.02</v>
      </c>
    </row>
    <row r="3344">
      <c r="A3344" s="194" t="inlineStr">
        <is>
          <t>2026-03-31</t>
        </is>
      </c>
      <c r="B3344" s="194" t="inlineStr">
        <is>
          <t>CHF</t>
        </is>
      </c>
      <c r="C3344" s="194" t="inlineStr">
        <is>
          <t>SWISS FRANC</t>
        </is>
      </c>
      <c r="D3344" s="195" t="n">
        <v>32149.94</v>
      </c>
      <c r="E3344" s="195" t="n">
        <v>32474.68</v>
      </c>
      <c r="F3344" s="195" t="n">
        <v>33514.62</v>
      </c>
      <c r="G3344" s="195" t="n">
        <v>32994.65</v>
      </c>
    </row>
    <row r="3345">
      <c r="A3345" s="196" t="inlineStr">
        <is>
          <t>2026-03-31</t>
        </is>
      </c>
      <c r="B3345" s="196" t="inlineStr">
        <is>
          <t>CNY</t>
        </is>
      </c>
      <c r="C3345" s="196" t="inlineStr">
        <is>
          <t>YUAN RENMINBI</t>
        </is>
      </c>
      <c r="D3345" s="184" t="n">
        <v>3715.8</v>
      </c>
      <c r="E3345" s="184" t="n">
        <v>3753.33</v>
      </c>
      <c r="F3345" s="184" t="n">
        <v>3873.53</v>
      </c>
      <c r="G3345" s="184" t="n">
        <v>3813.43</v>
      </c>
    </row>
    <row r="3346">
      <c r="A3346" s="194" t="inlineStr">
        <is>
          <t>2026-03-31</t>
        </is>
      </c>
      <c r="B3346" s="194" t="inlineStr">
        <is>
          <t>DKK</t>
        </is>
      </c>
      <c r="C3346" s="194" t="inlineStr">
        <is>
          <t>DANISH KRONE</t>
        </is>
      </c>
      <c r="D3346" s="195" t="n"/>
      <c r="E3346" s="195" t="n">
        <v>3969.88</v>
      </c>
      <c r="F3346" s="195" t="n">
        <v>4121.67</v>
      </c>
      <c r="G3346" s="195" t="n">
        <v>4045.78</v>
      </c>
    </row>
    <row r="3347">
      <c r="A3347" s="196" t="inlineStr">
        <is>
          <t>2026-03-31</t>
        </is>
      </c>
      <c r="B3347" s="196" t="inlineStr">
        <is>
          <t>EUR</t>
        </is>
      </c>
      <c r="C3347" s="196" t="inlineStr">
        <is>
          <t>EURO</t>
        </is>
      </c>
      <c r="D3347" s="184" t="n">
        <v>29436.28</v>
      </c>
      <c r="E3347" s="184" t="n">
        <v>29733.61</v>
      </c>
      <c r="F3347" s="184" t="n">
        <v>30988.09</v>
      </c>
      <c r="G3347" s="184" t="n">
        <v>30360.85</v>
      </c>
    </row>
    <row r="3348">
      <c r="A3348" s="194" t="inlineStr">
        <is>
          <t>2026-03-31</t>
        </is>
      </c>
      <c r="B3348" s="194" t="inlineStr">
        <is>
          <t>GBP</t>
        </is>
      </c>
      <c r="C3348" s="194" t="inlineStr">
        <is>
          <t>POUND STERLING</t>
        </is>
      </c>
      <c r="D3348" s="195" t="n">
        <v>33876.48</v>
      </c>
      <c r="E3348" s="195" t="n">
        <v>34218.67</v>
      </c>
      <c r="F3348" s="195" t="n">
        <v>35314.45</v>
      </c>
      <c r="G3348" s="195" t="n">
        <v>34766.56</v>
      </c>
    </row>
    <row r="3349">
      <c r="A3349" s="196" t="inlineStr">
        <is>
          <t>2026-03-31</t>
        </is>
      </c>
      <c r="B3349" s="196" t="inlineStr">
        <is>
          <t>HKD</t>
        </is>
      </c>
      <c r="C3349" s="196" t="inlineStr">
        <is>
          <t>HONGKONG DOLLAR</t>
        </is>
      </c>
      <c r="D3349" s="184" t="n">
        <v>3266.01</v>
      </c>
      <c r="E3349" s="184" t="n">
        <v>3299</v>
      </c>
      <c r="F3349" s="184" t="n">
        <v>3425.14</v>
      </c>
      <c r="G3349" s="184" t="n">
        <v>3362.07</v>
      </c>
    </row>
    <row r="3350">
      <c r="A3350" s="194" t="inlineStr">
        <is>
          <t>2026-03-31</t>
        </is>
      </c>
      <c r="B3350" s="194" t="inlineStr">
        <is>
          <t>INR</t>
        </is>
      </c>
      <c r="C3350" s="194" t="inlineStr">
        <is>
          <t>INDIAN RUPEE</t>
        </is>
      </c>
      <c r="D3350" s="195" t="n"/>
      <c r="E3350" s="195" t="n">
        <v>277.87</v>
      </c>
      <c r="F3350" s="195" t="n">
        <v>289.82</v>
      </c>
      <c r="G3350" s="195" t="n">
        <v>283.85</v>
      </c>
    </row>
    <row r="3351">
      <c r="A3351" s="196" t="inlineStr">
        <is>
          <t>2026-03-31</t>
        </is>
      </c>
      <c r="B3351" s="196" t="inlineStr">
        <is>
          <t>JPY</t>
        </is>
      </c>
      <c r="C3351" s="196" t="inlineStr">
        <is>
          <t>YEN</t>
        </is>
      </c>
      <c r="D3351" s="184" t="n">
        <v>159.19</v>
      </c>
      <c r="E3351" s="184" t="n">
        <v>160.8</v>
      </c>
      <c r="F3351" s="184" t="n">
        <v>169.3</v>
      </c>
      <c r="G3351" s="184" t="n">
        <v>165.05</v>
      </c>
    </row>
    <row r="3352">
      <c r="A3352" s="194" t="inlineStr">
        <is>
          <t>2026-03-31</t>
        </is>
      </c>
      <c r="B3352" s="194" t="inlineStr">
        <is>
          <t>KRW</t>
        </is>
      </c>
      <c r="C3352" s="194" t="inlineStr">
        <is>
          <t>KOREAN WON</t>
        </is>
      </c>
      <c r="D3352" s="195" t="n">
        <v>14.85</v>
      </c>
      <c r="E3352" s="195" t="n">
        <v>16.5</v>
      </c>
      <c r="F3352" s="195" t="n">
        <v>17.9</v>
      </c>
      <c r="G3352" s="195" t="n">
        <v>17.2</v>
      </c>
    </row>
    <row r="3353">
      <c r="A3353" s="196" t="inlineStr">
        <is>
          <t>2026-03-31</t>
        </is>
      </c>
      <c r="B3353" s="196" t="inlineStr">
        <is>
          <t>KWD</t>
        </is>
      </c>
      <c r="C3353" s="196" t="inlineStr">
        <is>
          <t>KUWAITI DINAR</t>
        </is>
      </c>
      <c r="D3353" s="184" t="n"/>
      <c r="E3353" s="184" t="n">
        <v>85334.16</v>
      </c>
      <c r="F3353" s="184" t="n">
        <v>89469.97</v>
      </c>
      <c r="G3353" s="184" t="n">
        <v>87402.06</v>
      </c>
    </row>
    <row r="3354">
      <c r="A3354" s="194" t="inlineStr">
        <is>
          <t>2026-03-31</t>
        </is>
      </c>
      <c r="B3354" s="194" t="inlineStr">
        <is>
          <t>MYR</t>
        </is>
      </c>
      <c r="C3354" s="194" t="inlineStr">
        <is>
          <t>MALAYSIAN RINGGIT</t>
        </is>
      </c>
      <c r="D3354" s="195" t="n"/>
      <c r="E3354" s="195" t="n">
        <v>6458.34</v>
      </c>
      <c r="F3354" s="195" t="n">
        <v>6598.83</v>
      </c>
      <c r="G3354" s="195" t="n">
        <v>6528.58</v>
      </c>
    </row>
    <row r="3355">
      <c r="A3355" s="196" t="inlineStr">
        <is>
          <t>2026-03-31</t>
        </is>
      </c>
      <c r="B3355" s="196" t="inlineStr">
        <is>
          <t>NOK</t>
        </is>
      </c>
      <c r="C3355" s="196" t="inlineStr">
        <is>
          <t>NORWEGIAN KRONER</t>
        </is>
      </c>
      <c r="D3355" s="184" t="n"/>
      <c r="E3355" s="184" t="n">
        <v>2649.63</v>
      </c>
      <c r="F3355" s="184" t="n">
        <v>2761.97</v>
      </c>
      <c r="G3355" s="184" t="n">
        <v>2705.8</v>
      </c>
    </row>
    <row r="3356">
      <c r="A3356" s="194" t="inlineStr">
        <is>
          <t>2026-03-31</t>
        </is>
      </c>
      <c r="B3356" s="194" t="inlineStr">
        <is>
          <t>RUB</t>
        </is>
      </c>
      <c r="C3356" s="194" t="inlineStr">
        <is>
          <t>RUSSIAN RUBLE</t>
        </is>
      </c>
      <c r="D3356" s="195" t="n"/>
      <c r="E3356" s="195" t="n">
        <v>308.34</v>
      </c>
      <c r="F3356" s="195" t="n">
        <v>341.31</v>
      </c>
      <c r="G3356" s="195" t="n">
        <v>324.82</v>
      </c>
    </row>
    <row r="3357">
      <c r="A3357" s="196" t="inlineStr">
        <is>
          <t>2026-03-31</t>
        </is>
      </c>
      <c r="B3357" s="196" t="inlineStr">
        <is>
          <t>SAR</t>
        </is>
      </c>
      <c r="C3357" s="196" t="inlineStr">
        <is>
          <t>SAUDI RIAL</t>
        </is>
      </c>
      <c r="D3357" s="184" t="n"/>
      <c r="E3357" s="184" t="n">
        <v>6979.1</v>
      </c>
      <c r="F3357" s="184" t="n">
        <v>7279.43</v>
      </c>
      <c r="G3357" s="184" t="n">
        <v>7129.26</v>
      </c>
    </row>
    <row r="3358">
      <c r="A3358" s="194" t="inlineStr">
        <is>
          <t>2026-03-31</t>
        </is>
      </c>
      <c r="B3358" s="194" t="inlineStr">
        <is>
          <t>SEK</t>
        </is>
      </c>
      <c r="C3358" s="194" t="inlineStr">
        <is>
          <t>SWEDISH KRONA</t>
        </is>
      </c>
      <c r="D3358" s="195" t="n"/>
      <c r="E3358" s="195" t="n">
        <v>2704.25</v>
      </c>
      <c r="F3358" s="195" t="n">
        <v>2818.9</v>
      </c>
      <c r="G3358" s="195" t="n">
        <v>2761.58</v>
      </c>
    </row>
    <row r="3359">
      <c r="A3359" s="196" t="inlineStr">
        <is>
          <t>2026-03-31</t>
        </is>
      </c>
      <c r="B3359" s="196" t="inlineStr">
        <is>
          <t>SGD</t>
        </is>
      </c>
      <c r="C3359" s="196" t="inlineStr">
        <is>
          <t>SINGAPORE DOLLAR</t>
        </is>
      </c>
      <c r="D3359" s="184" t="n">
        <v>19868.65</v>
      </c>
      <c r="E3359" s="184" t="n">
        <v>20069.35</v>
      </c>
      <c r="F3359" s="184" t="n">
        <v>20753.5</v>
      </c>
      <c r="G3359" s="184" t="n">
        <v>20411.42</v>
      </c>
    </row>
    <row r="3360">
      <c r="A3360" s="194" t="inlineStr">
        <is>
          <t>2026-03-31</t>
        </is>
      </c>
      <c r="B3360" s="194" t="inlineStr">
        <is>
          <t>THB</t>
        </is>
      </c>
      <c r="C3360" s="194" t="inlineStr">
        <is>
          <t>THAILAND BAHT</t>
        </is>
      </c>
      <c r="D3360" s="195" t="n">
        <v>705.88</v>
      </c>
      <c r="E3360" s="195" t="n">
        <v>784.3099999999999</v>
      </c>
      <c r="F3360" s="195" t="n">
        <v>817.5700000000001</v>
      </c>
      <c r="G3360" s="195" t="n">
        <v>800.9400000000001</v>
      </c>
    </row>
    <row r="3361">
      <c r="A3361" s="196" t="inlineStr">
        <is>
          <t>2026-03-31</t>
        </is>
      </c>
      <c r="B3361" s="196" t="inlineStr">
        <is>
          <t>USD</t>
        </is>
      </c>
      <c r="C3361" s="196" t="inlineStr">
        <is>
          <t>US DOLLAR</t>
        </is>
      </c>
      <c r="D3361" s="184" t="n">
        <v>26107</v>
      </c>
      <c r="E3361" s="184" t="n">
        <v>26137</v>
      </c>
      <c r="F3361" s="184" t="n">
        <v>26357</v>
      </c>
      <c r="G3361" s="184" t="n">
        <v>26247</v>
      </c>
    </row>
    <row r="3362">
      <c r="A3362" s="194" t="inlineStr">
        <is>
          <t>2026-03-30</t>
        </is>
      </c>
      <c r="B3362" s="194" t="inlineStr">
        <is>
          <t>AUD</t>
        </is>
      </c>
      <c r="C3362" s="194" t="inlineStr">
        <is>
          <t>AUSTRALIAN DOLLAR</t>
        </is>
      </c>
      <c r="D3362" s="195" t="n">
        <v>17602.72</v>
      </c>
      <c r="E3362" s="195" t="n">
        <v>17780.52</v>
      </c>
      <c r="F3362" s="195" t="n">
        <v>18349.92</v>
      </c>
      <c r="G3362" s="195" t="n">
        <v>18065.22</v>
      </c>
    </row>
    <row r="3363">
      <c r="A3363" s="196" t="inlineStr">
        <is>
          <t>2026-03-30</t>
        </is>
      </c>
      <c r="B3363" s="196" t="inlineStr">
        <is>
          <t>CAD</t>
        </is>
      </c>
      <c r="C3363" s="196" t="inlineStr">
        <is>
          <t>CANADIAN DOLLAR</t>
        </is>
      </c>
      <c r="D3363" s="184" t="n">
        <v>18476.47</v>
      </c>
      <c r="E3363" s="184" t="n">
        <v>18663.1</v>
      </c>
      <c r="F3363" s="184" t="n">
        <v>19260.76</v>
      </c>
      <c r="G3363" s="184" t="n">
        <v>18961.93</v>
      </c>
    </row>
    <row r="3364">
      <c r="A3364" s="194" t="inlineStr">
        <is>
          <t>2026-03-30</t>
        </is>
      </c>
      <c r="B3364" s="194" t="inlineStr">
        <is>
          <t>CHF</t>
        </is>
      </c>
      <c r="C3364" s="194" t="inlineStr">
        <is>
          <t>SWISS FRANC</t>
        </is>
      </c>
      <c r="D3364" s="195" t="n">
        <v>32141.75</v>
      </c>
      <c r="E3364" s="195" t="n">
        <v>32466.41</v>
      </c>
      <c r="F3364" s="195" t="n">
        <v>33506.1</v>
      </c>
      <c r="G3364" s="195" t="n">
        <v>32986.25</v>
      </c>
    </row>
    <row r="3365">
      <c r="A3365" s="196" t="inlineStr">
        <is>
          <t>2026-03-30</t>
        </is>
      </c>
      <c r="B3365" s="196" t="inlineStr">
        <is>
          <t>CNY</t>
        </is>
      </c>
      <c r="C3365" s="196" t="inlineStr">
        <is>
          <t>YUAN RENMINBI</t>
        </is>
      </c>
      <c r="D3365" s="184" t="n">
        <v>3709.4</v>
      </c>
      <c r="E3365" s="184" t="n">
        <v>3746.86</v>
      </c>
      <c r="F3365" s="184" t="n">
        <v>3866.85</v>
      </c>
      <c r="G3365" s="184" t="n">
        <v>3806.86</v>
      </c>
    </row>
    <row r="3366">
      <c r="A3366" s="194" t="inlineStr">
        <is>
          <t>2026-03-30</t>
        </is>
      </c>
      <c r="B3366" s="194" t="inlineStr">
        <is>
          <t>DKK</t>
        </is>
      </c>
      <c r="C3366" s="194" t="inlineStr">
        <is>
          <t>DANISH KRONE</t>
        </is>
      </c>
      <c r="D3366" s="195" t="n"/>
      <c r="E3366" s="195" t="n">
        <v>3982.31</v>
      </c>
      <c r="F3366" s="195" t="n">
        <v>4134.58</v>
      </c>
      <c r="G3366" s="195" t="n">
        <v>4058.44</v>
      </c>
    </row>
    <row r="3367">
      <c r="A3367" s="196" t="inlineStr">
        <is>
          <t>2026-03-30</t>
        </is>
      </c>
      <c r="B3367" s="196" t="inlineStr">
        <is>
          <t>EUR</t>
        </is>
      </c>
      <c r="C3367" s="196" t="inlineStr">
        <is>
          <t>EURO</t>
        </is>
      </c>
      <c r="D3367" s="184" t="n">
        <v>29535.41</v>
      </c>
      <c r="E3367" s="184" t="n">
        <v>29833.75</v>
      </c>
      <c r="F3367" s="184" t="n">
        <v>31092.47</v>
      </c>
      <c r="G3367" s="184" t="n">
        <v>30463.11</v>
      </c>
    </row>
    <row r="3368">
      <c r="A3368" s="194" t="inlineStr">
        <is>
          <t>2026-03-30</t>
        </is>
      </c>
      <c r="B3368" s="194" t="inlineStr">
        <is>
          <t>GBP</t>
        </is>
      </c>
      <c r="C3368" s="194" t="inlineStr">
        <is>
          <t>POUND STERLING</t>
        </is>
      </c>
      <c r="D3368" s="195" t="n">
        <v>34012.42</v>
      </c>
      <c r="E3368" s="195" t="n">
        <v>34355.98</v>
      </c>
      <c r="F3368" s="195" t="n">
        <v>35456.18</v>
      </c>
      <c r="G3368" s="195" t="n">
        <v>34906.08</v>
      </c>
    </row>
    <row r="3369">
      <c r="A3369" s="196" t="inlineStr">
        <is>
          <t>2026-03-30</t>
        </is>
      </c>
      <c r="B3369" s="196" t="inlineStr">
        <is>
          <t>HKD</t>
        </is>
      </c>
      <c r="C3369" s="196" t="inlineStr">
        <is>
          <t>HONGKONG DOLLAR</t>
        </is>
      </c>
      <c r="D3369" s="184" t="n">
        <v>3266.77</v>
      </c>
      <c r="E3369" s="184" t="n">
        <v>3299.77</v>
      </c>
      <c r="F3369" s="184" t="n">
        <v>3425.94</v>
      </c>
      <c r="G3369" s="184" t="n">
        <v>3362.86</v>
      </c>
    </row>
    <row r="3370">
      <c r="A3370" s="194" t="inlineStr">
        <is>
          <t>2026-03-30</t>
        </is>
      </c>
      <c r="B3370" s="194" t="inlineStr">
        <is>
          <t>INR</t>
        </is>
      </c>
      <c r="C3370" s="194" t="inlineStr">
        <is>
          <t>INDIAN RUPEE</t>
        </is>
      </c>
      <c r="D3370" s="195" t="n"/>
      <c r="E3370" s="195" t="n">
        <v>280.71</v>
      </c>
      <c r="F3370" s="195" t="n">
        <v>292.79</v>
      </c>
      <c r="G3370" s="195" t="n">
        <v>286.75</v>
      </c>
    </row>
    <row r="3371">
      <c r="A3371" s="196" t="inlineStr">
        <is>
          <t>2026-03-30</t>
        </is>
      </c>
      <c r="B3371" s="196" t="inlineStr">
        <is>
          <t>JPY</t>
        </is>
      </c>
      <c r="C3371" s="196" t="inlineStr">
        <is>
          <t>YEN</t>
        </is>
      </c>
      <c r="D3371" s="184" t="n">
        <v>159.42</v>
      </c>
      <c r="E3371" s="184" t="n">
        <v>161.03</v>
      </c>
      <c r="F3371" s="184" t="n">
        <v>169.55</v>
      </c>
      <c r="G3371" s="184" t="n">
        <v>165.29</v>
      </c>
    </row>
    <row r="3372">
      <c r="A3372" s="194" t="inlineStr">
        <is>
          <t>2026-03-30</t>
        </is>
      </c>
      <c r="B3372" s="194" t="inlineStr">
        <is>
          <t>KRW</t>
        </is>
      </c>
      <c r="C3372" s="194" t="inlineStr">
        <is>
          <t>KOREAN WON</t>
        </is>
      </c>
      <c r="D3372" s="195" t="n">
        <v>15.06</v>
      </c>
      <c r="E3372" s="195" t="n">
        <v>16.74</v>
      </c>
      <c r="F3372" s="195" t="n">
        <v>18.16</v>
      </c>
      <c r="G3372" s="195" t="n">
        <v>17.45</v>
      </c>
    </row>
    <row r="3373">
      <c r="A3373" s="196" t="inlineStr">
        <is>
          <t>2026-03-30</t>
        </is>
      </c>
      <c r="B3373" s="196" t="inlineStr">
        <is>
          <t>KWD</t>
        </is>
      </c>
      <c r="C3373" s="196" t="inlineStr">
        <is>
          <t>KUWAITI DINAR</t>
        </is>
      </c>
      <c r="D3373" s="184" t="n"/>
      <c r="E3373" s="184" t="n">
        <v>85301.74000000001</v>
      </c>
      <c r="F3373" s="184" t="n">
        <v>89436.03</v>
      </c>
      <c r="G3373" s="184" t="n">
        <v>87368.88</v>
      </c>
    </row>
    <row r="3374">
      <c r="A3374" s="194" t="inlineStr">
        <is>
          <t>2026-03-30</t>
        </is>
      </c>
      <c r="B3374" s="194" t="inlineStr">
        <is>
          <t>MYR</t>
        </is>
      </c>
      <c r="C3374" s="194" t="inlineStr">
        <is>
          <t>MALAYSIAN RINGGIT</t>
        </is>
      </c>
      <c r="D3374" s="195" t="n"/>
      <c r="E3374" s="195" t="n">
        <v>6479.98</v>
      </c>
      <c r="F3374" s="195" t="n">
        <v>6620.94</v>
      </c>
      <c r="G3374" s="195" t="n">
        <v>6550.46</v>
      </c>
    </row>
    <row r="3375">
      <c r="A3375" s="196" t="inlineStr">
        <is>
          <t>2026-03-30</t>
        </is>
      </c>
      <c r="B3375" s="196" t="inlineStr">
        <is>
          <t>NOK</t>
        </is>
      </c>
      <c r="C3375" s="196" t="inlineStr">
        <is>
          <t>NORWEGIAN KRONER</t>
        </is>
      </c>
      <c r="D3375" s="184" t="n"/>
      <c r="E3375" s="184" t="n">
        <v>2647.75</v>
      </c>
      <c r="F3375" s="184" t="n">
        <v>2760.01</v>
      </c>
      <c r="G3375" s="184" t="n">
        <v>2703.88</v>
      </c>
    </row>
    <row r="3376">
      <c r="A3376" s="194" t="inlineStr">
        <is>
          <t>2026-03-30</t>
        </is>
      </c>
      <c r="B3376" s="194" t="inlineStr">
        <is>
          <t>RUB</t>
        </is>
      </c>
      <c r="C3376" s="194" t="inlineStr">
        <is>
          <t>RUSSIAN RUBLE</t>
        </is>
      </c>
      <c r="D3376" s="195" t="n"/>
      <c r="E3376" s="195" t="n">
        <v>307.47</v>
      </c>
      <c r="F3376" s="195" t="n">
        <v>340.35</v>
      </c>
      <c r="G3376" s="195" t="n">
        <v>323.91</v>
      </c>
    </row>
    <row r="3377">
      <c r="A3377" s="196" t="inlineStr">
        <is>
          <t>2026-03-30</t>
        </is>
      </c>
      <c r="B3377" s="196" t="inlineStr">
        <is>
          <t>SAR</t>
        </is>
      </c>
      <c r="C3377" s="196" t="inlineStr">
        <is>
          <t>SAUDI RIAL</t>
        </is>
      </c>
      <c r="D3377" s="184" t="n"/>
      <c r="E3377" s="184" t="n">
        <v>6977</v>
      </c>
      <c r="F3377" s="184" t="n">
        <v>7277.25</v>
      </c>
      <c r="G3377" s="184" t="n">
        <v>7127.12</v>
      </c>
    </row>
    <row r="3378">
      <c r="A3378" s="194" t="inlineStr">
        <is>
          <t>2026-03-30</t>
        </is>
      </c>
      <c r="B3378" s="194" t="inlineStr">
        <is>
          <t>SEK</t>
        </is>
      </c>
      <c r="C3378" s="194" t="inlineStr">
        <is>
          <t>SWEDISH KRONA</t>
        </is>
      </c>
      <c r="D3378" s="195" t="n"/>
      <c r="E3378" s="195" t="n">
        <v>2725.15</v>
      </c>
      <c r="F3378" s="195" t="n">
        <v>2840.7</v>
      </c>
      <c r="G3378" s="195" t="n">
        <v>2782.92</v>
      </c>
    </row>
    <row r="3379">
      <c r="A3379" s="196" t="inlineStr">
        <is>
          <t>2026-03-30</t>
        </is>
      </c>
      <c r="B3379" s="196" t="inlineStr">
        <is>
          <t>SGD</t>
        </is>
      </c>
      <c r="C3379" s="196" t="inlineStr">
        <is>
          <t>SINGAPORE DOLLAR</t>
        </is>
      </c>
      <c r="D3379" s="184" t="n">
        <v>19907.37</v>
      </c>
      <c r="E3379" s="184" t="n">
        <v>20108.46</v>
      </c>
      <c r="F3379" s="184" t="n">
        <v>20793.96</v>
      </c>
      <c r="G3379" s="184" t="n">
        <v>20451.21</v>
      </c>
    </row>
    <row r="3380">
      <c r="A3380" s="194" t="inlineStr">
        <is>
          <t>2026-03-30</t>
        </is>
      </c>
      <c r="B3380" s="194" t="inlineStr">
        <is>
          <t>THB</t>
        </is>
      </c>
      <c r="C3380" s="194" t="inlineStr">
        <is>
          <t>THAILAND BAHT</t>
        </is>
      </c>
      <c r="D3380" s="195" t="n">
        <v>706.9</v>
      </c>
      <c r="E3380" s="195" t="n">
        <v>785.45</v>
      </c>
      <c r="F3380" s="195" t="n">
        <v>818.75</v>
      </c>
      <c r="G3380" s="195" t="n">
        <v>802.1</v>
      </c>
    </row>
    <row r="3381">
      <c r="A3381" s="196" t="inlineStr">
        <is>
          <t>2026-03-30</t>
        </is>
      </c>
      <c r="B3381" s="196" t="inlineStr">
        <is>
          <t>USD</t>
        </is>
      </c>
      <c r="C3381" s="196" t="inlineStr">
        <is>
          <t>US DOLLAR</t>
        </is>
      </c>
      <c r="D3381" s="184" t="n">
        <v>26105</v>
      </c>
      <c r="E3381" s="184" t="n">
        <v>26135</v>
      </c>
      <c r="F3381" s="184" t="n">
        <v>26355</v>
      </c>
      <c r="G3381" s="184" t="n">
        <v>26245</v>
      </c>
    </row>
    <row r="3382">
      <c r="A3382" s="194" t="inlineStr">
        <is>
          <t>2026-03-29</t>
        </is>
      </c>
      <c r="B3382" s="194" t="inlineStr">
        <is>
          <t>AUD</t>
        </is>
      </c>
      <c r="C3382" s="194" t="inlineStr">
        <is>
          <t>AUSTRALIAN DOLLAR</t>
        </is>
      </c>
      <c r="D3382" s="195" t="n">
        <v>17695.08</v>
      </c>
      <c r="E3382" s="195" t="n">
        <v>17873.82</v>
      </c>
      <c r="F3382" s="195" t="n">
        <v>18446.2</v>
      </c>
      <c r="G3382" s="195" t="n">
        <v>18160.01</v>
      </c>
    </row>
    <row r="3383">
      <c r="A3383" s="196" t="inlineStr">
        <is>
          <t>2026-03-29</t>
        </is>
      </c>
      <c r="B3383" s="196" t="inlineStr">
        <is>
          <t>CAD</t>
        </is>
      </c>
      <c r="C3383" s="196" t="inlineStr">
        <is>
          <t>CANADIAN DOLLAR</t>
        </is>
      </c>
      <c r="D3383" s="184" t="n">
        <v>18533.85</v>
      </c>
      <c r="E3383" s="184" t="n">
        <v>18721.06</v>
      </c>
      <c r="F3383" s="184" t="n">
        <v>19320.58</v>
      </c>
      <c r="G3383" s="184" t="n">
        <v>19020.82</v>
      </c>
    </row>
    <row r="3384">
      <c r="A3384" s="194" t="inlineStr">
        <is>
          <t>2026-03-29</t>
        </is>
      </c>
      <c r="B3384" s="194" t="inlineStr">
        <is>
          <t>CHF</t>
        </is>
      </c>
      <c r="C3384" s="194" t="inlineStr">
        <is>
          <t>SWISS FRANC</t>
        </is>
      </c>
      <c r="D3384" s="195" t="n">
        <v>32230.56</v>
      </c>
      <c r="E3384" s="195" t="n">
        <v>32556.12</v>
      </c>
      <c r="F3384" s="195" t="n">
        <v>33598.68</v>
      </c>
      <c r="G3384" s="195" t="n">
        <v>33077.4</v>
      </c>
    </row>
    <row r="3385">
      <c r="A3385" s="196" t="inlineStr">
        <is>
          <t>2026-03-29</t>
        </is>
      </c>
      <c r="B3385" s="196" t="inlineStr">
        <is>
          <t>CNY</t>
        </is>
      </c>
      <c r="C3385" s="196" t="inlineStr">
        <is>
          <t>YUAN RENMINBI</t>
        </is>
      </c>
      <c r="D3385" s="184" t="n">
        <v>3713.37</v>
      </c>
      <c r="E3385" s="184" t="n">
        <v>3750.88</v>
      </c>
      <c r="F3385" s="184" t="n">
        <v>3870.99</v>
      </c>
      <c r="G3385" s="184" t="n">
        <v>3810.94</v>
      </c>
    </row>
    <row r="3386">
      <c r="A3386" s="194" t="inlineStr">
        <is>
          <t>2026-03-29</t>
        </is>
      </c>
      <c r="B3386" s="194" t="inlineStr">
        <is>
          <t>DKK</t>
        </is>
      </c>
      <c r="C3386" s="194" t="inlineStr">
        <is>
          <t>DANISH KRONE</t>
        </is>
      </c>
      <c r="D3386" s="195" t="n"/>
      <c r="E3386" s="195" t="n">
        <v>3986.49</v>
      </c>
      <c r="F3386" s="195" t="n">
        <v>4138.91</v>
      </c>
      <c r="G3386" s="195" t="n">
        <v>4062.7</v>
      </c>
    </row>
    <row r="3387">
      <c r="A3387" s="196" t="inlineStr">
        <is>
          <t>2026-03-29</t>
        </is>
      </c>
      <c r="B3387" s="196" t="inlineStr">
        <is>
          <t>EUR</t>
        </is>
      </c>
      <c r="C3387" s="196" t="inlineStr">
        <is>
          <t>EURO</t>
        </is>
      </c>
      <c r="D3387" s="184" t="n">
        <v>29563.64</v>
      </c>
      <c r="E3387" s="184" t="n">
        <v>29862.26</v>
      </c>
      <c r="F3387" s="184" t="n">
        <v>31122.18</v>
      </c>
      <c r="G3387" s="184" t="n">
        <v>30492.22</v>
      </c>
    </row>
    <row r="3388">
      <c r="A3388" s="194" t="inlineStr">
        <is>
          <t>2026-03-29</t>
        </is>
      </c>
      <c r="B3388" s="194" t="inlineStr">
        <is>
          <t>GBP</t>
        </is>
      </c>
      <c r="C3388" s="194" t="inlineStr">
        <is>
          <t>POUND STERLING</t>
        </is>
      </c>
      <c r="D3388" s="195" t="n">
        <v>34161.23</v>
      </c>
      <c r="E3388" s="195" t="n">
        <v>34506.29</v>
      </c>
      <c r="F3388" s="195" t="n">
        <v>35611.3</v>
      </c>
      <c r="G3388" s="195" t="n">
        <v>35058.8</v>
      </c>
    </row>
    <row r="3389">
      <c r="A3389" s="196" t="inlineStr">
        <is>
          <t>2026-03-29</t>
        </is>
      </c>
      <c r="B3389" s="196" t="inlineStr">
        <is>
          <t>HKD</t>
        </is>
      </c>
      <c r="C3389" s="196" t="inlineStr">
        <is>
          <t>HONGKONG DOLLAR</t>
        </is>
      </c>
      <c r="D3389" s="184" t="n">
        <v>3266.73</v>
      </c>
      <c r="E3389" s="184" t="n">
        <v>3299.73</v>
      </c>
      <c r="F3389" s="184" t="n">
        <v>3425.9</v>
      </c>
      <c r="G3389" s="184" t="n">
        <v>3362.82</v>
      </c>
    </row>
    <row r="3390">
      <c r="A3390" s="194" t="inlineStr">
        <is>
          <t>2026-03-29</t>
        </is>
      </c>
      <c r="B3390" s="194" t="inlineStr">
        <is>
          <t>INR</t>
        </is>
      </c>
      <c r="C3390" s="194" t="inlineStr">
        <is>
          <t>INDIAN RUPEE</t>
        </is>
      </c>
      <c r="D3390" s="195" t="n"/>
      <c r="E3390" s="195" t="n">
        <v>276.46</v>
      </c>
      <c r="F3390" s="195" t="n">
        <v>288.36</v>
      </c>
      <c r="G3390" s="195" t="n">
        <v>282.41</v>
      </c>
    </row>
    <row r="3391">
      <c r="A3391" s="196" t="inlineStr">
        <is>
          <t>2026-03-29</t>
        </is>
      </c>
      <c r="B3391" s="196" t="inlineStr">
        <is>
          <t>JPY</t>
        </is>
      </c>
      <c r="C3391" s="196" t="inlineStr">
        <is>
          <t>YEN</t>
        </is>
      </c>
      <c r="D3391" s="184" t="n">
        <v>159</v>
      </c>
      <c r="E3391" s="184" t="n">
        <v>160.61</v>
      </c>
      <c r="F3391" s="184" t="n">
        <v>169.1</v>
      </c>
      <c r="G3391" s="184" t="n">
        <v>164.86</v>
      </c>
    </row>
    <row r="3392">
      <c r="A3392" s="194" t="inlineStr">
        <is>
          <t>2026-03-29</t>
        </is>
      </c>
      <c r="B3392" s="194" t="inlineStr">
        <is>
          <t>KRW</t>
        </is>
      </c>
      <c r="C3392" s="194" t="inlineStr">
        <is>
          <t>KOREAN WON</t>
        </is>
      </c>
      <c r="D3392" s="195" t="n">
        <v>15.11</v>
      </c>
      <c r="E3392" s="195" t="n">
        <v>16.79</v>
      </c>
      <c r="F3392" s="195" t="n">
        <v>18.21</v>
      </c>
      <c r="G3392" s="195" t="n">
        <v>17.5</v>
      </c>
    </row>
    <row r="3393">
      <c r="A3393" s="196" t="inlineStr">
        <is>
          <t>2026-03-29</t>
        </is>
      </c>
      <c r="B3393" s="196" t="inlineStr">
        <is>
          <t>KWD</t>
        </is>
      </c>
      <c r="C3393" s="196" t="inlineStr">
        <is>
          <t>KUWAITI DINAR</t>
        </is>
      </c>
      <c r="D3393" s="184" t="n"/>
      <c r="E3393" s="184" t="n">
        <v>85385.21000000001</v>
      </c>
      <c r="F3393" s="184" t="n">
        <v>89523.53999999999</v>
      </c>
      <c r="G3393" s="184" t="n">
        <v>87454.38</v>
      </c>
    </row>
    <row r="3394">
      <c r="A3394" s="194" t="inlineStr">
        <is>
          <t>2026-03-29</t>
        </is>
      </c>
      <c r="B3394" s="194" t="inlineStr">
        <is>
          <t>MYR</t>
        </is>
      </c>
      <c r="C3394" s="194" t="inlineStr">
        <is>
          <t>MALAYSIAN RINGGIT</t>
        </is>
      </c>
      <c r="D3394" s="195" t="n"/>
      <c r="E3394" s="195" t="n">
        <v>6499.38</v>
      </c>
      <c r="F3394" s="195" t="n">
        <v>6640.76</v>
      </c>
      <c r="G3394" s="195" t="n">
        <v>6570.07</v>
      </c>
    </row>
    <row r="3395">
      <c r="A3395" s="196" t="inlineStr">
        <is>
          <t>2026-03-29</t>
        </is>
      </c>
      <c r="B3395" s="196" t="inlineStr">
        <is>
          <t>NOK</t>
        </is>
      </c>
      <c r="C3395" s="196" t="inlineStr">
        <is>
          <t>NORWEGIAN KRONER</t>
        </is>
      </c>
      <c r="D3395" s="184" t="n"/>
      <c r="E3395" s="184" t="n">
        <v>2666.14</v>
      </c>
      <c r="F3395" s="184" t="n">
        <v>2779.18</v>
      </c>
      <c r="G3395" s="184" t="n">
        <v>2722.66</v>
      </c>
    </row>
    <row r="3396">
      <c r="A3396" s="194" t="inlineStr">
        <is>
          <t>2026-03-29</t>
        </is>
      </c>
      <c r="B3396" s="194" t="inlineStr">
        <is>
          <t>RUB</t>
        </is>
      </c>
      <c r="C3396" s="194" t="inlineStr">
        <is>
          <t>RUSSIAN RUBLE</t>
        </is>
      </c>
      <c r="D3396" s="195" t="n"/>
      <c r="E3396" s="195" t="n">
        <v>309.54</v>
      </c>
      <c r="F3396" s="195" t="n">
        <v>342.64</v>
      </c>
      <c r="G3396" s="195" t="n">
        <v>326.09</v>
      </c>
    </row>
    <row r="3397">
      <c r="A3397" s="196" t="inlineStr">
        <is>
          <t>2026-03-29</t>
        </is>
      </c>
      <c r="B3397" s="196" t="inlineStr">
        <is>
          <t>SAR</t>
        </is>
      </c>
      <c r="C3397" s="196" t="inlineStr">
        <is>
          <t>SAUDI RIAL</t>
        </is>
      </c>
      <c r="D3397" s="184" t="n"/>
      <c r="E3397" s="184" t="n">
        <v>6978.49</v>
      </c>
      <c r="F3397" s="184" t="n">
        <v>7278.8</v>
      </c>
      <c r="G3397" s="184" t="n">
        <v>7128.64</v>
      </c>
    </row>
    <row r="3398">
      <c r="A3398" s="194" t="inlineStr">
        <is>
          <t>2026-03-29</t>
        </is>
      </c>
      <c r="B3398" s="194" t="inlineStr">
        <is>
          <t>SEK</t>
        </is>
      </c>
      <c r="C3398" s="194" t="inlineStr">
        <is>
          <t>SWEDISH KRONA</t>
        </is>
      </c>
      <c r="D3398" s="195" t="n"/>
      <c r="E3398" s="195" t="n">
        <v>2736.98</v>
      </c>
      <c r="F3398" s="195" t="n">
        <v>2853.02</v>
      </c>
      <c r="G3398" s="195" t="n">
        <v>2795</v>
      </c>
    </row>
    <row r="3399">
      <c r="A3399" s="196" t="inlineStr">
        <is>
          <t>2026-03-29</t>
        </is>
      </c>
      <c r="B3399" s="196" t="inlineStr">
        <is>
          <t>SGD</t>
        </is>
      </c>
      <c r="C3399" s="196" t="inlineStr">
        <is>
          <t>SINGAPORE DOLLAR</t>
        </is>
      </c>
      <c r="D3399" s="184" t="n">
        <v>19929.04</v>
      </c>
      <c r="E3399" s="184" t="n">
        <v>20130.34</v>
      </c>
      <c r="F3399" s="184" t="n">
        <v>20816.59</v>
      </c>
      <c r="G3399" s="184" t="n">
        <v>20473.46</v>
      </c>
    </row>
    <row r="3400">
      <c r="A3400" s="194" t="inlineStr">
        <is>
          <t>2026-03-29</t>
        </is>
      </c>
      <c r="B3400" s="194" t="inlineStr">
        <is>
          <t>THB</t>
        </is>
      </c>
      <c r="C3400" s="194" t="inlineStr">
        <is>
          <t>THAILAND BAHT</t>
        </is>
      </c>
      <c r="D3400" s="195" t="n">
        <v>706.26</v>
      </c>
      <c r="E3400" s="195" t="n">
        <v>784.73</v>
      </c>
      <c r="F3400" s="195" t="n">
        <v>818</v>
      </c>
      <c r="G3400" s="195" t="n">
        <v>801.36</v>
      </c>
    </row>
    <row r="3401">
      <c r="A3401" s="196" t="inlineStr">
        <is>
          <t>2026-03-29</t>
        </is>
      </c>
      <c r="B3401" s="196" t="inlineStr">
        <is>
          <t>USD</t>
        </is>
      </c>
      <c r="C3401" s="196" t="inlineStr">
        <is>
          <t>US DOLLAR</t>
        </is>
      </c>
      <c r="D3401" s="184" t="n">
        <v>26105</v>
      </c>
      <c r="E3401" s="184" t="n">
        <v>26135</v>
      </c>
      <c r="F3401" s="184" t="n">
        <v>26355</v>
      </c>
      <c r="G3401" s="184" t="n">
        <v>26245</v>
      </c>
    </row>
    <row r="3402">
      <c r="A3402" s="194" t="inlineStr">
        <is>
          <t>2026-03-28</t>
        </is>
      </c>
      <c r="B3402" s="194" t="inlineStr">
        <is>
          <t>AUD</t>
        </is>
      </c>
      <c r="C3402" s="194" t="inlineStr">
        <is>
          <t>AUSTRALIAN DOLLAR</t>
        </is>
      </c>
      <c r="D3402" s="195" t="n">
        <v>17695.08</v>
      </c>
      <c r="E3402" s="195" t="n">
        <v>17873.82</v>
      </c>
      <c r="F3402" s="195" t="n">
        <v>18446.2</v>
      </c>
      <c r="G3402" s="195" t="n">
        <v>18160.01</v>
      </c>
    </row>
    <row r="3403">
      <c r="A3403" s="196" t="inlineStr">
        <is>
          <t>2026-03-28</t>
        </is>
      </c>
      <c r="B3403" s="196" t="inlineStr">
        <is>
          <t>CAD</t>
        </is>
      </c>
      <c r="C3403" s="196" t="inlineStr">
        <is>
          <t>CANADIAN DOLLAR</t>
        </is>
      </c>
      <c r="D3403" s="184" t="n">
        <v>18533.85</v>
      </c>
      <c r="E3403" s="184" t="n">
        <v>18721.06</v>
      </c>
      <c r="F3403" s="184" t="n">
        <v>19320.58</v>
      </c>
      <c r="G3403" s="184" t="n">
        <v>19020.82</v>
      </c>
    </row>
    <row r="3404">
      <c r="A3404" s="194" t="inlineStr">
        <is>
          <t>2026-03-28</t>
        </is>
      </c>
      <c r="B3404" s="194" t="inlineStr">
        <is>
          <t>CHF</t>
        </is>
      </c>
      <c r="C3404" s="194" t="inlineStr">
        <is>
          <t>SWISS FRANC</t>
        </is>
      </c>
      <c r="D3404" s="195" t="n">
        <v>32230.56</v>
      </c>
      <c r="E3404" s="195" t="n">
        <v>32556.12</v>
      </c>
      <c r="F3404" s="195" t="n">
        <v>33598.68</v>
      </c>
      <c r="G3404" s="195" t="n">
        <v>33077.4</v>
      </c>
    </row>
    <row r="3405">
      <c r="A3405" s="196" t="inlineStr">
        <is>
          <t>2026-03-28</t>
        </is>
      </c>
      <c r="B3405" s="196" t="inlineStr">
        <is>
          <t>CNY</t>
        </is>
      </c>
      <c r="C3405" s="196" t="inlineStr">
        <is>
          <t>YUAN RENMINBI</t>
        </is>
      </c>
      <c r="D3405" s="184" t="n">
        <v>3713.37</v>
      </c>
      <c r="E3405" s="184" t="n">
        <v>3750.88</v>
      </c>
      <c r="F3405" s="184" t="n">
        <v>3870.99</v>
      </c>
      <c r="G3405" s="184" t="n">
        <v>3810.94</v>
      </c>
    </row>
    <row r="3406">
      <c r="A3406" s="194" t="inlineStr">
        <is>
          <t>2026-03-28</t>
        </is>
      </c>
      <c r="B3406" s="194" t="inlineStr">
        <is>
          <t>DKK</t>
        </is>
      </c>
      <c r="C3406" s="194" t="inlineStr">
        <is>
          <t>DANISH KRONE</t>
        </is>
      </c>
      <c r="D3406" s="195" t="n"/>
      <c r="E3406" s="195" t="n">
        <v>3986.49</v>
      </c>
      <c r="F3406" s="195" t="n">
        <v>4138.91</v>
      </c>
      <c r="G3406" s="195" t="n">
        <v>4062.7</v>
      </c>
    </row>
    <row r="3407">
      <c r="A3407" s="196" t="inlineStr">
        <is>
          <t>2026-03-28</t>
        </is>
      </c>
      <c r="B3407" s="196" t="inlineStr">
        <is>
          <t>EUR</t>
        </is>
      </c>
      <c r="C3407" s="196" t="inlineStr">
        <is>
          <t>EURO</t>
        </is>
      </c>
      <c r="D3407" s="184" t="n">
        <v>29563.64</v>
      </c>
      <c r="E3407" s="184" t="n">
        <v>29862.26</v>
      </c>
      <c r="F3407" s="184" t="n">
        <v>31122.18</v>
      </c>
      <c r="G3407" s="184" t="n">
        <v>30492.22</v>
      </c>
    </row>
    <row r="3408">
      <c r="A3408" s="194" t="inlineStr">
        <is>
          <t>2026-03-28</t>
        </is>
      </c>
      <c r="B3408" s="194" t="inlineStr">
        <is>
          <t>GBP</t>
        </is>
      </c>
      <c r="C3408" s="194" t="inlineStr">
        <is>
          <t>POUND STERLING</t>
        </is>
      </c>
      <c r="D3408" s="195" t="n">
        <v>34161.23</v>
      </c>
      <c r="E3408" s="195" t="n">
        <v>34506.29</v>
      </c>
      <c r="F3408" s="195" t="n">
        <v>35611.3</v>
      </c>
      <c r="G3408" s="195" t="n">
        <v>35058.8</v>
      </c>
    </row>
    <row r="3409">
      <c r="A3409" s="196" t="inlineStr">
        <is>
          <t>2026-03-28</t>
        </is>
      </c>
      <c r="B3409" s="196" t="inlineStr">
        <is>
          <t>HKD</t>
        </is>
      </c>
      <c r="C3409" s="196" t="inlineStr">
        <is>
          <t>HONGKONG DOLLAR</t>
        </is>
      </c>
      <c r="D3409" s="184" t="n">
        <v>3266.73</v>
      </c>
      <c r="E3409" s="184" t="n">
        <v>3299.73</v>
      </c>
      <c r="F3409" s="184" t="n">
        <v>3425.9</v>
      </c>
      <c r="G3409" s="184" t="n">
        <v>3362.82</v>
      </c>
    </row>
    <row r="3410">
      <c r="A3410" s="194" t="inlineStr">
        <is>
          <t>2026-03-28</t>
        </is>
      </c>
      <c r="B3410" s="194" t="inlineStr">
        <is>
          <t>INR</t>
        </is>
      </c>
      <c r="C3410" s="194" t="inlineStr">
        <is>
          <t>INDIAN RUPEE</t>
        </is>
      </c>
      <c r="D3410" s="195" t="n"/>
      <c r="E3410" s="195" t="n">
        <v>276.46</v>
      </c>
      <c r="F3410" s="195" t="n">
        <v>288.36</v>
      </c>
      <c r="G3410" s="195" t="n">
        <v>282.41</v>
      </c>
    </row>
    <row r="3411">
      <c r="A3411" s="196" t="inlineStr">
        <is>
          <t>2026-03-28</t>
        </is>
      </c>
      <c r="B3411" s="196" t="inlineStr">
        <is>
          <t>JPY</t>
        </is>
      </c>
      <c r="C3411" s="196" t="inlineStr">
        <is>
          <t>YEN</t>
        </is>
      </c>
      <c r="D3411" s="184" t="n">
        <v>159</v>
      </c>
      <c r="E3411" s="184" t="n">
        <v>160.61</v>
      </c>
      <c r="F3411" s="184" t="n">
        <v>169.1</v>
      </c>
      <c r="G3411" s="184" t="n">
        <v>164.86</v>
      </c>
    </row>
    <row r="3412">
      <c r="A3412" s="194" t="inlineStr">
        <is>
          <t>2026-03-28</t>
        </is>
      </c>
      <c r="B3412" s="194" t="inlineStr">
        <is>
          <t>KRW</t>
        </is>
      </c>
      <c r="C3412" s="194" t="inlineStr">
        <is>
          <t>KOREAN WON</t>
        </is>
      </c>
      <c r="D3412" s="195" t="n">
        <v>15.11</v>
      </c>
      <c r="E3412" s="195" t="n">
        <v>16.79</v>
      </c>
      <c r="F3412" s="195" t="n">
        <v>18.21</v>
      </c>
      <c r="G3412" s="195" t="n">
        <v>17.5</v>
      </c>
    </row>
    <row r="3413">
      <c r="A3413" s="196" t="inlineStr">
        <is>
          <t>2026-03-28</t>
        </is>
      </c>
      <c r="B3413" s="196" t="inlineStr">
        <is>
          <t>KWD</t>
        </is>
      </c>
      <c r="C3413" s="196" t="inlineStr">
        <is>
          <t>KUWAITI DINAR</t>
        </is>
      </c>
      <c r="D3413" s="184" t="n"/>
      <c r="E3413" s="184" t="n">
        <v>85385.21000000001</v>
      </c>
      <c r="F3413" s="184" t="n">
        <v>89523.53999999999</v>
      </c>
      <c r="G3413" s="184" t="n">
        <v>87454.38</v>
      </c>
    </row>
    <row r="3414">
      <c r="A3414" s="194" t="inlineStr">
        <is>
          <t>2026-03-28</t>
        </is>
      </c>
      <c r="B3414" s="194" t="inlineStr">
        <is>
          <t>MYR</t>
        </is>
      </c>
      <c r="C3414" s="194" t="inlineStr">
        <is>
          <t>MALAYSIAN RINGGIT</t>
        </is>
      </c>
      <c r="D3414" s="195" t="n"/>
      <c r="E3414" s="195" t="n">
        <v>6499.38</v>
      </c>
      <c r="F3414" s="195" t="n">
        <v>6640.76</v>
      </c>
      <c r="G3414" s="195" t="n">
        <v>6570.07</v>
      </c>
    </row>
    <row r="3415">
      <c r="A3415" s="196" t="inlineStr">
        <is>
          <t>2026-03-28</t>
        </is>
      </c>
      <c r="B3415" s="196" t="inlineStr">
        <is>
          <t>NOK</t>
        </is>
      </c>
      <c r="C3415" s="196" t="inlineStr">
        <is>
          <t>NORWEGIAN KRONER</t>
        </is>
      </c>
      <c r="D3415" s="184" t="n"/>
      <c r="E3415" s="184" t="n">
        <v>2666.14</v>
      </c>
      <c r="F3415" s="184" t="n">
        <v>2779.18</v>
      </c>
      <c r="G3415" s="184" t="n">
        <v>2722.66</v>
      </c>
    </row>
    <row r="3416">
      <c r="A3416" s="194" t="inlineStr">
        <is>
          <t>2026-03-28</t>
        </is>
      </c>
      <c r="B3416" s="194" t="inlineStr">
        <is>
          <t>RUB</t>
        </is>
      </c>
      <c r="C3416" s="194" t="inlineStr">
        <is>
          <t>RUSSIAN RUBLE</t>
        </is>
      </c>
      <c r="D3416" s="195" t="n"/>
      <c r="E3416" s="195" t="n">
        <v>309.54</v>
      </c>
      <c r="F3416" s="195" t="n">
        <v>342.64</v>
      </c>
      <c r="G3416" s="195" t="n">
        <v>326.09</v>
      </c>
    </row>
    <row r="3417">
      <c r="A3417" s="196" t="inlineStr">
        <is>
          <t>2026-03-28</t>
        </is>
      </c>
      <c r="B3417" s="196" t="inlineStr">
        <is>
          <t>SAR</t>
        </is>
      </c>
      <c r="C3417" s="196" t="inlineStr">
        <is>
          <t>SAUDI RIAL</t>
        </is>
      </c>
      <c r="D3417" s="184" t="n"/>
      <c r="E3417" s="184" t="n">
        <v>6978.49</v>
      </c>
      <c r="F3417" s="184" t="n">
        <v>7278.8</v>
      </c>
      <c r="G3417" s="184" t="n">
        <v>7128.64</v>
      </c>
    </row>
    <row r="3418">
      <c r="A3418" s="194" t="inlineStr">
        <is>
          <t>2026-03-28</t>
        </is>
      </c>
      <c r="B3418" s="194" t="inlineStr">
        <is>
          <t>SEK</t>
        </is>
      </c>
      <c r="C3418" s="194" t="inlineStr">
        <is>
          <t>SWEDISH KRONA</t>
        </is>
      </c>
      <c r="D3418" s="195" t="n"/>
      <c r="E3418" s="195" t="n">
        <v>2736.98</v>
      </c>
      <c r="F3418" s="195" t="n">
        <v>2853.02</v>
      </c>
      <c r="G3418" s="195" t="n">
        <v>2795</v>
      </c>
    </row>
    <row r="3419">
      <c r="A3419" s="196" t="inlineStr">
        <is>
          <t>2026-03-28</t>
        </is>
      </c>
      <c r="B3419" s="196" t="inlineStr">
        <is>
          <t>SGD</t>
        </is>
      </c>
      <c r="C3419" s="196" t="inlineStr">
        <is>
          <t>SINGAPORE DOLLAR</t>
        </is>
      </c>
      <c r="D3419" s="184" t="n">
        <v>19929.04</v>
      </c>
      <c r="E3419" s="184" t="n">
        <v>20130.34</v>
      </c>
      <c r="F3419" s="184" t="n">
        <v>20816.59</v>
      </c>
      <c r="G3419" s="184" t="n">
        <v>20473.46</v>
      </c>
    </row>
    <row r="3420">
      <c r="A3420" s="194" t="inlineStr">
        <is>
          <t>2026-03-28</t>
        </is>
      </c>
      <c r="B3420" s="194" t="inlineStr">
        <is>
          <t>THB</t>
        </is>
      </c>
      <c r="C3420" s="194" t="inlineStr">
        <is>
          <t>THAILAND BAHT</t>
        </is>
      </c>
      <c r="D3420" s="195" t="n">
        <v>706.26</v>
      </c>
      <c r="E3420" s="195" t="n">
        <v>784.73</v>
      </c>
      <c r="F3420" s="195" t="n">
        <v>818</v>
      </c>
      <c r="G3420" s="195" t="n">
        <v>801.36</v>
      </c>
    </row>
    <row r="3421">
      <c r="A3421" s="196" t="inlineStr">
        <is>
          <t>2026-03-28</t>
        </is>
      </c>
      <c r="B3421" s="196" t="inlineStr">
        <is>
          <t>USD</t>
        </is>
      </c>
      <c r="C3421" s="196" t="inlineStr">
        <is>
          <t>US DOLLAR</t>
        </is>
      </c>
      <c r="D3421" s="184" t="n">
        <v>26105</v>
      </c>
      <c r="E3421" s="184" t="n">
        <v>26135</v>
      </c>
      <c r="F3421" s="184" t="n">
        <v>26355</v>
      </c>
      <c r="G3421" s="184" t="n">
        <v>26245</v>
      </c>
    </row>
    <row r="3422">
      <c r="A3422" s="194" t="inlineStr">
        <is>
          <t>2026-03-27</t>
        </is>
      </c>
      <c r="B3422" s="194" t="inlineStr">
        <is>
          <t>AUD</t>
        </is>
      </c>
      <c r="C3422" s="194" t="inlineStr">
        <is>
          <t>AUSTRALIAN DOLLAR</t>
        </is>
      </c>
      <c r="D3422" s="195" t="n">
        <v>17695.08</v>
      </c>
      <c r="E3422" s="195" t="n">
        <v>17873.82</v>
      </c>
      <c r="F3422" s="195" t="n">
        <v>18446.2</v>
      </c>
      <c r="G3422" s="195" t="n">
        <v>18160.01</v>
      </c>
    </row>
    <row r="3423">
      <c r="A3423" s="196" t="inlineStr">
        <is>
          <t>2026-03-27</t>
        </is>
      </c>
      <c r="B3423" s="196" t="inlineStr">
        <is>
          <t>CAD</t>
        </is>
      </c>
      <c r="C3423" s="196" t="inlineStr">
        <is>
          <t>CANADIAN DOLLAR</t>
        </is>
      </c>
      <c r="D3423" s="184" t="n">
        <v>18533.85</v>
      </c>
      <c r="E3423" s="184" t="n">
        <v>18721.06</v>
      </c>
      <c r="F3423" s="184" t="n">
        <v>19320.58</v>
      </c>
      <c r="G3423" s="184" t="n">
        <v>19020.82</v>
      </c>
    </row>
    <row r="3424">
      <c r="A3424" s="194" t="inlineStr">
        <is>
          <t>2026-03-27</t>
        </is>
      </c>
      <c r="B3424" s="194" t="inlineStr">
        <is>
          <t>CHF</t>
        </is>
      </c>
      <c r="C3424" s="194" t="inlineStr">
        <is>
          <t>SWISS FRANC</t>
        </is>
      </c>
      <c r="D3424" s="195" t="n">
        <v>32230.56</v>
      </c>
      <c r="E3424" s="195" t="n">
        <v>32556.12</v>
      </c>
      <c r="F3424" s="195" t="n">
        <v>33598.68</v>
      </c>
      <c r="G3424" s="195" t="n">
        <v>33077.4</v>
      </c>
    </row>
    <row r="3425">
      <c r="A3425" s="196" t="inlineStr">
        <is>
          <t>2026-03-27</t>
        </is>
      </c>
      <c r="B3425" s="196" t="inlineStr">
        <is>
          <t>CNY</t>
        </is>
      </c>
      <c r="C3425" s="196" t="inlineStr">
        <is>
          <t>YUAN RENMINBI</t>
        </is>
      </c>
      <c r="D3425" s="184" t="n">
        <v>3713.37</v>
      </c>
      <c r="E3425" s="184" t="n">
        <v>3750.88</v>
      </c>
      <c r="F3425" s="184" t="n">
        <v>3870.99</v>
      </c>
      <c r="G3425" s="184" t="n">
        <v>3810.94</v>
      </c>
    </row>
    <row r="3426">
      <c r="A3426" s="194" t="inlineStr">
        <is>
          <t>2026-03-27</t>
        </is>
      </c>
      <c r="B3426" s="194" t="inlineStr">
        <is>
          <t>DKK</t>
        </is>
      </c>
      <c r="C3426" s="194" t="inlineStr">
        <is>
          <t>DANISH KRONE</t>
        </is>
      </c>
      <c r="D3426" s="195" t="n"/>
      <c r="E3426" s="195" t="n">
        <v>3986.49</v>
      </c>
      <c r="F3426" s="195" t="n">
        <v>4138.91</v>
      </c>
      <c r="G3426" s="195" t="n">
        <v>4062.7</v>
      </c>
    </row>
    <row r="3427">
      <c r="A3427" s="196" t="inlineStr">
        <is>
          <t>2026-03-27</t>
        </is>
      </c>
      <c r="B3427" s="196" t="inlineStr">
        <is>
          <t>EUR</t>
        </is>
      </c>
      <c r="C3427" s="196" t="inlineStr">
        <is>
          <t>EURO</t>
        </is>
      </c>
      <c r="D3427" s="184" t="n">
        <v>29563.64</v>
      </c>
      <c r="E3427" s="184" t="n">
        <v>29862.26</v>
      </c>
      <c r="F3427" s="184" t="n">
        <v>31122.18</v>
      </c>
      <c r="G3427" s="184" t="n">
        <v>30492.22</v>
      </c>
    </row>
    <row r="3428">
      <c r="A3428" s="194" t="inlineStr">
        <is>
          <t>2026-03-27</t>
        </is>
      </c>
      <c r="B3428" s="194" t="inlineStr">
        <is>
          <t>GBP</t>
        </is>
      </c>
      <c r="C3428" s="194" t="inlineStr">
        <is>
          <t>POUND STERLING</t>
        </is>
      </c>
      <c r="D3428" s="195" t="n">
        <v>34161.23</v>
      </c>
      <c r="E3428" s="195" t="n">
        <v>34506.29</v>
      </c>
      <c r="F3428" s="195" t="n">
        <v>35611.3</v>
      </c>
      <c r="G3428" s="195" t="n">
        <v>35058.8</v>
      </c>
    </row>
    <row r="3429">
      <c r="A3429" s="196" t="inlineStr">
        <is>
          <t>2026-03-27</t>
        </is>
      </c>
      <c r="B3429" s="196" t="inlineStr">
        <is>
          <t>HKD</t>
        </is>
      </c>
      <c r="C3429" s="196" t="inlineStr">
        <is>
          <t>HONGKONG DOLLAR</t>
        </is>
      </c>
      <c r="D3429" s="184" t="n">
        <v>3266.73</v>
      </c>
      <c r="E3429" s="184" t="n">
        <v>3299.73</v>
      </c>
      <c r="F3429" s="184" t="n">
        <v>3425.9</v>
      </c>
      <c r="G3429" s="184" t="n">
        <v>3362.82</v>
      </c>
    </row>
    <row r="3430">
      <c r="A3430" s="194" t="inlineStr">
        <is>
          <t>2026-03-27</t>
        </is>
      </c>
      <c r="B3430" s="194" t="inlineStr">
        <is>
          <t>INR</t>
        </is>
      </c>
      <c r="C3430" s="194" t="inlineStr">
        <is>
          <t>INDIAN RUPEE</t>
        </is>
      </c>
      <c r="D3430" s="195" t="n"/>
      <c r="E3430" s="195" t="n">
        <v>276.46</v>
      </c>
      <c r="F3430" s="195" t="n">
        <v>288.36</v>
      </c>
      <c r="G3430" s="195" t="n">
        <v>282.41</v>
      </c>
    </row>
    <row r="3431">
      <c r="A3431" s="196" t="inlineStr">
        <is>
          <t>2026-03-27</t>
        </is>
      </c>
      <c r="B3431" s="196" t="inlineStr">
        <is>
          <t>JPY</t>
        </is>
      </c>
      <c r="C3431" s="196" t="inlineStr">
        <is>
          <t>YEN</t>
        </is>
      </c>
      <c r="D3431" s="184" t="n">
        <v>159</v>
      </c>
      <c r="E3431" s="184" t="n">
        <v>160.61</v>
      </c>
      <c r="F3431" s="184" t="n">
        <v>169.1</v>
      </c>
      <c r="G3431" s="184" t="n">
        <v>164.86</v>
      </c>
    </row>
    <row r="3432">
      <c r="A3432" s="194" t="inlineStr">
        <is>
          <t>2026-03-27</t>
        </is>
      </c>
      <c r="B3432" s="194" t="inlineStr">
        <is>
          <t>KRW</t>
        </is>
      </c>
      <c r="C3432" s="194" t="inlineStr">
        <is>
          <t>KOREAN WON</t>
        </is>
      </c>
      <c r="D3432" s="195" t="n">
        <v>15.11</v>
      </c>
      <c r="E3432" s="195" t="n">
        <v>16.79</v>
      </c>
      <c r="F3432" s="195" t="n">
        <v>18.21</v>
      </c>
      <c r="G3432" s="195" t="n">
        <v>17.5</v>
      </c>
    </row>
    <row r="3433">
      <c r="A3433" s="196" t="inlineStr">
        <is>
          <t>2026-03-27</t>
        </is>
      </c>
      <c r="B3433" s="196" t="inlineStr">
        <is>
          <t>KWD</t>
        </is>
      </c>
      <c r="C3433" s="196" t="inlineStr">
        <is>
          <t>KUWAITI DINAR</t>
        </is>
      </c>
      <c r="D3433" s="184" t="n"/>
      <c r="E3433" s="184" t="n">
        <v>85385.21000000001</v>
      </c>
      <c r="F3433" s="184" t="n">
        <v>89523.53999999999</v>
      </c>
      <c r="G3433" s="184" t="n">
        <v>87454.38</v>
      </c>
    </row>
    <row r="3434">
      <c r="A3434" s="194" t="inlineStr">
        <is>
          <t>2026-03-27</t>
        </is>
      </c>
      <c r="B3434" s="194" t="inlineStr">
        <is>
          <t>MYR</t>
        </is>
      </c>
      <c r="C3434" s="194" t="inlineStr">
        <is>
          <t>MALAYSIAN RINGGIT</t>
        </is>
      </c>
      <c r="D3434" s="195" t="n"/>
      <c r="E3434" s="195" t="n">
        <v>6499.38</v>
      </c>
      <c r="F3434" s="195" t="n">
        <v>6640.76</v>
      </c>
      <c r="G3434" s="195" t="n">
        <v>6570.07</v>
      </c>
    </row>
    <row r="3435">
      <c r="A3435" s="196" t="inlineStr">
        <is>
          <t>2026-03-27</t>
        </is>
      </c>
      <c r="B3435" s="196" t="inlineStr">
        <is>
          <t>NOK</t>
        </is>
      </c>
      <c r="C3435" s="196" t="inlineStr">
        <is>
          <t>NORWEGIAN KRONER</t>
        </is>
      </c>
      <c r="D3435" s="184" t="n"/>
      <c r="E3435" s="184" t="n">
        <v>2666.14</v>
      </c>
      <c r="F3435" s="184" t="n">
        <v>2779.18</v>
      </c>
      <c r="G3435" s="184" t="n">
        <v>2722.66</v>
      </c>
    </row>
    <row r="3436">
      <c r="A3436" s="194" t="inlineStr">
        <is>
          <t>2026-03-27</t>
        </is>
      </c>
      <c r="B3436" s="194" t="inlineStr">
        <is>
          <t>RUB</t>
        </is>
      </c>
      <c r="C3436" s="194" t="inlineStr">
        <is>
          <t>RUSSIAN RUBLE</t>
        </is>
      </c>
      <c r="D3436" s="195" t="n"/>
      <c r="E3436" s="195" t="n">
        <v>309.54</v>
      </c>
      <c r="F3436" s="195" t="n">
        <v>342.64</v>
      </c>
      <c r="G3436" s="195" t="n">
        <v>326.09</v>
      </c>
    </row>
    <row r="3437">
      <c r="A3437" s="196" t="inlineStr">
        <is>
          <t>2026-03-27</t>
        </is>
      </c>
      <c r="B3437" s="196" t="inlineStr">
        <is>
          <t>SAR</t>
        </is>
      </c>
      <c r="C3437" s="196" t="inlineStr">
        <is>
          <t>SAUDI RIAL</t>
        </is>
      </c>
      <c r="D3437" s="184" t="n"/>
      <c r="E3437" s="184" t="n">
        <v>6978.49</v>
      </c>
      <c r="F3437" s="184" t="n">
        <v>7278.8</v>
      </c>
      <c r="G3437" s="184" t="n">
        <v>7128.64</v>
      </c>
    </row>
    <row r="3438">
      <c r="A3438" s="194" t="inlineStr">
        <is>
          <t>2026-03-27</t>
        </is>
      </c>
      <c r="B3438" s="194" t="inlineStr">
        <is>
          <t>SEK</t>
        </is>
      </c>
      <c r="C3438" s="194" t="inlineStr">
        <is>
          <t>SWEDISH KRONA</t>
        </is>
      </c>
      <c r="D3438" s="195" t="n"/>
      <c r="E3438" s="195" t="n">
        <v>2736.98</v>
      </c>
      <c r="F3438" s="195" t="n">
        <v>2853.02</v>
      </c>
      <c r="G3438" s="195" t="n">
        <v>2795</v>
      </c>
    </row>
    <row r="3439">
      <c r="A3439" s="196" t="inlineStr">
        <is>
          <t>2026-03-27</t>
        </is>
      </c>
      <c r="B3439" s="196" t="inlineStr">
        <is>
          <t>SGD</t>
        </is>
      </c>
      <c r="C3439" s="196" t="inlineStr">
        <is>
          <t>SINGAPORE DOLLAR</t>
        </is>
      </c>
      <c r="D3439" s="184" t="n">
        <v>19929.04</v>
      </c>
      <c r="E3439" s="184" t="n">
        <v>20130.34</v>
      </c>
      <c r="F3439" s="184" t="n">
        <v>20816.59</v>
      </c>
      <c r="G3439" s="184" t="n">
        <v>20473.46</v>
      </c>
    </row>
    <row r="3440">
      <c r="A3440" s="194" t="inlineStr">
        <is>
          <t>2026-03-27</t>
        </is>
      </c>
      <c r="B3440" s="194" t="inlineStr">
        <is>
          <t>THB</t>
        </is>
      </c>
      <c r="C3440" s="194" t="inlineStr">
        <is>
          <t>THAILAND BAHT</t>
        </is>
      </c>
      <c r="D3440" s="195" t="n">
        <v>706.26</v>
      </c>
      <c r="E3440" s="195" t="n">
        <v>784.73</v>
      </c>
      <c r="F3440" s="195" t="n">
        <v>818</v>
      </c>
      <c r="G3440" s="195" t="n">
        <v>801.36</v>
      </c>
    </row>
    <row r="3441">
      <c r="A3441" s="196" t="inlineStr">
        <is>
          <t>2026-03-27</t>
        </is>
      </c>
      <c r="B3441" s="196" t="inlineStr">
        <is>
          <t>USD</t>
        </is>
      </c>
      <c r="C3441" s="196" t="inlineStr">
        <is>
          <t>US DOLLAR</t>
        </is>
      </c>
      <c r="D3441" s="184" t="n">
        <v>26105</v>
      </c>
      <c r="E3441" s="184" t="n">
        <v>26135</v>
      </c>
      <c r="F3441" s="184" t="n">
        <v>26355</v>
      </c>
      <c r="G3441" s="184" t="n">
        <v>26245</v>
      </c>
    </row>
    <row r="3442">
      <c r="A3442" s="194" t="inlineStr">
        <is>
          <t>2026-03-26</t>
        </is>
      </c>
      <c r="B3442" s="194" t="inlineStr">
        <is>
          <t>AUD</t>
        </is>
      </c>
      <c r="C3442" s="194" t="inlineStr">
        <is>
          <t>AUSTRALIAN DOLLAR</t>
        </is>
      </c>
      <c r="D3442" s="195" t="n">
        <v>17799.33</v>
      </c>
      <c r="E3442" s="195" t="n">
        <v>17979.13</v>
      </c>
      <c r="F3442" s="195" t="n">
        <v>18554.87</v>
      </c>
      <c r="G3442" s="195" t="n">
        <v>18267</v>
      </c>
    </row>
    <row r="3443">
      <c r="A3443" s="196" t="inlineStr">
        <is>
          <t>2026-03-26</t>
        </is>
      </c>
      <c r="B3443" s="196" t="inlineStr">
        <is>
          <t>CAD</t>
        </is>
      </c>
      <c r="C3443" s="196" t="inlineStr">
        <is>
          <t>CANADIAN DOLLAR</t>
        </is>
      </c>
      <c r="D3443" s="184" t="n">
        <v>18569.06</v>
      </c>
      <c r="E3443" s="184" t="n">
        <v>18756.63</v>
      </c>
      <c r="F3443" s="184" t="n">
        <v>19357.27</v>
      </c>
      <c r="G3443" s="184" t="n">
        <v>19056.95</v>
      </c>
    </row>
    <row r="3444">
      <c r="A3444" s="194" t="inlineStr">
        <is>
          <t>2026-03-26</t>
        </is>
      </c>
      <c r="B3444" s="194" t="inlineStr">
        <is>
          <t>CHF</t>
        </is>
      </c>
      <c r="C3444" s="194" t="inlineStr">
        <is>
          <t>SWISS FRANC</t>
        </is>
      </c>
      <c r="D3444" s="195" t="n">
        <v>32409.7</v>
      </c>
      <c r="E3444" s="195" t="n">
        <v>32737.07</v>
      </c>
      <c r="F3444" s="195" t="n">
        <v>33785.41</v>
      </c>
      <c r="G3444" s="195" t="n">
        <v>33261.24</v>
      </c>
    </row>
    <row r="3445">
      <c r="A3445" s="196" t="inlineStr">
        <is>
          <t>2026-03-26</t>
        </is>
      </c>
      <c r="B3445" s="196" t="inlineStr">
        <is>
          <t>CNY</t>
        </is>
      </c>
      <c r="C3445" s="196" t="inlineStr">
        <is>
          <t>YUAN RENMINBI</t>
        </is>
      </c>
      <c r="D3445" s="184" t="n">
        <v>3717.2</v>
      </c>
      <c r="E3445" s="184" t="n">
        <v>3754.75</v>
      </c>
      <c r="F3445" s="184" t="n">
        <v>3874.98</v>
      </c>
      <c r="G3445" s="184" t="n">
        <v>3814.86</v>
      </c>
    </row>
    <row r="3446">
      <c r="A3446" s="194" t="inlineStr">
        <is>
          <t>2026-03-26</t>
        </is>
      </c>
      <c r="B3446" s="194" t="inlineStr">
        <is>
          <t>DKK</t>
        </is>
      </c>
      <c r="C3446" s="194" t="inlineStr">
        <is>
          <t>DANISH KRONE</t>
        </is>
      </c>
      <c r="D3446" s="195" t="n"/>
      <c r="E3446" s="195" t="n">
        <v>3999.6</v>
      </c>
      <c r="F3446" s="195" t="n">
        <v>4152.53</v>
      </c>
      <c r="G3446" s="195" t="n">
        <v>4076.06</v>
      </c>
    </row>
    <row r="3447">
      <c r="A3447" s="196" t="inlineStr">
        <is>
          <t>2026-03-26</t>
        </is>
      </c>
      <c r="B3447" s="196" t="inlineStr">
        <is>
          <t>EUR</t>
        </is>
      </c>
      <c r="C3447" s="196" t="inlineStr">
        <is>
          <t>EURO</t>
        </is>
      </c>
      <c r="D3447" s="184" t="n">
        <v>29664.7</v>
      </c>
      <c r="E3447" s="184" t="n">
        <v>29964.35</v>
      </c>
      <c r="F3447" s="184" t="n">
        <v>31228.56</v>
      </c>
      <c r="G3447" s="184" t="n">
        <v>30596.46</v>
      </c>
    </row>
    <row r="3448">
      <c r="A3448" s="194" t="inlineStr">
        <is>
          <t>2026-03-26</t>
        </is>
      </c>
      <c r="B3448" s="194" t="inlineStr">
        <is>
          <t>GBP</t>
        </is>
      </c>
      <c r="C3448" s="194" t="inlineStr">
        <is>
          <t>POUND STERLING</t>
        </is>
      </c>
      <c r="D3448" s="195" t="n">
        <v>34264.04</v>
      </c>
      <c r="E3448" s="195" t="n">
        <v>34610.14</v>
      </c>
      <c r="F3448" s="195" t="n">
        <v>35718.46</v>
      </c>
      <c r="G3448" s="195" t="n">
        <v>35164.3</v>
      </c>
    </row>
    <row r="3449">
      <c r="A3449" s="196" t="inlineStr">
        <is>
          <t>2026-03-26</t>
        </is>
      </c>
      <c r="B3449" s="196" t="inlineStr">
        <is>
          <t>HKD</t>
        </is>
      </c>
      <c r="C3449" s="196" t="inlineStr">
        <is>
          <t>HONGKONG DOLLAR</t>
        </is>
      </c>
      <c r="D3449" s="184" t="n">
        <v>3274.37</v>
      </c>
      <c r="E3449" s="184" t="n">
        <v>3307.44</v>
      </c>
      <c r="F3449" s="184" t="n">
        <v>3433.9</v>
      </c>
      <c r="G3449" s="184" t="n">
        <v>3370.67</v>
      </c>
    </row>
    <row r="3450">
      <c r="A3450" s="194" t="inlineStr">
        <is>
          <t>2026-03-26</t>
        </is>
      </c>
      <c r="B3450" s="194" t="inlineStr">
        <is>
          <t>INR</t>
        </is>
      </c>
      <c r="C3450" s="194" t="inlineStr">
        <is>
          <t>INDIAN RUPEE</t>
        </is>
      </c>
      <c r="D3450" s="195" t="n"/>
      <c r="E3450" s="195" t="n">
        <v>279.23</v>
      </c>
      <c r="F3450" s="195" t="n">
        <v>291.25</v>
      </c>
      <c r="G3450" s="195" t="n">
        <v>285.24</v>
      </c>
    </row>
    <row r="3451">
      <c r="A3451" s="196" t="inlineStr">
        <is>
          <t>2026-03-26</t>
        </is>
      </c>
      <c r="B3451" s="196" t="inlineStr">
        <is>
          <t>JPY</t>
        </is>
      </c>
      <c r="C3451" s="196" t="inlineStr">
        <is>
          <t>YEN</t>
        </is>
      </c>
      <c r="D3451" s="184" t="n">
        <v>159.78</v>
      </c>
      <c r="E3451" s="184" t="n">
        <v>161.4</v>
      </c>
      <c r="F3451" s="184" t="n">
        <v>169.93</v>
      </c>
      <c r="G3451" s="184" t="n">
        <v>165.67</v>
      </c>
    </row>
    <row r="3452">
      <c r="A3452" s="194" t="inlineStr">
        <is>
          <t>2026-03-26</t>
        </is>
      </c>
      <c r="B3452" s="194" t="inlineStr">
        <is>
          <t>KRW</t>
        </is>
      </c>
      <c r="C3452" s="194" t="inlineStr">
        <is>
          <t>KOREAN WON</t>
        </is>
      </c>
      <c r="D3452" s="195" t="n">
        <v>15.11</v>
      </c>
      <c r="E3452" s="195" t="n">
        <v>16.79</v>
      </c>
      <c r="F3452" s="195" t="n">
        <v>18.21</v>
      </c>
      <c r="G3452" s="195" t="n">
        <v>17.5</v>
      </c>
    </row>
    <row r="3453">
      <c r="A3453" s="196" t="inlineStr">
        <is>
          <t>2026-03-26</t>
        </is>
      </c>
      <c r="B3453" s="196" t="inlineStr">
        <is>
          <t>KWD</t>
        </is>
      </c>
      <c r="C3453" s="196" t="inlineStr">
        <is>
          <t>KUWAITI DINAR</t>
        </is>
      </c>
      <c r="D3453" s="184" t="n"/>
      <c r="E3453" s="184" t="n">
        <v>85473.42</v>
      </c>
      <c r="F3453" s="184" t="n">
        <v>89615.97</v>
      </c>
      <c r="G3453" s="184" t="n">
        <v>87544.7</v>
      </c>
    </row>
    <row r="3454">
      <c r="A3454" s="194" t="inlineStr">
        <is>
          <t>2026-03-26</t>
        </is>
      </c>
      <c r="B3454" s="194" t="inlineStr">
        <is>
          <t>MYR</t>
        </is>
      </c>
      <c r="C3454" s="194" t="inlineStr">
        <is>
          <t>MALAYSIAN RINGGIT</t>
        </is>
      </c>
      <c r="D3454" s="195" t="n"/>
      <c r="E3454" s="195" t="n">
        <v>6537.73</v>
      </c>
      <c r="F3454" s="195" t="n">
        <v>6679.95</v>
      </c>
      <c r="G3454" s="195" t="n">
        <v>6608.84</v>
      </c>
    </row>
    <row r="3455">
      <c r="A3455" s="196" t="inlineStr">
        <is>
          <t>2026-03-26</t>
        </is>
      </c>
      <c r="B3455" s="196" t="inlineStr">
        <is>
          <t>NOK</t>
        </is>
      </c>
      <c r="C3455" s="196" t="inlineStr">
        <is>
          <t>NORWEGIAN KRONER</t>
        </is>
      </c>
      <c r="D3455" s="184" t="n"/>
      <c r="E3455" s="184" t="n">
        <v>2660.88</v>
      </c>
      <c r="F3455" s="184" t="n">
        <v>2773.7</v>
      </c>
      <c r="G3455" s="184" t="n">
        <v>2717.29</v>
      </c>
    </row>
    <row r="3456">
      <c r="A3456" s="194" t="inlineStr">
        <is>
          <t>2026-03-26</t>
        </is>
      </c>
      <c r="B3456" s="194" t="inlineStr">
        <is>
          <t>RUB</t>
        </is>
      </c>
      <c r="C3456" s="194" t="inlineStr">
        <is>
          <t>RUSSIAN RUBLE</t>
        </is>
      </c>
      <c r="D3456" s="195" t="n"/>
      <c r="E3456" s="195" t="n">
        <v>309.48</v>
      </c>
      <c r="F3456" s="195" t="n">
        <v>342.58</v>
      </c>
      <c r="G3456" s="195" t="n">
        <v>326.03</v>
      </c>
    </row>
    <row r="3457">
      <c r="A3457" s="196" t="inlineStr">
        <is>
          <t>2026-03-26</t>
        </is>
      </c>
      <c r="B3457" s="196" t="inlineStr">
        <is>
          <t>SAR</t>
        </is>
      </c>
      <c r="C3457" s="196" t="inlineStr">
        <is>
          <t>SAUDI RIAL</t>
        </is>
      </c>
      <c r="D3457" s="184" t="n"/>
      <c r="E3457" s="184" t="n">
        <v>6981.14</v>
      </c>
      <c r="F3457" s="184" t="n">
        <v>7281.56</v>
      </c>
      <c r="G3457" s="184" t="n">
        <v>7131.35</v>
      </c>
    </row>
    <row r="3458">
      <c r="A3458" s="194" t="inlineStr">
        <is>
          <t>2026-03-26</t>
        </is>
      </c>
      <c r="B3458" s="194" t="inlineStr">
        <is>
          <t>SEK</t>
        </is>
      </c>
      <c r="C3458" s="194" t="inlineStr">
        <is>
          <t>SWEDISH KRONA</t>
        </is>
      </c>
      <c r="D3458" s="195" t="n"/>
      <c r="E3458" s="195" t="n">
        <v>2757.3</v>
      </c>
      <c r="F3458" s="195" t="n">
        <v>2874.2</v>
      </c>
      <c r="G3458" s="195" t="n">
        <v>2815.75</v>
      </c>
    </row>
    <row r="3459">
      <c r="A3459" s="196" t="inlineStr">
        <is>
          <t>2026-03-26</t>
        </is>
      </c>
      <c r="B3459" s="196" t="inlineStr">
        <is>
          <t>SGD</t>
        </is>
      </c>
      <c r="C3459" s="196" t="inlineStr">
        <is>
          <t>SINGAPORE DOLLAR</t>
        </is>
      </c>
      <c r="D3459" s="184" t="n">
        <v>20003.48</v>
      </c>
      <c r="E3459" s="184" t="n">
        <v>20205.53</v>
      </c>
      <c r="F3459" s="184" t="n">
        <v>20894.33</v>
      </c>
      <c r="G3459" s="184" t="n">
        <v>20549.93</v>
      </c>
    </row>
    <row r="3460">
      <c r="A3460" s="194" t="inlineStr">
        <is>
          <t>2026-03-26</t>
        </is>
      </c>
      <c r="B3460" s="194" t="inlineStr">
        <is>
          <t>THB</t>
        </is>
      </c>
      <c r="C3460" s="194" t="inlineStr">
        <is>
          <t>THAILAND BAHT</t>
        </is>
      </c>
      <c r="D3460" s="195" t="n">
        <v>708.9</v>
      </c>
      <c r="E3460" s="195" t="n">
        <v>787.67</v>
      </c>
      <c r="F3460" s="195" t="n">
        <v>821.0599999999999</v>
      </c>
      <c r="G3460" s="195" t="n">
        <v>804.36</v>
      </c>
    </row>
    <row r="3461">
      <c r="A3461" s="196" t="inlineStr">
        <is>
          <t>2026-03-26</t>
        </is>
      </c>
      <c r="B3461" s="196" t="inlineStr">
        <is>
          <t>USD</t>
        </is>
      </c>
      <c r="C3461" s="196" t="inlineStr">
        <is>
          <t>US DOLLAR</t>
        </is>
      </c>
      <c r="D3461" s="184" t="n">
        <v>26107</v>
      </c>
      <c r="E3461" s="184" t="n">
        <v>26137</v>
      </c>
      <c r="F3461" s="184" t="n">
        <v>26357</v>
      </c>
      <c r="G3461" s="184" t="n">
        <v>26247</v>
      </c>
    </row>
    <row r="3462">
      <c r="A3462" s="194" t="inlineStr">
        <is>
          <t>2026-03-25</t>
        </is>
      </c>
      <c r="B3462" s="194" t="inlineStr">
        <is>
          <t>AUD</t>
        </is>
      </c>
      <c r="C3462" s="194" t="inlineStr">
        <is>
          <t>AUSTRALIAN DOLLAR</t>
        </is>
      </c>
      <c r="D3462" s="195" t="n">
        <v>17952.45</v>
      </c>
      <c r="E3462" s="195" t="n">
        <v>18133.79</v>
      </c>
      <c r="F3462" s="195" t="n">
        <v>18714.47</v>
      </c>
      <c r="G3462" s="195" t="n">
        <v>18424.13</v>
      </c>
    </row>
    <row r="3463">
      <c r="A3463" s="196" t="inlineStr">
        <is>
          <t>2026-03-25</t>
        </is>
      </c>
      <c r="B3463" s="196" t="inlineStr">
        <is>
          <t>CAD</t>
        </is>
      </c>
      <c r="C3463" s="196" t="inlineStr">
        <is>
          <t>CANADIAN DOLLAR</t>
        </is>
      </c>
      <c r="D3463" s="184" t="n">
        <v>18647.6</v>
      </c>
      <c r="E3463" s="184" t="n">
        <v>18835.96</v>
      </c>
      <c r="F3463" s="184" t="n">
        <v>19439.13</v>
      </c>
      <c r="G3463" s="184" t="n">
        <v>19137.54</v>
      </c>
    </row>
    <row r="3464">
      <c r="A3464" s="194" t="inlineStr">
        <is>
          <t>2026-03-25</t>
        </is>
      </c>
      <c r="B3464" s="194" t="inlineStr">
        <is>
          <t>CHF</t>
        </is>
      </c>
      <c r="C3464" s="194" t="inlineStr">
        <is>
          <t>SWISS FRANC</t>
        </is>
      </c>
      <c r="D3464" s="195" t="n">
        <v>32545.28</v>
      </c>
      <c r="E3464" s="195" t="n">
        <v>32874.02</v>
      </c>
      <c r="F3464" s="195" t="n">
        <v>33926.72</v>
      </c>
      <c r="G3464" s="195" t="n">
        <v>33400.37</v>
      </c>
    </row>
    <row r="3465">
      <c r="A3465" s="196" t="inlineStr">
        <is>
          <t>2026-03-25</t>
        </is>
      </c>
      <c r="B3465" s="196" t="inlineStr">
        <is>
          <t>CNY</t>
        </is>
      </c>
      <c r="C3465" s="196" t="inlineStr">
        <is>
          <t>YUAN RENMINBI</t>
        </is>
      </c>
      <c r="D3465" s="184" t="n">
        <v>3726.81</v>
      </c>
      <c r="E3465" s="184" t="n">
        <v>3764.46</v>
      </c>
      <c r="F3465" s="184" t="n">
        <v>3885.01</v>
      </c>
      <c r="G3465" s="184" t="n">
        <v>3824.74</v>
      </c>
    </row>
    <row r="3466">
      <c r="A3466" s="194" t="inlineStr">
        <is>
          <t>2026-03-25</t>
        </is>
      </c>
      <c r="B3466" s="194" t="inlineStr">
        <is>
          <t>DKK</t>
        </is>
      </c>
      <c r="C3466" s="194" t="inlineStr">
        <is>
          <t>DANISH KRONE</t>
        </is>
      </c>
      <c r="D3466" s="195" t="n"/>
      <c r="E3466" s="195" t="n">
        <v>4015.72</v>
      </c>
      <c r="F3466" s="195" t="n">
        <v>4169.26</v>
      </c>
      <c r="G3466" s="195" t="n">
        <v>4092.49</v>
      </c>
    </row>
    <row r="3467">
      <c r="A3467" s="196" t="inlineStr">
        <is>
          <t>2026-03-25</t>
        </is>
      </c>
      <c r="B3467" s="196" t="inlineStr">
        <is>
          <t>EUR</t>
        </is>
      </c>
      <c r="C3467" s="196" t="inlineStr">
        <is>
          <t>EURO</t>
        </is>
      </c>
      <c r="D3467" s="184" t="n">
        <v>29783.81</v>
      </c>
      <c r="E3467" s="184" t="n">
        <v>30084.66</v>
      </c>
      <c r="F3467" s="184" t="n">
        <v>31353.93</v>
      </c>
      <c r="G3467" s="184" t="n">
        <v>30719.3</v>
      </c>
    </row>
    <row r="3468">
      <c r="A3468" s="194" t="inlineStr">
        <is>
          <t>2026-03-25</t>
        </is>
      </c>
      <c r="B3468" s="194" t="inlineStr">
        <is>
          <t>GBP</t>
        </is>
      </c>
      <c r="C3468" s="194" t="inlineStr">
        <is>
          <t>POUND STERLING</t>
        </is>
      </c>
      <c r="D3468" s="195" t="n">
        <v>34400.3</v>
      </c>
      <c r="E3468" s="195" t="n">
        <v>34747.78</v>
      </c>
      <c r="F3468" s="195" t="n">
        <v>35860.48</v>
      </c>
      <c r="G3468" s="195" t="n">
        <v>35304.13</v>
      </c>
    </row>
    <row r="3469">
      <c r="A3469" s="196" t="inlineStr">
        <is>
          <t>2026-03-25</t>
        </is>
      </c>
      <c r="B3469" s="196" t="inlineStr">
        <is>
          <t>HKD</t>
        </is>
      </c>
      <c r="C3469" s="196" t="inlineStr">
        <is>
          <t>HONGKONG DOLLAR</t>
        </is>
      </c>
      <c r="D3469" s="184" t="n">
        <v>3270.47</v>
      </c>
      <c r="E3469" s="184" t="n">
        <v>3303.5</v>
      </c>
      <c r="F3469" s="184" t="n">
        <v>3429.81</v>
      </c>
      <c r="G3469" s="184" t="n">
        <v>3366.66</v>
      </c>
    </row>
    <row r="3470">
      <c r="A3470" s="194" t="inlineStr">
        <is>
          <t>2026-03-25</t>
        </is>
      </c>
      <c r="B3470" s="194" t="inlineStr">
        <is>
          <t>INR</t>
        </is>
      </c>
      <c r="C3470" s="194" t="inlineStr">
        <is>
          <t>INDIAN RUPEE</t>
        </is>
      </c>
      <c r="D3470" s="195" t="n"/>
      <c r="E3470" s="195" t="n">
        <v>278.91</v>
      </c>
      <c r="F3470" s="195" t="n">
        <v>290.91</v>
      </c>
      <c r="G3470" s="195" t="n">
        <v>284.91</v>
      </c>
    </row>
    <row r="3471">
      <c r="A3471" s="196" t="inlineStr">
        <is>
          <t>2026-03-25</t>
        </is>
      </c>
      <c r="B3471" s="196" t="inlineStr">
        <is>
          <t>JPY</t>
        </is>
      </c>
      <c r="C3471" s="196" t="inlineStr">
        <is>
          <t>YEN</t>
        </is>
      </c>
      <c r="D3471" s="184" t="n">
        <v>160.15</v>
      </c>
      <c r="E3471" s="184" t="n">
        <v>161.77</v>
      </c>
      <c r="F3471" s="184" t="n">
        <v>170.33</v>
      </c>
      <c r="G3471" s="184" t="n">
        <v>166.05</v>
      </c>
    </row>
    <row r="3472">
      <c r="A3472" s="194" t="inlineStr">
        <is>
          <t>2026-03-25</t>
        </is>
      </c>
      <c r="B3472" s="194" t="inlineStr">
        <is>
          <t>KRW</t>
        </is>
      </c>
      <c r="C3472" s="194" t="inlineStr">
        <is>
          <t>KOREAN WON</t>
        </is>
      </c>
      <c r="D3472" s="195" t="n">
        <v>15.22</v>
      </c>
      <c r="E3472" s="195" t="n">
        <v>16.91</v>
      </c>
      <c r="F3472" s="195" t="n">
        <v>18.34</v>
      </c>
      <c r="G3472" s="195" t="n">
        <v>17.62</v>
      </c>
    </row>
    <row r="3473">
      <c r="A3473" s="196" t="inlineStr">
        <is>
          <t>2026-03-25</t>
        </is>
      </c>
      <c r="B3473" s="196" t="inlineStr">
        <is>
          <t>KWD</t>
        </is>
      </c>
      <c r="C3473" s="196" t="inlineStr">
        <is>
          <t>KUWAITI DINAR</t>
        </is>
      </c>
      <c r="D3473" s="184" t="n"/>
      <c r="E3473" s="184" t="n">
        <v>85450.11</v>
      </c>
      <c r="F3473" s="184" t="n">
        <v>89591.49000000001</v>
      </c>
      <c r="G3473" s="184" t="n">
        <v>87520.8</v>
      </c>
    </row>
    <row r="3474">
      <c r="A3474" s="194" t="inlineStr">
        <is>
          <t>2026-03-25</t>
        </is>
      </c>
      <c r="B3474" s="194" t="inlineStr">
        <is>
          <t>MYR</t>
        </is>
      </c>
      <c r="C3474" s="194" t="inlineStr">
        <is>
          <t>MALAYSIAN RINGGIT</t>
        </is>
      </c>
      <c r="D3474" s="195" t="n"/>
      <c r="E3474" s="195" t="n">
        <v>6596.48</v>
      </c>
      <c r="F3474" s="195" t="n">
        <v>6739.97</v>
      </c>
      <c r="G3474" s="195" t="n">
        <v>6668.22</v>
      </c>
    </row>
    <row r="3475">
      <c r="A3475" s="196" t="inlineStr">
        <is>
          <t>2026-03-25</t>
        </is>
      </c>
      <c r="B3475" s="196" t="inlineStr">
        <is>
          <t>NOK</t>
        </is>
      </c>
      <c r="C3475" s="196" t="inlineStr">
        <is>
          <t>NORWEGIAN KRONER</t>
        </is>
      </c>
      <c r="D3475" s="184" t="n"/>
      <c r="E3475" s="184" t="n">
        <v>2658.17</v>
      </c>
      <c r="F3475" s="184" t="n">
        <v>2770.87</v>
      </c>
      <c r="G3475" s="184" t="n">
        <v>2714.52</v>
      </c>
    </row>
    <row r="3476">
      <c r="A3476" s="194" t="inlineStr">
        <is>
          <t>2026-03-25</t>
        </is>
      </c>
      <c r="B3476" s="194" t="inlineStr">
        <is>
          <t>RUB</t>
        </is>
      </c>
      <c r="C3476" s="194" t="inlineStr">
        <is>
          <t>RUSSIAN RUBLE</t>
        </is>
      </c>
      <c r="D3476" s="195" t="n"/>
      <c r="E3476" s="195" t="n">
        <v>311.52</v>
      </c>
      <c r="F3476" s="195" t="n">
        <v>344.84</v>
      </c>
      <c r="G3476" s="195" t="n">
        <v>328.18</v>
      </c>
    </row>
    <row r="3477">
      <c r="A3477" s="196" t="inlineStr">
        <is>
          <t>2026-03-25</t>
        </is>
      </c>
      <c r="B3477" s="196" t="inlineStr">
        <is>
          <t>SAR</t>
        </is>
      </c>
      <c r="C3477" s="196" t="inlineStr">
        <is>
          <t>SAUDI RIAL</t>
        </is>
      </c>
      <c r="D3477" s="184" t="n"/>
      <c r="E3477" s="184" t="n">
        <v>6979.7</v>
      </c>
      <c r="F3477" s="184" t="n">
        <v>7280.06</v>
      </c>
      <c r="G3477" s="184" t="n">
        <v>7129.88</v>
      </c>
    </row>
    <row r="3478">
      <c r="A3478" s="194" t="inlineStr">
        <is>
          <t>2026-03-25</t>
        </is>
      </c>
      <c r="B3478" s="194" t="inlineStr">
        <is>
          <t>SEK</t>
        </is>
      </c>
      <c r="C3478" s="194" t="inlineStr">
        <is>
          <t>SWEDISH KRONA</t>
        </is>
      </c>
      <c r="D3478" s="195" t="n"/>
      <c r="E3478" s="195" t="n">
        <v>2767.63</v>
      </c>
      <c r="F3478" s="195" t="n">
        <v>2884.98</v>
      </c>
      <c r="G3478" s="195" t="n">
        <v>2826.3</v>
      </c>
    </row>
    <row r="3479">
      <c r="A3479" s="196" t="inlineStr">
        <is>
          <t>2026-03-25</t>
        </is>
      </c>
      <c r="B3479" s="196" t="inlineStr">
        <is>
          <t>SGD</t>
        </is>
      </c>
      <c r="C3479" s="196" t="inlineStr">
        <is>
          <t>SINGAPORE DOLLAR</t>
        </is>
      </c>
      <c r="D3479" s="184" t="n">
        <v>20067.42</v>
      </c>
      <c r="E3479" s="184" t="n">
        <v>20270.12</v>
      </c>
      <c r="F3479" s="184" t="n">
        <v>20961.11</v>
      </c>
      <c r="G3479" s="184" t="n">
        <v>20615.61</v>
      </c>
    </row>
    <row r="3480">
      <c r="A3480" s="194" t="inlineStr">
        <is>
          <t>2026-03-25</t>
        </is>
      </c>
      <c r="B3480" s="194" t="inlineStr">
        <is>
          <t>THB</t>
        </is>
      </c>
      <c r="C3480" s="194" t="inlineStr">
        <is>
          <t>THAILAND BAHT</t>
        </is>
      </c>
      <c r="D3480" s="195" t="n">
        <v>710.9</v>
      </c>
      <c r="E3480" s="195" t="n">
        <v>789.89</v>
      </c>
      <c r="F3480" s="195" t="n">
        <v>823.38</v>
      </c>
      <c r="G3480" s="195" t="n">
        <v>806.64</v>
      </c>
    </row>
    <row r="3481">
      <c r="A3481" s="196" t="inlineStr">
        <is>
          <t>2026-03-25</t>
        </is>
      </c>
      <c r="B3481" s="196" t="inlineStr">
        <is>
          <t>USD</t>
        </is>
      </c>
      <c r="C3481" s="196" t="inlineStr">
        <is>
          <t>US DOLLAR</t>
        </is>
      </c>
      <c r="D3481" s="184" t="n">
        <v>26109</v>
      </c>
      <c r="E3481" s="184" t="n">
        <v>26139</v>
      </c>
      <c r="F3481" s="184" t="n">
        <v>26359</v>
      </c>
      <c r="G3481" s="184" t="n">
        <v>26249</v>
      </c>
    </row>
    <row r="3482">
      <c r="A3482" s="194" t="inlineStr">
        <is>
          <t>2026-03-24</t>
        </is>
      </c>
      <c r="B3482" s="194" t="inlineStr">
        <is>
          <t>AUD</t>
        </is>
      </c>
      <c r="C3482" s="194" t="inlineStr">
        <is>
          <t>AUSTRALIAN DOLLAR</t>
        </is>
      </c>
      <c r="D3482" s="195" t="n">
        <v>17895.05</v>
      </c>
      <c r="E3482" s="195" t="n">
        <v>18075.81</v>
      </c>
      <c r="F3482" s="195" t="n">
        <v>18654.63</v>
      </c>
      <c r="G3482" s="195" t="n">
        <v>18365.22</v>
      </c>
    </row>
    <row r="3483">
      <c r="A3483" s="196" t="inlineStr">
        <is>
          <t>2026-03-24</t>
        </is>
      </c>
      <c r="B3483" s="196" t="inlineStr">
        <is>
          <t>CAD</t>
        </is>
      </c>
      <c r="C3483" s="196" t="inlineStr">
        <is>
          <t>CANADIAN DOLLAR</t>
        </is>
      </c>
      <c r="D3483" s="184" t="n">
        <v>18688.61</v>
      </c>
      <c r="E3483" s="184" t="n">
        <v>18877.38</v>
      </c>
      <c r="F3483" s="184" t="n">
        <v>19481.87</v>
      </c>
      <c r="G3483" s="184" t="n">
        <v>19179.62</v>
      </c>
    </row>
    <row r="3484">
      <c r="A3484" s="194" t="inlineStr">
        <is>
          <t>2026-03-24</t>
        </is>
      </c>
      <c r="B3484" s="194" t="inlineStr">
        <is>
          <t>CHF</t>
        </is>
      </c>
      <c r="C3484" s="194" t="inlineStr">
        <is>
          <t>SWISS FRANC</t>
        </is>
      </c>
      <c r="D3484" s="195" t="n">
        <v>32611.36</v>
      </c>
      <c r="E3484" s="195" t="n">
        <v>32940.77</v>
      </c>
      <c r="F3484" s="195" t="n">
        <v>33995.59</v>
      </c>
      <c r="G3484" s="195" t="n">
        <v>33468.18</v>
      </c>
    </row>
    <row r="3485">
      <c r="A3485" s="196" t="inlineStr">
        <is>
          <t>2026-03-24</t>
        </is>
      </c>
      <c r="B3485" s="196" t="inlineStr">
        <is>
          <t>CNY</t>
        </is>
      </c>
      <c r="C3485" s="196" t="inlineStr">
        <is>
          <t>YUAN RENMINBI</t>
        </is>
      </c>
      <c r="D3485" s="184" t="n">
        <v>3726.34</v>
      </c>
      <c r="E3485" s="184" t="n">
        <v>3763.98</v>
      </c>
      <c r="F3485" s="184" t="n">
        <v>3884.51</v>
      </c>
      <c r="G3485" s="184" t="n">
        <v>3824.24</v>
      </c>
    </row>
    <row r="3486">
      <c r="A3486" s="194" t="inlineStr">
        <is>
          <t>2026-03-24</t>
        </is>
      </c>
      <c r="B3486" s="194" t="inlineStr">
        <is>
          <t>DKK</t>
        </is>
      </c>
      <c r="C3486" s="194" t="inlineStr">
        <is>
          <t>DANISH KRONE</t>
        </is>
      </c>
      <c r="D3486" s="195" t="n"/>
      <c r="E3486" s="195" t="n">
        <v>4011.82</v>
      </c>
      <c r="F3486" s="195" t="n">
        <v>4165.21</v>
      </c>
      <c r="G3486" s="195" t="n">
        <v>4088.52</v>
      </c>
    </row>
    <row r="3487">
      <c r="A3487" s="196" t="inlineStr">
        <is>
          <t>2026-03-24</t>
        </is>
      </c>
      <c r="B3487" s="196" t="inlineStr">
        <is>
          <t>EUR</t>
        </is>
      </c>
      <c r="C3487" s="196" t="inlineStr">
        <is>
          <t>EURO</t>
        </is>
      </c>
      <c r="D3487" s="184" t="n">
        <v>29751.46</v>
      </c>
      <c r="E3487" s="184" t="n">
        <v>30051.98</v>
      </c>
      <c r="F3487" s="184" t="n">
        <v>31319.85</v>
      </c>
      <c r="G3487" s="184" t="n">
        <v>30685.92</v>
      </c>
    </row>
    <row r="3488">
      <c r="A3488" s="194" t="inlineStr">
        <is>
          <t>2026-03-24</t>
        </is>
      </c>
      <c r="B3488" s="194" t="inlineStr">
        <is>
          <t>GBP</t>
        </is>
      </c>
      <c r="C3488" s="194" t="inlineStr">
        <is>
          <t>POUND STERLING</t>
        </is>
      </c>
      <c r="D3488" s="195" t="n">
        <v>34395.39</v>
      </c>
      <c r="E3488" s="195" t="n">
        <v>34742.82</v>
      </c>
      <c r="F3488" s="195" t="n">
        <v>35855.34</v>
      </c>
      <c r="G3488" s="195" t="n">
        <v>35299.08</v>
      </c>
    </row>
    <row r="3489">
      <c r="A3489" s="196" t="inlineStr">
        <is>
          <t>2026-03-24</t>
        </is>
      </c>
      <c r="B3489" s="196" t="inlineStr">
        <is>
          <t>HKD</t>
        </is>
      </c>
      <c r="C3489" s="196" t="inlineStr">
        <is>
          <t>HONGKONG DOLLAR</t>
        </is>
      </c>
      <c r="D3489" s="184" t="n">
        <v>3270.5</v>
      </c>
      <c r="E3489" s="184" t="n">
        <v>3303.53</v>
      </c>
      <c r="F3489" s="184" t="n">
        <v>3429.84</v>
      </c>
      <c r="G3489" s="184" t="n">
        <v>3366.69</v>
      </c>
    </row>
    <row r="3490">
      <c r="A3490" s="194" t="inlineStr">
        <is>
          <t>2026-03-24</t>
        </is>
      </c>
      <c r="B3490" s="194" t="inlineStr">
        <is>
          <t>INR</t>
        </is>
      </c>
      <c r="C3490" s="194" t="inlineStr">
        <is>
          <t>INDIAN RUPEE</t>
        </is>
      </c>
      <c r="D3490" s="195" t="n"/>
      <c r="E3490" s="195" t="n">
        <v>280.3</v>
      </c>
      <c r="F3490" s="195" t="n">
        <v>292.37</v>
      </c>
      <c r="G3490" s="195" t="n">
        <v>286.34</v>
      </c>
    </row>
    <row r="3491">
      <c r="A3491" s="196" t="inlineStr">
        <is>
          <t>2026-03-24</t>
        </is>
      </c>
      <c r="B3491" s="196" t="inlineStr">
        <is>
          <t>JPY</t>
        </is>
      </c>
      <c r="C3491" s="196" t="inlineStr">
        <is>
          <t>YEN</t>
        </is>
      </c>
      <c r="D3491" s="184" t="n">
        <v>160.36</v>
      </c>
      <c r="E3491" s="184" t="n">
        <v>161.98</v>
      </c>
      <c r="F3491" s="184" t="n">
        <v>170.54</v>
      </c>
      <c r="G3491" s="184" t="n">
        <v>166.26</v>
      </c>
    </row>
    <row r="3492">
      <c r="A3492" s="194" t="inlineStr">
        <is>
          <t>2026-03-24</t>
        </is>
      </c>
      <c r="B3492" s="194" t="inlineStr">
        <is>
          <t>KRW</t>
        </is>
      </c>
      <c r="C3492" s="194" t="inlineStr">
        <is>
          <t>KOREAN WON</t>
        </is>
      </c>
      <c r="D3492" s="195" t="n">
        <v>15.2</v>
      </c>
      <c r="E3492" s="195" t="n">
        <v>16.89</v>
      </c>
      <c r="F3492" s="195" t="n">
        <v>18.32</v>
      </c>
      <c r="G3492" s="195" t="n">
        <v>17.6</v>
      </c>
    </row>
    <row r="3493">
      <c r="A3493" s="196" t="inlineStr">
        <is>
          <t>2026-03-24</t>
        </is>
      </c>
      <c r="B3493" s="196" t="inlineStr">
        <is>
          <t>KWD</t>
        </is>
      </c>
      <c r="C3493" s="196" t="inlineStr">
        <is>
          <t>KUWAITI DINAR</t>
        </is>
      </c>
      <c r="D3493" s="184" t="n"/>
      <c r="E3493" s="184" t="n">
        <v>85482.57000000001</v>
      </c>
      <c r="F3493" s="184" t="n">
        <v>89625.46000000001</v>
      </c>
      <c r="G3493" s="184" t="n">
        <v>87554.02</v>
      </c>
    </row>
    <row r="3494">
      <c r="A3494" s="194" t="inlineStr">
        <is>
          <t>2026-03-24</t>
        </is>
      </c>
      <c r="B3494" s="194" t="inlineStr">
        <is>
          <t>MYR</t>
        </is>
      </c>
      <c r="C3494" s="194" t="inlineStr">
        <is>
          <t>MALAYSIAN RINGGIT</t>
        </is>
      </c>
      <c r="D3494" s="195" t="n"/>
      <c r="E3494" s="195" t="n">
        <v>6610.7</v>
      </c>
      <c r="F3494" s="195" t="n">
        <v>6754.49</v>
      </c>
      <c r="G3494" s="195" t="n">
        <v>6682.59</v>
      </c>
    </row>
    <row r="3495">
      <c r="A3495" s="196" t="inlineStr">
        <is>
          <t>2026-03-24</t>
        </is>
      </c>
      <c r="B3495" s="196" t="inlineStr">
        <is>
          <t>NOK</t>
        </is>
      </c>
      <c r="C3495" s="196" t="inlineStr">
        <is>
          <t>NORWEGIAN KRONER</t>
        </is>
      </c>
      <c r="D3495" s="184" t="n"/>
      <c r="E3495" s="184" t="n">
        <v>2645.47</v>
      </c>
      <c r="F3495" s="184" t="n">
        <v>2757.63</v>
      </c>
      <c r="G3495" s="184" t="n">
        <v>2701.55</v>
      </c>
    </row>
    <row r="3496">
      <c r="A3496" s="194" t="inlineStr">
        <is>
          <t>2026-03-24</t>
        </is>
      </c>
      <c r="B3496" s="194" t="inlineStr">
        <is>
          <t>RUB</t>
        </is>
      </c>
      <c r="C3496" s="194" t="inlineStr">
        <is>
          <t>RUSSIAN RUBLE</t>
        </is>
      </c>
      <c r="D3496" s="195" t="n"/>
      <c r="E3496" s="195" t="n">
        <v>306.22</v>
      </c>
      <c r="F3496" s="195" t="n">
        <v>338.97</v>
      </c>
      <c r="G3496" s="195" t="n">
        <v>322.6</v>
      </c>
    </row>
    <row r="3497">
      <c r="A3497" s="196" t="inlineStr">
        <is>
          <t>2026-03-24</t>
        </is>
      </c>
      <c r="B3497" s="196" t="inlineStr">
        <is>
          <t>SAR</t>
        </is>
      </c>
      <c r="C3497" s="196" t="inlineStr">
        <is>
          <t>SAUDI RIAL</t>
        </is>
      </c>
      <c r="D3497" s="184" t="n"/>
      <c r="E3497" s="184" t="n">
        <v>6982.54</v>
      </c>
      <c r="F3497" s="184" t="n">
        <v>7283.01</v>
      </c>
      <c r="G3497" s="184" t="n">
        <v>7132.78</v>
      </c>
    </row>
    <row r="3498">
      <c r="A3498" s="194" t="inlineStr">
        <is>
          <t>2026-03-24</t>
        </is>
      </c>
      <c r="B3498" s="194" t="inlineStr">
        <is>
          <t>SEK</t>
        </is>
      </c>
      <c r="C3498" s="194" t="inlineStr">
        <is>
          <t>SWEDISH KRONA</t>
        </is>
      </c>
      <c r="D3498" s="195" t="n"/>
      <c r="E3498" s="195" t="n">
        <v>2755.33</v>
      </c>
      <c r="F3498" s="195" t="n">
        <v>2872.15</v>
      </c>
      <c r="G3498" s="195" t="n">
        <v>2813.74</v>
      </c>
    </row>
    <row r="3499">
      <c r="A3499" s="196" t="inlineStr">
        <is>
          <t>2026-03-24</t>
        </is>
      </c>
      <c r="B3499" s="196" t="inlineStr">
        <is>
          <t>SGD</t>
        </is>
      </c>
      <c r="C3499" s="196" t="inlineStr">
        <is>
          <t>SINGAPORE DOLLAR</t>
        </is>
      </c>
      <c r="D3499" s="184" t="n">
        <v>20075.04</v>
      </c>
      <c r="E3499" s="184" t="n">
        <v>20277.82</v>
      </c>
      <c r="F3499" s="184" t="n">
        <v>20969.06</v>
      </c>
      <c r="G3499" s="184" t="n">
        <v>20623.44</v>
      </c>
    </row>
    <row r="3500">
      <c r="A3500" s="194" t="inlineStr">
        <is>
          <t>2026-03-24</t>
        </is>
      </c>
      <c r="B3500" s="194" t="inlineStr">
        <is>
          <t>THB</t>
        </is>
      </c>
      <c r="C3500" s="194" t="inlineStr">
        <is>
          <t>THAILAND BAHT</t>
        </is>
      </c>
      <c r="D3500" s="195" t="n">
        <v>711.83</v>
      </c>
      <c r="E3500" s="195" t="n">
        <v>790.92</v>
      </c>
      <c r="F3500" s="195" t="n">
        <v>824.45</v>
      </c>
      <c r="G3500" s="195" t="n">
        <v>807.6799999999999</v>
      </c>
    </row>
    <row r="3501">
      <c r="A3501" s="196" t="inlineStr">
        <is>
          <t>2026-03-24</t>
        </is>
      </c>
      <c r="B3501" s="196" t="inlineStr">
        <is>
          <t>USD</t>
        </is>
      </c>
      <c r="C3501" s="196" t="inlineStr">
        <is>
          <t>US DOLLAR</t>
        </is>
      </c>
      <c r="D3501" s="184" t="n">
        <v>26114</v>
      </c>
      <c r="E3501" s="184" t="n">
        <v>26144</v>
      </c>
      <c r="F3501" s="184" t="n">
        <v>26364</v>
      </c>
      <c r="G3501" s="184" t="n">
        <v>26254</v>
      </c>
    </row>
    <row r="3502">
      <c r="A3502" s="194" t="inlineStr">
        <is>
          <t>2026-03-23</t>
        </is>
      </c>
      <c r="B3502" s="194" t="inlineStr">
        <is>
          <t>AUD</t>
        </is>
      </c>
      <c r="C3502" s="194" t="inlineStr">
        <is>
          <t>AUSTRALIAN DOLLAR</t>
        </is>
      </c>
      <c r="D3502" s="195" t="n">
        <v>17878.9</v>
      </c>
      <c r="E3502" s="195" t="n">
        <v>18059.49</v>
      </c>
      <c r="F3502" s="195" t="n">
        <v>18637.81</v>
      </c>
      <c r="G3502" s="195" t="n">
        <v>18348.65</v>
      </c>
    </row>
    <row r="3503">
      <c r="A3503" s="196" t="inlineStr">
        <is>
          <t>2026-03-23</t>
        </is>
      </c>
      <c r="B3503" s="196" t="inlineStr">
        <is>
          <t>CAD</t>
        </is>
      </c>
      <c r="C3503" s="196" t="inlineStr">
        <is>
          <t>CANADIAN DOLLAR</t>
        </is>
      </c>
      <c r="D3503" s="184" t="n">
        <v>18701.63</v>
      </c>
      <c r="E3503" s="184" t="n">
        <v>18890.53</v>
      </c>
      <c r="F3503" s="184" t="n">
        <v>19495.46</v>
      </c>
      <c r="G3503" s="184" t="n">
        <v>19193</v>
      </c>
    </row>
    <row r="3504">
      <c r="A3504" s="194" t="inlineStr">
        <is>
          <t>2026-03-23</t>
        </is>
      </c>
      <c r="B3504" s="194" t="inlineStr">
        <is>
          <t>CHF</t>
        </is>
      </c>
      <c r="C3504" s="194" t="inlineStr">
        <is>
          <t>SWISS FRANC</t>
        </is>
      </c>
      <c r="D3504" s="195" t="n">
        <v>32524.67</v>
      </c>
      <c r="E3504" s="195" t="n">
        <v>32853.2</v>
      </c>
      <c r="F3504" s="195" t="n">
        <v>33905.26</v>
      </c>
      <c r="G3504" s="195" t="n">
        <v>33379.23</v>
      </c>
    </row>
    <row r="3505">
      <c r="A3505" s="196" t="inlineStr">
        <is>
          <t>2026-03-23</t>
        </is>
      </c>
      <c r="B3505" s="196" t="inlineStr">
        <is>
          <t>CNY</t>
        </is>
      </c>
      <c r="C3505" s="196" t="inlineStr">
        <is>
          <t>YUAN RENMINBI</t>
        </is>
      </c>
      <c r="D3505" s="184" t="n">
        <v>3717.9</v>
      </c>
      <c r="E3505" s="184" t="n">
        <v>3755.45</v>
      </c>
      <c r="F3505" s="184" t="n">
        <v>3875.71</v>
      </c>
      <c r="G3505" s="184" t="n">
        <v>3815.58</v>
      </c>
    </row>
    <row r="3506">
      <c r="A3506" s="194" t="inlineStr">
        <is>
          <t>2026-03-23</t>
        </is>
      </c>
      <c r="B3506" s="194" t="inlineStr">
        <is>
          <t>DKK</t>
        </is>
      </c>
      <c r="C3506" s="194" t="inlineStr">
        <is>
          <t>DANISH KRONE</t>
        </is>
      </c>
      <c r="D3506" s="195" t="n"/>
      <c r="E3506" s="195" t="n">
        <v>3993.11</v>
      </c>
      <c r="F3506" s="195" t="n">
        <v>4145.79</v>
      </c>
      <c r="G3506" s="195" t="n">
        <v>4069.45</v>
      </c>
    </row>
    <row r="3507">
      <c r="A3507" s="196" t="inlineStr">
        <is>
          <t>2026-03-23</t>
        </is>
      </c>
      <c r="B3507" s="196" t="inlineStr">
        <is>
          <t>EUR</t>
        </is>
      </c>
      <c r="C3507" s="196" t="inlineStr">
        <is>
          <t>EURO</t>
        </is>
      </c>
      <c r="D3507" s="184" t="n">
        <v>29608.24</v>
      </c>
      <c r="E3507" s="184" t="n">
        <v>29907.31</v>
      </c>
      <c r="F3507" s="184" t="n">
        <v>31169.12</v>
      </c>
      <c r="G3507" s="184" t="n">
        <v>30538.22</v>
      </c>
    </row>
    <row r="3508">
      <c r="A3508" s="194" t="inlineStr">
        <is>
          <t>2026-03-23</t>
        </is>
      </c>
      <c r="B3508" s="194" t="inlineStr">
        <is>
          <t>GBP</t>
        </is>
      </c>
      <c r="C3508" s="194" t="inlineStr">
        <is>
          <t>POUND STERLING</t>
        </is>
      </c>
      <c r="D3508" s="195" t="n">
        <v>34181.91</v>
      </c>
      <c r="E3508" s="195" t="n">
        <v>34527.18</v>
      </c>
      <c r="F3508" s="195" t="n">
        <v>35632.84</v>
      </c>
      <c r="G3508" s="195" t="n">
        <v>35080.01</v>
      </c>
    </row>
    <row r="3509">
      <c r="A3509" s="196" t="inlineStr">
        <is>
          <t>2026-03-23</t>
        </is>
      </c>
      <c r="B3509" s="196" t="inlineStr">
        <is>
          <t>HKD</t>
        </is>
      </c>
      <c r="C3509" s="196" t="inlineStr">
        <is>
          <t>HONGKONG DOLLAR</t>
        </is>
      </c>
      <c r="D3509" s="184" t="n">
        <v>3269.27</v>
      </c>
      <c r="E3509" s="184" t="n">
        <v>3302.29</v>
      </c>
      <c r="F3509" s="184" t="n">
        <v>3428.55</v>
      </c>
      <c r="G3509" s="184" t="n">
        <v>3365.42</v>
      </c>
    </row>
    <row r="3510">
      <c r="A3510" s="194" t="inlineStr">
        <is>
          <t>2026-03-23</t>
        </is>
      </c>
      <c r="B3510" s="194" t="inlineStr">
        <is>
          <t>INR</t>
        </is>
      </c>
      <c r="C3510" s="194" t="inlineStr">
        <is>
          <t>INDIAN RUPEE</t>
        </is>
      </c>
      <c r="D3510" s="195" t="n"/>
      <c r="E3510" s="195" t="n">
        <v>278.87</v>
      </c>
      <c r="F3510" s="195" t="n">
        <v>290.87</v>
      </c>
      <c r="G3510" s="195" t="n">
        <v>284.87</v>
      </c>
    </row>
    <row r="3511">
      <c r="A3511" s="196" t="inlineStr">
        <is>
          <t>2026-03-23</t>
        </is>
      </c>
      <c r="B3511" s="196" t="inlineStr">
        <is>
          <t>JPY</t>
        </is>
      </c>
      <c r="C3511" s="196" t="inlineStr">
        <is>
          <t>YEN</t>
        </is>
      </c>
      <c r="D3511" s="184" t="n">
        <v>159.42</v>
      </c>
      <c r="E3511" s="184" t="n">
        <v>161.03</v>
      </c>
      <c r="F3511" s="184" t="n">
        <v>169.55</v>
      </c>
      <c r="G3511" s="184" t="n">
        <v>165.29</v>
      </c>
    </row>
    <row r="3512">
      <c r="A3512" s="194" t="inlineStr">
        <is>
          <t>2026-03-23</t>
        </is>
      </c>
      <c r="B3512" s="194" t="inlineStr">
        <is>
          <t>KRW</t>
        </is>
      </c>
      <c r="C3512" s="194" t="inlineStr">
        <is>
          <t>KOREAN WON</t>
        </is>
      </c>
      <c r="D3512" s="195" t="n">
        <v>15.07</v>
      </c>
      <c r="E3512" s="195" t="n">
        <v>16.75</v>
      </c>
      <c r="F3512" s="195" t="n">
        <v>18.17</v>
      </c>
      <c r="G3512" s="195" t="n">
        <v>17.46</v>
      </c>
    </row>
    <row r="3513">
      <c r="A3513" s="196" t="inlineStr">
        <is>
          <t>2026-03-23</t>
        </is>
      </c>
      <c r="B3513" s="196" t="inlineStr">
        <is>
          <t>KWD</t>
        </is>
      </c>
      <c r="C3513" s="196" t="inlineStr">
        <is>
          <t>KUWAITI DINAR</t>
        </is>
      </c>
      <c r="D3513" s="184" t="n"/>
      <c r="E3513" s="184" t="n">
        <v>85417.66</v>
      </c>
      <c r="F3513" s="184" t="n">
        <v>89557.50999999999</v>
      </c>
      <c r="G3513" s="184" t="n">
        <v>87487.58</v>
      </c>
    </row>
    <row r="3514">
      <c r="A3514" s="194" t="inlineStr">
        <is>
          <t>2026-03-23</t>
        </is>
      </c>
      <c r="B3514" s="194" t="inlineStr">
        <is>
          <t>MYR</t>
        </is>
      </c>
      <c r="C3514" s="194" t="inlineStr">
        <is>
          <t>MALAYSIAN RINGGIT</t>
        </is>
      </c>
      <c r="D3514" s="195" t="n"/>
      <c r="E3514" s="195" t="n">
        <v>6620.78</v>
      </c>
      <c r="F3514" s="195" t="n">
        <v>6764.8</v>
      </c>
      <c r="G3514" s="195" t="n">
        <v>6692.79</v>
      </c>
    </row>
    <row r="3515">
      <c r="A3515" s="196" t="inlineStr">
        <is>
          <t>2026-03-23</t>
        </is>
      </c>
      <c r="B3515" s="196" t="inlineStr">
        <is>
          <t>NOK</t>
        </is>
      </c>
      <c r="C3515" s="196" t="inlineStr">
        <is>
          <t>NORWEGIAN KRONER</t>
        </is>
      </c>
      <c r="D3515" s="184" t="n"/>
      <c r="E3515" s="184" t="n">
        <v>2682.35</v>
      </c>
      <c r="F3515" s="184" t="n">
        <v>2796.07</v>
      </c>
      <c r="G3515" s="184" t="n">
        <v>2739.21</v>
      </c>
    </row>
    <row r="3516">
      <c r="A3516" s="194" t="inlineStr">
        <is>
          <t>2026-03-23</t>
        </is>
      </c>
      <c r="B3516" s="194" t="inlineStr">
        <is>
          <t>RUB</t>
        </is>
      </c>
      <c r="C3516" s="194" t="inlineStr">
        <is>
          <t>RUSSIAN RUBLE</t>
        </is>
      </c>
      <c r="D3516" s="195" t="n"/>
      <c r="E3516" s="195" t="n">
        <v>301.39</v>
      </c>
      <c r="F3516" s="195" t="n">
        <v>333.62</v>
      </c>
      <c r="G3516" s="195" t="n">
        <v>317.5</v>
      </c>
    </row>
    <row r="3517">
      <c r="A3517" s="196" t="inlineStr">
        <is>
          <t>2026-03-23</t>
        </is>
      </c>
      <c r="B3517" s="196" t="inlineStr">
        <is>
          <t>SAR</t>
        </is>
      </c>
      <c r="C3517" s="196" t="inlineStr">
        <is>
          <t>SAUDI RIAL</t>
        </is>
      </c>
      <c r="D3517" s="184" t="n"/>
      <c r="E3517" s="184" t="n">
        <v>6975.19</v>
      </c>
      <c r="F3517" s="184" t="n">
        <v>7275.36</v>
      </c>
      <c r="G3517" s="184" t="n">
        <v>7125.28</v>
      </c>
    </row>
    <row r="3518">
      <c r="A3518" s="194" t="inlineStr">
        <is>
          <t>2026-03-23</t>
        </is>
      </c>
      <c r="B3518" s="194" t="inlineStr">
        <is>
          <t>SEK</t>
        </is>
      </c>
      <c r="C3518" s="194" t="inlineStr">
        <is>
          <t>SWEDISH KRONA</t>
        </is>
      </c>
      <c r="D3518" s="195" t="n"/>
      <c r="E3518" s="195" t="n">
        <v>2746.27</v>
      </c>
      <c r="F3518" s="195" t="n">
        <v>2862.7</v>
      </c>
      <c r="G3518" s="195" t="n">
        <v>2804.48</v>
      </c>
    </row>
    <row r="3519">
      <c r="A3519" s="196" t="inlineStr">
        <is>
          <t>2026-03-23</t>
        </is>
      </c>
      <c r="B3519" s="196" t="inlineStr">
        <is>
          <t>SGD</t>
        </is>
      </c>
      <c r="C3519" s="196" t="inlineStr">
        <is>
          <t>SINGAPORE DOLLAR</t>
        </is>
      </c>
      <c r="D3519" s="184" t="n">
        <v>19995.68</v>
      </c>
      <c r="E3519" s="184" t="n">
        <v>20197.65</v>
      </c>
      <c r="F3519" s="184" t="n">
        <v>20886.18</v>
      </c>
      <c r="G3519" s="184" t="n">
        <v>20541.92</v>
      </c>
    </row>
    <row r="3520">
      <c r="A3520" s="194" t="inlineStr">
        <is>
          <t>2026-03-23</t>
        </is>
      </c>
      <c r="B3520" s="194" t="inlineStr">
        <is>
          <t>THB</t>
        </is>
      </c>
      <c r="C3520" s="194" t="inlineStr">
        <is>
          <t>THAILAND BAHT</t>
        </is>
      </c>
      <c r="D3520" s="195" t="n">
        <v>704.17</v>
      </c>
      <c r="E3520" s="195" t="n">
        <v>782.41</v>
      </c>
      <c r="F3520" s="195" t="n">
        <v>815.58</v>
      </c>
      <c r="G3520" s="195" t="n">
        <v>799</v>
      </c>
    </row>
    <row r="3521">
      <c r="A3521" s="196" t="inlineStr">
        <is>
          <t>2026-03-23</t>
        </is>
      </c>
      <c r="B3521" s="196" t="inlineStr">
        <is>
          <t>USD</t>
        </is>
      </c>
      <c r="C3521" s="196" t="inlineStr">
        <is>
          <t>US DOLLAR</t>
        </is>
      </c>
      <c r="D3521" s="184" t="n">
        <v>26074</v>
      </c>
      <c r="E3521" s="184" t="n">
        <v>26104</v>
      </c>
      <c r="F3521" s="184" t="n">
        <v>26344</v>
      </c>
      <c r="G3521" s="184" t="n">
        <v>26224</v>
      </c>
    </row>
    <row r="3522">
      <c r="A3522" s="194" t="inlineStr">
        <is>
          <t>2026-03-22</t>
        </is>
      </c>
      <c r="B3522" s="194" t="inlineStr">
        <is>
          <t>AUD</t>
        </is>
      </c>
      <c r="C3522" s="194" t="inlineStr">
        <is>
          <t>AUSTRALIAN DOLLAR</t>
        </is>
      </c>
      <c r="D3522" s="195" t="n">
        <v>18143.87</v>
      </c>
      <c r="E3522" s="195" t="n">
        <v>18327.15</v>
      </c>
      <c r="F3522" s="195" t="n">
        <v>18914.08</v>
      </c>
      <c r="G3522" s="195" t="n">
        <v>18620.62</v>
      </c>
    </row>
    <row r="3523">
      <c r="A3523" s="196" t="inlineStr">
        <is>
          <t>2026-03-22</t>
        </is>
      </c>
      <c r="B3523" s="196" t="inlineStr">
        <is>
          <t>CAD</t>
        </is>
      </c>
      <c r="C3523" s="196" t="inlineStr">
        <is>
          <t>CANADIAN DOLLAR</t>
        </is>
      </c>
      <c r="D3523" s="184" t="n">
        <v>18659.61</v>
      </c>
      <c r="E3523" s="184" t="n">
        <v>18848.09</v>
      </c>
      <c r="F3523" s="184" t="n">
        <v>19451.71</v>
      </c>
      <c r="G3523" s="184" t="n">
        <v>19149.9</v>
      </c>
    </row>
    <row r="3524">
      <c r="A3524" s="194" t="inlineStr">
        <is>
          <t>2026-03-22</t>
        </is>
      </c>
      <c r="B3524" s="194" t="inlineStr">
        <is>
          <t>CHF</t>
        </is>
      </c>
      <c r="C3524" s="194" t="inlineStr">
        <is>
          <t>SWISS FRANC</t>
        </is>
      </c>
      <c r="D3524" s="195" t="n">
        <v>32508.19</v>
      </c>
      <c r="E3524" s="195" t="n">
        <v>32836.56</v>
      </c>
      <c r="F3524" s="195" t="n">
        <v>33888.16</v>
      </c>
      <c r="G3524" s="195" t="n">
        <v>33362.36</v>
      </c>
    </row>
    <row r="3525">
      <c r="A3525" s="196" t="inlineStr">
        <is>
          <t>2026-03-22</t>
        </is>
      </c>
      <c r="B3525" s="196" t="inlineStr">
        <is>
          <t>CNY</t>
        </is>
      </c>
      <c r="C3525" s="196" t="inlineStr">
        <is>
          <t>YUAN RENMINBI</t>
        </is>
      </c>
      <c r="D3525" s="184" t="n">
        <v>3714.99</v>
      </c>
      <c r="E3525" s="184" t="n">
        <v>3752.52</v>
      </c>
      <c r="F3525" s="184" t="n">
        <v>3872.69</v>
      </c>
      <c r="G3525" s="184" t="n">
        <v>3812.6</v>
      </c>
    </row>
    <row r="3526">
      <c r="A3526" s="194" t="inlineStr">
        <is>
          <t>2026-03-22</t>
        </is>
      </c>
      <c r="B3526" s="194" t="inlineStr">
        <is>
          <t>DKK</t>
        </is>
      </c>
      <c r="C3526" s="194" t="inlineStr">
        <is>
          <t>DANISH KRONE</t>
        </is>
      </c>
      <c r="D3526" s="195" t="n"/>
      <c r="E3526" s="195" t="n">
        <v>3999.65</v>
      </c>
      <c r="F3526" s="195" t="n">
        <v>4152.58</v>
      </c>
      <c r="G3526" s="195" t="n">
        <v>4076.12</v>
      </c>
    </row>
    <row r="3527">
      <c r="A3527" s="196" t="inlineStr">
        <is>
          <t>2026-03-22</t>
        </is>
      </c>
      <c r="B3527" s="196" t="inlineStr">
        <is>
          <t>EUR</t>
        </is>
      </c>
      <c r="C3527" s="196" t="inlineStr">
        <is>
          <t>EURO</t>
        </is>
      </c>
      <c r="D3527" s="184" t="n">
        <v>29658.06</v>
      </c>
      <c r="E3527" s="184" t="n">
        <v>29957.64</v>
      </c>
      <c r="F3527" s="184" t="n">
        <v>31221.64</v>
      </c>
      <c r="G3527" s="184" t="n">
        <v>30589.64</v>
      </c>
    </row>
    <row r="3528">
      <c r="A3528" s="194" t="inlineStr">
        <is>
          <t>2026-03-22</t>
        </is>
      </c>
      <c r="B3528" s="194" t="inlineStr">
        <is>
          <t>GBP</t>
        </is>
      </c>
      <c r="C3528" s="194" t="inlineStr">
        <is>
          <t>POUND STERLING</t>
        </is>
      </c>
      <c r="D3528" s="195" t="n">
        <v>34388.79</v>
      </c>
      <c r="E3528" s="195" t="n">
        <v>34736.16</v>
      </c>
      <c r="F3528" s="195" t="n">
        <v>35848.59</v>
      </c>
      <c r="G3528" s="195" t="n">
        <v>35292.38</v>
      </c>
    </row>
    <row r="3529">
      <c r="A3529" s="196" t="inlineStr">
        <is>
          <t>2026-03-22</t>
        </is>
      </c>
      <c r="B3529" s="196" t="inlineStr">
        <is>
          <t>HKD</t>
        </is>
      </c>
      <c r="C3529" s="196" t="inlineStr">
        <is>
          <t>HONGKONG DOLLAR</t>
        </is>
      </c>
      <c r="D3529" s="184" t="n">
        <v>3262.21</v>
      </c>
      <c r="E3529" s="184" t="n">
        <v>3295.17</v>
      </c>
      <c r="F3529" s="184" t="n">
        <v>3421.17</v>
      </c>
      <c r="G3529" s="184" t="n">
        <v>3358.17</v>
      </c>
    </row>
    <row r="3530">
      <c r="A3530" s="194" t="inlineStr">
        <is>
          <t>2026-03-22</t>
        </is>
      </c>
      <c r="B3530" s="194" t="inlineStr">
        <is>
          <t>INR</t>
        </is>
      </c>
      <c r="C3530" s="194" t="inlineStr">
        <is>
          <t>INDIAN RUPEE</t>
        </is>
      </c>
      <c r="D3530" s="195" t="n"/>
      <c r="E3530" s="195" t="n">
        <v>281.5</v>
      </c>
      <c r="F3530" s="195" t="n">
        <v>293.62</v>
      </c>
      <c r="G3530" s="195" t="n">
        <v>287.56</v>
      </c>
    </row>
    <row r="3531">
      <c r="A3531" s="196" t="inlineStr">
        <is>
          <t>2026-03-22</t>
        </is>
      </c>
      <c r="B3531" s="196" t="inlineStr">
        <is>
          <t>JPY</t>
        </is>
      </c>
      <c r="C3531" s="196" t="inlineStr">
        <is>
          <t>YEN</t>
        </is>
      </c>
      <c r="D3531" s="184" t="n">
        <v>160.76</v>
      </c>
      <c r="E3531" s="184" t="n">
        <v>162.39</v>
      </c>
      <c r="F3531" s="184" t="n">
        <v>170.97</v>
      </c>
      <c r="G3531" s="184" t="n">
        <v>166.68</v>
      </c>
    </row>
    <row r="3532">
      <c r="A3532" s="194" t="inlineStr">
        <is>
          <t>2026-03-22</t>
        </is>
      </c>
      <c r="B3532" s="194" t="inlineStr">
        <is>
          <t>KRW</t>
        </is>
      </c>
      <c r="C3532" s="194" t="inlineStr">
        <is>
          <t>KOREAN WON</t>
        </is>
      </c>
      <c r="D3532" s="195" t="n">
        <v>15.28</v>
      </c>
      <c r="E3532" s="195" t="n">
        <v>16.98</v>
      </c>
      <c r="F3532" s="195" t="n">
        <v>18.43</v>
      </c>
      <c r="G3532" s="195" t="n">
        <v>17.7</v>
      </c>
    </row>
    <row r="3533">
      <c r="A3533" s="196" t="inlineStr">
        <is>
          <t>2026-03-22</t>
        </is>
      </c>
      <c r="B3533" s="196" t="inlineStr">
        <is>
          <t>KWD</t>
        </is>
      </c>
      <c r="C3533" s="196" t="inlineStr">
        <is>
          <t>KUWAITI DINAR</t>
        </is>
      </c>
      <c r="D3533" s="184" t="n"/>
      <c r="E3533" s="184" t="n">
        <v>85287.85000000001</v>
      </c>
      <c r="F3533" s="184" t="n">
        <v>89421.61</v>
      </c>
      <c r="G3533" s="184" t="n">
        <v>87354.73</v>
      </c>
    </row>
    <row r="3534">
      <c r="A3534" s="194" t="inlineStr">
        <is>
          <t>2026-03-22</t>
        </is>
      </c>
      <c r="B3534" s="194" t="inlineStr">
        <is>
          <t>MYR</t>
        </is>
      </c>
      <c r="C3534" s="194" t="inlineStr">
        <is>
          <t>MALAYSIAN RINGGIT</t>
        </is>
      </c>
      <c r="D3534" s="195" t="n"/>
      <c r="E3534" s="195" t="n">
        <v>6610.72</v>
      </c>
      <c r="F3534" s="195" t="n">
        <v>6754.54</v>
      </c>
      <c r="G3534" s="195" t="n">
        <v>6682.63</v>
      </c>
    </row>
    <row r="3535">
      <c r="A3535" s="196" t="inlineStr">
        <is>
          <t>2026-03-22</t>
        </is>
      </c>
      <c r="B3535" s="196" t="inlineStr">
        <is>
          <t>NOK</t>
        </is>
      </c>
      <c r="C3535" s="196" t="inlineStr">
        <is>
          <t>NORWEGIAN KRONER</t>
        </is>
      </c>
      <c r="D3535" s="184" t="n"/>
      <c r="E3535" s="184" t="n">
        <v>2713.59</v>
      </c>
      <c r="F3535" s="184" t="n">
        <v>2828.65</v>
      </c>
      <c r="G3535" s="184" t="n">
        <v>2771.12</v>
      </c>
    </row>
    <row r="3536">
      <c r="A3536" s="194" t="inlineStr">
        <is>
          <t>2026-03-22</t>
        </is>
      </c>
      <c r="B3536" s="194" t="inlineStr">
        <is>
          <t>RUB</t>
        </is>
      </c>
      <c r="C3536" s="194" t="inlineStr">
        <is>
          <t>RUSSIAN RUBLE</t>
        </is>
      </c>
      <c r="D3536" s="195" t="n"/>
      <c r="E3536" s="195" t="n">
        <v>290.54</v>
      </c>
      <c r="F3536" s="195" t="n">
        <v>321.61</v>
      </c>
      <c r="G3536" s="195" t="n">
        <v>306.08</v>
      </c>
    </row>
    <row r="3537">
      <c r="A3537" s="196" t="inlineStr">
        <is>
          <t>2026-03-22</t>
        </is>
      </c>
      <c r="B3537" s="196" t="inlineStr">
        <is>
          <t>SAR</t>
        </is>
      </c>
      <c r="C3537" s="196" t="inlineStr">
        <is>
          <t>SAUDI RIAL</t>
        </is>
      </c>
      <c r="D3537" s="184" t="n"/>
      <c r="E3537" s="184" t="n">
        <v>6965.15</v>
      </c>
      <c r="F3537" s="184" t="n">
        <v>7264.9</v>
      </c>
      <c r="G3537" s="184" t="n">
        <v>7115.02</v>
      </c>
    </row>
    <row r="3538">
      <c r="A3538" s="194" t="inlineStr">
        <is>
          <t>2026-03-22</t>
        </is>
      </c>
      <c r="B3538" s="194" t="inlineStr">
        <is>
          <t>SEK</t>
        </is>
      </c>
      <c r="C3538" s="194" t="inlineStr">
        <is>
          <t>SWEDISH KRONA</t>
        </is>
      </c>
      <c r="D3538" s="195" t="n"/>
      <c r="E3538" s="195" t="n">
        <v>2771.62</v>
      </c>
      <c r="F3538" s="195" t="n">
        <v>2889.14</v>
      </c>
      <c r="G3538" s="195" t="n">
        <v>2830.38</v>
      </c>
    </row>
    <row r="3539">
      <c r="A3539" s="196" t="inlineStr">
        <is>
          <t>2026-03-22</t>
        </is>
      </c>
      <c r="B3539" s="196" t="inlineStr">
        <is>
          <t>SGD</t>
        </is>
      </c>
      <c r="C3539" s="196" t="inlineStr">
        <is>
          <t>SINGAPORE DOLLAR</t>
        </is>
      </c>
      <c r="D3539" s="184" t="n">
        <v>20048.13</v>
      </c>
      <c r="E3539" s="184" t="n">
        <v>20250.64</v>
      </c>
      <c r="F3539" s="184" t="n">
        <v>20941.02</v>
      </c>
      <c r="G3539" s="184" t="n">
        <v>20595.83</v>
      </c>
    </row>
    <row r="3540">
      <c r="A3540" s="194" t="inlineStr">
        <is>
          <t>2026-03-22</t>
        </is>
      </c>
      <c r="B3540" s="194" t="inlineStr">
        <is>
          <t>THB</t>
        </is>
      </c>
      <c r="C3540" s="194" t="inlineStr">
        <is>
          <t>THAILAND BAHT</t>
        </is>
      </c>
      <c r="D3540" s="195" t="n">
        <v>713.05</v>
      </c>
      <c r="E3540" s="195" t="n">
        <v>792.27</v>
      </c>
      <c r="F3540" s="195" t="n">
        <v>825.87</v>
      </c>
      <c r="G3540" s="195" t="n">
        <v>809.0700000000001</v>
      </c>
    </row>
    <row r="3541">
      <c r="A3541" s="196" t="inlineStr">
        <is>
          <t>2026-03-22</t>
        </is>
      </c>
      <c r="B3541" s="196" t="inlineStr">
        <is>
          <t>USD</t>
        </is>
      </c>
      <c r="C3541" s="196" t="inlineStr">
        <is>
          <t>US DOLLAR</t>
        </is>
      </c>
      <c r="D3541" s="184" t="n">
        <v>26069</v>
      </c>
      <c r="E3541" s="184" t="n">
        <v>26099</v>
      </c>
      <c r="F3541" s="184" t="n">
        <v>26339</v>
      </c>
      <c r="G3541" s="184" t="n">
        <v>26219</v>
      </c>
    </row>
    <row r="3542">
      <c r="A3542" s="194" t="inlineStr">
        <is>
          <t>2026-03-21</t>
        </is>
      </c>
      <c r="B3542" s="194" t="inlineStr">
        <is>
          <t>AUD</t>
        </is>
      </c>
      <c r="C3542" s="194" t="inlineStr">
        <is>
          <t>AUSTRALIAN DOLLAR</t>
        </is>
      </c>
      <c r="D3542" s="195" t="n">
        <v>18143.87</v>
      </c>
      <c r="E3542" s="195" t="n">
        <v>18327.15</v>
      </c>
      <c r="F3542" s="195" t="n">
        <v>18914.08</v>
      </c>
      <c r="G3542" s="195" t="n">
        <v>18620.62</v>
      </c>
    </row>
    <row r="3543">
      <c r="A3543" s="196" t="inlineStr">
        <is>
          <t>2026-03-21</t>
        </is>
      </c>
      <c r="B3543" s="196" t="inlineStr">
        <is>
          <t>CAD</t>
        </is>
      </c>
      <c r="C3543" s="196" t="inlineStr">
        <is>
          <t>CANADIAN DOLLAR</t>
        </is>
      </c>
      <c r="D3543" s="184" t="n">
        <v>18659.61</v>
      </c>
      <c r="E3543" s="184" t="n">
        <v>18848.09</v>
      </c>
      <c r="F3543" s="184" t="n">
        <v>19451.71</v>
      </c>
      <c r="G3543" s="184" t="n">
        <v>19149.9</v>
      </c>
    </row>
    <row r="3544">
      <c r="A3544" s="194" t="inlineStr">
        <is>
          <t>2026-03-21</t>
        </is>
      </c>
      <c r="B3544" s="194" t="inlineStr">
        <is>
          <t>CHF</t>
        </is>
      </c>
      <c r="C3544" s="194" t="inlineStr">
        <is>
          <t>SWISS FRANC</t>
        </is>
      </c>
      <c r="D3544" s="195" t="n">
        <v>32508.19</v>
      </c>
      <c r="E3544" s="195" t="n">
        <v>32836.56</v>
      </c>
      <c r="F3544" s="195" t="n">
        <v>33888.16</v>
      </c>
      <c r="G3544" s="195" t="n">
        <v>33362.36</v>
      </c>
    </row>
    <row r="3545">
      <c r="A3545" s="196" t="inlineStr">
        <is>
          <t>2026-03-21</t>
        </is>
      </c>
      <c r="B3545" s="196" t="inlineStr">
        <is>
          <t>CNY</t>
        </is>
      </c>
      <c r="C3545" s="196" t="inlineStr">
        <is>
          <t>YUAN RENMINBI</t>
        </is>
      </c>
      <c r="D3545" s="184" t="n">
        <v>3714.99</v>
      </c>
      <c r="E3545" s="184" t="n">
        <v>3752.52</v>
      </c>
      <c r="F3545" s="184" t="n">
        <v>3872.69</v>
      </c>
      <c r="G3545" s="184" t="n">
        <v>3812.6</v>
      </c>
    </row>
    <row r="3546">
      <c r="A3546" s="194" t="inlineStr">
        <is>
          <t>2026-03-21</t>
        </is>
      </c>
      <c r="B3546" s="194" t="inlineStr">
        <is>
          <t>DKK</t>
        </is>
      </c>
      <c r="C3546" s="194" t="inlineStr">
        <is>
          <t>DANISH KRONE</t>
        </is>
      </c>
      <c r="D3546" s="195" t="n"/>
      <c r="E3546" s="195" t="n">
        <v>3999.65</v>
      </c>
      <c r="F3546" s="195" t="n">
        <v>4152.58</v>
      </c>
      <c r="G3546" s="195" t="n">
        <v>4076.12</v>
      </c>
    </row>
    <row r="3547">
      <c r="A3547" s="196" t="inlineStr">
        <is>
          <t>2026-03-21</t>
        </is>
      </c>
      <c r="B3547" s="196" t="inlineStr">
        <is>
          <t>EUR</t>
        </is>
      </c>
      <c r="C3547" s="196" t="inlineStr">
        <is>
          <t>EURO</t>
        </is>
      </c>
      <c r="D3547" s="184" t="n">
        <v>29658.06</v>
      </c>
      <c r="E3547" s="184" t="n">
        <v>29957.64</v>
      </c>
      <c r="F3547" s="184" t="n">
        <v>31221.64</v>
      </c>
      <c r="G3547" s="184" t="n">
        <v>30589.64</v>
      </c>
    </row>
    <row r="3548">
      <c r="A3548" s="194" t="inlineStr">
        <is>
          <t>2026-03-21</t>
        </is>
      </c>
      <c r="B3548" s="194" t="inlineStr">
        <is>
          <t>GBP</t>
        </is>
      </c>
      <c r="C3548" s="194" t="inlineStr">
        <is>
          <t>POUND STERLING</t>
        </is>
      </c>
      <c r="D3548" s="195" t="n">
        <v>34388.79</v>
      </c>
      <c r="E3548" s="195" t="n">
        <v>34736.16</v>
      </c>
      <c r="F3548" s="195" t="n">
        <v>35848.59</v>
      </c>
      <c r="G3548" s="195" t="n">
        <v>35292.38</v>
      </c>
    </row>
    <row r="3549">
      <c r="A3549" s="196" t="inlineStr">
        <is>
          <t>2026-03-21</t>
        </is>
      </c>
      <c r="B3549" s="196" t="inlineStr">
        <is>
          <t>HKD</t>
        </is>
      </c>
      <c r="C3549" s="196" t="inlineStr">
        <is>
          <t>HONGKONG DOLLAR</t>
        </is>
      </c>
      <c r="D3549" s="184" t="n">
        <v>3262.21</v>
      </c>
      <c r="E3549" s="184" t="n">
        <v>3295.17</v>
      </c>
      <c r="F3549" s="184" t="n">
        <v>3421.17</v>
      </c>
      <c r="G3549" s="184" t="n">
        <v>3358.17</v>
      </c>
    </row>
    <row r="3550">
      <c r="A3550" s="194" t="inlineStr">
        <is>
          <t>2026-03-21</t>
        </is>
      </c>
      <c r="B3550" s="194" t="inlineStr">
        <is>
          <t>INR</t>
        </is>
      </c>
      <c r="C3550" s="194" t="inlineStr">
        <is>
          <t>INDIAN RUPEE</t>
        </is>
      </c>
      <c r="D3550" s="195" t="n"/>
      <c r="E3550" s="195" t="n">
        <v>281.5</v>
      </c>
      <c r="F3550" s="195" t="n">
        <v>293.62</v>
      </c>
      <c r="G3550" s="195" t="n">
        <v>287.56</v>
      </c>
    </row>
    <row r="3551">
      <c r="A3551" s="196" t="inlineStr">
        <is>
          <t>2026-03-21</t>
        </is>
      </c>
      <c r="B3551" s="196" t="inlineStr">
        <is>
          <t>JPY</t>
        </is>
      </c>
      <c r="C3551" s="196" t="inlineStr">
        <is>
          <t>YEN</t>
        </is>
      </c>
      <c r="D3551" s="184" t="n">
        <v>160.76</v>
      </c>
      <c r="E3551" s="184" t="n">
        <v>162.39</v>
      </c>
      <c r="F3551" s="184" t="n">
        <v>170.97</v>
      </c>
      <c r="G3551" s="184" t="n">
        <v>166.68</v>
      </c>
    </row>
    <row r="3552">
      <c r="A3552" s="194" t="inlineStr">
        <is>
          <t>2026-03-21</t>
        </is>
      </c>
      <c r="B3552" s="194" t="inlineStr">
        <is>
          <t>KRW</t>
        </is>
      </c>
      <c r="C3552" s="194" t="inlineStr">
        <is>
          <t>KOREAN WON</t>
        </is>
      </c>
      <c r="D3552" s="195" t="n">
        <v>15.28</v>
      </c>
      <c r="E3552" s="195" t="n">
        <v>16.98</v>
      </c>
      <c r="F3552" s="195" t="n">
        <v>18.43</v>
      </c>
      <c r="G3552" s="195" t="n">
        <v>17.7</v>
      </c>
    </row>
    <row r="3553">
      <c r="A3553" s="196" t="inlineStr">
        <is>
          <t>2026-03-21</t>
        </is>
      </c>
      <c r="B3553" s="196" t="inlineStr">
        <is>
          <t>KWD</t>
        </is>
      </c>
      <c r="C3553" s="196" t="inlineStr">
        <is>
          <t>KUWAITI DINAR</t>
        </is>
      </c>
      <c r="D3553" s="184" t="n"/>
      <c r="E3553" s="184" t="n">
        <v>85287.85000000001</v>
      </c>
      <c r="F3553" s="184" t="n">
        <v>89421.61</v>
      </c>
      <c r="G3553" s="184" t="n">
        <v>87354.73</v>
      </c>
    </row>
    <row r="3554">
      <c r="A3554" s="194" t="inlineStr">
        <is>
          <t>2026-03-21</t>
        </is>
      </c>
      <c r="B3554" s="194" t="inlineStr">
        <is>
          <t>MYR</t>
        </is>
      </c>
      <c r="C3554" s="194" t="inlineStr">
        <is>
          <t>MALAYSIAN RINGGIT</t>
        </is>
      </c>
      <c r="D3554" s="195" t="n"/>
      <c r="E3554" s="195" t="n">
        <v>6610.72</v>
      </c>
      <c r="F3554" s="195" t="n">
        <v>6754.54</v>
      </c>
      <c r="G3554" s="195" t="n">
        <v>6682.63</v>
      </c>
    </row>
    <row r="3555">
      <c r="A3555" s="196" t="inlineStr">
        <is>
          <t>2026-03-21</t>
        </is>
      </c>
      <c r="B3555" s="196" t="inlineStr">
        <is>
          <t>NOK</t>
        </is>
      </c>
      <c r="C3555" s="196" t="inlineStr">
        <is>
          <t>NORWEGIAN KRONER</t>
        </is>
      </c>
      <c r="D3555" s="184" t="n"/>
      <c r="E3555" s="184" t="n">
        <v>2713.59</v>
      </c>
      <c r="F3555" s="184" t="n">
        <v>2828.65</v>
      </c>
      <c r="G3555" s="184" t="n">
        <v>2771.12</v>
      </c>
    </row>
    <row r="3556">
      <c r="A3556" s="194" t="inlineStr">
        <is>
          <t>2026-03-21</t>
        </is>
      </c>
      <c r="B3556" s="194" t="inlineStr">
        <is>
          <t>RUB</t>
        </is>
      </c>
      <c r="C3556" s="194" t="inlineStr">
        <is>
          <t>RUSSIAN RUBLE</t>
        </is>
      </c>
      <c r="D3556" s="195" t="n"/>
      <c r="E3556" s="195" t="n">
        <v>290.54</v>
      </c>
      <c r="F3556" s="195" t="n">
        <v>321.61</v>
      </c>
      <c r="G3556" s="195" t="n">
        <v>306.08</v>
      </c>
    </row>
    <row r="3557">
      <c r="A3557" s="196" t="inlineStr">
        <is>
          <t>2026-03-21</t>
        </is>
      </c>
      <c r="B3557" s="196" t="inlineStr">
        <is>
          <t>SAR</t>
        </is>
      </c>
      <c r="C3557" s="196" t="inlineStr">
        <is>
          <t>SAUDI RIAL</t>
        </is>
      </c>
      <c r="D3557" s="184" t="n"/>
      <c r="E3557" s="184" t="n">
        <v>6965.15</v>
      </c>
      <c r="F3557" s="184" t="n">
        <v>7264.9</v>
      </c>
      <c r="G3557" s="184" t="n">
        <v>7115.02</v>
      </c>
    </row>
    <row r="3558">
      <c r="A3558" s="194" t="inlineStr">
        <is>
          <t>2026-03-21</t>
        </is>
      </c>
      <c r="B3558" s="194" t="inlineStr">
        <is>
          <t>SEK</t>
        </is>
      </c>
      <c r="C3558" s="194" t="inlineStr">
        <is>
          <t>SWEDISH KRONA</t>
        </is>
      </c>
      <c r="D3558" s="195" t="n"/>
      <c r="E3558" s="195" t="n">
        <v>2771.62</v>
      </c>
      <c r="F3558" s="195" t="n">
        <v>2889.14</v>
      </c>
      <c r="G3558" s="195" t="n">
        <v>2830.38</v>
      </c>
    </row>
    <row r="3559">
      <c r="A3559" s="196" t="inlineStr">
        <is>
          <t>2026-03-21</t>
        </is>
      </c>
      <c r="B3559" s="196" t="inlineStr">
        <is>
          <t>SGD</t>
        </is>
      </c>
      <c r="C3559" s="196" t="inlineStr">
        <is>
          <t>SINGAPORE DOLLAR</t>
        </is>
      </c>
      <c r="D3559" s="184" t="n">
        <v>20048.13</v>
      </c>
      <c r="E3559" s="184" t="n">
        <v>20250.64</v>
      </c>
      <c r="F3559" s="184" t="n">
        <v>20941.02</v>
      </c>
      <c r="G3559" s="184" t="n">
        <v>20595.83</v>
      </c>
    </row>
    <row r="3560">
      <c r="A3560" s="194" t="inlineStr">
        <is>
          <t>2026-03-21</t>
        </is>
      </c>
      <c r="B3560" s="194" t="inlineStr">
        <is>
          <t>THB</t>
        </is>
      </c>
      <c r="C3560" s="194" t="inlineStr">
        <is>
          <t>THAILAND BAHT</t>
        </is>
      </c>
      <c r="D3560" s="195" t="n">
        <v>713.05</v>
      </c>
      <c r="E3560" s="195" t="n">
        <v>792.27</v>
      </c>
      <c r="F3560" s="195" t="n">
        <v>825.87</v>
      </c>
      <c r="G3560" s="195" t="n">
        <v>809.0700000000001</v>
      </c>
    </row>
    <row r="3561">
      <c r="A3561" s="196" t="inlineStr">
        <is>
          <t>2026-03-21</t>
        </is>
      </c>
      <c r="B3561" s="196" t="inlineStr">
        <is>
          <t>USD</t>
        </is>
      </c>
      <c r="C3561" s="196" t="inlineStr">
        <is>
          <t>US DOLLAR</t>
        </is>
      </c>
      <c r="D3561" s="184" t="n">
        <v>26069</v>
      </c>
      <c r="E3561" s="184" t="n">
        <v>26099</v>
      </c>
      <c r="F3561" s="184" t="n">
        <v>26339</v>
      </c>
      <c r="G3561" s="184" t="n">
        <v>26219</v>
      </c>
    </row>
    <row r="3562">
      <c r="A3562" s="194" t="inlineStr">
        <is>
          <t>2026-03-20</t>
        </is>
      </c>
      <c r="B3562" s="194" t="inlineStr">
        <is>
          <t>AUD</t>
        </is>
      </c>
      <c r="C3562" s="194" t="inlineStr">
        <is>
          <t>AUSTRALIAN DOLLAR</t>
        </is>
      </c>
      <c r="D3562" s="195" t="n">
        <v>18143.87</v>
      </c>
      <c r="E3562" s="195" t="n">
        <v>18327.15</v>
      </c>
      <c r="F3562" s="195" t="n">
        <v>18914.08</v>
      </c>
      <c r="G3562" s="195" t="n">
        <v>18620.62</v>
      </c>
    </row>
    <row r="3563">
      <c r="A3563" s="196" t="inlineStr">
        <is>
          <t>2026-03-20</t>
        </is>
      </c>
      <c r="B3563" s="196" t="inlineStr">
        <is>
          <t>CAD</t>
        </is>
      </c>
      <c r="C3563" s="196" t="inlineStr">
        <is>
          <t>CANADIAN DOLLAR</t>
        </is>
      </c>
      <c r="D3563" s="184" t="n">
        <v>18659.61</v>
      </c>
      <c r="E3563" s="184" t="n">
        <v>18848.09</v>
      </c>
      <c r="F3563" s="184" t="n">
        <v>19451.71</v>
      </c>
      <c r="G3563" s="184" t="n">
        <v>19149.9</v>
      </c>
    </row>
    <row r="3564">
      <c r="A3564" s="194" t="inlineStr">
        <is>
          <t>2026-03-20</t>
        </is>
      </c>
      <c r="B3564" s="194" t="inlineStr">
        <is>
          <t>CHF</t>
        </is>
      </c>
      <c r="C3564" s="194" t="inlineStr">
        <is>
          <t>SWISS FRANC</t>
        </is>
      </c>
      <c r="D3564" s="195" t="n">
        <v>32508.19</v>
      </c>
      <c r="E3564" s="195" t="n">
        <v>32836.56</v>
      </c>
      <c r="F3564" s="195" t="n">
        <v>33888.16</v>
      </c>
      <c r="G3564" s="195" t="n">
        <v>33362.36</v>
      </c>
    </row>
    <row r="3565">
      <c r="A3565" s="196" t="inlineStr">
        <is>
          <t>2026-03-20</t>
        </is>
      </c>
      <c r="B3565" s="196" t="inlineStr">
        <is>
          <t>CNY</t>
        </is>
      </c>
      <c r="C3565" s="196" t="inlineStr">
        <is>
          <t>YUAN RENMINBI</t>
        </is>
      </c>
      <c r="D3565" s="184" t="n">
        <v>3714.99</v>
      </c>
      <c r="E3565" s="184" t="n">
        <v>3752.52</v>
      </c>
      <c r="F3565" s="184" t="n">
        <v>3872.69</v>
      </c>
      <c r="G3565" s="184" t="n">
        <v>3812.6</v>
      </c>
    </row>
    <row r="3566">
      <c r="A3566" s="194" t="inlineStr">
        <is>
          <t>2026-03-20</t>
        </is>
      </c>
      <c r="B3566" s="194" t="inlineStr">
        <is>
          <t>DKK</t>
        </is>
      </c>
      <c r="C3566" s="194" t="inlineStr">
        <is>
          <t>DANISH KRONE</t>
        </is>
      </c>
      <c r="D3566" s="195" t="n"/>
      <c r="E3566" s="195" t="n">
        <v>3999.65</v>
      </c>
      <c r="F3566" s="195" t="n">
        <v>4152.58</v>
      </c>
      <c r="G3566" s="195" t="n">
        <v>4076.12</v>
      </c>
    </row>
    <row r="3567">
      <c r="A3567" s="196" t="inlineStr">
        <is>
          <t>2026-03-20</t>
        </is>
      </c>
      <c r="B3567" s="196" t="inlineStr">
        <is>
          <t>EUR</t>
        </is>
      </c>
      <c r="C3567" s="196" t="inlineStr">
        <is>
          <t>EURO</t>
        </is>
      </c>
      <c r="D3567" s="184" t="n">
        <v>29658.06</v>
      </c>
      <c r="E3567" s="184" t="n">
        <v>29957.64</v>
      </c>
      <c r="F3567" s="184" t="n">
        <v>31221.64</v>
      </c>
      <c r="G3567" s="184" t="n">
        <v>30589.64</v>
      </c>
    </row>
    <row r="3568">
      <c r="A3568" s="194" t="inlineStr">
        <is>
          <t>2026-03-20</t>
        </is>
      </c>
      <c r="B3568" s="194" t="inlineStr">
        <is>
          <t>GBP</t>
        </is>
      </c>
      <c r="C3568" s="194" t="inlineStr">
        <is>
          <t>POUND STERLING</t>
        </is>
      </c>
      <c r="D3568" s="195" t="n">
        <v>34388.79</v>
      </c>
      <c r="E3568" s="195" t="n">
        <v>34736.16</v>
      </c>
      <c r="F3568" s="195" t="n">
        <v>35848.59</v>
      </c>
      <c r="G3568" s="195" t="n">
        <v>35292.38</v>
      </c>
    </row>
    <row r="3569">
      <c r="A3569" s="196" t="inlineStr">
        <is>
          <t>2026-03-20</t>
        </is>
      </c>
      <c r="B3569" s="196" t="inlineStr">
        <is>
          <t>HKD</t>
        </is>
      </c>
      <c r="C3569" s="196" t="inlineStr">
        <is>
          <t>HONGKONG DOLLAR</t>
        </is>
      </c>
      <c r="D3569" s="184" t="n">
        <v>3262.21</v>
      </c>
      <c r="E3569" s="184" t="n">
        <v>3295.17</v>
      </c>
      <c r="F3569" s="184" t="n">
        <v>3421.17</v>
      </c>
      <c r="G3569" s="184" t="n">
        <v>3358.17</v>
      </c>
    </row>
    <row r="3570">
      <c r="A3570" s="194" t="inlineStr">
        <is>
          <t>2026-03-20</t>
        </is>
      </c>
      <c r="B3570" s="194" t="inlineStr">
        <is>
          <t>INR</t>
        </is>
      </c>
      <c r="C3570" s="194" t="inlineStr">
        <is>
          <t>INDIAN RUPEE</t>
        </is>
      </c>
      <c r="D3570" s="195" t="n"/>
      <c r="E3570" s="195" t="n">
        <v>281.5</v>
      </c>
      <c r="F3570" s="195" t="n">
        <v>293.62</v>
      </c>
      <c r="G3570" s="195" t="n">
        <v>287.56</v>
      </c>
    </row>
    <row r="3571">
      <c r="A3571" s="196" t="inlineStr">
        <is>
          <t>2026-03-20</t>
        </is>
      </c>
      <c r="B3571" s="196" t="inlineStr">
        <is>
          <t>JPY</t>
        </is>
      </c>
      <c r="C3571" s="196" t="inlineStr">
        <is>
          <t>YEN</t>
        </is>
      </c>
      <c r="D3571" s="184" t="n">
        <v>160.76</v>
      </c>
      <c r="E3571" s="184" t="n">
        <v>162.39</v>
      </c>
      <c r="F3571" s="184" t="n">
        <v>170.97</v>
      </c>
      <c r="G3571" s="184" t="n">
        <v>166.68</v>
      </c>
    </row>
    <row r="3572">
      <c r="A3572" s="194" t="inlineStr">
        <is>
          <t>2026-03-20</t>
        </is>
      </c>
      <c r="B3572" s="194" t="inlineStr">
        <is>
          <t>KRW</t>
        </is>
      </c>
      <c r="C3572" s="194" t="inlineStr">
        <is>
          <t>KOREAN WON</t>
        </is>
      </c>
      <c r="D3572" s="195" t="n">
        <v>15.28</v>
      </c>
      <c r="E3572" s="195" t="n">
        <v>16.98</v>
      </c>
      <c r="F3572" s="195" t="n">
        <v>18.43</v>
      </c>
      <c r="G3572" s="195" t="n">
        <v>17.7</v>
      </c>
    </row>
    <row r="3573">
      <c r="A3573" s="196" t="inlineStr">
        <is>
          <t>2026-03-20</t>
        </is>
      </c>
      <c r="B3573" s="196" t="inlineStr">
        <is>
          <t>KWD</t>
        </is>
      </c>
      <c r="C3573" s="196" t="inlineStr">
        <is>
          <t>KUWAITI DINAR</t>
        </is>
      </c>
      <c r="D3573" s="184" t="n"/>
      <c r="E3573" s="184" t="n">
        <v>85287.85000000001</v>
      </c>
      <c r="F3573" s="184" t="n">
        <v>89421.61</v>
      </c>
      <c r="G3573" s="184" t="n">
        <v>87354.73</v>
      </c>
    </row>
    <row r="3574">
      <c r="A3574" s="194" t="inlineStr">
        <is>
          <t>2026-03-20</t>
        </is>
      </c>
      <c r="B3574" s="194" t="inlineStr">
        <is>
          <t>MYR</t>
        </is>
      </c>
      <c r="C3574" s="194" t="inlineStr">
        <is>
          <t>MALAYSIAN RINGGIT</t>
        </is>
      </c>
      <c r="D3574" s="195" t="n"/>
      <c r="E3574" s="195" t="n">
        <v>6610.72</v>
      </c>
      <c r="F3574" s="195" t="n">
        <v>6754.54</v>
      </c>
      <c r="G3574" s="195" t="n">
        <v>6682.63</v>
      </c>
    </row>
    <row r="3575">
      <c r="A3575" s="196" t="inlineStr">
        <is>
          <t>2026-03-20</t>
        </is>
      </c>
      <c r="B3575" s="196" t="inlineStr">
        <is>
          <t>NOK</t>
        </is>
      </c>
      <c r="C3575" s="196" t="inlineStr">
        <is>
          <t>NORWEGIAN KRONER</t>
        </is>
      </c>
      <c r="D3575" s="184" t="n"/>
      <c r="E3575" s="184" t="n">
        <v>2713.59</v>
      </c>
      <c r="F3575" s="184" t="n">
        <v>2828.65</v>
      </c>
      <c r="G3575" s="184" t="n">
        <v>2771.12</v>
      </c>
    </row>
    <row r="3576">
      <c r="A3576" s="194" t="inlineStr">
        <is>
          <t>2026-03-20</t>
        </is>
      </c>
      <c r="B3576" s="194" t="inlineStr">
        <is>
          <t>RUB</t>
        </is>
      </c>
      <c r="C3576" s="194" t="inlineStr">
        <is>
          <t>RUSSIAN RUBLE</t>
        </is>
      </c>
      <c r="D3576" s="195" t="n"/>
      <c r="E3576" s="195" t="n">
        <v>290.54</v>
      </c>
      <c r="F3576" s="195" t="n">
        <v>321.61</v>
      </c>
      <c r="G3576" s="195" t="n">
        <v>306.08</v>
      </c>
    </row>
    <row r="3577">
      <c r="A3577" s="196" t="inlineStr">
        <is>
          <t>2026-03-20</t>
        </is>
      </c>
      <c r="B3577" s="196" t="inlineStr">
        <is>
          <t>SAR</t>
        </is>
      </c>
      <c r="C3577" s="196" t="inlineStr">
        <is>
          <t>SAUDI RIAL</t>
        </is>
      </c>
      <c r="D3577" s="184" t="n"/>
      <c r="E3577" s="184" t="n">
        <v>6965.15</v>
      </c>
      <c r="F3577" s="184" t="n">
        <v>7264.9</v>
      </c>
      <c r="G3577" s="184" t="n">
        <v>7115.02</v>
      </c>
    </row>
    <row r="3578">
      <c r="A3578" s="194" t="inlineStr">
        <is>
          <t>2026-03-20</t>
        </is>
      </c>
      <c r="B3578" s="194" t="inlineStr">
        <is>
          <t>SEK</t>
        </is>
      </c>
      <c r="C3578" s="194" t="inlineStr">
        <is>
          <t>SWEDISH KRONA</t>
        </is>
      </c>
      <c r="D3578" s="195" t="n"/>
      <c r="E3578" s="195" t="n">
        <v>2771.62</v>
      </c>
      <c r="F3578" s="195" t="n">
        <v>2889.14</v>
      </c>
      <c r="G3578" s="195" t="n">
        <v>2830.38</v>
      </c>
    </row>
    <row r="3579">
      <c r="A3579" s="196" t="inlineStr">
        <is>
          <t>2026-03-20</t>
        </is>
      </c>
      <c r="B3579" s="196" t="inlineStr">
        <is>
          <t>SGD</t>
        </is>
      </c>
      <c r="C3579" s="196" t="inlineStr">
        <is>
          <t>SINGAPORE DOLLAR</t>
        </is>
      </c>
      <c r="D3579" s="184" t="n">
        <v>20048.13</v>
      </c>
      <c r="E3579" s="184" t="n">
        <v>20250.64</v>
      </c>
      <c r="F3579" s="184" t="n">
        <v>20941.02</v>
      </c>
      <c r="G3579" s="184" t="n">
        <v>20595.83</v>
      </c>
    </row>
    <row r="3580">
      <c r="A3580" s="194" t="inlineStr">
        <is>
          <t>2026-03-20</t>
        </is>
      </c>
      <c r="B3580" s="194" t="inlineStr">
        <is>
          <t>THB</t>
        </is>
      </c>
      <c r="C3580" s="194" t="inlineStr">
        <is>
          <t>THAILAND BAHT</t>
        </is>
      </c>
      <c r="D3580" s="195" t="n">
        <v>713.05</v>
      </c>
      <c r="E3580" s="195" t="n">
        <v>792.27</v>
      </c>
      <c r="F3580" s="195" t="n">
        <v>825.87</v>
      </c>
      <c r="G3580" s="195" t="n">
        <v>809.0700000000001</v>
      </c>
    </row>
    <row r="3581">
      <c r="A3581" s="196" t="inlineStr">
        <is>
          <t>2026-03-20</t>
        </is>
      </c>
      <c r="B3581" s="196" t="inlineStr">
        <is>
          <t>USD</t>
        </is>
      </c>
      <c r="C3581" s="196" t="inlineStr">
        <is>
          <t>US DOLLAR</t>
        </is>
      </c>
      <c r="D3581" s="184" t="n">
        <v>26069</v>
      </c>
      <c r="E3581" s="184" t="n">
        <v>26099</v>
      </c>
      <c r="F3581" s="184" t="n">
        <v>26339</v>
      </c>
      <c r="G3581" s="184" t="n">
        <v>26219</v>
      </c>
    </row>
    <row r="3582">
      <c r="A3582" s="194" t="inlineStr">
        <is>
          <t>2026-03-19</t>
        </is>
      </c>
      <c r="B3582" s="194" t="inlineStr">
        <is>
          <t>AUD</t>
        </is>
      </c>
      <c r="C3582" s="194" t="inlineStr">
        <is>
          <t>AUSTRALIAN DOLLAR</t>
        </is>
      </c>
      <c r="D3582" s="195" t="n">
        <v>18056.74</v>
      </c>
      <c r="E3582" s="195" t="n">
        <v>18239.13</v>
      </c>
      <c r="F3582" s="195" t="n">
        <v>18823.25</v>
      </c>
      <c r="G3582" s="195" t="n">
        <v>18531.19</v>
      </c>
    </row>
    <row r="3583">
      <c r="A3583" s="196" t="inlineStr">
        <is>
          <t>2026-03-19</t>
        </is>
      </c>
      <c r="B3583" s="196" t="inlineStr">
        <is>
          <t>CAD</t>
        </is>
      </c>
      <c r="C3583" s="196" t="inlineStr">
        <is>
          <t>CANADIAN DOLLAR</t>
        </is>
      </c>
      <c r="D3583" s="184" t="n">
        <v>18684.09</v>
      </c>
      <c r="E3583" s="184" t="n">
        <v>18872.82</v>
      </c>
      <c r="F3583" s="184" t="n">
        <v>19477.23</v>
      </c>
      <c r="G3583" s="184" t="n">
        <v>19175.03</v>
      </c>
    </row>
    <row r="3584">
      <c r="A3584" s="194" t="inlineStr">
        <is>
          <t>2026-03-19</t>
        </is>
      </c>
      <c r="B3584" s="194" t="inlineStr">
        <is>
          <t>CHF</t>
        </is>
      </c>
      <c r="C3584" s="194" t="inlineStr">
        <is>
          <t>SWISS FRANC</t>
        </is>
      </c>
      <c r="D3584" s="195" t="n">
        <v>32368.62</v>
      </c>
      <c r="E3584" s="195" t="n">
        <v>32695.57</v>
      </c>
      <c r="F3584" s="195" t="n">
        <v>33742.66</v>
      </c>
      <c r="G3584" s="195" t="n">
        <v>33219.12</v>
      </c>
    </row>
    <row r="3585">
      <c r="A3585" s="196" t="inlineStr">
        <is>
          <t>2026-03-19</t>
        </is>
      </c>
      <c r="B3585" s="196" t="inlineStr">
        <is>
          <t>CNY</t>
        </is>
      </c>
      <c r="C3585" s="196" t="inlineStr">
        <is>
          <t>YUAN RENMINBI</t>
        </is>
      </c>
      <c r="D3585" s="184" t="n">
        <v>3729.7</v>
      </c>
      <c r="E3585" s="184" t="n">
        <v>3767.37</v>
      </c>
      <c r="F3585" s="184" t="n">
        <v>3888.02</v>
      </c>
      <c r="G3585" s="184" t="n">
        <v>3827.7</v>
      </c>
    </row>
    <row r="3586">
      <c r="A3586" s="194" t="inlineStr">
        <is>
          <t>2026-03-19</t>
        </is>
      </c>
      <c r="B3586" s="194" t="inlineStr">
        <is>
          <t>DKK</t>
        </is>
      </c>
      <c r="C3586" s="194" t="inlineStr">
        <is>
          <t>DANISH KRONE</t>
        </is>
      </c>
      <c r="D3586" s="195" t="n"/>
      <c r="E3586" s="195" t="n">
        <v>3964.45</v>
      </c>
      <c r="F3586" s="195" t="n">
        <v>4116.04</v>
      </c>
      <c r="G3586" s="195" t="n">
        <v>4040.24</v>
      </c>
    </row>
    <row r="3587">
      <c r="A3587" s="196" t="inlineStr">
        <is>
          <t>2026-03-19</t>
        </is>
      </c>
      <c r="B3587" s="196" t="inlineStr">
        <is>
          <t>EUR</t>
        </is>
      </c>
      <c r="C3587" s="196" t="inlineStr">
        <is>
          <t>EURO</t>
        </is>
      </c>
      <c r="D3587" s="184" t="n">
        <v>29404.35</v>
      </c>
      <c r="E3587" s="184" t="n">
        <v>29701.37</v>
      </c>
      <c r="F3587" s="184" t="n">
        <v>30954.56</v>
      </c>
      <c r="G3587" s="184" t="n">
        <v>30327.96</v>
      </c>
    </row>
    <row r="3588">
      <c r="A3588" s="194" t="inlineStr">
        <is>
          <t>2026-03-19</t>
        </is>
      </c>
      <c r="B3588" s="194" t="inlineStr">
        <is>
          <t>GBP</t>
        </is>
      </c>
      <c r="C3588" s="194" t="inlineStr">
        <is>
          <t>POUND STERLING</t>
        </is>
      </c>
      <c r="D3588" s="195" t="n">
        <v>34040.27</v>
      </c>
      <c r="E3588" s="195" t="n">
        <v>34384.11</v>
      </c>
      <c r="F3588" s="195" t="n">
        <v>35485.27</v>
      </c>
      <c r="G3588" s="195" t="n">
        <v>34934.69</v>
      </c>
    </row>
    <row r="3589">
      <c r="A3589" s="196" t="inlineStr">
        <is>
          <t>2026-03-19</t>
        </is>
      </c>
      <c r="B3589" s="196" t="inlineStr">
        <is>
          <t>HKD</t>
        </is>
      </c>
      <c r="C3589" s="196" t="inlineStr">
        <is>
          <t>HONGKONG DOLLAR</t>
        </is>
      </c>
      <c r="D3589" s="184" t="n">
        <v>3261.13</v>
      </c>
      <c r="E3589" s="184" t="n">
        <v>3294.07</v>
      </c>
      <c r="F3589" s="184" t="n">
        <v>3420.03</v>
      </c>
      <c r="G3589" s="184" t="n">
        <v>3357.05</v>
      </c>
    </row>
    <row r="3590">
      <c r="A3590" s="194" t="inlineStr">
        <is>
          <t>2026-03-19</t>
        </is>
      </c>
      <c r="B3590" s="194" t="inlineStr">
        <is>
          <t>INR</t>
        </is>
      </c>
      <c r="C3590" s="194" t="inlineStr">
        <is>
          <t>INDIAN RUPEE</t>
        </is>
      </c>
      <c r="D3590" s="195" t="n"/>
      <c r="E3590" s="195" t="n">
        <v>281.11</v>
      </c>
      <c r="F3590" s="195" t="n">
        <v>293.21</v>
      </c>
      <c r="G3590" s="195" t="n">
        <v>287.16</v>
      </c>
    </row>
    <row r="3591">
      <c r="A3591" s="196" t="inlineStr">
        <is>
          <t>2026-03-19</t>
        </is>
      </c>
      <c r="B3591" s="196" t="inlineStr">
        <is>
          <t>JPY</t>
        </is>
      </c>
      <c r="C3591" s="196" t="inlineStr">
        <is>
          <t>YEN</t>
        </is>
      </c>
      <c r="D3591" s="184" t="n">
        <v>158.85</v>
      </c>
      <c r="E3591" s="184" t="n">
        <v>160.45</v>
      </c>
      <c r="F3591" s="184" t="n">
        <v>168.94</v>
      </c>
      <c r="G3591" s="184" t="n">
        <v>164.7</v>
      </c>
    </row>
    <row r="3592">
      <c r="A3592" s="194" t="inlineStr">
        <is>
          <t>2026-03-19</t>
        </is>
      </c>
      <c r="B3592" s="194" t="inlineStr">
        <is>
          <t>KRW</t>
        </is>
      </c>
      <c r="C3592" s="194" t="inlineStr">
        <is>
          <t>KOREAN WON</t>
        </is>
      </c>
      <c r="D3592" s="195" t="n">
        <v>15.17</v>
      </c>
      <c r="E3592" s="195" t="n">
        <v>16.85</v>
      </c>
      <c r="F3592" s="195" t="n">
        <v>18.28</v>
      </c>
      <c r="G3592" s="195" t="n">
        <v>17.57</v>
      </c>
    </row>
    <row r="3593">
      <c r="A3593" s="196" t="inlineStr">
        <is>
          <t>2026-03-19</t>
        </is>
      </c>
      <c r="B3593" s="196" t="inlineStr">
        <is>
          <t>KWD</t>
        </is>
      </c>
      <c r="C3593" s="196" t="inlineStr">
        <is>
          <t>KUWAITI DINAR</t>
        </is>
      </c>
      <c r="D3593" s="184" t="n"/>
      <c r="E3593" s="184" t="n">
        <v>85287.85000000001</v>
      </c>
      <c r="F3593" s="184" t="n">
        <v>89421.61</v>
      </c>
      <c r="G3593" s="184" t="n">
        <v>87354.73</v>
      </c>
    </row>
    <row r="3594">
      <c r="A3594" s="194" t="inlineStr">
        <is>
          <t>2026-03-19</t>
        </is>
      </c>
      <c r="B3594" s="194" t="inlineStr">
        <is>
          <t>MYR</t>
        </is>
      </c>
      <c r="C3594" s="194" t="inlineStr">
        <is>
          <t>MALAYSIAN RINGGIT</t>
        </is>
      </c>
      <c r="D3594" s="195" t="n"/>
      <c r="E3594" s="195" t="n">
        <v>6625.87</v>
      </c>
      <c r="F3594" s="195" t="n">
        <v>6770.02</v>
      </c>
      <c r="G3594" s="195" t="n">
        <v>6697.94</v>
      </c>
    </row>
    <row r="3595">
      <c r="A3595" s="196" t="inlineStr">
        <is>
          <t>2026-03-19</t>
        </is>
      </c>
      <c r="B3595" s="196" t="inlineStr">
        <is>
          <t>NOK</t>
        </is>
      </c>
      <c r="C3595" s="196" t="inlineStr">
        <is>
          <t>NORWEGIAN KRONER</t>
        </is>
      </c>
      <c r="D3595" s="184" t="n"/>
      <c r="E3595" s="184" t="n">
        <v>2691.17</v>
      </c>
      <c r="F3595" s="184" t="n">
        <v>2805.28</v>
      </c>
      <c r="G3595" s="184" t="n">
        <v>2748.23</v>
      </c>
    </row>
    <row r="3596">
      <c r="A3596" s="194" t="inlineStr">
        <is>
          <t>2026-03-19</t>
        </is>
      </c>
      <c r="B3596" s="194" t="inlineStr">
        <is>
          <t>RUB</t>
        </is>
      </c>
      <c r="C3596" s="194" t="inlineStr">
        <is>
          <t>RUSSIAN RUBLE</t>
        </is>
      </c>
      <c r="D3596" s="195" t="n"/>
      <c r="E3596" s="195" t="n">
        <v>298.42</v>
      </c>
      <c r="F3596" s="195" t="n">
        <v>330.33</v>
      </c>
      <c r="G3596" s="195" t="n">
        <v>314.38</v>
      </c>
    </row>
    <row r="3597">
      <c r="A3597" s="196" t="inlineStr">
        <is>
          <t>2026-03-19</t>
        </is>
      </c>
      <c r="B3597" s="196" t="inlineStr">
        <is>
          <t>SAR</t>
        </is>
      </c>
      <c r="C3597" s="196" t="inlineStr">
        <is>
          <t>SAUDI RIAL</t>
        </is>
      </c>
      <c r="D3597" s="184" t="n"/>
      <c r="E3597" s="184" t="n">
        <v>6965.7</v>
      </c>
      <c r="F3597" s="184" t="n">
        <v>7265.48</v>
      </c>
      <c r="G3597" s="184" t="n">
        <v>7115.59</v>
      </c>
    </row>
    <row r="3598">
      <c r="A3598" s="194" t="inlineStr">
        <is>
          <t>2026-03-19</t>
        </is>
      </c>
      <c r="B3598" s="194" t="inlineStr">
        <is>
          <t>SEK</t>
        </is>
      </c>
      <c r="C3598" s="194" t="inlineStr">
        <is>
          <t>SWEDISH KRONA</t>
        </is>
      </c>
      <c r="D3598" s="195" t="n"/>
      <c r="E3598" s="195" t="n">
        <v>2740.46</v>
      </c>
      <c r="F3598" s="195" t="n">
        <v>2856.66</v>
      </c>
      <c r="G3598" s="195" t="n">
        <v>2798.56</v>
      </c>
    </row>
    <row r="3599">
      <c r="A3599" s="196" t="inlineStr">
        <is>
          <t>2026-03-19</t>
        </is>
      </c>
      <c r="B3599" s="196" t="inlineStr">
        <is>
          <t>SGD</t>
        </is>
      </c>
      <c r="C3599" s="196" t="inlineStr">
        <is>
          <t>SINGAPORE DOLLAR</t>
        </is>
      </c>
      <c r="D3599" s="184" t="n">
        <v>19976.19</v>
      </c>
      <c r="E3599" s="184" t="n">
        <v>20177.97</v>
      </c>
      <c r="F3599" s="184" t="n">
        <v>20865.88</v>
      </c>
      <c r="G3599" s="184" t="n">
        <v>20521.93</v>
      </c>
    </row>
    <row r="3600">
      <c r="A3600" s="194" t="inlineStr">
        <is>
          <t>2026-03-19</t>
        </is>
      </c>
      <c r="B3600" s="194" t="inlineStr">
        <is>
          <t>THB</t>
        </is>
      </c>
      <c r="C3600" s="194" t="inlineStr">
        <is>
          <t>THAILAND BAHT</t>
        </is>
      </c>
      <c r="D3600" s="195" t="n">
        <v>706.96</v>
      </c>
      <c r="E3600" s="195" t="n">
        <v>785.51</v>
      </c>
      <c r="F3600" s="195" t="n">
        <v>818.8200000000001</v>
      </c>
      <c r="G3600" s="195" t="n">
        <v>802.16</v>
      </c>
    </row>
    <row r="3601">
      <c r="A3601" s="196" t="inlineStr">
        <is>
          <t>2026-03-19</t>
        </is>
      </c>
      <c r="B3601" s="196" t="inlineStr">
        <is>
          <t>USD</t>
        </is>
      </c>
      <c r="C3601" s="196" t="inlineStr">
        <is>
          <t>US DOLLAR</t>
        </is>
      </c>
      <c r="D3601" s="184" t="n">
        <v>26055</v>
      </c>
      <c r="E3601" s="184" t="n">
        <v>26085</v>
      </c>
      <c r="F3601" s="184" t="n">
        <v>26325</v>
      </c>
      <c r="G3601" s="184" t="n">
        <v>26205</v>
      </c>
    </row>
    <row r="3602">
      <c r="A3602" s="194" t="inlineStr">
        <is>
          <t>2026-03-18</t>
        </is>
      </c>
      <c r="B3602" s="194" t="inlineStr">
        <is>
          <t>AUD</t>
        </is>
      </c>
      <c r="C3602" s="194" t="inlineStr">
        <is>
          <t>AUSTRALIAN DOLLAR</t>
        </is>
      </c>
      <c r="D3602" s="195" t="n">
        <v>18136.1</v>
      </c>
      <c r="E3602" s="195" t="n">
        <v>18319.3</v>
      </c>
      <c r="F3602" s="195" t="n">
        <v>18978.19</v>
      </c>
      <c r="G3602" s="195" t="n">
        <v>18648.74</v>
      </c>
    </row>
    <row r="3603">
      <c r="A3603" s="196" t="inlineStr">
        <is>
          <t>2026-03-18</t>
        </is>
      </c>
      <c r="B3603" s="196" t="inlineStr">
        <is>
          <t>CAD</t>
        </is>
      </c>
      <c r="C3603" s="196" t="inlineStr">
        <is>
          <t>CANADIAN DOLLAR</t>
        </is>
      </c>
      <c r="D3603" s="184" t="n">
        <v>18646.98</v>
      </c>
      <c r="E3603" s="184" t="n">
        <v>18835.33</v>
      </c>
      <c r="F3603" s="184" t="n">
        <v>19512.79</v>
      </c>
      <c r="G3603" s="184" t="n">
        <v>19174.06</v>
      </c>
    </row>
    <row r="3604">
      <c r="A3604" s="194" t="inlineStr">
        <is>
          <t>2026-03-18</t>
        </is>
      </c>
      <c r="B3604" s="194" t="inlineStr">
        <is>
          <t>CHF</t>
        </is>
      </c>
      <c r="C3604" s="194" t="inlineStr">
        <is>
          <t>SWISS FRANC</t>
        </is>
      </c>
      <c r="D3604" s="195" t="n">
        <v>32520.6</v>
      </c>
      <c r="E3604" s="195" t="n">
        <v>32849.09</v>
      </c>
      <c r="F3604" s="195" t="n">
        <v>34030.58</v>
      </c>
      <c r="G3604" s="195" t="n">
        <v>33439.84</v>
      </c>
    </row>
    <row r="3605">
      <c r="A3605" s="196" t="inlineStr">
        <is>
          <t>2026-03-18</t>
        </is>
      </c>
      <c r="B3605" s="196" t="inlineStr">
        <is>
          <t>CNY</t>
        </is>
      </c>
      <c r="C3605" s="196" t="inlineStr">
        <is>
          <t>YUAN RENMINBI</t>
        </is>
      </c>
      <c r="D3605" s="184" t="n">
        <v>3709.89</v>
      </c>
      <c r="E3605" s="184" t="n">
        <v>3747.36</v>
      </c>
      <c r="F3605" s="184" t="n">
        <v>3882.15</v>
      </c>
      <c r="G3605" s="184" t="n">
        <v>3814.76</v>
      </c>
    </row>
    <row r="3606">
      <c r="A3606" s="194" t="inlineStr">
        <is>
          <t>2026-03-18</t>
        </is>
      </c>
      <c r="B3606" s="194" t="inlineStr">
        <is>
          <t>DKK</t>
        </is>
      </c>
      <c r="C3606" s="194" t="inlineStr">
        <is>
          <t>DANISH KRONE</t>
        </is>
      </c>
      <c r="D3606" s="195" t="n"/>
      <c r="E3606" s="195" t="n">
        <v>3970.22</v>
      </c>
      <c r="F3606" s="195" t="n">
        <v>4137.78</v>
      </c>
      <c r="G3606" s="195" t="n">
        <v>4054</v>
      </c>
    </row>
    <row r="3607">
      <c r="A3607" s="196" t="inlineStr">
        <is>
          <t>2026-03-18</t>
        </is>
      </c>
      <c r="B3607" s="196" t="inlineStr">
        <is>
          <t>EUR</t>
        </is>
      </c>
      <c r="C3607" s="196" t="inlineStr">
        <is>
          <t>EURO</t>
        </is>
      </c>
      <c r="D3607" s="184" t="n">
        <v>29448.19</v>
      </c>
      <c r="E3607" s="184" t="n">
        <v>29745.65</v>
      </c>
      <c r="F3607" s="184" t="n">
        <v>31119.12</v>
      </c>
      <c r="G3607" s="184" t="n">
        <v>30432.38</v>
      </c>
    </row>
    <row r="3608">
      <c r="A3608" s="194" t="inlineStr">
        <is>
          <t>2026-03-18</t>
        </is>
      </c>
      <c r="B3608" s="194" t="inlineStr">
        <is>
          <t>GBP</t>
        </is>
      </c>
      <c r="C3608" s="194" t="inlineStr">
        <is>
          <t>POUND STERLING</t>
        </is>
      </c>
      <c r="D3608" s="195" t="n">
        <v>34084.34</v>
      </c>
      <c r="E3608" s="195" t="n">
        <v>34428.62</v>
      </c>
      <c r="F3608" s="195" t="n">
        <v>35666.93</v>
      </c>
      <c r="G3608" s="195" t="n">
        <v>35047.78</v>
      </c>
    </row>
    <row r="3609">
      <c r="A3609" s="196" t="inlineStr">
        <is>
          <t>2026-03-18</t>
        </is>
      </c>
      <c r="B3609" s="196" t="inlineStr">
        <is>
          <t>HKD</t>
        </is>
      </c>
      <c r="C3609" s="196" t="inlineStr">
        <is>
          <t>HONGKONG DOLLAR</t>
        </is>
      </c>
      <c r="D3609" s="184" t="n">
        <v>3248.27</v>
      </c>
      <c r="E3609" s="184" t="n">
        <v>3281.08</v>
      </c>
      <c r="F3609" s="184" t="n">
        <v>3419.55</v>
      </c>
      <c r="G3609" s="184" t="n">
        <v>3350.32</v>
      </c>
    </row>
    <row r="3610">
      <c r="A3610" s="194" t="inlineStr">
        <is>
          <t>2026-03-18</t>
        </is>
      </c>
      <c r="B3610" s="194" t="inlineStr">
        <is>
          <t>INR</t>
        </is>
      </c>
      <c r="C3610" s="194" t="inlineStr">
        <is>
          <t>INDIAN RUPEE</t>
        </is>
      </c>
      <c r="D3610" s="195" t="n"/>
      <c r="E3610" s="195" t="n">
        <v>282.14</v>
      </c>
      <c r="F3610" s="195" t="n">
        <v>295.4</v>
      </c>
      <c r="G3610" s="195" t="n">
        <v>288.77</v>
      </c>
    </row>
    <row r="3611">
      <c r="A3611" s="196" t="inlineStr">
        <is>
          <t>2026-03-18</t>
        </is>
      </c>
      <c r="B3611" s="196" t="inlineStr">
        <is>
          <t>JPY</t>
        </is>
      </c>
      <c r="C3611" s="196" t="inlineStr">
        <is>
          <t>YEN</t>
        </is>
      </c>
      <c r="D3611" s="184" t="n">
        <v>159.61</v>
      </c>
      <c r="E3611" s="184" t="n">
        <v>161.23</v>
      </c>
      <c r="F3611" s="184" t="n">
        <v>170.4</v>
      </c>
      <c r="G3611" s="184" t="n">
        <v>165.82</v>
      </c>
    </row>
    <row r="3612">
      <c r="A3612" s="194" t="inlineStr">
        <is>
          <t>2026-03-18</t>
        </is>
      </c>
      <c r="B3612" s="194" t="inlineStr">
        <is>
          <t>KRW</t>
        </is>
      </c>
      <c r="C3612" s="194" t="inlineStr">
        <is>
          <t>KOREAN WON</t>
        </is>
      </c>
      <c r="D3612" s="195" t="n">
        <v>15.23</v>
      </c>
      <c r="E3612" s="195" t="n">
        <v>16.92</v>
      </c>
      <c r="F3612" s="195" t="n">
        <v>18.43</v>
      </c>
      <c r="G3612" s="195" t="n">
        <v>17.68</v>
      </c>
    </row>
    <row r="3613">
      <c r="A3613" s="196" t="inlineStr">
        <is>
          <t>2026-03-18</t>
        </is>
      </c>
      <c r="B3613" s="196" t="inlineStr">
        <is>
          <t>KWD</t>
        </is>
      </c>
      <c r="C3613" s="196" t="inlineStr">
        <is>
          <t>KUWAITI DINAR</t>
        </is>
      </c>
      <c r="D3613" s="184" t="n"/>
      <c r="E3613" s="184" t="n">
        <v>84907.92</v>
      </c>
      <c r="F3613" s="184" t="n">
        <v>89363.32000000001</v>
      </c>
      <c r="G3613" s="184" t="n">
        <v>87135.62</v>
      </c>
    </row>
    <row r="3614">
      <c r="A3614" s="194" t="inlineStr">
        <is>
          <t>2026-03-18</t>
        </is>
      </c>
      <c r="B3614" s="194" t="inlineStr">
        <is>
          <t>MYR</t>
        </is>
      </c>
      <c r="C3614" s="194" t="inlineStr">
        <is>
          <t>MALAYSIAN RINGGIT</t>
        </is>
      </c>
      <c r="D3614" s="195" t="n"/>
      <c r="E3614" s="195" t="n">
        <v>6632.75</v>
      </c>
      <c r="F3614" s="195" t="n">
        <v>6802.93</v>
      </c>
      <c r="G3614" s="195" t="n">
        <v>6717.84</v>
      </c>
    </row>
    <row r="3615">
      <c r="A3615" s="196" t="inlineStr">
        <is>
          <t>2026-03-18</t>
        </is>
      </c>
      <c r="B3615" s="196" t="inlineStr">
        <is>
          <t>NOK</t>
        </is>
      </c>
      <c r="C3615" s="196" t="inlineStr">
        <is>
          <t>NORWEGIAN KRONER</t>
        </is>
      </c>
      <c r="D3615" s="184" t="n"/>
      <c r="E3615" s="184" t="n">
        <v>2679.08</v>
      </c>
      <c r="F3615" s="184" t="n">
        <v>2803.34</v>
      </c>
      <c r="G3615" s="184" t="n">
        <v>2741.21</v>
      </c>
    </row>
    <row r="3616">
      <c r="A3616" s="194" t="inlineStr">
        <is>
          <t>2026-03-18</t>
        </is>
      </c>
      <c r="B3616" s="194" t="inlineStr">
        <is>
          <t>RUB</t>
        </is>
      </c>
      <c r="C3616" s="194" t="inlineStr">
        <is>
          <t>RUSSIAN RUBLE</t>
        </is>
      </c>
      <c r="D3616" s="195" t="n"/>
      <c r="E3616" s="195" t="n">
        <v>302.7</v>
      </c>
      <c r="F3616" s="195" t="n">
        <v>336.35</v>
      </c>
      <c r="G3616" s="195" t="n">
        <v>319.52</v>
      </c>
    </row>
    <row r="3617">
      <c r="A3617" s="196" t="inlineStr">
        <is>
          <t>2026-03-18</t>
        </is>
      </c>
      <c r="B3617" s="196" t="inlineStr">
        <is>
          <t>SAR</t>
        </is>
      </c>
      <c r="C3617" s="196" t="inlineStr">
        <is>
          <t>SAUDI RIAL</t>
        </is>
      </c>
      <c r="D3617" s="184" t="n"/>
      <c r="E3617" s="184" t="n">
        <v>6937.54</v>
      </c>
      <c r="F3617" s="184" t="n">
        <v>7263.74</v>
      </c>
      <c r="G3617" s="184" t="n">
        <v>7100.64</v>
      </c>
    </row>
    <row r="3618">
      <c r="A3618" s="194" t="inlineStr">
        <is>
          <t>2026-03-18</t>
        </is>
      </c>
      <c r="B3618" s="194" t="inlineStr">
        <is>
          <t>SEK</t>
        </is>
      </c>
      <c r="C3618" s="194" t="inlineStr">
        <is>
          <t>SWEDISH KRONA</t>
        </is>
      </c>
      <c r="D3618" s="195" t="n"/>
      <c r="E3618" s="195" t="n">
        <v>2766.31</v>
      </c>
      <c r="F3618" s="195" t="n">
        <v>2894.62</v>
      </c>
      <c r="G3618" s="195" t="n">
        <v>2830.46</v>
      </c>
    </row>
    <row r="3619">
      <c r="A3619" s="196" t="inlineStr">
        <is>
          <t>2026-03-18</t>
        </is>
      </c>
      <c r="B3619" s="196" t="inlineStr">
        <is>
          <t>SGD</t>
        </is>
      </c>
      <c r="C3619" s="196" t="inlineStr">
        <is>
          <t>SINGAPORE DOLLAR</t>
        </is>
      </c>
      <c r="D3619" s="184" t="n">
        <v>19990.63</v>
      </c>
      <c r="E3619" s="184" t="n">
        <v>20192.55</v>
      </c>
      <c r="F3619" s="184" t="n">
        <v>20960.71</v>
      </c>
      <c r="G3619" s="184" t="n">
        <v>20576.63</v>
      </c>
    </row>
    <row r="3620">
      <c r="A3620" s="194" t="inlineStr">
        <is>
          <t>2026-03-18</t>
        </is>
      </c>
      <c r="B3620" s="194" t="inlineStr">
        <is>
          <t>THB</t>
        </is>
      </c>
      <c r="C3620" s="194" t="inlineStr">
        <is>
          <t>THAILAND BAHT</t>
        </is>
      </c>
      <c r="D3620" s="195" t="n">
        <v>716.0599999999999</v>
      </c>
      <c r="E3620" s="195" t="n">
        <v>795.62</v>
      </c>
      <c r="F3620" s="195" t="n">
        <v>832.52</v>
      </c>
      <c r="G3620" s="195" t="n">
        <v>814.0700000000001</v>
      </c>
    </row>
    <row r="3621">
      <c r="A3621" s="196" t="inlineStr">
        <is>
          <t>2026-03-18</t>
        </is>
      </c>
      <c r="B3621" s="196" t="inlineStr">
        <is>
          <t>USD</t>
        </is>
      </c>
      <c r="C3621" s="196" t="inlineStr">
        <is>
          <t>US DOLLAR</t>
        </is>
      </c>
      <c r="D3621" s="184" t="n">
        <v>26050</v>
      </c>
      <c r="E3621" s="184" t="n">
        <v>26080</v>
      </c>
      <c r="F3621" s="184" t="n">
        <v>26320</v>
      </c>
      <c r="G3621" s="184" t="n">
        <v>26200</v>
      </c>
    </row>
    <row r="3622">
      <c r="A3622" s="194" t="inlineStr">
        <is>
          <t>2026-03-17</t>
        </is>
      </c>
      <c r="B3622" s="194" t="inlineStr">
        <is>
          <t>AUD</t>
        </is>
      </c>
      <c r="C3622" s="194" t="inlineStr">
        <is>
          <t>AUSTRALIAN DOLLAR</t>
        </is>
      </c>
      <c r="D3622" s="195" t="n">
        <v>18088.3</v>
      </c>
      <c r="E3622" s="195" t="n">
        <v>18271.01</v>
      </c>
      <c r="F3622" s="195" t="n">
        <v>18856.15</v>
      </c>
      <c r="G3622" s="195" t="n">
        <v>18563.58</v>
      </c>
    </row>
    <row r="3623">
      <c r="A3623" s="196" t="inlineStr">
        <is>
          <t>2026-03-17</t>
        </is>
      </c>
      <c r="B3623" s="196" t="inlineStr">
        <is>
          <t>CAD</t>
        </is>
      </c>
      <c r="C3623" s="196" t="inlineStr">
        <is>
          <t>CANADIAN DOLLAR</t>
        </is>
      </c>
      <c r="D3623" s="184" t="n">
        <v>18723.39</v>
      </c>
      <c r="E3623" s="184" t="n">
        <v>18912.51</v>
      </c>
      <c r="F3623" s="184" t="n">
        <v>19518.2</v>
      </c>
      <c r="G3623" s="184" t="n">
        <v>19215.36</v>
      </c>
    </row>
    <row r="3624">
      <c r="A3624" s="194" t="inlineStr">
        <is>
          <t>2026-03-17</t>
        </is>
      </c>
      <c r="B3624" s="194" t="inlineStr">
        <is>
          <t>CHF</t>
        </is>
      </c>
      <c r="C3624" s="194" t="inlineStr">
        <is>
          <t>SWISS FRANC</t>
        </is>
      </c>
      <c r="D3624" s="195" t="n">
        <v>32508.19</v>
      </c>
      <c r="E3624" s="195" t="n">
        <v>32836.56</v>
      </c>
      <c r="F3624" s="195" t="n">
        <v>33888.18</v>
      </c>
      <c r="G3624" s="195" t="n">
        <v>33362.37</v>
      </c>
    </row>
    <row r="3625">
      <c r="A3625" s="196" t="inlineStr">
        <is>
          <t>2026-03-17</t>
        </is>
      </c>
      <c r="B3625" s="196" t="inlineStr">
        <is>
          <t>CNY</t>
        </is>
      </c>
      <c r="C3625" s="196" t="inlineStr">
        <is>
          <t>YUAN RENMINBI</t>
        </is>
      </c>
      <c r="D3625" s="184" t="n">
        <v>3715.9</v>
      </c>
      <c r="E3625" s="184" t="n">
        <v>3753.43</v>
      </c>
      <c r="F3625" s="184" t="n">
        <v>3873.64</v>
      </c>
      <c r="G3625" s="184" t="n">
        <v>3813.54</v>
      </c>
    </row>
    <row r="3626">
      <c r="A3626" s="194" t="inlineStr">
        <is>
          <t>2026-03-17</t>
        </is>
      </c>
      <c r="B3626" s="194" t="inlineStr">
        <is>
          <t>DKK</t>
        </is>
      </c>
      <c r="C3626" s="194" t="inlineStr">
        <is>
          <t>DANISH KRONE</t>
        </is>
      </c>
      <c r="D3626" s="195" t="n"/>
      <c r="E3626" s="195" t="n">
        <v>3969.22</v>
      </c>
      <c r="F3626" s="195" t="n">
        <v>4121</v>
      </c>
      <c r="G3626" s="195" t="n">
        <v>4045.11</v>
      </c>
    </row>
    <row r="3627">
      <c r="A3627" s="196" t="inlineStr">
        <is>
          <t>2026-03-17</t>
        </is>
      </c>
      <c r="B3627" s="196" t="inlineStr">
        <is>
          <t>EUR</t>
        </is>
      </c>
      <c r="C3627" s="196" t="inlineStr">
        <is>
          <t>EURO</t>
        </is>
      </c>
      <c r="D3627" s="184" t="n">
        <v>29439.28</v>
      </c>
      <c r="E3627" s="184" t="n">
        <v>29736.64</v>
      </c>
      <c r="F3627" s="184" t="n">
        <v>30991.34</v>
      </c>
      <c r="G3627" s="184" t="n">
        <v>30363.99</v>
      </c>
    </row>
    <row r="3628">
      <c r="A3628" s="194" t="inlineStr">
        <is>
          <t>2026-03-17</t>
        </is>
      </c>
      <c r="B3628" s="194" t="inlineStr">
        <is>
          <t>GBP</t>
        </is>
      </c>
      <c r="C3628" s="194" t="inlineStr">
        <is>
          <t>POUND STERLING</t>
        </is>
      </c>
      <c r="D3628" s="195" t="n">
        <v>34073.43</v>
      </c>
      <c r="E3628" s="195" t="n">
        <v>34417.6</v>
      </c>
      <c r="F3628" s="195" t="n">
        <v>35519.85</v>
      </c>
      <c r="G3628" s="195" t="n">
        <v>34968.72</v>
      </c>
    </row>
    <row r="3629">
      <c r="A3629" s="196" t="inlineStr">
        <is>
          <t>2026-03-17</t>
        </is>
      </c>
      <c r="B3629" s="196" t="inlineStr">
        <is>
          <t>HKD</t>
        </is>
      </c>
      <c r="C3629" s="196" t="inlineStr">
        <is>
          <t>HONGKONG DOLLAR</t>
        </is>
      </c>
      <c r="D3629" s="184" t="n">
        <v>3262.81</v>
      </c>
      <c r="E3629" s="184" t="n">
        <v>3295.76</v>
      </c>
      <c r="F3629" s="184" t="n">
        <v>3421.79</v>
      </c>
      <c r="G3629" s="184" t="n">
        <v>3358.78</v>
      </c>
    </row>
    <row r="3630">
      <c r="A3630" s="194" t="inlineStr">
        <is>
          <t>2026-03-17</t>
        </is>
      </c>
      <c r="B3630" s="194" t="inlineStr">
        <is>
          <t>INR</t>
        </is>
      </c>
      <c r="C3630" s="194" t="inlineStr">
        <is>
          <t>INDIAN RUPEE</t>
        </is>
      </c>
      <c r="D3630" s="195" t="n"/>
      <c r="E3630" s="195" t="n">
        <v>283.22</v>
      </c>
      <c r="F3630" s="195" t="n">
        <v>295.41</v>
      </c>
      <c r="G3630" s="195" t="n">
        <v>289.32</v>
      </c>
    </row>
    <row r="3631">
      <c r="A3631" s="196" t="inlineStr">
        <is>
          <t>2026-03-17</t>
        </is>
      </c>
      <c r="B3631" s="196" t="inlineStr">
        <is>
          <t>JPY</t>
        </is>
      </c>
      <c r="C3631" s="196" t="inlineStr">
        <is>
          <t>YEN</t>
        </is>
      </c>
      <c r="D3631" s="184" t="n">
        <v>159.28</v>
      </c>
      <c r="E3631" s="184" t="n">
        <v>160.89</v>
      </c>
      <c r="F3631" s="184" t="n">
        <v>169.39</v>
      </c>
      <c r="G3631" s="184" t="n">
        <v>165.14</v>
      </c>
    </row>
    <row r="3632">
      <c r="A3632" s="194" t="inlineStr">
        <is>
          <t>2026-03-17</t>
        </is>
      </c>
      <c r="B3632" s="194" t="inlineStr">
        <is>
          <t>KRW</t>
        </is>
      </c>
      <c r="C3632" s="194" t="inlineStr">
        <is>
          <t>KOREAN WON</t>
        </is>
      </c>
      <c r="D3632" s="195" t="n">
        <v>15.24</v>
      </c>
      <c r="E3632" s="195" t="n">
        <v>16.93</v>
      </c>
      <c r="F3632" s="195" t="n">
        <v>18.37</v>
      </c>
      <c r="G3632" s="195" t="n">
        <v>17.65</v>
      </c>
    </row>
    <row r="3633">
      <c r="A3633" s="196" t="inlineStr">
        <is>
          <t>2026-03-17</t>
        </is>
      </c>
      <c r="B3633" s="196" t="inlineStr">
        <is>
          <t>KWD</t>
        </is>
      </c>
      <c r="C3633" s="196" t="inlineStr">
        <is>
          <t>KUWAITI DINAR</t>
        </is>
      </c>
      <c r="D3633" s="184" t="n"/>
      <c r="E3633" s="184" t="n">
        <v>85144.31</v>
      </c>
      <c r="F3633" s="184" t="n">
        <v>89271.17</v>
      </c>
      <c r="G3633" s="184" t="n">
        <v>87207.74000000001</v>
      </c>
    </row>
    <row r="3634">
      <c r="A3634" s="194" t="inlineStr">
        <is>
          <t>2026-03-17</t>
        </is>
      </c>
      <c r="B3634" s="194" t="inlineStr">
        <is>
          <t>MYR</t>
        </is>
      </c>
      <c r="C3634" s="194" t="inlineStr">
        <is>
          <t>MALAYSIAN RINGGIT</t>
        </is>
      </c>
      <c r="D3634" s="195" t="n"/>
      <c r="E3634" s="195" t="n">
        <v>6626.73</v>
      </c>
      <c r="F3634" s="195" t="n">
        <v>6770.89</v>
      </c>
      <c r="G3634" s="195" t="n">
        <v>6698.81</v>
      </c>
    </row>
    <row r="3635">
      <c r="A3635" s="196" t="inlineStr">
        <is>
          <t>2026-03-17</t>
        </is>
      </c>
      <c r="B3635" s="196" t="inlineStr">
        <is>
          <t>NOK</t>
        </is>
      </c>
      <c r="C3635" s="196" t="inlineStr">
        <is>
          <t>NORWEGIAN KRONER</t>
        </is>
      </c>
      <c r="D3635" s="184" t="n"/>
      <c r="E3635" s="184" t="n">
        <v>2660.91</v>
      </c>
      <c r="F3635" s="184" t="n">
        <v>2773.73</v>
      </c>
      <c r="G3635" s="184" t="n">
        <v>2717.32</v>
      </c>
    </row>
    <row r="3636">
      <c r="A3636" s="194" t="inlineStr">
        <is>
          <t>2026-03-17</t>
        </is>
      </c>
      <c r="B3636" s="194" t="inlineStr">
        <is>
          <t>RUB</t>
        </is>
      </c>
      <c r="C3636" s="194" t="inlineStr">
        <is>
          <t>RUSSIAN RUBLE</t>
        </is>
      </c>
      <c r="D3636" s="195" t="n"/>
      <c r="E3636" s="195" t="n">
        <v>306.98</v>
      </c>
      <c r="F3636" s="195" t="n">
        <v>339.81</v>
      </c>
      <c r="G3636" s="195" t="n">
        <v>323.4</v>
      </c>
    </row>
    <row r="3637">
      <c r="A3637" s="196" t="inlineStr">
        <is>
          <t>2026-03-17</t>
        </is>
      </c>
      <c r="B3637" s="196" t="inlineStr">
        <is>
          <t>SAR</t>
        </is>
      </c>
      <c r="C3637" s="196" t="inlineStr">
        <is>
          <t>SAUDI RIAL</t>
        </is>
      </c>
      <c r="D3637" s="184" t="n"/>
      <c r="E3637" s="184" t="n">
        <v>6966.02</v>
      </c>
      <c r="F3637" s="184" t="n">
        <v>7265.82</v>
      </c>
      <c r="G3637" s="184" t="n">
        <v>7115.92</v>
      </c>
    </row>
    <row r="3638">
      <c r="A3638" s="194" t="inlineStr">
        <is>
          <t>2026-03-17</t>
        </is>
      </c>
      <c r="B3638" s="194" t="inlineStr">
        <is>
          <t>SEK</t>
        </is>
      </c>
      <c r="C3638" s="194" t="inlineStr">
        <is>
          <t>SWEDISH KRONA</t>
        </is>
      </c>
      <c r="D3638" s="195" t="n"/>
      <c r="E3638" s="195" t="n">
        <v>2752.24</v>
      </c>
      <c r="F3638" s="195" t="n">
        <v>2868.94</v>
      </c>
      <c r="G3638" s="195" t="n">
        <v>2810.59</v>
      </c>
    </row>
    <row r="3639">
      <c r="A3639" s="196" t="inlineStr">
        <is>
          <t>2026-03-17</t>
        </is>
      </c>
      <c r="B3639" s="196" t="inlineStr">
        <is>
          <t>SGD</t>
        </is>
      </c>
      <c r="C3639" s="196" t="inlineStr">
        <is>
          <t>SINGAPORE DOLLAR</t>
        </is>
      </c>
      <c r="D3639" s="184" t="n">
        <v>20023.26</v>
      </c>
      <c r="E3639" s="184" t="n">
        <v>20225.52</v>
      </c>
      <c r="F3639" s="184" t="n">
        <v>20915.05</v>
      </c>
      <c r="G3639" s="184" t="n">
        <v>20570.28</v>
      </c>
    </row>
    <row r="3640">
      <c r="A3640" s="194" t="inlineStr">
        <is>
          <t>2026-03-17</t>
        </is>
      </c>
      <c r="B3640" s="194" t="inlineStr">
        <is>
          <t>THB</t>
        </is>
      </c>
      <c r="C3640" s="194" t="inlineStr">
        <is>
          <t>THAILAND BAHT</t>
        </is>
      </c>
      <c r="D3640" s="195" t="n">
        <v>714.53</v>
      </c>
      <c r="E3640" s="195" t="n">
        <v>793.92</v>
      </c>
      <c r="F3640" s="195" t="n">
        <v>827.59</v>
      </c>
      <c r="G3640" s="195" t="n">
        <v>810.76</v>
      </c>
    </row>
    <row r="3641">
      <c r="A3641" s="196" t="inlineStr">
        <is>
          <t>2026-03-17</t>
        </is>
      </c>
      <c r="B3641" s="196" t="inlineStr">
        <is>
          <t>USD</t>
        </is>
      </c>
      <c r="C3641" s="196" t="inlineStr">
        <is>
          <t>US DOLLAR</t>
        </is>
      </c>
      <c r="D3641" s="184" t="n">
        <v>26051</v>
      </c>
      <c r="E3641" s="184" t="n">
        <v>26081</v>
      </c>
      <c r="F3641" s="184" t="n">
        <v>26321</v>
      </c>
      <c r="G3641" s="184" t="n">
        <v>26201</v>
      </c>
    </row>
    <row r="3642">
      <c r="A3642" s="194" t="inlineStr">
        <is>
          <t>2026-03-16</t>
        </is>
      </c>
      <c r="B3642" s="194" t="inlineStr">
        <is>
          <t>AUD</t>
        </is>
      </c>
      <c r="C3642" s="194" t="inlineStr">
        <is>
          <t>AUSTRALIAN DOLLAR</t>
        </is>
      </c>
      <c r="D3642" s="195" t="n">
        <v>17970.46</v>
      </c>
      <c r="E3642" s="195" t="n">
        <v>18151.98</v>
      </c>
      <c r="F3642" s="195" t="n">
        <v>18733.31</v>
      </c>
      <c r="G3642" s="195" t="n">
        <v>18442.64</v>
      </c>
    </row>
    <row r="3643">
      <c r="A3643" s="196" t="inlineStr">
        <is>
          <t>2026-03-16</t>
        </is>
      </c>
      <c r="B3643" s="196" t="inlineStr">
        <is>
          <t>CAD</t>
        </is>
      </c>
      <c r="C3643" s="196" t="inlineStr">
        <is>
          <t>CANADIAN DOLLAR</t>
        </is>
      </c>
      <c r="D3643" s="184" t="n">
        <v>18690.61</v>
      </c>
      <c r="E3643" s="184" t="n">
        <v>18879.4</v>
      </c>
      <c r="F3643" s="184" t="n">
        <v>19484.03</v>
      </c>
      <c r="G3643" s="184" t="n">
        <v>19181.72</v>
      </c>
    </row>
    <row r="3644">
      <c r="A3644" s="194" t="inlineStr">
        <is>
          <t>2026-03-16</t>
        </is>
      </c>
      <c r="B3644" s="194" t="inlineStr">
        <is>
          <t>CHF</t>
        </is>
      </c>
      <c r="C3644" s="194" t="inlineStr">
        <is>
          <t>SWISS FRANC</t>
        </is>
      </c>
      <c r="D3644" s="195" t="n">
        <v>32479.35</v>
      </c>
      <c r="E3644" s="195" t="n">
        <v>32807.42</v>
      </c>
      <c r="F3644" s="195" t="n">
        <v>33858.11</v>
      </c>
      <c r="G3644" s="195" t="n">
        <v>33332.76</v>
      </c>
    </row>
    <row r="3645">
      <c r="A3645" s="196" t="inlineStr">
        <is>
          <t>2026-03-16</t>
        </is>
      </c>
      <c r="B3645" s="196" t="inlineStr">
        <is>
          <t>CNY</t>
        </is>
      </c>
      <c r="C3645" s="196" t="inlineStr">
        <is>
          <t>YUAN RENMINBI</t>
        </is>
      </c>
      <c r="D3645" s="184" t="n">
        <v>3715.57</v>
      </c>
      <c r="E3645" s="184" t="n">
        <v>3753.1</v>
      </c>
      <c r="F3645" s="184" t="n">
        <v>3873.3</v>
      </c>
      <c r="G3645" s="184" t="n">
        <v>3813.2</v>
      </c>
    </row>
    <row r="3646">
      <c r="A3646" s="194" t="inlineStr">
        <is>
          <t>2026-03-16</t>
        </is>
      </c>
      <c r="B3646" s="194" t="inlineStr">
        <is>
          <t>DKK</t>
        </is>
      </c>
      <c r="C3646" s="194" t="inlineStr">
        <is>
          <t>DANISH KRONE</t>
        </is>
      </c>
      <c r="D3646" s="195" t="n"/>
      <c r="E3646" s="195" t="n">
        <v>3955.11</v>
      </c>
      <c r="F3646" s="195" t="n">
        <v>4106.35</v>
      </c>
      <c r="G3646" s="195" t="n">
        <v>4030.73</v>
      </c>
    </row>
    <row r="3647">
      <c r="A3647" s="196" t="inlineStr">
        <is>
          <t>2026-03-16</t>
        </is>
      </c>
      <c r="B3647" s="196" t="inlineStr">
        <is>
          <t>EUR</t>
        </is>
      </c>
      <c r="C3647" s="196" t="inlineStr">
        <is>
          <t>EURO</t>
        </is>
      </c>
      <c r="D3647" s="184" t="n">
        <v>29334.24</v>
      </c>
      <c r="E3647" s="184" t="n">
        <v>29630.55</v>
      </c>
      <c r="F3647" s="184" t="n">
        <v>30880.77</v>
      </c>
      <c r="G3647" s="184" t="n">
        <v>30255.66</v>
      </c>
    </row>
    <row r="3648">
      <c r="A3648" s="194" t="inlineStr">
        <is>
          <t>2026-03-16</t>
        </is>
      </c>
      <c r="B3648" s="194" t="inlineStr">
        <is>
          <t>GBP</t>
        </is>
      </c>
      <c r="C3648" s="194" t="inlineStr">
        <is>
          <t>POUND STERLING</t>
        </is>
      </c>
      <c r="D3648" s="195" t="n">
        <v>33960.71</v>
      </c>
      <c r="E3648" s="195" t="n">
        <v>34303.75</v>
      </c>
      <c r="F3648" s="195" t="n">
        <v>35402.35</v>
      </c>
      <c r="G3648" s="195" t="n">
        <v>34853.05</v>
      </c>
    </row>
    <row r="3649">
      <c r="A3649" s="196" t="inlineStr">
        <is>
          <t>2026-03-16</t>
        </is>
      </c>
      <c r="B3649" s="196" t="inlineStr">
        <is>
          <t>HKD</t>
        </is>
      </c>
      <c r="C3649" s="196" t="inlineStr">
        <is>
          <t>HONGKONG DOLLAR</t>
        </is>
      </c>
      <c r="D3649" s="184" t="n">
        <v>3263.51</v>
      </c>
      <c r="E3649" s="184" t="n">
        <v>3296.48</v>
      </c>
      <c r="F3649" s="184" t="n">
        <v>3422.53</v>
      </c>
      <c r="G3649" s="184" t="n">
        <v>3359.5</v>
      </c>
    </row>
    <row r="3650">
      <c r="A3650" s="194" t="inlineStr">
        <is>
          <t>2026-03-16</t>
        </is>
      </c>
      <c r="B3650" s="194" t="inlineStr">
        <is>
          <t>INR</t>
        </is>
      </c>
      <c r="C3650" s="194" t="inlineStr">
        <is>
          <t>INDIAN RUPEE</t>
        </is>
      </c>
      <c r="D3650" s="195" t="n"/>
      <c r="E3650" s="195" t="n">
        <v>282.56</v>
      </c>
      <c r="F3650" s="195" t="n">
        <v>294.72</v>
      </c>
      <c r="G3650" s="195" t="n">
        <v>288.64</v>
      </c>
    </row>
    <row r="3651">
      <c r="A3651" s="196" t="inlineStr">
        <is>
          <t>2026-03-16</t>
        </is>
      </c>
      <c r="B3651" s="196" t="inlineStr">
        <is>
          <t>JPY</t>
        </is>
      </c>
      <c r="C3651" s="196" t="inlineStr">
        <is>
          <t>YEN</t>
        </is>
      </c>
      <c r="D3651" s="184" t="n">
        <v>159.2</v>
      </c>
      <c r="E3651" s="184" t="n">
        <v>160.81</v>
      </c>
      <c r="F3651" s="184" t="n">
        <v>169.31</v>
      </c>
      <c r="G3651" s="184" t="n">
        <v>165.06</v>
      </c>
    </row>
    <row r="3652">
      <c r="A3652" s="194" t="inlineStr">
        <is>
          <t>2026-03-16</t>
        </is>
      </c>
      <c r="B3652" s="194" t="inlineStr">
        <is>
          <t>KRW</t>
        </is>
      </c>
      <c r="C3652" s="194" t="inlineStr">
        <is>
          <t>KOREAN WON</t>
        </is>
      </c>
      <c r="D3652" s="195" t="n">
        <v>15.23</v>
      </c>
      <c r="E3652" s="195" t="n">
        <v>16.92</v>
      </c>
      <c r="F3652" s="195" t="n">
        <v>18.36</v>
      </c>
      <c r="G3652" s="195" t="n">
        <v>17.64</v>
      </c>
    </row>
    <row r="3653">
      <c r="A3653" s="196" t="inlineStr">
        <is>
          <t>2026-03-16</t>
        </is>
      </c>
      <c r="B3653" s="196" t="inlineStr">
        <is>
          <t>KWD</t>
        </is>
      </c>
      <c r="C3653" s="196" t="inlineStr">
        <is>
          <t>KUWAITI DINAR</t>
        </is>
      </c>
      <c r="D3653" s="184" t="n"/>
      <c r="E3653" s="184" t="n">
        <v>85311.03999999999</v>
      </c>
      <c r="F3653" s="184" t="n">
        <v>89445.99000000001</v>
      </c>
      <c r="G3653" s="184" t="n">
        <v>87378.52</v>
      </c>
    </row>
    <row r="3654">
      <c r="A3654" s="194" t="inlineStr">
        <is>
          <t>2026-03-16</t>
        </is>
      </c>
      <c r="B3654" s="194" t="inlineStr">
        <is>
          <t>MYR</t>
        </is>
      </c>
      <c r="C3654" s="194" t="inlineStr">
        <is>
          <t>MALAYSIAN RINGGIT</t>
        </is>
      </c>
      <c r="D3654" s="195" t="n"/>
      <c r="E3654" s="195" t="n">
        <v>6618.3</v>
      </c>
      <c r="F3654" s="195" t="n">
        <v>6762.28</v>
      </c>
      <c r="G3654" s="195" t="n">
        <v>6690.29</v>
      </c>
    </row>
    <row r="3655">
      <c r="A3655" s="196" t="inlineStr">
        <is>
          <t>2026-03-16</t>
        </is>
      </c>
      <c r="B3655" s="196" t="inlineStr">
        <is>
          <t>NOK</t>
        </is>
      </c>
      <c r="C3655" s="196" t="inlineStr">
        <is>
          <t>NORWEGIAN KRONER</t>
        </is>
      </c>
      <c r="D3655" s="184" t="n"/>
      <c r="E3655" s="184" t="n">
        <v>2641.07</v>
      </c>
      <c r="F3655" s="184" t="n">
        <v>2753.05</v>
      </c>
      <c r="G3655" s="184" t="n">
        <v>2697.06</v>
      </c>
    </row>
    <row r="3656">
      <c r="A3656" s="194" t="inlineStr">
        <is>
          <t>2026-03-16</t>
        </is>
      </c>
      <c r="B3656" s="194" t="inlineStr">
        <is>
          <t>RUB</t>
        </is>
      </c>
      <c r="C3656" s="194" t="inlineStr">
        <is>
          <t>RUSSIAN RUBLE</t>
        </is>
      </c>
      <c r="D3656" s="195" t="n"/>
      <c r="E3656" s="195" t="n">
        <v>312.37</v>
      </c>
      <c r="F3656" s="195" t="n">
        <v>345.77</v>
      </c>
      <c r="G3656" s="195" t="n">
        <v>329.07</v>
      </c>
    </row>
    <row r="3657">
      <c r="A3657" s="196" t="inlineStr">
        <is>
          <t>2026-03-16</t>
        </is>
      </c>
      <c r="B3657" s="196" t="inlineStr">
        <is>
          <t>SAR</t>
        </is>
      </c>
      <c r="C3657" s="196" t="inlineStr">
        <is>
          <t>SAUDI RIAL</t>
        </is>
      </c>
      <c r="D3657" s="184" t="n"/>
      <c r="E3657" s="184" t="n">
        <v>6966.77</v>
      </c>
      <c r="F3657" s="184" t="n">
        <v>7266.59</v>
      </c>
      <c r="G3657" s="184" t="n">
        <v>7116.68</v>
      </c>
    </row>
    <row r="3658">
      <c r="A3658" s="194" t="inlineStr">
        <is>
          <t>2026-03-16</t>
        </is>
      </c>
      <c r="B3658" s="194" t="inlineStr">
        <is>
          <t>SEK</t>
        </is>
      </c>
      <c r="C3658" s="194" t="inlineStr">
        <is>
          <t>SWEDISH KRONA</t>
        </is>
      </c>
      <c r="D3658" s="195" t="n"/>
      <c r="E3658" s="195" t="n">
        <v>2730.07</v>
      </c>
      <c r="F3658" s="195" t="n">
        <v>2845.82</v>
      </c>
      <c r="G3658" s="195" t="n">
        <v>2787.94</v>
      </c>
    </row>
    <row r="3659">
      <c r="A3659" s="196" t="inlineStr">
        <is>
          <t>2026-03-16</t>
        </is>
      </c>
      <c r="B3659" s="196" t="inlineStr">
        <is>
          <t>SGD</t>
        </is>
      </c>
      <c r="C3659" s="196" t="inlineStr">
        <is>
          <t>SINGAPORE DOLLAR</t>
        </is>
      </c>
      <c r="D3659" s="184" t="n">
        <v>19985.74</v>
      </c>
      <c r="E3659" s="184" t="n">
        <v>20187.62</v>
      </c>
      <c r="F3659" s="184" t="n">
        <v>20875.86</v>
      </c>
      <c r="G3659" s="184" t="n">
        <v>20531.74</v>
      </c>
    </row>
    <row r="3660">
      <c r="A3660" s="194" t="inlineStr">
        <is>
          <t>2026-03-16</t>
        </is>
      </c>
      <c r="B3660" s="194" t="inlineStr">
        <is>
          <t>THB</t>
        </is>
      </c>
      <c r="C3660" s="194" t="inlineStr">
        <is>
          <t>THAILAND BAHT</t>
        </is>
      </c>
      <c r="D3660" s="195" t="n">
        <v>716.52</v>
      </c>
      <c r="E3660" s="195" t="n">
        <v>796.13</v>
      </c>
      <c r="F3660" s="195" t="n">
        <v>829.89</v>
      </c>
      <c r="G3660" s="195" t="n">
        <v>813.01</v>
      </c>
    </row>
    <row r="3661">
      <c r="A3661" s="196" t="inlineStr">
        <is>
          <t>2026-03-16</t>
        </is>
      </c>
      <c r="B3661" s="196" t="inlineStr">
        <is>
          <t>USD</t>
        </is>
      </c>
      <c r="C3661" s="196" t="inlineStr">
        <is>
          <t>US DOLLAR</t>
        </is>
      </c>
      <c r="D3661" s="184" t="n">
        <v>26051</v>
      </c>
      <c r="E3661" s="184" t="n">
        <v>26081</v>
      </c>
      <c r="F3661" s="184" t="n">
        <v>26321</v>
      </c>
      <c r="G3661" s="184" t="n">
        <v>26201</v>
      </c>
    </row>
    <row r="3662">
      <c r="A3662" s="194" t="inlineStr">
        <is>
          <t>2026-03-15</t>
        </is>
      </c>
      <c r="B3662" s="194" t="inlineStr">
        <is>
          <t>AUD</t>
        </is>
      </c>
      <c r="C3662" s="194" t="inlineStr">
        <is>
          <t>AUSTRALIAN DOLLAR</t>
        </is>
      </c>
      <c r="D3662" s="195" t="n">
        <v>18014.01</v>
      </c>
      <c r="E3662" s="195" t="n">
        <v>18195.97</v>
      </c>
      <c r="F3662" s="195" t="n">
        <v>18778.71</v>
      </c>
      <c r="G3662" s="195" t="n">
        <v>18487.34</v>
      </c>
    </row>
    <row r="3663">
      <c r="A3663" s="196" t="inlineStr">
        <is>
          <t>2026-03-15</t>
        </is>
      </c>
      <c r="B3663" s="196" t="inlineStr">
        <is>
          <t>CAD</t>
        </is>
      </c>
      <c r="C3663" s="196" t="inlineStr">
        <is>
          <t>CANADIAN DOLLAR</t>
        </is>
      </c>
      <c r="D3663" s="184" t="n">
        <v>18756.28</v>
      </c>
      <c r="E3663" s="184" t="n">
        <v>18945.74</v>
      </c>
      <c r="F3663" s="184" t="n">
        <v>19552.49</v>
      </c>
      <c r="G3663" s="184" t="n">
        <v>19249.12</v>
      </c>
    </row>
    <row r="3664">
      <c r="A3664" s="194" t="inlineStr">
        <is>
          <t>2026-03-15</t>
        </is>
      </c>
      <c r="B3664" s="194" t="inlineStr">
        <is>
          <t>CHF</t>
        </is>
      </c>
      <c r="C3664" s="194" t="inlineStr">
        <is>
          <t>SWISS FRANC</t>
        </is>
      </c>
      <c r="D3664" s="195" t="n">
        <v>32537.09</v>
      </c>
      <c r="E3664" s="195" t="n">
        <v>32865.74</v>
      </c>
      <c r="F3664" s="195" t="n">
        <v>33918.3</v>
      </c>
      <c r="G3664" s="195" t="n">
        <v>33392.02</v>
      </c>
    </row>
    <row r="3665">
      <c r="A3665" s="196" t="inlineStr">
        <is>
          <t>2026-03-15</t>
        </is>
      </c>
      <c r="B3665" s="196" t="inlineStr">
        <is>
          <t>CNY</t>
        </is>
      </c>
      <c r="C3665" s="196" t="inlineStr">
        <is>
          <t>YUAN RENMINBI</t>
        </is>
      </c>
      <c r="D3665" s="184" t="n">
        <v>3717.78</v>
      </c>
      <c r="E3665" s="184" t="n">
        <v>3755.34</v>
      </c>
      <c r="F3665" s="184" t="n">
        <v>3875.6</v>
      </c>
      <c r="G3665" s="184" t="n">
        <v>3815.47</v>
      </c>
    </row>
    <row r="3666">
      <c r="A3666" s="194" t="inlineStr">
        <is>
          <t>2026-03-15</t>
        </is>
      </c>
      <c r="B3666" s="194" t="inlineStr">
        <is>
          <t>DKK</t>
        </is>
      </c>
      <c r="C3666" s="194" t="inlineStr">
        <is>
          <t>DANISH KRONE</t>
        </is>
      </c>
      <c r="D3666" s="195" t="n"/>
      <c r="E3666" s="195" t="n">
        <v>3963.31</v>
      </c>
      <c r="F3666" s="195" t="n">
        <v>4114.86</v>
      </c>
      <c r="G3666" s="195" t="n">
        <v>4039.08</v>
      </c>
    </row>
    <row r="3667">
      <c r="A3667" s="196" t="inlineStr">
        <is>
          <t>2026-03-15</t>
        </is>
      </c>
      <c r="B3667" s="196" t="inlineStr">
        <is>
          <t>EUR</t>
        </is>
      </c>
      <c r="C3667" s="196" t="inlineStr">
        <is>
          <t>EURO</t>
        </is>
      </c>
      <c r="D3667" s="184" t="n">
        <v>29390.6</v>
      </c>
      <c r="E3667" s="184" t="n">
        <v>29687.48</v>
      </c>
      <c r="F3667" s="184" t="n">
        <v>30940.1</v>
      </c>
      <c r="G3667" s="184" t="n">
        <v>30313.79</v>
      </c>
    </row>
    <row r="3668">
      <c r="A3668" s="194" t="inlineStr">
        <is>
          <t>2026-03-15</t>
        </is>
      </c>
      <c r="B3668" s="194" t="inlineStr">
        <is>
          <t>GBP</t>
        </is>
      </c>
      <c r="C3668" s="194" t="inlineStr">
        <is>
          <t>POUND STERLING</t>
        </is>
      </c>
      <c r="D3668" s="195" t="n">
        <v>34060.62</v>
      </c>
      <c r="E3668" s="195" t="n">
        <v>34404.66</v>
      </c>
      <c r="F3668" s="195" t="n">
        <v>35506.5</v>
      </c>
      <c r="G3668" s="195" t="n">
        <v>34955.58</v>
      </c>
    </row>
    <row r="3669">
      <c r="A3669" s="196" t="inlineStr">
        <is>
          <t>2026-03-15</t>
        </is>
      </c>
      <c r="B3669" s="196" t="inlineStr">
        <is>
          <t>HKD</t>
        </is>
      </c>
      <c r="C3669" s="196" t="inlineStr">
        <is>
          <t>HONGKONG DOLLAR</t>
        </is>
      </c>
      <c r="D3669" s="184" t="n">
        <v>3263.76</v>
      </c>
      <c r="E3669" s="184" t="n">
        <v>3296.73</v>
      </c>
      <c r="F3669" s="184" t="n">
        <v>3422.79</v>
      </c>
      <c r="G3669" s="184" t="n">
        <v>3359.76</v>
      </c>
    </row>
    <row r="3670">
      <c r="A3670" s="194" t="inlineStr">
        <is>
          <t>2026-03-15</t>
        </is>
      </c>
      <c r="B3670" s="194" t="inlineStr">
        <is>
          <t>INR</t>
        </is>
      </c>
      <c r="C3670" s="194" t="inlineStr">
        <is>
          <t>INDIAN RUPEE</t>
        </is>
      </c>
      <c r="D3670" s="195" t="n"/>
      <c r="E3670" s="195" t="n">
        <v>283</v>
      </c>
      <c r="F3670" s="195" t="n">
        <v>295.18</v>
      </c>
      <c r="G3670" s="195" t="n">
        <v>289.09</v>
      </c>
    </row>
    <row r="3671">
      <c r="A3671" s="196" t="inlineStr">
        <is>
          <t>2026-03-15</t>
        </is>
      </c>
      <c r="B3671" s="196" t="inlineStr">
        <is>
          <t>JPY</t>
        </is>
      </c>
      <c r="C3671" s="196" t="inlineStr">
        <is>
          <t>YEN</t>
        </is>
      </c>
      <c r="D3671" s="184" t="n">
        <v>159.2</v>
      </c>
      <c r="E3671" s="184" t="n">
        <v>160.81</v>
      </c>
      <c r="F3671" s="184" t="n">
        <v>169.31</v>
      </c>
      <c r="G3671" s="184" t="n">
        <v>165.06</v>
      </c>
    </row>
    <row r="3672">
      <c r="A3672" s="194" t="inlineStr">
        <is>
          <t>2026-03-15</t>
        </is>
      </c>
      <c r="B3672" s="194" t="inlineStr">
        <is>
          <t>KRW</t>
        </is>
      </c>
      <c r="C3672" s="194" t="inlineStr">
        <is>
          <t>KOREAN WON</t>
        </is>
      </c>
      <c r="D3672" s="195" t="n">
        <v>15.21</v>
      </c>
      <c r="E3672" s="195" t="n">
        <v>16.9</v>
      </c>
      <c r="F3672" s="195" t="n">
        <v>18.34</v>
      </c>
      <c r="G3672" s="195" t="n">
        <v>17.62</v>
      </c>
    </row>
    <row r="3673">
      <c r="A3673" s="196" t="inlineStr">
        <is>
          <t>2026-03-15</t>
        </is>
      </c>
      <c r="B3673" s="196" t="inlineStr">
        <is>
          <t>KWD</t>
        </is>
      </c>
      <c r="C3673" s="196" t="inlineStr">
        <is>
          <t>KUWAITI DINAR</t>
        </is>
      </c>
      <c r="D3673" s="184" t="n"/>
      <c r="E3673" s="184" t="n">
        <v>85311.03999999999</v>
      </c>
      <c r="F3673" s="184" t="n">
        <v>89445.99000000001</v>
      </c>
      <c r="G3673" s="184" t="n">
        <v>87378.52</v>
      </c>
    </row>
    <row r="3674">
      <c r="A3674" s="194" t="inlineStr">
        <is>
          <t>2026-03-15</t>
        </is>
      </c>
      <c r="B3674" s="194" t="inlineStr">
        <is>
          <t>MYR</t>
        </is>
      </c>
      <c r="C3674" s="194" t="inlineStr">
        <is>
          <t>MALAYSIAN RINGGIT</t>
        </is>
      </c>
      <c r="D3674" s="195" t="n"/>
      <c r="E3674" s="195" t="n">
        <v>6611.57</v>
      </c>
      <c r="F3674" s="195" t="n">
        <v>6755.4</v>
      </c>
      <c r="G3674" s="195" t="n">
        <v>6683.48</v>
      </c>
    </row>
    <row r="3675">
      <c r="A3675" s="196" t="inlineStr">
        <is>
          <t>2026-03-15</t>
        </is>
      </c>
      <c r="B3675" s="196" t="inlineStr">
        <is>
          <t>NOK</t>
        </is>
      </c>
      <c r="C3675" s="196" t="inlineStr">
        <is>
          <t>NORWEGIAN KRONER</t>
        </is>
      </c>
      <c r="D3675" s="184" t="n"/>
      <c r="E3675" s="184" t="n">
        <v>2643.75</v>
      </c>
      <c r="F3675" s="184" t="n">
        <v>2755.85</v>
      </c>
      <c r="G3675" s="184" t="n">
        <v>2699.8</v>
      </c>
    </row>
    <row r="3676">
      <c r="A3676" s="194" t="inlineStr">
        <is>
          <t>2026-03-15</t>
        </is>
      </c>
      <c r="B3676" s="194" t="inlineStr">
        <is>
          <t>RUB</t>
        </is>
      </c>
      <c r="C3676" s="194" t="inlineStr">
        <is>
          <t>RUSSIAN RUBLE</t>
        </is>
      </c>
      <c r="D3676" s="195" t="n"/>
      <c r="E3676" s="195" t="n">
        <v>312.15</v>
      </c>
      <c r="F3676" s="195" t="n">
        <v>345.54</v>
      </c>
      <c r="G3676" s="195" t="n">
        <v>328.84</v>
      </c>
    </row>
    <row r="3677">
      <c r="A3677" s="196" t="inlineStr">
        <is>
          <t>2026-03-15</t>
        </is>
      </c>
      <c r="B3677" s="196" t="inlineStr">
        <is>
          <t>SAR</t>
        </is>
      </c>
      <c r="C3677" s="196" t="inlineStr">
        <is>
          <t>SAUDI RIAL</t>
        </is>
      </c>
      <c r="D3677" s="184" t="n"/>
      <c r="E3677" s="184" t="n">
        <v>6966.77</v>
      </c>
      <c r="F3677" s="184" t="n">
        <v>7266.59</v>
      </c>
      <c r="G3677" s="184" t="n">
        <v>7116.68</v>
      </c>
    </row>
    <row r="3678">
      <c r="A3678" s="194" t="inlineStr">
        <is>
          <t>2026-03-15</t>
        </is>
      </c>
      <c r="B3678" s="194" t="inlineStr">
        <is>
          <t>SEK</t>
        </is>
      </c>
      <c r="C3678" s="194" t="inlineStr">
        <is>
          <t>SWEDISH KRONA</t>
        </is>
      </c>
      <c r="D3678" s="195" t="n"/>
      <c r="E3678" s="195" t="n">
        <v>2740.03</v>
      </c>
      <c r="F3678" s="195" t="n">
        <v>2856.21</v>
      </c>
      <c r="G3678" s="195" t="n">
        <v>2798.12</v>
      </c>
    </row>
    <row r="3679">
      <c r="A3679" s="196" t="inlineStr">
        <is>
          <t>2026-03-15</t>
        </is>
      </c>
      <c r="B3679" s="196" t="inlineStr">
        <is>
          <t>SGD</t>
        </is>
      </c>
      <c r="C3679" s="196" t="inlineStr">
        <is>
          <t>SINGAPORE DOLLAR</t>
        </is>
      </c>
      <c r="D3679" s="184" t="n">
        <v>19996.67</v>
      </c>
      <c r="E3679" s="184" t="n">
        <v>20198.66</v>
      </c>
      <c r="F3679" s="184" t="n">
        <v>20887.28</v>
      </c>
      <c r="G3679" s="184" t="n">
        <v>20542.97</v>
      </c>
    </row>
    <row r="3680">
      <c r="A3680" s="194" t="inlineStr">
        <is>
          <t>2026-03-15</t>
        </is>
      </c>
      <c r="B3680" s="194" t="inlineStr">
        <is>
          <t>THB</t>
        </is>
      </c>
      <c r="C3680" s="194" t="inlineStr">
        <is>
          <t>THAILAND BAHT</t>
        </is>
      </c>
      <c r="D3680" s="195" t="n">
        <v>718.96</v>
      </c>
      <c r="E3680" s="195" t="n">
        <v>798.85</v>
      </c>
      <c r="F3680" s="195" t="n">
        <v>832.72</v>
      </c>
      <c r="G3680" s="195" t="n">
        <v>815.79</v>
      </c>
    </row>
    <row r="3681">
      <c r="A3681" s="196" t="inlineStr">
        <is>
          <t>2026-03-15</t>
        </is>
      </c>
      <c r="B3681" s="196" t="inlineStr">
        <is>
          <t>USD</t>
        </is>
      </c>
      <c r="C3681" s="196" t="inlineStr">
        <is>
          <t>US DOLLAR</t>
        </is>
      </c>
      <c r="D3681" s="184" t="n">
        <v>26048</v>
      </c>
      <c r="E3681" s="184" t="n">
        <v>26078</v>
      </c>
      <c r="F3681" s="184" t="n">
        <v>26318</v>
      </c>
      <c r="G3681" s="184" t="n">
        <v>26198</v>
      </c>
    </row>
    <row r="3682">
      <c r="A3682" s="194" t="inlineStr">
        <is>
          <t>2026-03-14</t>
        </is>
      </c>
      <c r="B3682" s="194" t="inlineStr">
        <is>
          <t>AUD</t>
        </is>
      </c>
      <c r="C3682" s="194" t="inlineStr">
        <is>
          <t>AUSTRALIAN DOLLAR</t>
        </is>
      </c>
      <c r="D3682" s="195" t="n">
        <v>18014.01</v>
      </c>
      <c r="E3682" s="195" t="n">
        <v>18195.97</v>
      </c>
      <c r="F3682" s="195" t="n">
        <v>18778.71</v>
      </c>
      <c r="G3682" s="195" t="n">
        <v>18487.34</v>
      </c>
    </row>
    <row r="3683">
      <c r="A3683" s="196" t="inlineStr">
        <is>
          <t>2026-03-14</t>
        </is>
      </c>
      <c r="B3683" s="196" t="inlineStr">
        <is>
          <t>CAD</t>
        </is>
      </c>
      <c r="C3683" s="196" t="inlineStr">
        <is>
          <t>CANADIAN DOLLAR</t>
        </is>
      </c>
      <c r="D3683" s="184" t="n">
        <v>18756.28</v>
      </c>
      <c r="E3683" s="184" t="n">
        <v>18945.74</v>
      </c>
      <c r="F3683" s="184" t="n">
        <v>19552.49</v>
      </c>
      <c r="G3683" s="184" t="n">
        <v>19249.12</v>
      </c>
    </row>
    <row r="3684">
      <c r="A3684" s="194" t="inlineStr">
        <is>
          <t>2026-03-14</t>
        </is>
      </c>
      <c r="B3684" s="194" t="inlineStr">
        <is>
          <t>CHF</t>
        </is>
      </c>
      <c r="C3684" s="194" t="inlineStr">
        <is>
          <t>SWISS FRANC</t>
        </is>
      </c>
      <c r="D3684" s="195" t="n">
        <v>32537.09</v>
      </c>
      <c r="E3684" s="195" t="n">
        <v>32865.74</v>
      </c>
      <c r="F3684" s="195" t="n">
        <v>33918.3</v>
      </c>
      <c r="G3684" s="195" t="n">
        <v>33392.02</v>
      </c>
    </row>
    <row r="3685">
      <c r="A3685" s="196" t="inlineStr">
        <is>
          <t>2026-03-14</t>
        </is>
      </c>
      <c r="B3685" s="196" t="inlineStr">
        <is>
          <t>CNY</t>
        </is>
      </c>
      <c r="C3685" s="196" t="inlineStr">
        <is>
          <t>YUAN RENMINBI</t>
        </is>
      </c>
      <c r="D3685" s="184" t="n">
        <v>3717.78</v>
      </c>
      <c r="E3685" s="184" t="n">
        <v>3755.34</v>
      </c>
      <c r="F3685" s="184" t="n">
        <v>3875.6</v>
      </c>
      <c r="G3685" s="184" t="n">
        <v>3815.47</v>
      </c>
    </row>
    <row r="3686">
      <c r="A3686" s="194" t="inlineStr">
        <is>
          <t>2026-03-14</t>
        </is>
      </c>
      <c r="B3686" s="194" t="inlineStr">
        <is>
          <t>DKK</t>
        </is>
      </c>
      <c r="C3686" s="194" t="inlineStr">
        <is>
          <t>DANISH KRONE</t>
        </is>
      </c>
      <c r="D3686" s="195" t="n"/>
      <c r="E3686" s="195" t="n">
        <v>3963.31</v>
      </c>
      <c r="F3686" s="195" t="n">
        <v>4114.86</v>
      </c>
      <c r="G3686" s="195" t="n">
        <v>4039.08</v>
      </c>
    </row>
    <row r="3687">
      <c r="A3687" s="196" t="inlineStr">
        <is>
          <t>2026-03-14</t>
        </is>
      </c>
      <c r="B3687" s="196" t="inlineStr">
        <is>
          <t>EUR</t>
        </is>
      </c>
      <c r="C3687" s="196" t="inlineStr">
        <is>
          <t>EURO</t>
        </is>
      </c>
      <c r="D3687" s="184" t="n">
        <v>29390.6</v>
      </c>
      <c r="E3687" s="184" t="n">
        <v>29687.48</v>
      </c>
      <c r="F3687" s="184" t="n">
        <v>30940.1</v>
      </c>
      <c r="G3687" s="184" t="n">
        <v>30313.79</v>
      </c>
    </row>
    <row r="3688">
      <c r="A3688" s="194" t="inlineStr">
        <is>
          <t>2026-03-14</t>
        </is>
      </c>
      <c r="B3688" s="194" t="inlineStr">
        <is>
          <t>GBP</t>
        </is>
      </c>
      <c r="C3688" s="194" t="inlineStr">
        <is>
          <t>POUND STERLING</t>
        </is>
      </c>
      <c r="D3688" s="195" t="n">
        <v>34060.62</v>
      </c>
      <c r="E3688" s="195" t="n">
        <v>34404.66</v>
      </c>
      <c r="F3688" s="195" t="n">
        <v>35506.5</v>
      </c>
      <c r="G3688" s="195" t="n">
        <v>34955.58</v>
      </c>
    </row>
    <row r="3689">
      <c r="A3689" s="196" t="inlineStr">
        <is>
          <t>2026-03-14</t>
        </is>
      </c>
      <c r="B3689" s="196" t="inlineStr">
        <is>
          <t>HKD</t>
        </is>
      </c>
      <c r="C3689" s="196" t="inlineStr">
        <is>
          <t>HONGKONG DOLLAR</t>
        </is>
      </c>
      <c r="D3689" s="184" t="n">
        <v>3263.76</v>
      </c>
      <c r="E3689" s="184" t="n">
        <v>3296.73</v>
      </c>
      <c r="F3689" s="184" t="n">
        <v>3422.79</v>
      </c>
      <c r="G3689" s="184" t="n">
        <v>3359.76</v>
      </c>
    </row>
    <row r="3690">
      <c r="A3690" s="194" t="inlineStr">
        <is>
          <t>2026-03-14</t>
        </is>
      </c>
      <c r="B3690" s="194" t="inlineStr">
        <is>
          <t>INR</t>
        </is>
      </c>
      <c r="C3690" s="194" t="inlineStr">
        <is>
          <t>INDIAN RUPEE</t>
        </is>
      </c>
      <c r="D3690" s="195" t="n"/>
      <c r="E3690" s="195" t="n">
        <v>283</v>
      </c>
      <c r="F3690" s="195" t="n">
        <v>295.18</v>
      </c>
      <c r="G3690" s="195" t="n">
        <v>289.09</v>
      </c>
    </row>
    <row r="3691">
      <c r="A3691" s="196" t="inlineStr">
        <is>
          <t>2026-03-14</t>
        </is>
      </c>
      <c r="B3691" s="196" t="inlineStr">
        <is>
          <t>JPY</t>
        </is>
      </c>
      <c r="C3691" s="196" t="inlineStr">
        <is>
          <t>YEN</t>
        </is>
      </c>
      <c r="D3691" s="184" t="n">
        <v>159.2</v>
      </c>
      <c r="E3691" s="184" t="n">
        <v>160.81</v>
      </c>
      <c r="F3691" s="184" t="n">
        <v>169.31</v>
      </c>
      <c r="G3691" s="184" t="n">
        <v>165.06</v>
      </c>
    </row>
    <row r="3692">
      <c r="A3692" s="194" t="inlineStr">
        <is>
          <t>2026-03-14</t>
        </is>
      </c>
      <c r="B3692" s="194" t="inlineStr">
        <is>
          <t>KRW</t>
        </is>
      </c>
      <c r="C3692" s="194" t="inlineStr">
        <is>
          <t>KOREAN WON</t>
        </is>
      </c>
      <c r="D3692" s="195" t="n">
        <v>15.21</v>
      </c>
      <c r="E3692" s="195" t="n">
        <v>16.9</v>
      </c>
      <c r="F3692" s="195" t="n">
        <v>18.34</v>
      </c>
      <c r="G3692" s="195" t="n">
        <v>17.62</v>
      </c>
    </row>
    <row r="3693">
      <c r="A3693" s="196" t="inlineStr">
        <is>
          <t>2026-03-14</t>
        </is>
      </c>
      <c r="B3693" s="196" t="inlineStr">
        <is>
          <t>KWD</t>
        </is>
      </c>
      <c r="C3693" s="196" t="inlineStr">
        <is>
          <t>KUWAITI DINAR</t>
        </is>
      </c>
      <c r="D3693" s="184" t="n"/>
      <c r="E3693" s="184" t="n">
        <v>85311.03999999999</v>
      </c>
      <c r="F3693" s="184" t="n">
        <v>89445.99000000001</v>
      </c>
      <c r="G3693" s="184" t="n">
        <v>87378.52</v>
      </c>
    </row>
    <row r="3694">
      <c r="A3694" s="194" t="inlineStr">
        <is>
          <t>2026-03-14</t>
        </is>
      </c>
      <c r="B3694" s="194" t="inlineStr">
        <is>
          <t>MYR</t>
        </is>
      </c>
      <c r="C3694" s="194" t="inlineStr">
        <is>
          <t>MALAYSIAN RINGGIT</t>
        </is>
      </c>
      <c r="D3694" s="195" t="n"/>
      <c r="E3694" s="195" t="n">
        <v>6611.57</v>
      </c>
      <c r="F3694" s="195" t="n">
        <v>6755.4</v>
      </c>
      <c r="G3694" s="195" t="n">
        <v>6683.48</v>
      </c>
    </row>
    <row r="3695">
      <c r="A3695" s="196" t="inlineStr">
        <is>
          <t>2026-03-14</t>
        </is>
      </c>
      <c r="B3695" s="196" t="inlineStr">
        <is>
          <t>NOK</t>
        </is>
      </c>
      <c r="C3695" s="196" t="inlineStr">
        <is>
          <t>NORWEGIAN KRONER</t>
        </is>
      </c>
      <c r="D3695" s="184" t="n"/>
      <c r="E3695" s="184" t="n">
        <v>2643.75</v>
      </c>
      <c r="F3695" s="184" t="n">
        <v>2755.85</v>
      </c>
      <c r="G3695" s="184" t="n">
        <v>2699.8</v>
      </c>
    </row>
    <row r="3696">
      <c r="A3696" s="194" t="inlineStr">
        <is>
          <t>2026-03-14</t>
        </is>
      </c>
      <c r="B3696" s="194" t="inlineStr">
        <is>
          <t>RUB</t>
        </is>
      </c>
      <c r="C3696" s="194" t="inlineStr">
        <is>
          <t>RUSSIAN RUBLE</t>
        </is>
      </c>
      <c r="D3696" s="195" t="n"/>
      <c r="E3696" s="195" t="n">
        <v>312.15</v>
      </c>
      <c r="F3696" s="195" t="n">
        <v>345.54</v>
      </c>
      <c r="G3696" s="195" t="n">
        <v>328.84</v>
      </c>
    </row>
    <row r="3697">
      <c r="A3697" s="196" t="inlineStr">
        <is>
          <t>2026-03-14</t>
        </is>
      </c>
      <c r="B3697" s="196" t="inlineStr">
        <is>
          <t>SAR</t>
        </is>
      </c>
      <c r="C3697" s="196" t="inlineStr">
        <is>
          <t>SAUDI RIAL</t>
        </is>
      </c>
      <c r="D3697" s="184" t="n"/>
      <c r="E3697" s="184" t="n">
        <v>6966.77</v>
      </c>
      <c r="F3697" s="184" t="n">
        <v>7266.59</v>
      </c>
      <c r="G3697" s="184" t="n">
        <v>7116.68</v>
      </c>
    </row>
    <row r="3698">
      <c r="A3698" s="194" t="inlineStr">
        <is>
          <t>2026-03-14</t>
        </is>
      </c>
      <c r="B3698" s="194" t="inlineStr">
        <is>
          <t>SEK</t>
        </is>
      </c>
      <c r="C3698" s="194" t="inlineStr">
        <is>
          <t>SWEDISH KRONA</t>
        </is>
      </c>
      <c r="D3698" s="195" t="n"/>
      <c r="E3698" s="195" t="n">
        <v>2740.03</v>
      </c>
      <c r="F3698" s="195" t="n">
        <v>2856.21</v>
      </c>
      <c r="G3698" s="195" t="n">
        <v>2798.12</v>
      </c>
    </row>
    <row r="3699">
      <c r="A3699" s="196" t="inlineStr">
        <is>
          <t>2026-03-14</t>
        </is>
      </c>
      <c r="B3699" s="196" t="inlineStr">
        <is>
          <t>SGD</t>
        </is>
      </c>
      <c r="C3699" s="196" t="inlineStr">
        <is>
          <t>SINGAPORE DOLLAR</t>
        </is>
      </c>
      <c r="D3699" s="184" t="n">
        <v>19996.67</v>
      </c>
      <c r="E3699" s="184" t="n">
        <v>20198.66</v>
      </c>
      <c r="F3699" s="184" t="n">
        <v>20887.28</v>
      </c>
      <c r="G3699" s="184" t="n">
        <v>20542.97</v>
      </c>
    </row>
    <row r="3700">
      <c r="A3700" s="194" t="inlineStr">
        <is>
          <t>2026-03-14</t>
        </is>
      </c>
      <c r="B3700" s="194" t="inlineStr">
        <is>
          <t>THB</t>
        </is>
      </c>
      <c r="C3700" s="194" t="inlineStr">
        <is>
          <t>THAILAND BAHT</t>
        </is>
      </c>
      <c r="D3700" s="195" t="n">
        <v>718.96</v>
      </c>
      <c r="E3700" s="195" t="n">
        <v>798.85</v>
      </c>
      <c r="F3700" s="195" t="n">
        <v>832.72</v>
      </c>
      <c r="G3700" s="195" t="n">
        <v>815.79</v>
      </c>
    </row>
    <row r="3701">
      <c r="A3701" s="196" t="inlineStr">
        <is>
          <t>2026-03-14</t>
        </is>
      </c>
      <c r="B3701" s="196" t="inlineStr">
        <is>
          <t>USD</t>
        </is>
      </c>
      <c r="C3701" s="196" t="inlineStr">
        <is>
          <t>US DOLLAR</t>
        </is>
      </c>
      <c r="D3701" s="184" t="n">
        <v>26048</v>
      </c>
      <c r="E3701" s="184" t="n">
        <v>26078</v>
      </c>
      <c r="F3701" s="184" t="n">
        <v>26318</v>
      </c>
      <c r="G3701" s="184" t="n">
        <v>26198</v>
      </c>
    </row>
    <row r="3702">
      <c r="A3702" s="194" t="inlineStr">
        <is>
          <t>2026-03-13</t>
        </is>
      </c>
      <c r="B3702" s="194" t="inlineStr">
        <is>
          <t>AUD</t>
        </is>
      </c>
      <c r="C3702" s="194" t="inlineStr">
        <is>
          <t>AUSTRALIAN DOLLAR</t>
        </is>
      </c>
      <c r="D3702" s="195" t="n">
        <v>18014.01</v>
      </c>
      <c r="E3702" s="195" t="n">
        <v>18195.97</v>
      </c>
      <c r="F3702" s="195" t="n">
        <v>18778.71</v>
      </c>
      <c r="G3702" s="195" t="n">
        <v>18487.34</v>
      </c>
    </row>
    <row r="3703">
      <c r="A3703" s="196" t="inlineStr">
        <is>
          <t>2026-03-13</t>
        </is>
      </c>
      <c r="B3703" s="196" t="inlineStr">
        <is>
          <t>CAD</t>
        </is>
      </c>
      <c r="C3703" s="196" t="inlineStr">
        <is>
          <t>CANADIAN DOLLAR</t>
        </is>
      </c>
      <c r="D3703" s="184" t="n">
        <v>18756.28</v>
      </c>
      <c r="E3703" s="184" t="n">
        <v>18945.74</v>
      </c>
      <c r="F3703" s="184" t="n">
        <v>19552.49</v>
      </c>
      <c r="G3703" s="184" t="n">
        <v>19249.12</v>
      </c>
    </row>
    <row r="3704">
      <c r="A3704" s="194" t="inlineStr">
        <is>
          <t>2026-03-13</t>
        </is>
      </c>
      <c r="B3704" s="194" t="inlineStr">
        <is>
          <t>CHF</t>
        </is>
      </c>
      <c r="C3704" s="194" t="inlineStr">
        <is>
          <t>SWISS FRANC</t>
        </is>
      </c>
      <c r="D3704" s="195" t="n">
        <v>32537.09</v>
      </c>
      <c r="E3704" s="195" t="n">
        <v>32865.74</v>
      </c>
      <c r="F3704" s="195" t="n">
        <v>33918.3</v>
      </c>
      <c r="G3704" s="195" t="n">
        <v>33392.02</v>
      </c>
    </row>
    <row r="3705">
      <c r="A3705" s="196" t="inlineStr">
        <is>
          <t>2026-03-13</t>
        </is>
      </c>
      <c r="B3705" s="196" t="inlineStr">
        <is>
          <t>CNY</t>
        </is>
      </c>
      <c r="C3705" s="196" t="inlineStr">
        <is>
          <t>YUAN RENMINBI</t>
        </is>
      </c>
      <c r="D3705" s="184" t="n">
        <v>3717.78</v>
      </c>
      <c r="E3705" s="184" t="n">
        <v>3755.34</v>
      </c>
      <c r="F3705" s="184" t="n">
        <v>3875.6</v>
      </c>
      <c r="G3705" s="184" t="n">
        <v>3815.47</v>
      </c>
    </row>
    <row r="3706">
      <c r="A3706" s="194" t="inlineStr">
        <is>
          <t>2026-03-13</t>
        </is>
      </c>
      <c r="B3706" s="194" t="inlineStr">
        <is>
          <t>DKK</t>
        </is>
      </c>
      <c r="C3706" s="194" t="inlineStr">
        <is>
          <t>DANISH KRONE</t>
        </is>
      </c>
      <c r="D3706" s="195" t="n"/>
      <c r="E3706" s="195" t="n">
        <v>3963.31</v>
      </c>
      <c r="F3706" s="195" t="n">
        <v>4114.86</v>
      </c>
      <c r="G3706" s="195" t="n">
        <v>4039.08</v>
      </c>
    </row>
    <row r="3707">
      <c r="A3707" s="196" t="inlineStr">
        <is>
          <t>2026-03-13</t>
        </is>
      </c>
      <c r="B3707" s="196" t="inlineStr">
        <is>
          <t>EUR</t>
        </is>
      </c>
      <c r="C3707" s="196" t="inlineStr">
        <is>
          <t>EURO</t>
        </is>
      </c>
      <c r="D3707" s="184" t="n">
        <v>29390.6</v>
      </c>
      <c r="E3707" s="184" t="n">
        <v>29687.48</v>
      </c>
      <c r="F3707" s="184" t="n">
        <v>30940.1</v>
      </c>
      <c r="G3707" s="184" t="n">
        <v>30313.79</v>
      </c>
    </row>
    <row r="3708">
      <c r="A3708" s="194" t="inlineStr">
        <is>
          <t>2026-03-13</t>
        </is>
      </c>
      <c r="B3708" s="194" t="inlineStr">
        <is>
          <t>GBP</t>
        </is>
      </c>
      <c r="C3708" s="194" t="inlineStr">
        <is>
          <t>POUND STERLING</t>
        </is>
      </c>
      <c r="D3708" s="195" t="n">
        <v>34060.62</v>
      </c>
      <c r="E3708" s="195" t="n">
        <v>34404.66</v>
      </c>
      <c r="F3708" s="195" t="n">
        <v>35506.5</v>
      </c>
      <c r="G3708" s="195" t="n">
        <v>34955.58</v>
      </c>
    </row>
    <row r="3709">
      <c r="A3709" s="196" t="inlineStr">
        <is>
          <t>2026-03-13</t>
        </is>
      </c>
      <c r="B3709" s="196" t="inlineStr">
        <is>
          <t>HKD</t>
        </is>
      </c>
      <c r="C3709" s="196" t="inlineStr">
        <is>
          <t>HONGKONG DOLLAR</t>
        </is>
      </c>
      <c r="D3709" s="184" t="n">
        <v>3263.76</v>
      </c>
      <c r="E3709" s="184" t="n">
        <v>3296.73</v>
      </c>
      <c r="F3709" s="184" t="n">
        <v>3422.79</v>
      </c>
      <c r="G3709" s="184" t="n">
        <v>3359.76</v>
      </c>
    </row>
    <row r="3710">
      <c r="A3710" s="194" t="inlineStr">
        <is>
          <t>2026-03-13</t>
        </is>
      </c>
      <c r="B3710" s="194" t="inlineStr">
        <is>
          <t>INR</t>
        </is>
      </c>
      <c r="C3710" s="194" t="inlineStr">
        <is>
          <t>INDIAN RUPEE</t>
        </is>
      </c>
      <c r="D3710" s="195" t="n"/>
      <c r="E3710" s="195" t="n">
        <v>283</v>
      </c>
      <c r="F3710" s="195" t="n">
        <v>295.18</v>
      </c>
      <c r="G3710" s="195" t="n">
        <v>289.09</v>
      </c>
    </row>
    <row r="3711">
      <c r="A3711" s="196" t="inlineStr">
        <is>
          <t>2026-03-13</t>
        </is>
      </c>
      <c r="B3711" s="196" t="inlineStr">
        <is>
          <t>JPY</t>
        </is>
      </c>
      <c r="C3711" s="196" t="inlineStr">
        <is>
          <t>YEN</t>
        </is>
      </c>
      <c r="D3711" s="184" t="n">
        <v>159.2</v>
      </c>
      <c r="E3711" s="184" t="n">
        <v>160.81</v>
      </c>
      <c r="F3711" s="184" t="n">
        <v>169.31</v>
      </c>
      <c r="G3711" s="184" t="n">
        <v>165.06</v>
      </c>
    </row>
    <row r="3712">
      <c r="A3712" s="194" t="inlineStr">
        <is>
          <t>2026-03-13</t>
        </is>
      </c>
      <c r="B3712" s="194" t="inlineStr">
        <is>
          <t>KRW</t>
        </is>
      </c>
      <c r="C3712" s="194" t="inlineStr">
        <is>
          <t>KOREAN WON</t>
        </is>
      </c>
      <c r="D3712" s="195" t="n">
        <v>15.21</v>
      </c>
      <c r="E3712" s="195" t="n">
        <v>16.9</v>
      </c>
      <c r="F3712" s="195" t="n">
        <v>18.34</v>
      </c>
      <c r="G3712" s="195" t="n">
        <v>17.62</v>
      </c>
    </row>
    <row r="3713">
      <c r="A3713" s="196" t="inlineStr">
        <is>
          <t>2026-03-13</t>
        </is>
      </c>
      <c r="B3713" s="196" t="inlineStr">
        <is>
          <t>KWD</t>
        </is>
      </c>
      <c r="C3713" s="196" t="inlineStr">
        <is>
          <t>KUWAITI DINAR</t>
        </is>
      </c>
      <c r="D3713" s="184" t="n"/>
      <c r="E3713" s="184" t="n">
        <v>85311.03999999999</v>
      </c>
      <c r="F3713" s="184" t="n">
        <v>89445.99000000001</v>
      </c>
      <c r="G3713" s="184" t="n">
        <v>87378.52</v>
      </c>
    </row>
    <row r="3714">
      <c r="A3714" s="194" t="inlineStr">
        <is>
          <t>2026-03-13</t>
        </is>
      </c>
      <c r="B3714" s="194" t="inlineStr">
        <is>
          <t>MYR</t>
        </is>
      </c>
      <c r="C3714" s="194" t="inlineStr">
        <is>
          <t>MALAYSIAN RINGGIT</t>
        </is>
      </c>
      <c r="D3714" s="195" t="n"/>
      <c r="E3714" s="195" t="n">
        <v>6611.57</v>
      </c>
      <c r="F3714" s="195" t="n">
        <v>6755.4</v>
      </c>
      <c r="G3714" s="195" t="n">
        <v>6683.48</v>
      </c>
    </row>
    <row r="3715">
      <c r="A3715" s="196" t="inlineStr">
        <is>
          <t>2026-03-13</t>
        </is>
      </c>
      <c r="B3715" s="196" t="inlineStr">
        <is>
          <t>NOK</t>
        </is>
      </c>
      <c r="C3715" s="196" t="inlineStr">
        <is>
          <t>NORWEGIAN KRONER</t>
        </is>
      </c>
      <c r="D3715" s="184" t="n"/>
      <c r="E3715" s="184" t="n">
        <v>2643.75</v>
      </c>
      <c r="F3715" s="184" t="n">
        <v>2755.85</v>
      </c>
      <c r="G3715" s="184" t="n">
        <v>2699.8</v>
      </c>
    </row>
    <row r="3716">
      <c r="A3716" s="194" t="inlineStr">
        <is>
          <t>2026-03-13</t>
        </is>
      </c>
      <c r="B3716" s="194" t="inlineStr">
        <is>
          <t>RUB</t>
        </is>
      </c>
      <c r="C3716" s="194" t="inlineStr">
        <is>
          <t>RUSSIAN RUBLE</t>
        </is>
      </c>
      <c r="D3716" s="195" t="n"/>
      <c r="E3716" s="195" t="n">
        <v>312.15</v>
      </c>
      <c r="F3716" s="195" t="n">
        <v>345.54</v>
      </c>
      <c r="G3716" s="195" t="n">
        <v>328.84</v>
      </c>
    </row>
    <row r="3717">
      <c r="A3717" s="196" t="inlineStr">
        <is>
          <t>2026-03-13</t>
        </is>
      </c>
      <c r="B3717" s="196" t="inlineStr">
        <is>
          <t>SAR</t>
        </is>
      </c>
      <c r="C3717" s="196" t="inlineStr">
        <is>
          <t>SAUDI RIAL</t>
        </is>
      </c>
      <c r="D3717" s="184" t="n"/>
      <c r="E3717" s="184" t="n">
        <v>6966.77</v>
      </c>
      <c r="F3717" s="184" t="n">
        <v>7266.59</v>
      </c>
      <c r="G3717" s="184" t="n">
        <v>7116.68</v>
      </c>
    </row>
    <row r="3718">
      <c r="A3718" s="194" t="inlineStr">
        <is>
          <t>2026-03-13</t>
        </is>
      </c>
      <c r="B3718" s="194" t="inlineStr">
        <is>
          <t>SEK</t>
        </is>
      </c>
      <c r="C3718" s="194" t="inlineStr">
        <is>
          <t>SWEDISH KRONA</t>
        </is>
      </c>
      <c r="D3718" s="195" t="n"/>
      <c r="E3718" s="195" t="n">
        <v>2740.03</v>
      </c>
      <c r="F3718" s="195" t="n">
        <v>2856.21</v>
      </c>
      <c r="G3718" s="195" t="n">
        <v>2798.12</v>
      </c>
    </row>
    <row r="3719">
      <c r="A3719" s="196" t="inlineStr">
        <is>
          <t>2026-03-13</t>
        </is>
      </c>
      <c r="B3719" s="196" t="inlineStr">
        <is>
          <t>SGD</t>
        </is>
      </c>
      <c r="C3719" s="196" t="inlineStr">
        <is>
          <t>SINGAPORE DOLLAR</t>
        </is>
      </c>
      <c r="D3719" s="184" t="n">
        <v>19996.67</v>
      </c>
      <c r="E3719" s="184" t="n">
        <v>20198.66</v>
      </c>
      <c r="F3719" s="184" t="n">
        <v>20887.28</v>
      </c>
      <c r="G3719" s="184" t="n">
        <v>20542.97</v>
      </c>
    </row>
    <row r="3720">
      <c r="A3720" s="194" t="inlineStr">
        <is>
          <t>2026-03-13</t>
        </is>
      </c>
      <c r="B3720" s="194" t="inlineStr">
        <is>
          <t>THB</t>
        </is>
      </c>
      <c r="C3720" s="194" t="inlineStr">
        <is>
          <t>THAILAND BAHT</t>
        </is>
      </c>
      <c r="D3720" s="195" t="n">
        <v>718.96</v>
      </c>
      <c r="E3720" s="195" t="n">
        <v>798.85</v>
      </c>
      <c r="F3720" s="195" t="n">
        <v>832.72</v>
      </c>
      <c r="G3720" s="195" t="n">
        <v>815.79</v>
      </c>
    </row>
    <row r="3721">
      <c r="A3721" s="196" t="inlineStr">
        <is>
          <t>2026-03-13</t>
        </is>
      </c>
      <c r="B3721" s="196" t="inlineStr">
        <is>
          <t>USD</t>
        </is>
      </c>
      <c r="C3721" s="196" t="inlineStr">
        <is>
          <t>US DOLLAR</t>
        </is>
      </c>
      <c r="D3721" s="184" t="n">
        <v>26048</v>
      </c>
      <c r="E3721" s="184" t="n">
        <v>26078</v>
      </c>
      <c r="F3721" s="184" t="n">
        <v>26318</v>
      </c>
      <c r="G3721" s="184" t="n">
        <v>26198</v>
      </c>
    </row>
    <row r="3722">
      <c r="A3722" s="194" t="inlineStr">
        <is>
          <t>2026-03-12</t>
        </is>
      </c>
      <c r="B3722" s="194" t="inlineStr">
        <is>
          <t>AUD</t>
        </is>
      </c>
      <c r="C3722" s="194" t="inlineStr">
        <is>
          <t>AUSTRALIAN DOLLAR</t>
        </is>
      </c>
      <c r="D3722" s="195" t="n">
        <v>18266.51</v>
      </c>
      <c r="E3722" s="195" t="n">
        <v>18451.02</v>
      </c>
      <c r="F3722" s="195" t="n">
        <v>19041.95</v>
      </c>
      <c r="G3722" s="195" t="n">
        <v>18746.48</v>
      </c>
    </row>
    <row r="3723">
      <c r="A3723" s="196" t="inlineStr">
        <is>
          <t>2026-03-12</t>
        </is>
      </c>
      <c r="B3723" s="196" t="inlineStr">
        <is>
          <t>CAD</t>
        </is>
      </c>
      <c r="C3723" s="196" t="inlineStr">
        <is>
          <t>CANADIAN DOLLAR</t>
        </is>
      </c>
      <c r="D3723" s="184" t="n">
        <v>18844.08</v>
      </c>
      <c r="E3723" s="184" t="n">
        <v>19034.42</v>
      </c>
      <c r="F3723" s="184" t="n">
        <v>19644.04</v>
      </c>
      <c r="G3723" s="184" t="n">
        <v>19339.23</v>
      </c>
    </row>
    <row r="3724">
      <c r="A3724" s="194" t="inlineStr">
        <is>
          <t>2026-03-12</t>
        </is>
      </c>
      <c r="B3724" s="194" t="inlineStr">
        <is>
          <t>CHF</t>
        </is>
      </c>
      <c r="C3724" s="194" t="inlineStr">
        <is>
          <t>SWISS FRANC</t>
        </is>
      </c>
      <c r="D3724" s="195" t="n">
        <v>32661.63</v>
      </c>
      <c r="E3724" s="195" t="n">
        <v>32991.54</v>
      </c>
      <c r="F3724" s="195" t="n">
        <v>34048.16</v>
      </c>
      <c r="G3724" s="195" t="n">
        <v>33519.85</v>
      </c>
    </row>
    <row r="3725">
      <c r="A3725" s="196" t="inlineStr">
        <is>
          <t>2026-03-12</t>
        </is>
      </c>
      <c r="B3725" s="196" t="inlineStr">
        <is>
          <t>CNY</t>
        </is>
      </c>
      <c r="C3725" s="196" t="inlineStr">
        <is>
          <t>YUAN RENMINBI</t>
        </is>
      </c>
      <c r="D3725" s="184" t="n">
        <v>3721.49</v>
      </c>
      <c r="E3725" s="184" t="n">
        <v>3759.08</v>
      </c>
      <c r="F3725" s="184" t="n">
        <v>3879.47</v>
      </c>
      <c r="G3725" s="184" t="n">
        <v>3819.27</v>
      </c>
    </row>
    <row r="3726">
      <c r="A3726" s="194" t="inlineStr">
        <is>
          <t>2026-03-12</t>
        </is>
      </c>
      <c r="B3726" s="194" t="inlineStr">
        <is>
          <t>DKK</t>
        </is>
      </c>
      <c r="C3726" s="194" t="inlineStr">
        <is>
          <t>DANISH KRONE</t>
        </is>
      </c>
      <c r="D3726" s="195" t="n"/>
      <c r="E3726" s="195" t="n">
        <v>3982.86</v>
      </c>
      <c r="F3726" s="195" t="n">
        <v>4135.17</v>
      </c>
      <c r="G3726" s="195" t="n">
        <v>4059.02</v>
      </c>
    </row>
    <row r="3727">
      <c r="A3727" s="196" t="inlineStr">
        <is>
          <t>2026-03-12</t>
        </is>
      </c>
      <c r="B3727" s="196" t="inlineStr">
        <is>
          <t>EUR</t>
        </is>
      </c>
      <c r="C3727" s="196" t="inlineStr">
        <is>
          <t>EURO</t>
        </is>
      </c>
      <c r="D3727" s="184" t="n">
        <v>29537.17</v>
      </c>
      <c r="E3727" s="184" t="n">
        <v>29835.53</v>
      </c>
      <c r="F3727" s="184" t="n">
        <v>31094.43</v>
      </c>
      <c r="G3727" s="184" t="n">
        <v>30464.98</v>
      </c>
    </row>
    <row r="3728">
      <c r="A3728" s="194" t="inlineStr">
        <is>
          <t>2026-03-12</t>
        </is>
      </c>
      <c r="B3728" s="194" t="inlineStr">
        <is>
          <t>GBP</t>
        </is>
      </c>
      <c r="C3728" s="194" t="inlineStr">
        <is>
          <t>POUND STERLING</t>
        </is>
      </c>
      <c r="D3728" s="195" t="n">
        <v>34226.67</v>
      </c>
      <c r="E3728" s="195" t="n">
        <v>34572.39</v>
      </c>
      <c r="F3728" s="195" t="n">
        <v>35679.64</v>
      </c>
      <c r="G3728" s="195" t="n">
        <v>35126.02</v>
      </c>
    </row>
    <row r="3729">
      <c r="A3729" s="196" t="inlineStr">
        <is>
          <t>2026-03-12</t>
        </is>
      </c>
      <c r="B3729" s="196" t="inlineStr">
        <is>
          <t>HKD</t>
        </is>
      </c>
      <c r="C3729" s="196" t="inlineStr">
        <is>
          <t>HONGKONG DOLLAR</t>
        </is>
      </c>
      <c r="D3729" s="184" t="n">
        <v>3262.32</v>
      </c>
      <c r="E3729" s="184" t="n">
        <v>3295.27</v>
      </c>
      <c r="F3729" s="184" t="n">
        <v>3421.28</v>
      </c>
      <c r="G3729" s="184" t="n">
        <v>3358.28</v>
      </c>
    </row>
    <row r="3730">
      <c r="A3730" s="194" t="inlineStr">
        <is>
          <t>2026-03-12</t>
        </is>
      </c>
      <c r="B3730" s="194" t="inlineStr">
        <is>
          <t>INR</t>
        </is>
      </c>
      <c r="C3730" s="194" t="inlineStr">
        <is>
          <t>INDIAN RUPEE</t>
        </is>
      </c>
      <c r="D3730" s="195" t="n"/>
      <c r="E3730" s="195" t="n">
        <v>282.94</v>
      </c>
      <c r="F3730" s="195" t="n">
        <v>295.11</v>
      </c>
      <c r="G3730" s="195" t="n">
        <v>289.02</v>
      </c>
    </row>
    <row r="3731">
      <c r="A3731" s="196" t="inlineStr">
        <is>
          <t>2026-03-12</t>
        </is>
      </c>
      <c r="B3731" s="196" t="inlineStr">
        <is>
          <t>JPY</t>
        </is>
      </c>
      <c r="C3731" s="196" t="inlineStr">
        <is>
          <t>YEN</t>
        </is>
      </c>
      <c r="D3731" s="184" t="n">
        <v>159.48</v>
      </c>
      <c r="E3731" s="184" t="n">
        <v>161.09</v>
      </c>
      <c r="F3731" s="184" t="n">
        <v>169.61</v>
      </c>
      <c r="G3731" s="184" t="n">
        <v>165.35</v>
      </c>
    </row>
    <row r="3732">
      <c r="A3732" s="194" t="inlineStr">
        <is>
          <t>2026-03-12</t>
        </is>
      </c>
      <c r="B3732" s="194" t="inlineStr">
        <is>
          <t>KRW</t>
        </is>
      </c>
      <c r="C3732" s="194" t="inlineStr">
        <is>
          <t>KOREAN WON</t>
        </is>
      </c>
      <c r="D3732" s="195" t="n">
        <v>15.35</v>
      </c>
      <c r="E3732" s="195" t="n">
        <v>17.06</v>
      </c>
      <c r="F3732" s="195" t="n">
        <v>18.5</v>
      </c>
      <c r="G3732" s="195" t="n">
        <v>17.78</v>
      </c>
    </row>
    <row r="3733">
      <c r="A3733" s="196" t="inlineStr">
        <is>
          <t>2026-03-12</t>
        </is>
      </c>
      <c r="B3733" s="196" t="inlineStr">
        <is>
          <t>KWD</t>
        </is>
      </c>
      <c r="C3733" s="196" t="inlineStr">
        <is>
          <t>KUWAITI DINAR</t>
        </is>
      </c>
      <c r="D3733" s="184" t="n"/>
      <c r="E3733" s="184" t="n">
        <v>85329.64</v>
      </c>
      <c r="F3733" s="184" t="n">
        <v>89465.59</v>
      </c>
      <c r="G3733" s="184" t="n">
        <v>87397.62</v>
      </c>
    </row>
    <row r="3734">
      <c r="A3734" s="194" t="inlineStr">
        <is>
          <t>2026-03-12</t>
        </is>
      </c>
      <c r="B3734" s="194" t="inlineStr">
        <is>
          <t>MYR</t>
        </is>
      </c>
      <c r="C3734" s="194" t="inlineStr">
        <is>
          <t>MALAYSIAN RINGGIT</t>
        </is>
      </c>
      <c r="D3734" s="195" t="n"/>
      <c r="E3734" s="195" t="n">
        <v>6616.62</v>
      </c>
      <c r="F3734" s="195" t="n">
        <v>6760.58</v>
      </c>
      <c r="G3734" s="195" t="n">
        <v>6688.6</v>
      </c>
    </row>
    <row r="3735">
      <c r="A3735" s="196" t="inlineStr">
        <is>
          <t>2026-03-12</t>
        </is>
      </c>
      <c r="B3735" s="196" t="inlineStr">
        <is>
          <t>NOK</t>
        </is>
      </c>
      <c r="C3735" s="196" t="inlineStr">
        <is>
          <t>NORWEGIAN KRONER</t>
        </is>
      </c>
      <c r="D3735" s="184" t="n"/>
      <c r="E3735" s="184" t="n">
        <v>2664.03</v>
      </c>
      <c r="F3735" s="184" t="n">
        <v>2776.99</v>
      </c>
      <c r="G3735" s="184" t="n">
        <v>2720.51</v>
      </c>
    </row>
    <row r="3736">
      <c r="A3736" s="194" t="inlineStr">
        <is>
          <t>2026-03-12</t>
        </is>
      </c>
      <c r="B3736" s="194" t="inlineStr">
        <is>
          <t>RUB</t>
        </is>
      </c>
      <c r="C3736" s="194" t="inlineStr">
        <is>
          <t>RUSSIAN RUBLE</t>
        </is>
      </c>
      <c r="D3736" s="195" t="n"/>
      <c r="E3736" s="195" t="n">
        <v>315.86</v>
      </c>
      <c r="F3736" s="195" t="n">
        <v>349.64</v>
      </c>
      <c r="G3736" s="195" t="n">
        <v>332.75</v>
      </c>
    </row>
    <row r="3737">
      <c r="A3737" s="196" t="inlineStr">
        <is>
          <t>2026-03-12</t>
        </is>
      </c>
      <c r="B3737" s="196" t="inlineStr">
        <is>
          <t>SAR</t>
        </is>
      </c>
      <c r="C3737" s="196" t="inlineStr">
        <is>
          <t>SAUDI RIAL</t>
        </is>
      </c>
      <c r="D3737" s="184" t="n"/>
      <c r="E3737" s="184" t="n">
        <v>6960.53</v>
      </c>
      <c r="F3737" s="184" t="n">
        <v>7260.1</v>
      </c>
      <c r="G3737" s="184" t="n">
        <v>7110.32</v>
      </c>
    </row>
    <row r="3738">
      <c r="A3738" s="194" t="inlineStr">
        <is>
          <t>2026-03-12</t>
        </is>
      </c>
      <c r="B3738" s="194" t="inlineStr">
        <is>
          <t>SEK</t>
        </is>
      </c>
      <c r="C3738" s="194" t="inlineStr">
        <is>
          <t>SWEDISH KRONA</t>
        </is>
      </c>
      <c r="D3738" s="195" t="n"/>
      <c r="E3738" s="195" t="n">
        <v>2777.27</v>
      </c>
      <c r="F3738" s="195" t="n">
        <v>2895.03</v>
      </c>
      <c r="G3738" s="195" t="n">
        <v>2836.15</v>
      </c>
    </row>
    <row r="3739">
      <c r="A3739" s="196" t="inlineStr">
        <is>
          <t>2026-03-12</t>
        </is>
      </c>
      <c r="B3739" s="196" t="inlineStr">
        <is>
          <t>SGD</t>
        </is>
      </c>
      <c r="C3739" s="196" t="inlineStr">
        <is>
          <t>SINGAPORE DOLLAR</t>
        </is>
      </c>
      <c r="D3739" s="184" t="n">
        <v>20050.36</v>
      </c>
      <c r="E3739" s="184" t="n">
        <v>20252.89</v>
      </c>
      <c r="F3739" s="184" t="n">
        <v>20943.39</v>
      </c>
      <c r="G3739" s="184" t="n">
        <v>20598.14</v>
      </c>
    </row>
    <row r="3740">
      <c r="A3740" s="194" t="inlineStr">
        <is>
          <t>2026-03-12</t>
        </is>
      </c>
      <c r="B3740" s="194" t="inlineStr">
        <is>
          <t>THB</t>
        </is>
      </c>
      <c r="C3740" s="194" t="inlineStr">
        <is>
          <t>THAILAND BAHT</t>
        </is>
      </c>
      <c r="D3740" s="195" t="n">
        <v>724.9400000000001</v>
      </c>
      <c r="E3740" s="195" t="n">
        <v>805.49</v>
      </c>
      <c r="F3740" s="195" t="n">
        <v>839.64</v>
      </c>
      <c r="G3740" s="195" t="n">
        <v>822.5599999999999</v>
      </c>
    </row>
    <row r="3741">
      <c r="A3741" s="196" t="inlineStr">
        <is>
          <t>2026-03-12</t>
        </is>
      </c>
      <c r="B3741" s="196" t="inlineStr">
        <is>
          <t>USD</t>
        </is>
      </c>
      <c r="C3741" s="196" t="inlineStr">
        <is>
          <t>US DOLLAR</t>
        </is>
      </c>
      <c r="D3741" s="184" t="n">
        <v>26044</v>
      </c>
      <c r="E3741" s="184" t="n">
        <v>26074</v>
      </c>
      <c r="F3741" s="184" t="n">
        <v>26314</v>
      </c>
      <c r="G3741" s="184" t="n">
        <v>26194</v>
      </c>
    </row>
    <row r="3742">
      <c r="A3742" s="194" t="inlineStr">
        <is>
          <t>2026-03-11</t>
        </is>
      </c>
      <c r="B3742" s="194" t="inlineStr">
        <is>
          <t>AUD</t>
        </is>
      </c>
      <c r="C3742" s="194" t="inlineStr">
        <is>
          <t>AUSTRALIAN DOLLAR</t>
        </is>
      </c>
      <c r="D3742" s="195" t="n">
        <v>18237.25</v>
      </c>
      <c r="E3742" s="195" t="n">
        <v>18421.46</v>
      </c>
      <c r="F3742" s="195" t="n">
        <v>19011.47</v>
      </c>
      <c r="G3742" s="195" t="n">
        <v>18716.46</v>
      </c>
    </row>
    <row r="3743">
      <c r="A3743" s="196" t="inlineStr">
        <is>
          <t>2026-03-11</t>
        </is>
      </c>
      <c r="B3743" s="196" t="inlineStr">
        <is>
          <t>CAD</t>
        </is>
      </c>
      <c r="C3743" s="196" t="inlineStr">
        <is>
          <t>CANADIAN DOLLAR</t>
        </is>
      </c>
      <c r="D3743" s="184" t="n">
        <v>18842.2</v>
      </c>
      <c r="E3743" s="184" t="n">
        <v>19032.53</v>
      </c>
      <c r="F3743" s="184" t="n">
        <v>19642.11</v>
      </c>
      <c r="G3743" s="184" t="n">
        <v>19337.32</v>
      </c>
    </row>
    <row r="3744">
      <c r="A3744" s="194" t="inlineStr">
        <is>
          <t>2026-03-11</t>
        </is>
      </c>
      <c r="B3744" s="194" t="inlineStr">
        <is>
          <t>CHF</t>
        </is>
      </c>
      <c r="C3744" s="194" t="inlineStr">
        <is>
          <t>SWISS FRANC</t>
        </is>
      </c>
      <c r="D3744" s="195" t="n">
        <v>32875.79</v>
      </c>
      <c r="E3744" s="195" t="n">
        <v>33207.87</v>
      </c>
      <c r="F3744" s="195" t="n">
        <v>34271.46</v>
      </c>
      <c r="G3744" s="195" t="n">
        <v>33739.66</v>
      </c>
    </row>
    <row r="3745">
      <c r="A3745" s="196" t="inlineStr">
        <is>
          <t>2026-03-11</t>
        </is>
      </c>
      <c r="B3745" s="196" t="inlineStr">
        <is>
          <t>CNY</t>
        </is>
      </c>
      <c r="C3745" s="196" t="inlineStr">
        <is>
          <t>YUAN RENMINBI</t>
        </is>
      </c>
      <c r="D3745" s="184" t="n">
        <v>3720.43</v>
      </c>
      <c r="E3745" s="184" t="n">
        <v>3758.01</v>
      </c>
      <c r="F3745" s="184" t="n">
        <v>3878.38</v>
      </c>
      <c r="G3745" s="184" t="n">
        <v>3818.2</v>
      </c>
    </row>
    <row r="3746">
      <c r="A3746" s="194" t="inlineStr">
        <is>
          <t>2026-03-11</t>
        </is>
      </c>
      <c r="B3746" s="194" t="inlineStr">
        <is>
          <t>DKK</t>
        </is>
      </c>
      <c r="C3746" s="194" t="inlineStr">
        <is>
          <t>DANISH KRONE</t>
        </is>
      </c>
      <c r="D3746" s="195" t="n"/>
      <c r="E3746" s="195" t="n">
        <v>4007.56</v>
      </c>
      <c r="F3746" s="195" t="n">
        <v>4160.81</v>
      </c>
      <c r="G3746" s="195" t="n">
        <v>4084.19</v>
      </c>
    </row>
    <row r="3747">
      <c r="A3747" s="196" t="inlineStr">
        <is>
          <t>2026-03-11</t>
        </is>
      </c>
      <c r="B3747" s="196" t="inlineStr">
        <is>
          <t>EUR</t>
        </is>
      </c>
      <c r="C3747" s="196" t="inlineStr">
        <is>
          <t>EURO</t>
        </is>
      </c>
      <c r="D3747" s="184" t="n">
        <v>29719.29</v>
      </c>
      <c r="E3747" s="184" t="n">
        <v>30019.49</v>
      </c>
      <c r="F3747" s="184" t="n">
        <v>31286.19</v>
      </c>
      <c r="G3747" s="184" t="n">
        <v>30652.84</v>
      </c>
    </row>
    <row r="3748">
      <c r="A3748" s="194" t="inlineStr">
        <is>
          <t>2026-03-11</t>
        </is>
      </c>
      <c r="B3748" s="194" t="inlineStr">
        <is>
          <t>GBP</t>
        </is>
      </c>
      <c r="C3748" s="194" t="inlineStr">
        <is>
          <t>POUND STERLING</t>
        </is>
      </c>
      <c r="D3748" s="195" t="n">
        <v>34346.39</v>
      </c>
      <c r="E3748" s="195" t="n">
        <v>34693.32</v>
      </c>
      <c r="F3748" s="195" t="n">
        <v>35804.49</v>
      </c>
      <c r="G3748" s="195" t="n">
        <v>35248.9</v>
      </c>
    </row>
    <row r="3749">
      <c r="A3749" s="196" t="inlineStr">
        <is>
          <t>2026-03-11</t>
        </is>
      </c>
      <c r="B3749" s="196" t="inlineStr">
        <is>
          <t>HKD</t>
        </is>
      </c>
      <c r="C3749" s="196" t="inlineStr">
        <is>
          <t>HONGKONG DOLLAR</t>
        </is>
      </c>
      <c r="D3749" s="184" t="n">
        <v>3260.21</v>
      </c>
      <c r="E3749" s="184" t="n">
        <v>3293.14</v>
      </c>
      <c r="F3749" s="184" t="n">
        <v>3419.08</v>
      </c>
      <c r="G3749" s="184" t="n">
        <v>3356.11</v>
      </c>
    </row>
    <row r="3750">
      <c r="A3750" s="194" t="inlineStr">
        <is>
          <t>2026-03-11</t>
        </is>
      </c>
      <c r="B3750" s="194" t="inlineStr">
        <is>
          <t>INR</t>
        </is>
      </c>
      <c r="C3750" s="194" t="inlineStr">
        <is>
          <t>INDIAN RUPEE</t>
        </is>
      </c>
      <c r="D3750" s="195" t="n"/>
      <c r="E3750" s="195" t="n">
        <v>284</v>
      </c>
      <c r="F3750" s="195" t="n">
        <v>296.23</v>
      </c>
      <c r="G3750" s="195" t="n">
        <v>290.12</v>
      </c>
    </row>
    <row r="3751">
      <c r="A3751" s="196" t="inlineStr">
        <is>
          <t>2026-03-11</t>
        </is>
      </c>
      <c r="B3751" s="196" t="inlineStr">
        <is>
          <t>JPY</t>
        </is>
      </c>
      <c r="C3751" s="196" t="inlineStr">
        <is>
          <t>YEN</t>
        </is>
      </c>
      <c r="D3751" s="184" t="n">
        <v>160.23</v>
      </c>
      <c r="E3751" s="184" t="n">
        <v>161.85</v>
      </c>
      <c r="F3751" s="184" t="n">
        <v>170.41</v>
      </c>
      <c r="G3751" s="184" t="n">
        <v>166.13</v>
      </c>
    </row>
    <row r="3752">
      <c r="A3752" s="194" t="inlineStr">
        <is>
          <t>2026-03-11</t>
        </is>
      </c>
      <c r="B3752" s="194" t="inlineStr">
        <is>
          <t>KRW</t>
        </is>
      </c>
      <c r="C3752" s="194" t="inlineStr">
        <is>
          <t>KOREAN WON</t>
        </is>
      </c>
      <c r="D3752" s="195" t="n">
        <v>15.46</v>
      </c>
      <c r="E3752" s="195" t="n">
        <v>17.18</v>
      </c>
      <c r="F3752" s="195" t="n">
        <v>18.64</v>
      </c>
      <c r="G3752" s="195" t="n">
        <v>17.91</v>
      </c>
    </row>
    <row r="3753">
      <c r="A3753" s="196" t="inlineStr">
        <is>
          <t>2026-03-11</t>
        </is>
      </c>
      <c r="B3753" s="196" t="inlineStr">
        <is>
          <t>KWD</t>
        </is>
      </c>
      <c r="C3753" s="196" t="inlineStr">
        <is>
          <t>KUWAITI DINAR</t>
        </is>
      </c>
      <c r="D3753" s="184" t="n"/>
      <c r="E3753" s="184" t="n">
        <v>85264.63</v>
      </c>
      <c r="F3753" s="184" t="n">
        <v>89397.53</v>
      </c>
      <c r="G3753" s="184" t="n">
        <v>87331.08</v>
      </c>
    </row>
    <row r="3754">
      <c r="A3754" s="194" t="inlineStr">
        <is>
          <t>2026-03-11</t>
        </is>
      </c>
      <c r="B3754" s="194" t="inlineStr">
        <is>
          <t>MYR</t>
        </is>
      </c>
      <c r="C3754" s="194" t="inlineStr">
        <is>
          <t>MALAYSIAN RINGGIT</t>
        </is>
      </c>
      <c r="D3754" s="195" t="n"/>
      <c r="E3754" s="195" t="n">
        <v>6625.08</v>
      </c>
      <c r="F3754" s="195" t="n">
        <v>6769.22</v>
      </c>
      <c r="G3754" s="195" t="n">
        <v>6697.15</v>
      </c>
    </row>
    <row r="3755">
      <c r="A3755" s="196" t="inlineStr">
        <is>
          <t>2026-03-11</t>
        </is>
      </c>
      <c r="B3755" s="196" t="inlineStr">
        <is>
          <t>NOK</t>
        </is>
      </c>
      <c r="C3755" s="196" t="inlineStr">
        <is>
          <t>NORWEGIAN KRONER</t>
        </is>
      </c>
      <c r="D3755" s="184" t="n"/>
      <c r="E3755" s="184" t="n">
        <v>2668.6</v>
      </c>
      <c r="F3755" s="184" t="n">
        <v>2781.76</v>
      </c>
      <c r="G3755" s="184" t="n">
        <v>2725.18</v>
      </c>
    </row>
    <row r="3756">
      <c r="A3756" s="194" t="inlineStr">
        <is>
          <t>2026-03-11</t>
        </is>
      </c>
      <c r="B3756" s="194" t="inlineStr">
        <is>
          <t>RUB</t>
        </is>
      </c>
      <c r="C3756" s="194" t="inlineStr">
        <is>
          <t>RUSSIAN RUBLE</t>
        </is>
      </c>
      <c r="D3756" s="195" t="n"/>
      <c r="E3756" s="195" t="n">
        <v>316.03</v>
      </c>
      <c r="F3756" s="195" t="n">
        <v>349.83</v>
      </c>
      <c r="G3756" s="195" t="n">
        <v>332.93</v>
      </c>
    </row>
    <row r="3757">
      <c r="A3757" s="196" t="inlineStr">
        <is>
          <t>2026-03-11</t>
        </is>
      </c>
      <c r="B3757" s="196" t="inlineStr">
        <is>
          <t>SAR</t>
        </is>
      </c>
      <c r="C3757" s="196" t="inlineStr">
        <is>
          <t>SAUDI RIAL</t>
        </is>
      </c>
      <c r="D3757" s="184" t="n"/>
      <c r="E3757" s="184" t="n">
        <v>6955.23</v>
      </c>
      <c r="F3757" s="184" t="n">
        <v>7254.58</v>
      </c>
      <c r="G3757" s="184" t="n">
        <v>7104.9</v>
      </c>
    </row>
    <row r="3758">
      <c r="A3758" s="194" t="inlineStr">
        <is>
          <t>2026-03-11</t>
        </is>
      </c>
      <c r="B3758" s="194" t="inlineStr">
        <is>
          <t>SEK</t>
        </is>
      </c>
      <c r="C3758" s="194" t="inlineStr">
        <is>
          <t>SWEDISH KRONA</t>
        </is>
      </c>
      <c r="D3758" s="195" t="n"/>
      <c r="E3758" s="195" t="n">
        <v>2805.28</v>
      </c>
      <c r="F3758" s="195" t="n">
        <v>2924.23</v>
      </c>
      <c r="G3758" s="195" t="n">
        <v>2864.76</v>
      </c>
    </row>
    <row r="3759">
      <c r="A3759" s="196" t="inlineStr">
        <is>
          <t>2026-03-11</t>
        </is>
      </c>
      <c r="B3759" s="196" t="inlineStr">
        <is>
          <t>SGD</t>
        </is>
      </c>
      <c r="C3759" s="196" t="inlineStr">
        <is>
          <t>SINGAPORE DOLLAR</t>
        </is>
      </c>
      <c r="D3759" s="184" t="n">
        <v>20091.79</v>
      </c>
      <c r="E3759" s="184" t="n">
        <v>20294.73</v>
      </c>
      <c r="F3759" s="184" t="n">
        <v>20986.68</v>
      </c>
      <c r="G3759" s="184" t="n">
        <v>20640.71</v>
      </c>
    </row>
    <row r="3760">
      <c r="A3760" s="194" t="inlineStr">
        <is>
          <t>2026-03-11</t>
        </is>
      </c>
      <c r="B3760" s="194" t="inlineStr">
        <is>
          <t>THB</t>
        </is>
      </c>
      <c r="C3760" s="194" t="inlineStr">
        <is>
          <t>THAILAND BAHT</t>
        </is>
      </c>
      <c r="D3760" s="195" t="n">
        <v>734.97</v>
      </c>
      <c r="E3760" s="195" t="n">
        <v>816.63</v>
      </c>
      <c r="F3760" s="195" t="n">
        <v>851.26</v>
      </c>
      <c r="G3760" s="195" t="n">
        <v>833.9400000000001</v>
      </c>
    </row>
    <row r="3761">
      <c r="A3761" s="196" t="inlineStr">
        <is>
          <t>2026-03-11</t>
        </is>
      </c>
      <c r="B3761" s="196" t="inlineStr">
        <is>
          <t>USD</t>
        </is>
      </c>
      <c r="C3761" s="196" t="inlineStr">
        <is>
          <t>US DOLLAR</t>
        </is>
      </c>
      <c r="D3761" s="184" t="n">
        <v>26001</v>
      </c>
      <c r="E3761" s="184" t="n">
        <v>26031</v>
      </c>
      <c r="F3761" s="184" t="n">
        <v>26311</v>
      </c>
      <c r="G3761" s="184" t="n">
        <v>26171</v>
      </c>
    </row>
    <row r="3762">
      <c r="A3762" s="194" t="inlineStr">
        <is>
          <t>2026-03-10</t>
        </is>
      </c>
      <c r="B3762" s="194" t="inlineStr">
        <is>
          <t>AUD</t>
        </is>
      </c>
      <c r="C3762" s="194" t="inlineStr">
        <is>
          <t>AUSTRALIAN DOLLAR</t>
        </is>
      </c>
      <c r="D3762" s="195" t="n">
        <v>18175.51</v>
      </c>
      <c r="E3762" s="195" t="n">
        <v>18359.1</v>
      </c>
      <c r="F3762" s="195" t="n">
        <v>18947.14</v>
      </c>
      <c r="G3762" s="195" t="n">
        <v>18653.12</v>
      </c>
    </row>
    <row r="3763">
      <c r="A3763" s="196" t="inlineStr">
        <is>
          <t>2026-03-10</t>
        </is>
      </c>
      <c r="B3763" s="196" t="inlineStr">
        <is>
          <t>CAD</t>
        </is>
      </c>
      <c r="C3763" s="196" t="inlineStr">
        <is>
          <t>CANADIAN DOLLAR</t>
        </is>
      </c>
      <c r="D3763" s="184" t="n">
        <v>18835.91</v>
      </c>
      <c r="E3763" s="184" t="n">
        <v>19026.17</v>
      </c>
      <c r="F3763" s="184" t="n">
        <v>19635.58</v>
      </c>
      <c r="G3763" s="184" t="n">
        <v>19330.88</v>
      </c>
    </row>
    <row r="3764">
      <c r="A3764" s="194" t="inlineStr">
        <is>
          <t>2026-03-10</t>
        </is>
      </c>
      <c r="B3764" s="194" t="inlineStr">
        <is>
          <t>CHF</t>
        </is>
      </c>
      <c r="C3764" s="194" t="inlineStr">
        <is>
          <t>SWISS FRANC</t>
        </is>
      </c>
      <c r="D3764" s="195" t="n">
        <v>32935.53</v>
      </c>
      <c r="E3764" s="195" t="n">
        <v>33268.21</v>
      </c>
      <c r="F3764" s="195" t="n">
        <v>34333.8</v>
      </c>
      <c r="G3764" s="195" t="n">
        <v>33801.01</v>
      </c>
    </row>
    <row r="3765">
      <c r="A3765" s="196" t="inlineStr">
        <is>
          <t>2026-03-10</t>
        </is>
      </c>
      <c r="B3765" s="196" t="inlineStr">
        <is>
          <t>CNY</t>
        </is>
      </c>
      <c r="C3765" s="196" t="inlineStr">
        <is>
          <t>YUAN RENMINBI</t>
        </is>
      </c>
      <c r="D3765" s="184" t="n">
        <v>3718.56</v>
      </c>
      <c r="E3765" s="184" t="n">
        <v>3756.12</v>
      </c>
      <c r="F3765" s="184" t="n">
        <v>3876.43</v>
      </c>
      <c r="G3765" s="184" t="n">
        <v>3816.27</v>
      </c>
    </row>
    <row r="3766">
      <c r="A3766" s="194" t="inlineStr">
        <is>
          <t>2026-03-10</t>
        </is>
      </c>
      <c r="B3766" s="194" t="inlineStr">
        <is>
          <t>DKK</t>
        </is>
      </c>
      <c r="C3766" s="194" t="inlineStr">
        <is>
          <t>DANISH KRONE</t>
        </is>
      </c>
      <c r="D3766" s="195" t="n"/>
      <c r="E3766" s="195" t="n">
        <v>4016.09</v>
      </c>
      <c r="F3766" s="195" t="n">
        <v>4169.68</v>
      </c>
      <c r="G3766" s="195" t="n">
        <v>4092.88</v>
      </c>
    </row>
    <row r="3767">
      <c r="A3767" s="196" t="inlineStr">
        <is>
          <t>2026-03-10</t>
        </is>
      </c>
      <c r="B3767" s="196" t="inlineStr">
        <is>
          <t>EUR</t>
        </is>
      </c>
      <c r="C3767" s="196" t="inlineStr">
        <is>
          <t>EURO</t>
        </is>
      </c>
      <c r="D3767" s="184" t="n">
        <v>29779.83</v>
      </c>
      <c r="E3767" s="184" t="n">
        <v>30080.64</v>
      </c>
      <c r="F3767" s="184" t="n">
        <v>31349.98</v>
      </c>
      <c r="G3767" s="184" t="n">
        <v>30715.31</v>
      </c>
    </row>
    <row r="3768">
      <c r="A3768" s="194" t="inlineStr">
        <is>
          <t>2026-03-10</t>
        </is>
      </c>
      <c r="B3768" s="194" t="inlineStr">
        <is>
          <t>GBP</t>
        </is>
      </c>
      <c r="C3768" s="194" t="inlineStr">
        <is>
          <t>POUND STERLING</t>
        </is>
      </c>
      <c r="D3768" s="195" t="n">
        <v>34419.52</v>
      </c>
      <c r="E3768" s="195" t="n">
        <v>34767.19</v>
      </c>
      <c r="F3768" s="195" t="n">
        <v>35880.79</v>
      </c>
      <c r="G3768" s="195" t="n">
        <v>35323.99</v>
      </c>
    </row>
    <row r="3769">
      <c r="A3769" s="196" t="inlineStr">
        <is>
          <t>2026-03-10</t>
        </is>
      </c>
      <c r="B3769" s="196" t="inlineStr">
        <is>
          <t>HKD</t>
        </is>
      </c>
      <c r="C3769" s="196" t="inlineStr">
        <is>
          <t>HONGKONG DOLLAR</t>
        </is>
      </c>
      <c r="D3769" s="184" t="n">
        <v>3256.07</v>
      </c>
      <c r="E3769" s="184" t="n">
        <v>3288.96</v>
      </c>
      <c r="F3769" s="184" t="n">
        <v>3414.73</v>
      </c>
      <c r="G3769" s="184" t="n">
        <v>3351.84</v>
      </c>
    </row>
    <row r="3770">
      <c r="A3770" s="194" t="inlineStr">
        <is>
          <t>2026-03-10</t>
        </is>
      </c>
      <c r="B3770" s="194" t="inlineStr">
        <is>
          <t>INR</t>
        </is>
      </c>
      <c r="C3770" s="194" t="inlineStr">
        <is>
          <t>INDIAN RUPEE</t>
        </is>
      </c>
      <c r="D3770" s="195" t="n"/>
      <c r="E3770" s="195" t="n">
        <v>283.95</v>
      </c>
      <c r="F3770" s="195" t="n">
        <v>296.17</v>
      </c>
      <c r="G3770" s="195" t="n">
        <v>290.06</v>
      </c>
    </row>
    <row r="3771">
      <c r="A3771" s="196" t="inlineStr">
        <is>
          <t>2026-03-10</t>
        </is>
      </c>
      <c r="B3771" s="196" t="inlineStr">
        <is>
          <t>JPY</t>
        </is>
      </c>
      <c r="C3771" s="196" t="inlineStr">
        <is>
          <t>YEN</t>
        </is>
      </c>
      <c r="D3771" s="184" t="n">
        <v>160.85</v>
      </c>
      <c r="E3771" s="184" t="n">
        <v>162.48</v>
      </c>
      <c r="F3771" s="184" t="n">
        <v>171.07</v>
      </c>
      <c r="G3771" s="184" t="n">
        <v>166.77</v>
      </c>
    </row>
    <row r="3772">
      <c r="A3772" s="194" t="inlineStr">
        <is>
          <t>2026-03-10</t>
        </is>
      </c>
      <c r="B3772" s="194" t="inlineStr">
        <is>
          <t>KRW</t>
        </is>
      </c>
      <c r="C3772" s="194" t="inlineStr">
        <is>
          <t>KOREAN WON</t>
        </is>
      </c>
      <c r="D3772" s="195" t="n">
        <v>15.48</v>
      </c>
      <c r="E3772" s="195" t="n">
        <v>17.2</v>
      </c>
      <c r="F3772" s="195" t="n">
        <v>18.66</v>
      </c>
      <c r="G3772" s="195" t="n">
        <v>17.93</v>
      </c>
    </row>
    <row r="3773">
      <c r="A3773" s="196" t="inlineStr">
        <is>
          <t>2026-03-10</t>
        </is>
      </c>
      <c r="B3773" s="196" t="inlineStr">
        <is>
          <t>KWD</t>
        </is>
      </c>
      <c r="C3773" s="196" t="inlineStr">
        <is>
          <t>KUWAITI DINAR</t>
        </is>
      </c>
      <c r="D3773" s="184" t="n"/>
      <c r="E3773" s="184" t="n">
        <v>85111.5</v>
      </c>
      <c r="F3773" s="184" t="n">
        <v>89237.13</v>
      </c>
      <c r="G3773" s="184" t="n">
        <v>87174.32000000001</v>
      </c>
    </row>
    <row r="3774">
      <c r="A3774" s="194" t="inlineStr">
        <is>
          <t>2026-03-10</t>
        </is>
      </c>
      <c r="B3774" s="194" t="inlineStr">
        <is>
          <t>MYR</t>
        </is>
      </c>
      <c r="C3774" s="194" t="inlineStr">
        <is>
          <t>MALAYSIAN RINGGIT</t>
        </is>
      </c>
      <c r="D3774" s="195" t="n"/>
      <c r="E3774" s="195" t="n">
        <v>6610.75</v>
      </c>
      <c r="F3774" s="195" t="n">
        <v>6754.6</v>
      </c>
      <c r="G3774" s="195" t="n">
        <v>6682.68</v>
      </c>
    </row>
    <row r="3775">
      <c r="A3775" s="196" t="inlineStr">
        <is>
          <t>2026-03-10</t>
        </is>
      </c>
      <c r="B3775" s="196" t="inlineStr">
        <is>
          <t>NOK</t>
        </is>
      </c>
      <c r="C3775" s="196" t="inlineStr">
        <is>
          <t>NORWEGIAN KRONER</t>
        </is>
      </c>
      <c r="D3775" s="184" t="n"/>
      <c r="E3775" s="184" t="n">
        <v>2674.82</v>
      </c>
      <c r="F3775" s="184" t="n">
        <v>2788.24</v>
      </c>
      <c r="G3775" s="184" t="n">
        <v>2731.53</v>
      </c>
    </row>
    <row r="3776">
      <c r="A3776" s="194" t="inlineStr">
        <is>
          <t>2026-03-10</t>
        </is>
      </c>
      <c r="B3776" s="194" t="inlineStr">
        <is>
          <t>RUB</t>
        </is>
      </c>
      <c r="C3776" s="194" t="inlineStr">
        <is>
          <t>RUSSIAN RUBLE</t>
        </is>
      </c>
      <c r="D3776" s="195" t="n"/>
      <c r="E3776" s="195" t="n">
        <v>316.45</v>
      </c>
      <c r="F3776" s="195" t="n">
        <v>350.3</v>
      </c>
      <c r="G3776" s="195" t="n">
        <v>333.38</v>
      </c>
    </row>
    <row r="3777">
      <c r="A3777" s="196" t="inlineStr">
        <is>
          <t>2026-03-10</t>
        </is>
      </c>
      <c r="B3777" s="196" t="inlineStr">
        <is>
          <t>SAR</t>
        </is>
      </c>
      <c r="C3777" s="196" t="inlineStr">
        <is>
          <t>SAUDI RIAL</t>
        </is>
      </c>
      <c r="D3777" s="184" t="n"/>
      <c r="E3777" s="184" t="n">
        <v>6946.72</v>
      </c>
      <c r="F3777" s="184" t="n">
        <v>7245.71</v>
      </c>
      <c r="G3777" s="184" t="n">
        <v>7096.22</v>
      </c>
    </row>
    <row r="3778">
      <c r="A3778" s="194" t="inlineStr">
        <is>
          <t>2026-03-10</t>
        </is>
      </c>
      <c r="B3778" s="194" t="inlineStr">
        <is>
          <t>SEK</t>
        </is>
      </c>
      <c r="C3778" s="194" t="inlineStr">
        <is>
          <t>SWEDISH KRONA</t>
        </is>
      </c>
      <c r="D3778" s="195" t="n"/>
      <c r="E3778" s="195" t="n">
        <v>2819.79</v>
      </c>
      <c r="F3778" s="195" t="n">
        <v>2939.36</v>
      </c>
      <c r="G3778" s="195" t="n">
        <v>2879.58</v>
      </c>
    </row>
    <row r="3779">
      <c r="A3779" s="196" t="inlineStr">
        <is>
          <t>2026-03-10</t>
        </is>
      </c>
      <c r="B3779" s="196" t="inlineStr">
        <is>
          <t>SGD</t>
        </is>
      </c>
      <c r="C3779" s="196" t="inlineStr">
        <is>
          <t>SINGAPORE DOLLAR</t>
        </is>
      </c>
      <c r="D3779" s="184" t="n">
        <v>20086.17</v>
      </c>
      <c r="E3779" s="184" t="n">
        <v>20289.06</v>
      </c>
      <c r="F3779" s="184" t="n">
        <v>20980.85</v>
      </c>
      <c r="G3779" s="184" t="n">
        <v>20634.96</v>
      </c>
    </row>
    <row r="3780">
      <c r="A3780" s="194" t="inlineStr">
        <is>
          <t>2026-03-10</t>
        </is>
      </c>
      <c r="B3780" s="194" t="inlineStr">
        <is>
          <t>THB</t>
        </is>
      </c>
      <c r="C3780" s="194" t="inlineStr">
        <is>
          <t>THAILAND BAHT</t>
        </is>
      </c>
      <c r="D3780" s="195" t="n">
        <v>732.27</v>
      </c>
      <c r="E3780" s="195" t="n">
        <v>813.63</v>
      </c>
      <c r="F3780" s="195" t="n">
        <v>848.13</v>
      </c>
      <c r="G3780" s="195" t="n">
        <v>830.88</v>
      </c>
    </row>
    <row r="3781">
      <c r="A3781" s="196" t="inlineStr">
        <is>
          <t>2026-03-10</t>
        </is>
      </c>
      <c r="B3781" s="196" t="inlineStr">
        <is>
          <t>USD</t>
        </is>
      </c>
      <c r="C3781" s="196" t="inlineStr">
        <is>
          <t>US DOLLAR</t>
        </is>
      </c>
      <c r="D3781" s="184" t="n">
        <v>25985</v>
      </c>
      <c r="E3781" s="184" t="n">
        <v>26015</v>
      </c>
      <c r="F3781" s="184" t="n">
        <v>26315</v>
      </c>
      <c r="G3781" s="184" t="n">
        <v>26165</v>
      </c>
    </row>
    <row r="3782">
      <c r="A3782" s="194" t="inlineStr">
        <is>
          <t>2026-03-09</t>
        </is>
      </c>
      <c r="B3782" s="194" t="inlineStr">
        <is>
          <t>AUD</t>
        </is>
      </c>
      <c r="C3782" s="194" t="inlineStr">
        <is>
          <t>AUSTRALIAN DOLLAR</t>
        </is>
      </c>
      <c r="D3782" s="195" t="n">
        <v>17883.36</v>
      </c>
      <c r="E3782" s="195" t="n">
        <v>18064</v>
      </c>
      <c r="F3782" s="195" t="n">
        <v>18642.52</v>
      </c>
      <c r="G3782" s="195" t="n">
        <v>18353.26</v>
      </c>
    </row>
    <row r="3783">
      <c r="A3783" s="196" t="inlineStr">
        <is>
          <t>2026-03-09</t>
        </is>
      </c>
      <c r="B3783" s="196" t="inlineStr">
        <is>
          <t>CAD</t>
        </is>
      </c>
      <c r="C3783" s="196" t="inlineStr">
        <is>
          <t>CANADIAN DOLLAR</t>
        </is>
      </c>
      <c r="D3783" s="184" t="n">
        <v>18870.94</v>
      </c>
      <c r="E3783" s="184" t="n">
        <v>19061.55</v>
      </c>
      <c r="F3783" s="184" t="n">
        <v>19672.01</v>
      </c>
      <c r="G3783" s="184" t="n">
        <v>19366.78</v>
      </c>
    </row>
    <row r="3784">
      <c r="A3784" s="194" t="inlineStr">
        <is>
          <t>2026-03-09</t>
        </is>
      </c>
      <c r="B3784" s="194" t="inlineStr">
        <is>
          <t>CHF</t>
        </is>
      </c>
      <c r="C3784" s="194" t="inlineStr">
        <is>
          <t>SWISS FRANC</t>
        </is>
      </c>
      <c r="D3784" s="195" t="n">
        <v>32791.09</v>
      </c>
      <c r="E3784" s="195" t="n">
        <v>33122.31</v>
      </c>
      <c r="F3784" s="195" t="n">
        <v>34183.08</v>
      </c>
      <c r="G3784" s="195" t="n">
        <v>33652.7</v>
      </c>
    </row>
    <row r="3785">
      <c r="A3785" s="196" t="inlineStr">
        <is>
          <t>2026-03-09</t>
        </is>
      </c>
      <c r="B3785" s="196" t="inlineStr">
        <is>
          <t>CNY</t>
        </is>
      </c>
      <c r="C3785" s="196" t="inlineStr">
        <is>
          <t>YUAN RENMINBI</t>
        </is>
      </c>
      <c r="D3785" s="184" t="n">
        <v>3701.99</v>
      </c>
      <c r="E3785" s="184" t="n">
        <v>3739.38</v>
      </c>
      <c r="F3785" s="184" t="n">
        <v>3859.14</v>
      </c>
      <c r="G3785" s="184" t="n">
        <v>3799.26</v>
      </c>
    </row>
    <row r="3786">
      <c r="A3786" s="194" t="inlineStr">
        <is>
          <t>2026-03-09</t>
        </is>
      </c>
      <c r="B3786" s="194" t="inlineStr">
        <is>
          <t>DKK</t>
        </is>
      </c>
      <c r="C3786" s="194" t="inlineStr">
        <is>
          <t>DANISH KRONE</t>
        </is>
      </c>
      <c r="D3786" s="195" t="n"/>
      <c r="E3786" s="195" t="n">
        <v>3980.06</v>
      </c>
      <c r="F3786" s="195" t="n">
        <v>4132.25</v>
      </c>
      <c r="G3786" s="195" t="n">
        <v>4056.16</v>
      </c>
    </row>
    <row r="3787">
      <c r="A3787" s="196" t="inlineStr">
        <is>
          <t>2026-03-09</t>
        </is>
      </c>
      <c r="B3787" s="196" t="inlineStr">
        <is>
          <t>EUR</t>
        </is>
      </c>
      <c r="C3787" s="196" t="inlineStr">
        <is>
          <t>EURO</t>
        </is>
      </c>
      <c r="D3787" s="184" t="n">
        <v>29505.88</v>
      </c>
      <c r="E3787" s="184" t="n">
        <v>29803.92</v>
      </c>
      <c r="F3787" s="184" t="n">
        <v>31061.45</v>
      </c>
      <c r="G3787" s="184" t="n">
        <v>30432.68</v>
      </c>
    </row>
    <row r="3788">
      <c r="A3788" s="194" t="inlineStr">
        <is>
          <t>2026-03-09</t>
        </is>
      </c>
      <c r="B3788" s="194" t="inlineStr">
        <is>
          <t>GBP</t>
        </is>
      </c>
      <c r="C3788" s="194" t="inlineStr">
        <is>
          <t>POUND STERLING</t>
        </is>
      </c>
      <c r="D3788" s="195" t="n">
        <v>34063.18</v>
      </c>
      <c r="E3788" s="195" t="n">
        <v>34407.25</v>
      </c>
      <c r="F3788" s="195" t="n">
        <v>35509.17</v>
      </c>
      <c r="G3788" s="195" t="n">
        <v>34958.21</v>
      </c>
    </row>
    <row r="3789">
      <c r="A3789" s="196" t="inlineStr">
        <is>
          <t>2026-03-09</t>
        </is>
      </c>
      <c r="B3789" s="196" t="inlineStr">
        <is>
          <t>HKD</t>
        </is>
      </c>
      <c r="C3789" s="196" t="inlineStr">
        <is>
          <t>HONGKONG DOLLAR</t>
        </is>
      </c>
      <c r="D3789" s="184" t="n">
        <v>3268.61</v>
      </c>
      <c r="E3789" s="184" t="n">
        <v>3301.62</v>
      </c>
      <c r="F3789" s="184" t="n">
        <v>3427.87</v>
      </c>
      <c r="G3789" s="184" t="n">
        <v>3364.74</v>
      </c>
    </row>
    <row r="3790">
      <c r="A3790" s="194" t="inlineStr">
        <is>
          <t>2026-03-09</t>
        </is>
      </c>
      <c r="B3790" s="194" t="inlineStr">
        <is>
          <t>INR</t>
        </is>
      </c>
      <c r="C3790" s="194" t="inlineStr">
        <is>
          <t>INDIAN RUPEE</t>
        </is>
      </c>
      <c r="D3790" s="195" t="n"/>
      <c r="E3790" s="195" t="n">
        <v>283.29</v>
      </c>
      <c r="F3790" s="195" t="n">
        <v>295.49</v>
      </c>
      <c r="G3790" s="195" t="n">
        <v>289.39</v>
      </c>
    </row>
    <row r="3791">
      <c r="A3791" s="196" t="inlineStr">
        <is>
          <t>2026-03-09</t>
        </is>
      </c>
      <c r="B3791" s="196" t="inlineStr">
        <is>
          <t>JPY</t>
        </is>
      </c>
      <c r="C3791" s="196" t="inlineStr">
        <is>
          <t>YEN</t>
        </is>
      </c>
      <c r="D3791" s="184" t="n">
        <v>159.93</v>
      </c>
      <c r="E3791" s="184" t="n">
        <v>161.55</v>
      </c>
      <c r="F3791" s="184" t="n">
        <v>170.09</v>
      </c>
      <c r="G3791" s="184" t="n">
        <v>165.82</v>
      </c>
    </row>
    <row r="3792">
      <c r="A3792" s="194" t="inlineStr">
        <is>
          <t>2026-03-09</t>
        </is>
      </c>
      <c r="B3792" s="194" t="inlineStr">
        <is>
          <t>KRW</t>
        </is>
      </c>
      <c r="C3792" s="194" t="inlineStr">
        <is>
          <t>KOREAN WON</t>
        </is>
      </c>
      <c r="D3792" s="195" t="n">
        <v>15.21</v>
      </c>
      <c r="E3792" s="195" t="n">
        <v>16.9</v>
      </c>
      <c r="F3792" s="195" t="n">
        <v>18.34</v>
      </c>
      <c r="G3792" s="195" t="n">
        <v>17.62</v>
      </c>
    </row>
    <row r="3793">
      <c r="A3793" s="196" t="inlineStr">
        <is>
          <t>2026-03-09</t>
        </is>
      </c>
      <c r="B3793" s="196" t="inlineStr">
        <is>
          <t>KWD</t>
        </is>
      </c>
      <c r="C3793" s="196" t="inlineStr">
        <is>
          <t>KUWAITI DINAR</t>
        </is>
      </c>
      <c r="D3793" s="184" t="n"/>
      <c r="E3793" s="184" t="n">
        <v>85422.56</v>
      </c>
      <c r="F3793" s="184" t="n">
        <v>89562.91</v>
      </c>
      <c r="G3793" s="184" t="n">
        <v>87492.74000000001</v>
      </c>
    </row>
    <row r="3794">
      <c r="A3794" s="194" t="inlineStr">
        <is>
          <t>2026-03-09</t>
        </is>
      </c>
      <c r="B3794" s="194" t="inlineStr">
        <is>
          <t>MYR</t>
        </is>
      </c>
      <c r="C3794" s="194" t="inlineStr">
        <is>
          <t>MALAYSIAN RINGGIT</t>
        </is>
      </c>
      <c r="D3794" s="195" t="n"/>
      <c r="E3794" s="195" t="n">
        <v>6558.22</v>
      </c>
      <c r="F3794" s="195" t="n">
        <v>6700.9</v>
      </c>
      <c r="G3794" s="195" t="n">
        <v>6629.56</v>
      </c>
    </row>
    <row r="3795">
      <c r="A3795" s="196" t="inlineStr">
        <is>
          <t>2026-03-09</t>
        </is>
      </c>
      <c r="B3795" s="196" t="inlineStr">
        <is>
          <t>NOK</t>
        </is>
      </c>
      <c r="C3795" s="196" t="inlineStr">
        <is>
          <t>NORWEGIAN KRONER</t>
        </is>
      </c>
      <c r="D3795" s="184" t="n"/>
      <c r="E3795" s="184" t="n">
        <v>2670.56</v>
      </c>
      <c r="F3795" s="184" t="n">
        <v>2783.8</v>
      </c>
      <c r="G3795" s="184" t="n">
        <v>2727.18</v>
      </c>
    </row>
    <row r="3796">
      <c r="A3796" s="194" t="inlineStr">
        <is>
          <t>2026-03-09</t>
        </is>
      </c>
      <c r="B3796" s="194" t="inlineStr">
        <is>
          <t>RUB</t>
        </is>
      </c>
      <c r="C3796" s="194" t="inlineStr">
        <is>
          <t>RUSSIAN RUBLE</t>
        </is>
      </c>
      <c r="D3796" s="195" t="n"/>
      <c r="E3796" s="195" t="n">
        <v>316.71</v>
      </c>
      <c r="F3796" s="195" t="n">
        <v>350.59</v>
      </c>
      <c r="G3796" s="195" t="n">
        <v>333.65</v>
      </c>
    </row>
    <row r="3797">
      <c r="A3797" s="196" t="inlineStr">
        <is>
          <t>2026-03-09</t>
        </is>
      </c>
      <c r="B3797" s="196" t="inlineStr">
        <is>
          <t>SAR</t>
        </is>
      </c>
      <c r="C3797" s="196" t="inlineStr">
        <is>
          <t>SAUDI RIAL</t>
        </is>
      </c>
      <c r="D3797" s="184" t="n"/>
      <c r="E3797" s="184" t="n">
        <v>6964.91</v>
      </c>
      <c r="F3797" s="184" t="n">
        <v>7264.65</v>
      </c>
      <c r="G3797" s="184" t="n">
        <v>7114.78</v>
      </c>
    </row>
    <row r="3798">
      <c r="A3798" s="194" t="inlineStr">
        <is>
          <t>2026-03-09</t>
        </is>
      </c>
      <c r="B3798" s="194" t="inlineStr">
        <is>
          <t>SEK</t>
        </is>
      </c>
      <c r="C3798" s="194" t="inlineStr">
        <is>
          <t>SWEDISH KRONA</t>
        </is>
      </c>
      <c r="D3798" s="195" t="n"/>
      <c r="E3798" s="195" t="n">
        <v>2773.64</v>
      </c>
      <c r="F3798" s="195" t="n">
        <v>2891.24</v>
      </c>
      <c r="G3798" s="195" t="n">
        <v>2832.44</v>
      </c>
    </row>
    <row r="3799">
      <c r="A3799" s="196" t="inlineStr">
        <is>
          <t>2026-03-09</t>
        </is>
      </c>
      <c r="B3799" s="196" t="inlineStr">
        <is>
          <t>SGD</t>
        </is>
      </c>
      <c r="C3799" s="196" t="inlineStr">
        <is>
          <t>SINGAPORE DOLLAR</t>
        </is>
      </c>
      <c r="D3799" s="184" t="n">
        <v>19951.47</v>
      </c>
      <c r="E3799" s="184" t="n">
        <v>20153</v>
      </c>
      <c r="F3799" s="184" t="n">
        <v>20840.07</v>
      </c>
      <c r="G3799" s="184" t="n">
        <v>20496.54</v>
      </c>
    </row>
    <row r="3800">
      <c r="A3800" s="194" t="inlineStr">
        <is>
          <t>2026-03-09</t>
        </is>
      </c>
      <c r="B3800" s="194" t="inlineStr">
        <is>
          <t>THB</t>
        </is>
      </c>
      <c r="C3800" s="194" t="inlineStr">
        <is>
          <t>THAILAND BAHT</t>
        </is>
      </c>
      <c r="D3800" s="195" t="n">
        <v>720.08</v>
      </c>
      <c r="E3800" s="195" t="n">
        <v>800.09</v>
      </c>
      <c r="F3800" s="195" t="n">
        <v>834.01</v>
      </c>
      <c r="G3800" s="195" t="n">
        <v>817.05</v>
      </c>
    </row>
    <row r="3801">
      <c r="A3801" s="196" t="inlineStr">
        <is>
          <t>2026-03-09</t>
        </is>
      </c>
      <c r="B3801" s="196" t="inlineStr">
        <is>
          <t>USD</t>
        </is>
      </c>
      <c r="C3801" s="196" t="inlineStr">
        <is>
          <t>US DOLLAR</t>
        </is>
      </c>
      <c r="D3801" s="184" t="n">
        <v>26041</v>
      </c>
      <c r="E3801" s="184" t="n">
        <v>26071</v>
      </c>
      <c r="F3801" s="184" t="n">
        <v>26311</v>
      </c>
      <c r="G3801" s="184" t="n">
        <v>26191</v>
      </c>
    </row>
    <row r="3802">
      <c r="A3802" s="194" t="inlineStr">
        <is>
          <t>2026-03-08</t>
        </is>
      </c>
      <c r="B3802" s="194" t="inlineStr">
        <is>
          <t>AUD</t>
        </is>
      </c>
      <c r="C3802" s="194" t="inlineStr">
        <is>
          <t>AUSTRALIAN DOLLAR</t>
        </is>
      </c>
      <c r="D3802" s="195" t="n">
        <v>17944.75</v>
      </c>
      <c r="E3802" s="195" t="n">
        <v>18126.01</v>
      </c>
      <c r="F3802" s="195" t="n">
        <v>18706.58</v>
      </c>
      <c r="G3802" s="195" t="n">
        <v>18416.29</v>
      </c>
    </row>
    <row r="3803">
      <c r="A3803" s="196" t="inlineStr">
        <is>
          <t>2026-03-08</t>
        </is>
      </c>
      <c r="B3803" s="196" t="inlineStr">
        <is>
          <t>CAD</t>
        </is>
      </c>
      <c r="C3803" s="196" t="inlineStr">
        <is>
          <t>CANADIAN DOLLAR</t>
        </is>
      </c>
      <c r="D3803" s="184" t="n">
        <v>18713.44</v>
      </c>
      <c r="E3803" s="184" t="n">
        <v>18902.47</v>
      </c>
      <c r="F3803" s="184" t="n">
        <v>19507.9</v>
      </c>
      <c r="G3803" s="184" t="n">
        <v>19205.19</v>
      </c>
    </row>
    <row r="3804">
      <c r="A3804" s="194" t="inlineStr">
        <is>
          <t>2026-03-08</t>
        </is>
      </c>
      <c r="B3804" s="194" t="inlineStr">
        <is>
          <t>CHF</t>
        </is>
      </c>
      <c r="C3804" s="194" t="inlineStr">
        <is>
          <t>SWISS FRANC</t>
        </is>
      </c>
      <c r="D3804" s="195" t="n">
        <v>32758.12</v>
      </c>
      <c r="E3804" s="195" t="n">
        <v>33089.01</v>
      </c>
      <c r="F3804" s="195" t="n">
        <v>34148.83</v>
      </c>
      <c r="G3804" s="195" t="n">
        <v>33618.92</v>
      </c>
    </row>
    <row r="3805">
      <c r="A3805" s="196" t="inlineStr">
        <is>
          <t>2026-03-08</t>
        </is>
      </c>
      <c r="B3805" s="196" t="inlineStr">
        <is>
          <t>CNY</t>
        </is>
      </c>
      <c r="C3805" s="196" t="inlineStr">
        <is>
          <t>YUAN RENMINBI</t>
        </is>
      </c>
      <c r="D3805" s="184" t="n">
        <v>3709.72</v>
      </c>
      <c r="E3805" s="184" t="n">
        <v>3747.19</v>
      </c>
      <c r="F3805" s="184" t="n">
        <v>3867.21</v>
      </c>
      <c r="G3805" s="184" t="n">
        <v>3807.2</v>
      </c>
    </row>
    <row r="3806">
      <c r="A3806" s="194" t="inlineStr">
        <is>
          <t>2026-03-08</t>
        </is>
      </c>
      <c r="B3806" s="194" t="inlineStr">
        <is>
          <t>DKK</t>
        </is>
      </c>
      <c r="C3806" s="194" t="inlineStr">
        <is>
          <t>DANISH KRONE</t>
        </is>
      </c>
      <c r="D3806" s="195" t="n"/>
      <c r="E3806" s="195" t="n">
        <v>4001.52</v>
      </c>
      <c r="F3806" s="195" t="n">
        <v>4154.54</v>
      </c>
      <c r="G3806" s="195" t="n">
        <v>4078.03</v>
      </c>
    </row>
    <row r="3807">
      <c r="A3807" s="196" t="inlineStr">
        <is>
          <t>2026-03-08</t>
        </is>
      </c>
      <c r="B3807" s="196" t="inlineStr">
        <is>
          <t>EUR</t>
        </is>
      </c>
      <c r="C3807" s="196" t="inlineStr">
        <is>
          <t>EURO</t>
        </is>
      </c>
      <c r="D3807" s="184" t="n">
        <v>29673.63</v>
      </c>
      <c r="E3807" s="184" t="n">
        <v>29973.36</v>
      </c>
      <c r="F3807" s="184" t="n">
        <v>31238.16</v>
      </c>
      <c r="G3807" s="184" t="n">
        <v>30605.76</v>
      </c>
    </row>
    <row r="3808">
      <c r="A3808" s="194" t="inlineStr">
        <is>
          <t>2026-03-08</t>
        </is>
      </c>
      <c r="B3808" s="194" t="inlineStr">
        <is>
          <t>GBP</t>
        </is>
      </c>
      <c r="C3808" s="194" t="inlineStr">
        <is>
          <t>POUND STERLING</t>
        </is>
      </c>
      <c r="D3808" s="195" t="n">
        <v>34148.95</v>
      </c>
      <c r="E3808" s="195" t="n">
        <v>34493.89</v>
      </c>
      <c r="F3808" s="195" t="n">
        <v>35598.71</v>
      </c>
      <c r="G3808" s="195" t="n">
        <v>35046.3</v>
      </c>
    </row>
    <row r="3809">
      <c r="A3809" s="196" t="inlineStr">
        <is>
          <t>2026-03-08</t>
        </is>
      </c>
      <c r="B3809" s="196" t="inlineStr">
        <is>
          <t>HKD</t>
        </is>
      </c>
      <c r="C3809" s="196" t="inlineStr">
        <is>
          <t>HONGKONG DOLLAR</t>
        </is>
      </c>
      <c r="D3809" s="184" t="n">
        <v>3259.85</v>
      </c>
      <c r="E3809" s="184" t="n">
        <v>3292.78</v>
      </c>
      <c r="F3809" s="184" t="n">
        <v>3418.7</v>
      </c>
      <c r="G3809" s="184" t="n">
        <v>3355.74</v>
      </c>
    </row>
    <row r="3810">
      <c r="A3810" s="194" t="inlineStr">
        <is>
          <t>2026-03-08</t>
        </is>
      </c>
      <c r="B3810" s="194" t="inlineStr">
        <is>
          <t>INR</t>
        </is>
      </c>
      <c r="C3810" s="194" t="inlineStr">
        <is>
          <t>INDIAN RUPEE</t>
        </is>
      </c>
      <c r="D3810" s="195" t="n"/>
      <c r="E3810" s="195" t="n">
        <v>284.22</v>
      </c>
      <c r="F3810" s="195" t="n">
        <v>296.46</v>
      </c>
      <c r="G3810" s="195" t="n">
        <v>290.34</v>
      </c>
    </row>
    <row r="3811">
      <c r="A3811" s="196" t="inlineStr">
        <is>
          <t>2026-03-08</t>
        </is>
      </c>
      <c r="B3811" s="196" t="inlineStr">
        <is>
          <t>JPY</t>
        </is>
      </c>
      <c r="C3811" s="196" t="inlineStr">
        <is>
          <t>YEN</t>
        </is>
      </c>
      <c r="D3811" s="184" t="n">
        <v>160.78</v>
      </c>
      <c r="E3811" s="184" t="n">
        <v>162.41</v>
      </c>
      <c r="F3811" s="184" t="n">
        <v>170.99</v>
      </c>
      <c r="G3811" s="184" t="n">
        <v>166.7</v>
      </c>
    </row>
    <row r="3812">
      <c r="A3812" s="194" t="inlineStr">
        <is>
          <t>2026-03-08</t>
        </is>
      </c>
      <c r="B3812" s="194" t="inlineStr">
        <is>
          <t>KRW</t>
        </is>
      </c>
      <c r="C3812" s="194" t="inlineStr">
        <is>
          <t>KOREAN WON</t>
        </is>
      </c>
      <c r="D3812" s="195" t="n">
        <v>15.33</v>
      </c>
      <c r="E3812" s="195" t="n">
        <v>17.03</v>
      </c>
      <c r="F3812" s="195" t="n">
        <v>18.48</v>
      </c>
      <c r="G3812" s="195" t="n">
        <v>17.76</v>
      </c>
    </row>
    <row r="3813">
      <c r="A3813" s="196" t="inlineStr">
        <is>
          <t>2026-03-08</t>
        </is>
      </c>
      <c r="B3813" s="196" t="inlineStr">
        <is>
          <t>KWD</t>
        </is>
      </c>
      <c r="C3813" s="196" t="inlineStr">
        <is>
          <t>KUWAITI DINAR</t>
        </is>
      </c>
      <c r="D3813" s="184" t="n"/>
      <c r="E3813" s="184" t="n">
        <v>85171.78999999999</v>
      </c>
      <c r="F3813" s="184" t="n">
        <v>89300.28999999999</v>
      </c>
      <c r="G3813" s="184" t="n">
        <v>87236.03999999999</v>
      </c>
    </row>
    <row r="3814">
      <c r="A3814" s="194" t="inlineStr">
        <is>
          <t>2026-03-08</t>
        </is>
      </c>
      <c r="B3814" s="194" t="inlineStr">
        <is>
          <t>MYR</t>
        </is>
      </c>
      <c r="C3814" s="194" t="inlineStr">
        <is>
          <t>MALAYSIAN RINGGIT</t>
        </is>
      </c>
      <c r="D3814" s="195" t="n"/>
      <c r="E3814" s="195" t="n">
        <v>6578.07</v>
      </c>
      <c r="F3814" s="195" t="n">
        <v>6721.2</v>
      </c>
      <c r="G3814" s="195" t="n">
        <v>6649.64</v>
      </c>
    </row>
    <row r="3815">
      <c r="A3815" s="196" t="inlineStr">
        <is>
          <t>2026-03-08</t>
        </is>
      </c>
      <c r="B3815" s="196" t="inlineStr">
        <is>
          <t>NOK</t>
        </is>
      </c>
      <c r="C3815" s="196" t="inlineStr">
        <is>
          <t>NORWEGIAN KRONER</t>
        </is>
      </c>
      <c r="D3815" s="184" t="n"/>
      <c r="E3815" s="184" t="n">
        <v>2660.02</v>
      </c>
      <c r="F3815" s="184" t="n">
        <v>2772.82</v>
      </c>
      <c r="G3815" s="184" t="n">
        <v>2716.42</v>
      </c>
    </row>
    <row r="3816">
      <c r="A3816" s="194" t="inlineStr">
        <is>
          <t>2026-03-08</t>
        </is>
      </c>
      <c r="B3816" s="194" t="inlineStr">
        <is>
          <t>RUB</t>
        </is>
      </c>
      <c r="C3816" s="194" t="inlineStr">
        <is>
          <t>RUSSIAN RUBLE</t>
        </is>
      </c>
      <c r="D3816" s="195" t="n"/>
      <c r="E3816" s="195" t="n">
        <v>317.3</v>
      </c>
      <c r="F3816" s="195" t="n">
        <v>351.23</v>
      </c>
      <c r="G3816" s="195" t="n">
        <v>334.26</v>
      </c>
    </row>
    <row r="3817">
      <c r="A3817" s="196" t="inlineStr">
        <is>
          <t>2026-03-08</t>
        </is>
      </c>
      <c r="B3817" s="196" t="inlineStr">
        <is>
          <t>SAR</t>
        </is>
      </c>
      <c r="C3817" s="196" t="inlineStr">
        <is>
          <t>SAUDI RIAL</t>
        </is>
      </c>
      <c r="D3817" s="184" t="n"/>
      <c r="E3817" s="184" t="n">
        <v>6950.85</v>
      </c>
      <c r="F3817" s="184" t="n">
        <v>7250.02</v>
      </c>
      <c r="G3817" s="184" t="n">
        <v>7100.44</v>
      </c>
    </row>
    <row r="3818">
      <c r="A3818" s="194" t="inlineStr">
        <is>
          <t>2026-03-08</t>
        </is>
      </c>
      <c r="B3818" s="194" t="inlineStr">
        <is>
          <t>SEK</t>
        </is>
      </c>
      <c r="C3818" s="194" t="inlineStr">
        <is>
          <t>SWEDISH KRONA</t>
        </is>
      </c>
      <c r="D3818" s="195" t="n"/>
      <c r="E3818" s="195" t="n">
        <v>2787.08</v>
      </c>
      <c r="F3818" s="195" t="n">
        <v>2905.27</v>
      </c>
      <c r="G3818" s="195" t="n">
        <v>2846.18</v>
      </c>
    </row>
    <row r="3819">
      <c r="A3819" s="196" t="inlineStr">
        <is>
          <t>2026-03-08</t>
        </is>
      </c>
      <c r="B3819" s="196" t="inlineStr">
        <is>
          <t>SGD</t>
        </is>
      </c>
      <c r="C3819" s="196" t="inlineStr">
        <is>
          <t>SINGAPORE DOLLAR</t>
        </is>
      </c>
      <c r="D3819" s="184" t="n">
        <v>19961.91</v>
      </c>
      <c r="E3819" s="184" t="n">
        <v>20163.55</v>
      </c>
      <c r="F3819" s="184" t="n">
        <v>20851.05</v>
      </c>
      <c r="G3819" s="184" t="n">
        <v>20507.3</v>
      </c>
    </row>
    <row r="3820">
      <c r="A3820" s="194" t="inlineStr">
        <is>
          <t>2026-03-08</t>
        </is>
      </c>
      <c r="B3820" s="194" t="inlineStr">
        <is>
          <t>THB</t>
        </is>
      </c>
      <c r="C3820" s="194" t="inlineStr">
        <is>
          <t>THAILAND BAHT</t>
        </is>
      </c>
      <c r="D3820" s="195" t="n">
        <v>728.85</v>
      </c>
      <c r="E3820" s="195" t="n">
        <v>809.84</v>
      </c>
      <c r="F3820" s="195" t="n">
        <v>844.1799999999999</v>
      </c>
      <c r="G3820" s="195" t="n">
        <v>827.01</v>
      </c>
    </row>
    <row r="3821">
      <c r="A3821" s="196" t="inlineStr">
        <is>
          <t>2026-03-08</t>
        </is>
      </c>
      <c r="B3821" s="196" t="inlineStr">
        <is>
          <t>USD</t>
        </is>
      </c>
      <c r="C3821" s="196" t="inlineStr">
        <is>
          <t>US DOLLAR</t>
        </is>
      </c>
      <c r="D3821" s="184" t="n">
        <v>25999</v>
      </c>
      <c r="E3821" s="184" t="n">
        <v>26029</v>
      </c>
      <c r="F3821" s="184" t="n">
        <v>26309</v>
      </c>
      <c r="G3821" s="184" t="n">
        <v>26169</v>
      </c>
    </row>
    <row r="3822">
      <c r="A3822" s="194" t="inlineStr">
        <is>
          <t>2026-03-07</t>
        </is>
      </c>
      <c r="B3822" s="194" t="inlineStr">
        <is>
          <t>AUD</t>
        </is>
      </c>
      <c r="C3822" s="194" t="inlineStr">
        <is>
          <t>AUSTRALIAN DOLLAR</t>
        </is>
      </c>
      <c r="D3822" s="195" t="n">
        <v>17944.75</v>
      </c>
      <c r="E3822" s="195" t="n">
        <v>18126.01</v>
      </c>
      <c r="F3822" s="195" t="n">
        <v>18706.58</v>
      </c>
      <c r="G3822" s="195" t="n">
        <v>18416.29</v>
      </c>
    </row>
    <row r="3823">
      <c r="A3823" s="196" t="inlineStr">
        <is>
          <t>2026-03-07</t>
        </is>
      </c>
      <c r="B3823" s="196" t="inlineStr">
        <is>
          <t>CAD</t>
        </is>
      </c>
      <c r="C3823" s="196" t="inlineStr">
        <is>
          <t>CANADIAN DOLLAR</t>
        </is>
      </c>
      <c r="D3823" s="184" t="n">
        <v>18713.44</v>
      </c>
      <c r="E3823" s="184" t="n">
        <v>18902.47</v>
      </c>
      <c r="F3823" s="184" t="n">
        <v>19507.9</v>
      </c>
      <c r="G3823" s="184" t="n">
        <v>19205.19</v>
      </c>
    </row>
    <row r="3824">
      <c r="A3824" s="194" t="inlineStr">
        <is>
          <t>2026-03-07</t>
        </is>
      </c>
      <c r="B3824" s="194" t="inlineStr">
        <is>
          <t>CHF</t>
        </is>
      </c>
      <c r="C3824" s="194" t="inlineStr">
        <is>
          <t>SWISS FRANC</t>
        </is>
      </c>
      <c r="D3824" s="195" t="n">
        <v>32758.12</v>
      </c>
      <c r="E3824" s="195" t="n">
        <v>33089.01</v>
      </c>
      <c r="F3824" s="195" t="n">
        <v>34148.83</v>
      </c>
      <c r="G3824" s="195" t="n">
        <v>33618.92</v>
      </c>
    </row>
    <row r="3825">
      <c r="A3825" s="196" t="inlineStr">
        <is>
          <t>2026-03-07</t>
        </is>
      </c>
      <c r="B3825" s="196" t="inlineStr">
        <is>
          <t>CNY</t>
        </is>
      </c>
      <c r="C3825" s="196" t="inlineStr">
        <is>
          <t>YUAN RENMINBI</t>
        </is>
      </c>
      <c r="D3825" s="184" t="n">
        <v>3709.72</v>
      </c>
      <c r="E3825" s="184" t="n">
        <v>3747.19</v>
      </c>
      <c r="F3825" s="184" t="n">
        <v>3867.21</v>
      </c>
      <c r="G3825" s="184" t="n">
        <v>3807.2</v>
      </c>
    </row>
    <row r="3826">
      <c r="A3826" s="194" t="inlineStr">
        <is>
          <t>2026-03-07</t>
        </is>
      </c>
      <c r="B3826" s="194" t="inlineStr">
        <is>
          <t>DKK</t>
        </is>
      </c>
      <c r="C3826" s="194" t="inlineStr">
        <is>
          <t>DANISH KRONE</t>
        </is>
      </c>
      <c r="D3826" s="195" t="n"/>
      <c r="E3826" s="195" t="n">
        <v>4001.52</v>
      </c>
      <c r="F3826" s="195" t="n">
        <v>4154.54</v>
      </c>
      <c r="G3826" s="195" t="n">
        <v>4078.03</v>
      </c>
    </row>
    <row r="3827">
      <c r="A3827" s="196" t="inlineStr">
        <is>
          <t>2026-03-07</t>
        </is>
      </c>
      <c r="B3827" s="196" t="inlineStr">
        <is>
          <t>EUR</t>
        </is>
      </c>
      <c r="C3827" s="196" t="inlineStr">
        <is>
          <t>EURO</t>
        </is>
      </c>
      <c r="D3827" s="184" t="n">
        <v>29673.63</v>
      </c>
      <c r="E3827" s="184" t="n">
        <v>29973.36</v>
      </c>
      <c r="F3827" s="184" t="n">
        <v>31238.16</v>
      </c>
      <c r="G3827" s="184" t="n">
        <v>30605.76</v>
      </c>
    </row>
    <row r="3828">
      <c r="A3828" s="194" t="inlineStr">
        <is>
          <t>2026-03-07</t>
        </is>
      </c>
      <c r="B3828" s="194" t="inlineStr">
        <is>
          <t>GBP</t>
        </is>
      </c>
      <c r="C3828" s="194" t="inlineStr">
        <is>
          <t>POUND STERLING</t>
        </is>
      </c>
      <c r="D3828" s="195" t="n">
        <v>34148.95</v>
      </c>
      <c r="E3828" s="195" t="n">
        <v>34493.89</v>
      </c>
      <c r="F3828" s="195" t="n">
        <v>35598.71</v>
      </c>
      <c r="G3828" s="195" t="n">
        <v>35046.3</v>
      </c>
    </row>
    <row r="3829">
      <c r="A3829" s="196" t="inlineStr">
        <is>
          <t>2026-03-07</t>
        </is>
      </c>
      <c r="B3829" s="196" t="inlineStr">
        <is>
          <t>HKD</t>
        </is>
      </c>
      <c r="C3829" s="196" t="inlineStr">
        <is>
          <t>HONGKONG DOLLAR</t>
        </is>
      </c>
      <c r="D3829" s="184" t="n">
        <v>3259.85</v>
      </c>
      <c r="E3829" s="184" t="n">
        <v>3292.78</v>
      </c>
      <c r="F3829" s="184" t="n">
        <v>3418.7</v>
      </c>
      <c r="G3829" s="184" t="n">
        <v>3355.74</v>
      </c>
    </row>
    <row r="3830">
      <c r="A3830" s="194" t="inlineStr">
        <is>
          <t>2026-03-07</t>
        </is>
      </c>
      <c r="B3830" s="194" t="inlineStr">
        <is>
          <t>INR</t>
        </is>
      </c>
      <c r="C3830" s="194" t="inlineStr">
        <is>
          <t>INDIAN RUPEE</t>
        </is>
      </c>
      <c r="D3830" s="195" t="n"/>
      <c r="E3830" s="195" t="n">
        <v>284.22</v>
      </c>
      <c r="F3830" s="195" t="n">
        <v>296.46</v>
      </c>
      <c r="G3830" s="195" t="n">
        <v>290.34</v>
      </c>
    </row>
    <row r="3831">
      <c r="A3831" s="196" t="inlineStr">
        <is>
          <t>2026-03-07</t>
        </is>
      </c>
      <c r="B3831" s="196" t="inlineStr">
        <is>
          <t>JPY</t>
        </is>
      </c>
      <c r="C3831" s="196" t="inlineStr">
        <is>
          <t>YEN</t>
        </is>
      </c>
      <c r="D3831" s="184" t="n">
        <v>160.78</v>
      </c>
      <c r="E3831" s="184" t="n">
        <v>162.41</v>
      </c>
      <c r="F3831" s="184" t="n">
        <v>170.99</v>
      </c>
      <c r="G3831" s="184" t="n">
        <v>166.7</v>
      </c>
    </row>
    <row r="3832">
      <c r="A3832" s="194" t="inlineStr">
        <is>
          <t>2026-03-07</t>
        </is>
      </c>
      <c r="B3832" s="194" t="inlineStr">
        <is>
          <t>KRW</t>
        </is>
      </c>
      <c r="C3832" s="194" t="inlineStr">
        <is>
          <t>KOREAN WON</t>
        </is>
      </c>
      <c r="D3832" s="195" t="n">
        <v>15.33</v>
      </c>
      <c r="E3832" s="195" t="n">
        <v>17.03</v>
      </c>
      <c r="F3832" s="195" t="n">
        <v>18.48</v>
      </c>
      <c r="G3832" s="195" t="n">
        <v>17.76</v>
      </c>
    </row>
    <row r="3833">
      <c r="A3833" s="196" t="inlineStr">
        <is>
          <t>2026-03-07</t>
        </is>
      </c>
      <c r="B3833" s="196" t="inlineStr">
        <is>
          <t>KWD</t>
        </is>
      </c>
      <c r="C3833" s="196" t="inlineStr">
        <is>
          <t>KUWAITI DINAR</t>
        </is>
      </c>
      <c r="D3833" s="184" t="n"/>
      <c r="E3833" s="184" t="n">
        <v>85171.78999999999</v>
      </c>
      <c r="F3833" s="184" t="n">
        <v>89300.28999999999</v>
      </c>
      <c r="G3833" s="184" t="n">
        <v>87236.03999999999</v>
      </c>
    </row>
    <row r="3834">
      <c r="A3834" s="194" t="inlineStr">
        <is>
          <t>2026-03-07</t>
        </is>
      </c>
      <c r="B3834" s="194" t="inlineStr">
        <is>
          <t>MYR</t>
        </is>
      </c>
      <c r="C3834" s="194" t="inlineStr">
        <is>
          <t>MALAYSIAN RINGGIT</t>
        </is>
      </c>
      <c r="D3834" s="195" t="n"/>
      <c r="E3834" s="195" t="n">
        <v>6578.07</v>
      </c>
      <c r="F3834" s="195" t="n">
        <v>6721.2</v>
      </c>
      <c r="G3834" s="195" t="n">
        <v>6649.64</v>
      </c>
    </row>
    <row r="3835">
      <c r="A3835" s="196" t="inlineStr">
        <is>
          <t>2026-03-07</t>
        </is>
      </c>
      <c r="B3835" s="196" t="inlineStr">
        <is>
          <t>NOK</t>
        </is>
      </c>
      <c r="C3835" s="196" t="inlineStr">
        <is>
          <t>NORWEGIAN KRONER</t>
        </is>
      </c>
      <c r="D3835" s="184" t="n"/>
      <c r="E3835" s="184" t="n">
        <v>2660.02</v>
      </c>
      <c r="F3835" s="184" t="n">
        <v>2772.82</v>
      </c>
      <c r="G3835" s="184" t="n">
        <v>2716.42</v>
      </c>
    </row>
    <row r="3836">
      <c r="A3836" s="194" t="inlineStr">
        <is>
          <t>2026-03-07</t>
        </is>
      </c>
      <c r="B3836" s="194" t="inlineStr">
        <is>
          <t>RUB</t>
        </is>
      </c>
      <c r="C3836" s="194" t="inlineStr">
        <is>
          <t>RUSSIAN RUBLE</t>
        </is>
      </c>
      <c r="D3836" s="195" t="n"/>
      <c r="E3836" s="195" t="n">
        <v>317.3</v>
      </c>
      <c r="F3836" s="195" t="n">
        <v>351.23</v>
      </c>
      <c r="G3836" s="195" t="n">
        <v>334.26</v>
      </c>
    </row>
    <row r="3837">
      <c r="A3837" s="196" t="inlineStr">
        <is>
          <t>2026-03-07</t>
        </is>
      </c>
      <c r="B3837" s="196" t="inlineStr">
        <is>
          <t>SAR</t>
        </is>
      </c>
      <c r="C3837" s="196" t="inlineStr">
        <is>
          <t>SAUDI RIAL</t>
        </is>
      </c>
      <c r="D3837" s="184" t="n"/>
      <c r="E3837" s="184" t="n">
        <v>6950.85</v>
      </c>
      <c r="F3837" s="184" t="n">
        <v>7250.02</v>
      </c>
      <c r="G3837" s="184" t="n">
        <v>7100.44</v>
      </c>
    </row>
    <row r="3838">
      <c r="A3838" s="194" t="inlineStr">
        <is>
          <t>2026-03-07</t>
        </is>
      </c>
      <c r="B3838" s="194" t="inlineStr">
        <is>
          <t>SEK</t>
        </is>
      </c>
      <c r="C3838" s="194" t="inlineStr">
        <is>
          <t>SWEDISH KRONA</t>
        </is>
      </c>
      <c r="D3838" s="195" t="n"/>
      <c r="E3838" s="195" t="n">
        <v>2787.08</v>
      </c>
      <c r="F3838" s="195" t="n">
        <v>2905.27</v>
      </c>
      <c r="G3838" s="195" t="n">
        <v>2846.18</v>
      </c>
    </row>
    <row r="3839">
      <c r="A3839" s="196" t="inlineStr">
        <is>
          <t>2026-03-07</t>
        </is>
      </c>
      <c r="B3839" s="196" t="inlineStr">
        <is>
          <t>SGD</t>
        </is>
      </c>
      <c r="C3839" s="196" t="inlineStr">
        <is>
          <t>SINGAPORE DOLLAR</t>
        </is>
      </c>
      <c r="D3839" s="184" t="n">
        <v>19961.91</v>
      </c>
      <c r="E3839" s="184" t="n">
        <v>20163.55</v>
      </c>
      <c r="F3839" s="184" t="n">
        <v>20851.05</v>
      </c>
      <c r="G3839" s="184" t="n">
        <v>20507.3</v>
      </c>
    </row>
    <row r="3840">
      <c r="A3840" s="194" t="inlineStr">
        <is>
          <t>2026-03-07</t>
        </is>
      </c>
      <c r="B3840" s="194" t="inlineStr">
        <is>
          <t>THB</t>
        </is>
      </c>
      <c r="C3840" s="194" t="inlineStr">
        <is>
          <t>THAILAND BAHT</t>
        </is>
      </c>
      <c r="D3840" s="195" t="n">
        <v>728.85</v>
      </c>
      <c r="E3840" s="195" t="n">
        <v>809.84</v>
      </c>
      <c r="F3840" s="195" t="n">
        <v>844.1799999999999</v>
      </c>
      <c r="G3840" s="195" t="n">
        <v>827.01</v>
      </c>
    </row>
    <row r="3841">
      <c r="A3841" s="196" t="inlineStr">
        <is>
          <t>2026-03-07</t>
        </is>
      </c>
      <c r="B3841" s="196" t="inlineStr">
        <is>
          <t>USD</t>
        </is>
      </c>
      <c r="C3841" s="196" t="inlineStr">
        <is>
          <t>US DOLLAR</t>
        </is>
      </c>
      <c r="D3841" s="184" t="n">
        <v>25999</v>
      </c>
      <c r="E3841" s="184" t="n">
        <v>26029</v>
      </c>
      <c r="F3841" s="184" t="n">
        <v>26309</v>
      </c>
      <c r="G3841" s="184" t="n">
        <v>26169</v>
      </c>
    </row>
    <row r="3842">
      <c r="A3842" s="194" t="inlineStr">
        <is>
          <t>2026-03-06</t>
        </is>
      </c>
      <c r="B3842" s="194" t="inlineStr">
        <is>
          <t>AUD</t>
        </is>
      </c>
      <c r="C3842" s="194" t="inlineStr">
        <is>
          <t>AUSTRALIAN DOLLAR</t>
        </is>
      </c>
      <c r="D3842" s="195" t="n">
        <v>17944.75</v>
      </c>
      <c r="E3842" s="195" t="n">
        <v>18126.01</v>
      </c>
      <c r="F3842" s="195" t="n">
        <v>18706.58</v>
      </c>
      <c r="G3842" s="195" t="n">
        <v>18416.29</v>
      </c>
    </row>
    <row r="3843">
      <c r="A3843" s="196" t="inlineStr">
        <is>
          <t>2026-03-06</t>
        </is>
      </c>
      <c r="B3843" s="196" t="inlineStr">
        <is>
          <t>CAD</t>
        </is>
      </c>
      <c r="C3843" s="196" t="inlineStr">
        <is>
          <t>CANADIAN DOLLAR</t>
        </is>
      </c>
      <c r="D3843" s="184" t="n">
        <v>18713.44</v>
      </c>
      <c r="E3843" s="184" t="n">
        <v>18902.47</v>
      </c>
      <c r="F3843" s="184" t="n">
        <v>19507.9</v>
      </c>
      <c r="G3843" s="184" t="n">
        <v>19205.19</v>
      </c>
    </row>
    <row r="3844">
      <c r="A3844" s="194" t="inlineStr">
        <is>
          <t>2026-03-06</t>
        </is>
      </c>
      <c r="B3844" s="194" t="inlineStr">
        <is>
          <t>CHF</t>
        </is>
      </c>
      <c r="C3844" s="194" t="inlineStr">
        <is>
          <t>SWISS FRANC</t>
        </is>
      </c>
      <c r="D3844" s="195" t="n">
        <v>32758.12</v>
      </c>
      <c r="E3844" s="195" t="n">
        <v>33089.01</v>
      </c>
      <c r="F3844" s="195" t="n">
        <v>34148.83</v>
      </c>
      <c r="G3844" s="195" t="n">
        <v>33618.92</v>
      </c>
    </row>
    <row r="3845">
      <c r="A3845" s="196" t="inlineStr">
        <is>
          <t>2026-03-06</t>
        </is>
      </c>
      <c r="B3845" s="196" t="inlineStr">
        <is>
          <t>CNY</t>
        </is>
      </c>
      <c r="C3845" s="196" t="inlineStr">
        <is>
          <t>YUAN RENMINBI</t>
        </is>
      </c>
      <c r="D3845" s="184" t="n">
        <v>3709.72</v>
      </c>
      <c r="E3845" s="184" t="n">
        <v>3747.19</v>
      </c>
      <c r="F3845" s="184" t="n">
        <v>3867.21</v>
      </c>
      <c r="G3845" s="184" t="n">
        <v>3807.2</v>
      </c>
    </row>
    <row r="3846">
      <c r="A3846" s="194" t="inlineStr">
        <is>
          <t>2026-03-06</t>
        </is>
      </c>
      <c r="B3846" s="194" t="inlineStr">
        <is>
          <t>DKK</t>
        </is>
      </c>
      <c r="C3846" s="194" t="inlineStr">
        <is>
          <t>DANISH KRONE</t>
        </is>
      </c>
      <c r="D3846" s="195" t="n"/>
      <c r="E3846" s="195" t="n">
        <v>4001.52</v>
      </c>
      <c r="F3846" s="195" t="n">
        <v>4154.54</v>
      </c>
      <c r="G3846" s="195" t="n">
        <v>4078.03</v>
      </c>
    </row>
    <row r="3847">
      <c r="A3847" s="196" t="inlineStr">
        <is>
          <t>2026-03-06</t>
        </is>
      </c>
      <c r="B3847" s="196" t="inlineStr">
        <is>
          <t>EUR</t>
        </is>
      </c>
      <c r="C3847" s="196" t="inlineStr">
        <is>
          <t>EURO</t>
        </is>
      </c>
      <c r="D3847" s="184" t="n">
        <v>29673.63</v>
      </c>
      <c r="E3847" s="184" t="n">
        <v>29973.36</v>
      </c>
      <c r="F3847" s="184" t="n">
        <v>31238.16</v>
      </c>
      <c r="G3847" s="184" t="n">
        <v>30605.76</v>
      </c>
    </row>
    <row r="3848">
      <c r="A3848" s="194" t="inlineStr">
        <is>
          <t>2026-03-06</t>
        </is>
      </c>
      <c r="B3848" s="194" t="inlineStr">
        <is>
          <t>GBP</t>
        </is>
      </c>
      <c r="C3848" s="194" t="inlineStr">
        <is>
          <t>POUND STERLING</t>
        </is>
      </c>
      <c r="D3848" s="195" t="n">
        <v>34148.95</v>
      </c>
      <c r="E3848" s="195" t="n">
        <v>34493.89</v>
      </c>
      <c r="F3848" s="195" t="n">
        <v>35598.71</v>
      </c>
      <c r="G3848" s="195" t="n">
        <v>35046.3</v>
      </c>
    </row>
    <row r="3849">
      <c r="A3849" s="196" t="inlineStr">
        <is>
          <t>2026-03-06</t>
        </is>
      </c>
      <c r="B3849" s="196" t="inlineStr">
        <is>
          <t>HKD</t>
        </is>
      </c>
      <c r="C3849" s="196" t="inlineStr">
        <is>
          <t>HONGKONG DOLLAR</t>
        </is>
      </c>
      <c r="D3849" s="184" t="n">
        <v>3259.85</v>
      </c>
      <c r="E3849" s="184" t="n">
        <v>3292.78</v>
      </c>
      <c r="F3849" s="184" t="n">
        <v>3418.7</v>
      </c>
      <c r="G3849" s="184" t="n">
        <v>3355.74</v>
      </c>
    </row>
    <row r="3850">
      <c r="A3850" s="194" t="inlineStr">
        <is>
          <t>2026-03-06</t>
        </is>
      </c>
      <c r="B3850" s="194" t="inlineStr">
        <is>
          <t>INR</t>
        </is>
      </c>
      <c r="C3850" s="194" t="inlineStr">
        <is>
          <t>INDIAN RUPEE</t>
        </is>
      </c>
      <c r="D3850" s="195" t="n"/>
      <c r="E3850" s="195" t="n">
        <v>284.22</v>
      </c>
      <c r="F3850" s="195" t="n">
        <v>296.46</v>
      </c>
      <c r="G3850" s="195" t="n">
        <v>290.34</v>
      </c>
    </row>
    <row r="3851">
      <c r="A3851" s="196" t="inlineStr">
        <is>
          <t>2026-03-06</t>
        </is>
      </c>
      <c r="B3851" s="196" t="inlineStr">
        <is>
          <t>JPY</t>
        </is>
      </c>
      <c r="C3851" s="196" t="inlineStr">
        <is>
          <t>YEN</t>
        </is>
      </c>
      <c r="D3851" s="184" t="n">
        <v>160.78</v>
      </c>
      <c r="E3851" s="184" t="n">
        <v>162.41</v>
      </c>
      <c r="F3851" s="184" t="n">
        <v>170.99</v>
      </c>
      <c r="G3851" s="184" t="n">
        <v>166.7</v>
      </c>
    </row>
    <row r="3852">
      <c r="A3852" s="194" t="inlineStr">
        <is>
          <t>2026-03-06</t>
        </is>
      </c>
      <c r="B3852" s="194" t="inlineStr">
        <is>
          <t>KRW</t>
        </is>
      </c>
      <c r="C3852" s="194" t="inlineStr">
        <is>
          <t>KOREAN WON</t>
        </is>
      </c>
      <c r="D3852" s="195" t="n">
        <v>15.33</v>
      </c>
      <c r="E3852" s="195" t="n">
        <v>17.03</v>
      </c>
      <c r="F3852" s="195" t="n">
        <v>18.48</v>
      </c>
      <c r="G3852" s="195" t="n">
        <v>17.76</v>
      </c>
    </row>
    <row r="3853">
      <c r="A3853" s="196" t="inlineStr">
        <is>
          <t>2026-03-06</t>
        </is>
      </c>
      <c r="B3853" s="196" t="inlineStr">
        <is>
          <t>KWD</t>
        </is>
      </c>
      <c r="C3853" s="196" t="inlineStr">
        <is>
          <t>KUWAITI DINAR</t>
        </is>
      </c>
      <c r="D3853" s="184" t="n"/>
      <c r="E3853" s="184" t="n">
        <v>85171.78999999999</v>
      </c>
      <c r="F3853" s="184" t="n">
        <v>89300.28999999999</v>
      </c>
      <c r="G3853" s="184" t="n">
        <v>87236.03999999999</v>
      </c>
    </row>
    <row r="3854">
      <c r="A3854" s="194" t="inlineStr">
        <is>
          <t>2026-03-06</t>
        </is>
      </c>
      <c r="B3854" s="194" t="inlineStr">
        <is>
          <t>MYR</t>
        </is>
      </c>
      <c r="C3854" s="194" t="inlineStr">
        <is>
          <t>MALAYSIAN RINGGIT</t>
        </is>
      </c>
      <c r="D3854" s="195" t="n"/>
      <c r="E3854" s="195" t="n">
        <v>6578.07</v>
      </c>
      <c r="F3854" s="195" t="n">
        <v>6721.2</v>
      </c>
      <c r="G3854" s="195" t="n">
        <v>6649.64</v>
      </c>
    </row>
    <row r="3855">
      <c r="A3855" s="196" t="inlineStr">
        <is>
          <t>2026-03-06</t>
        </is>
      </c>
      <c r="B3855" s="196" t="inlineStr">
        <is>
          <t>NOK</t>
        </is>
      </c>
      <c r="C3855" s="196" t="inlineStr">
        <is>
          <t>NORWEGIAN KRONER</t>
        </is>
      </c>
      <c r="D3855" s="184" t="n"/>
      <c r="E3855" s="184" t="n">
        <v>2660.02</v>
      </c>
      <c r="F3855" s="184" t="n">
        <v>2772.82</v>
      </c>
      <c r="G3855" s="184" t="n">
        <v>2716.42</v>
      </c>
    </row>
    <row r="3856">
      <c r="A3856" s="194" t="inlineStr">
        <is>
          <t>2026-03-06</t>
        </is>
      </c>
      <c r="B3856" s="194" t="inlineStr">
        <is>
          <t>RUB</t>
        </is>
      </c>
      <c r="C3856" s="194" t="inlineStr">
        <is>
          <t>RUSSIAN RUBLE</t>
        </is>
      </c>
      <c r="D3856" s="195" t="n"/>
      <c r="E3856" s="195" t="n">
        <v>317.3</v>
      </c>
      <c r="F3856" s="195" t="n">
        <v>351.23</v>
      </c>
      <c r="G3856" s="195" t="n">
        <v>334.26</v>
      </c>
    </row>
    <row r="3857">
      <c r="A3857" s="196" t="inlineStr">
        <is>
          <t>2026-03-06</t>
        </is>
      </c>
      <c r="B3857" s="196" t="inlineStr">
        <is>
          <t>SAR</t>
        </is>
      </c>
      <c r="C3857" s="196" t="inlineStr">
        <is>
          <t>SAUDI RIAL</t>
        </is>
      </c>
      <c r="D3857" s="184" t="n"/>
      <c r="E3857" s="184" t="n">
        <v>6950.85</v>
      </c>
      <c r="F3857" s="184" t="n">
        <v>7250.02</v>
      </c>
      <c r="G3857" s="184" t="n">
        <v>7100.44</v>
      </c>
    </row>
    <row r="3858">
      <c r="A3858" s="194" t="inlineStr">
        <is>
          <t>2026-03-06</t>
        </is>
      </c>
      <c r="B3858" s="194" t="inlineStr">
        <is>
          <t>SEK</t>
        </is>
      </c>
      <c r="C3858" s="194" t="inlineStr">
        <is>
          <t>SWEDISH KRONA</t>
        </is>
      </c>
      <c r="D3858" s="195" t="n"/>
      <c r="E3858" s="195" t="n">
        <v>2787.08</v>
      </c>
      <c r="F3858" s="195" t="n">
        <v>2905.27</v>
      </c>
      <c r="G3858" s="195" t="n">
        <v>2846.18</v>
      </c>
    </row>
    <row r="3859">
      <c r="A3859" s="196" t="inlineStr">
        <is>
          <t>2026-03-06</t>
        </is>
      </c>
      <c r="B3859" s="196" t="inlineStr">
        <is>
          <t>SGD</t>
        </is>
      </c>
      <c r="C3859" s="196" t="inlineStr">
        <is>
          <t>SINGAPORE DOLLAR</t>
        </is>
      </c>
      <c r="D3859" s="184" t="n">
        <v>19961.91</v>
      </c>
      <c r="E3859" s="184" t="n">
        <v>20163.55</v>
      </c>
      <c r="F3859" s="184" t="n">
        <v>20851.05</v>
      </c>
      <c r="G3859" s="184" t="n">
        <v>20507.3</v>
      </c>
    </row>
    <row r="3860">
      <c r="A3860" s="194" t="inlineStr">
        <is>
          <t>2026-03-06</t>
        </is>
      </c>
      <c r="B3860" s="194" t="inlineStr">
        <is>
          <t>THB</t>
        </is>
      </c>
      <c r="C3860" s="194" t="inlineStr">
        <is>
          <t>THAILAND BAHT</t>
        </is>
      </c>
      <c r="D3860" s="195" t="n">
        <v>728.85</v>
      </c>
      <c r="E3860" s="195" t="n">
        <v>809.84</v>
      </c>
      <c r="F3860" s="195" t="n">
        <v>844.1799999999999</v>
      </c>
      <c r="G3860" s="195" t="n">
        <v>827.01</v>
      </c>
    </row>
    <row r="3861">
      <c r="A3861" s="196" t="inlineStr">
        <is>
          <t>2026-03-06</t>
        </is>
      </c>
      <c r="B3861" s="196" t="inlineStr">
        <is>
          <t>USD</t>
        </is>
      </c>
      <c r="C3861" s="196" t="inlineStr">
        <is>
          <t>US DOLLAR</t>
        </is>
      </c>
      <c r="D3861" s="184" t="n">
        <v>25999</v>
      </c>
      <c r="E3861" s="184" t="n">
        <v>26029</v>
      </c>
      <c r="F3861" s="184" t="n">
        <v>26309</v>
      </c>
      <c r="G3861" s="184" t="n">
        <v>26169</v>
      </c>
    </row>
    <row r="3862">
      <c r="A3862" s="194" t="inlineStr">
        <is>
          <t>2026-03-05</t>
        </is>
      </c>
      <c r="B3862" s="194" t="inlineStr">
        <is>
          <t>AUD</t>
        </is>
      </c>
      <c r="C3862" s="194" t="inlineStr">
        <is>
          <t>AUSTRALIAN DOLLAR</t>
        </is>
      </c>
      <c r="D3862" s="195" t="n">
        <v>17947.31</v>
      </c>
      <c r="E3862" s="195" t="n">
        <v>18128.59</v>
      </c>
      <c r="F3862" s="195" t="n">
        <v>18709.24</v>
      </c>
      <c r="G3862" s="195" t="n">
        <v>18418.92</v>
      </c>
    </row>
    <row r="3863">
      <c r="A3863" s="196" t="inlineStr">
        <is>
          <t>2026-03-05</t>
        </is>
      </c>
      <c r="B3863" s="196" t="inlineStr">
        <is>
          <t>CAD</t>
        </is>
      </c>
      <c r="C3863" s="196" t="inlineStr">
        <is>
          <t>CANADIAN DOLLAR</t>
        </is>
      </c>
      <c r="D3863" s="184" t="n">
        <v>18714.81</v>
      </c>
      <c r="E3863" s="184" t="n">
        <v>18903.85</v>
      </c>
      <c r="F3863" s="184" t="n">
        <v>19509.33</v>
      </c>
      <c r="G3863" s="184" t="n">
        <v>19206.59</v>
      </c>
    </row>
    <row r="3864">
      <c r="A3864" s="194" t="inlineStr">
        <is>
          <t>2026-03-05</t>
        </is>
      </c>
      <c r="B3864" s="194" t="inlineStr">
        <is>
          <t>CHF</t>
        </is>
      </c>
      <c r="C3864" s="194" t="inlineStr">
        <is>
          <t>SWISS FRANC</t>
        </is>
      </c>
      <c r="D3864" s="195" t="n">
        <v>32732.95</v>
      </c>
      <c r="E3864" s="195" t="n">
        <v>33063.59</v>
      </c>
      <c r="F3864" s="195" t="n">
        <v>34122.59</v>
      </c>
      <c r="G3864" s="195" t="n">
        <v>33593.09</v>
      </c>
    </row>
    <row r="3865">
      <c r="A3865" s="196" t="inlineStr">
        <is>
          <t>2026-03-05</t>
        </is>
      </c>
      <c r="B3865" s="196" t="inlineStr">
        <is>
          <t>CNY</t>
        </is>
      </c>
      <c r="C3865" s="196" t="inlineStr">
        <is>
          <t>YUAN RENMINBI</t>
        </is>
      </c>
      <c r="D3865" s="184" t="n">
        <v>3706.12</v>
      </c>
      <c r="E3865" s="184" t="n">
        <v>3743.55</v>
      </c>
      <c r="F3865" s="184" t="n">
        <v>3863.46</v>
      </c>
      <c r="G3865" s="184" t="n">
        <v>3803.5</v>
      </c>
    </row>
    <row r="3866">
      <c r="A3866" s="194" t="inlineStr">
        <is>
          <t>2026-03-05</t>
        </is>
      </c>
      <c r="B3866" s="194" t="inlineStr">
        <is>
          <t>DKK</t>
        </is>
      </c>
      <c r="C3866" s="194" t="inlineStr">
        <is>
          <t>DANISH KRONE</t>
        </is>
      </c>
      <c r="D3866" s="195" t="n"/>
      <c r="E3866" s="195" t="n">
        <v>3996.24</v>
      </c>
      <c r="F3866" s="195" t="n">
        <v>4149.06</v>
      </c>
      <c r="G3866" s="195" t="n">
        <v>4072.65</v>
      </c>
    </row>
    <row r="3867">
      <c r="A3867" s="196" t="inlineStr">
        <is>
          <t>2026-03-05</t>
        </is>
      </c>
      <c r="B3867" s="196" t="inlineStr">
        <is>
          <t>EUR</t>
        </is>
      </c>
      <c r="C3867" s="196" t="inlineStr">
        <is>
          <t>EURO</t>
        </is>
      </c>
      <c r="D3867" s="184" t="n">
        <v>29637.85</v>
      </c>
      <c r="E3867" s="184" t="n">
        <v>29937.22</v>
      </c>
      <c r="F3867" s="184" t="n">
        <v>31200.49</v>
      </c>
      <c r="G3867" s="184" t="n">
        <v>30568.86</v>
      </c>
    </row>
    <row r="3868">
      <c r="A3868" s="194" t="inlineStr">
        <is>
          <t>2026-03-05</t>
        </is>
      </c>
      <c r="B3868" s="194" t="inlineStr">
        <is>
          <t>GBP</t>
        </is>
      </c>
      <c r="C3868" s="194" t="inlineStr">
        <is>
          <t>POUND STERLING</t>
        </is>
      </c>
      <c r="D3868" s="195" t="n">
        <v>34054.39</v>
      </c>
      <c r="E3868" s="195" t="n">
        <v>34398.37</v>
      </c>
      <c r="F3868" s="195" t="n">
        <v>35500.13</v>
      </c>
      <c r="G3868" s="195" t="n">
        <v>34949.25</v>
      </c>
    </row>
    <row r="3869">
      <c r="A3869" s="196" t="inlineStr">
        <is>
          <t>2026-03-05</t>
        </is>
      </c>
      <c r="B3869" s="196" t="inlineStr">
        <is>
          <t>HKD</t>
        </is>
      </c>
      <c r="C3869" s="196" t="inlineStr">
        <is>
          <t>HONGKONG DOLLAR</t>
        </is>
      </c>
      <c r="D3869" s="184" t="n">
        <v>3259.39</v>
      </c>
      <c r="E3869" s="184" t="n">
        <v>3292.32</v>
      </c>
      <c r="F3869" s="184" t="n">
        <v>3418.22</v>
      </c>
      <c r="G3869" s="184" t="n">
        <v>3355.27</v>
      </c>
    </row>
    <row r="3870">
      <c r="A3870" s="194" t="inlineStr">
        <is>
          <t>2026-03-05</t>
        </is>
      </c>
      <c r="B3870" s="194" t="inlineStr">
        <is>
          <t>INR</t>
        </is>
      </c>
      <c r="C3870" s="194" t="inlineStr">
        <is>
          <t>INDIAN RUPEE</t>
        </is>
      </c>
      <c r="D3870" s="195" t="n"/>
      <c r="E3870" s="195" t="n">
        <v>284.64</v>
      </c>
      <c r="F3870" s="195" t="n">
        <v>296.89</v>
      </c>
      <c r="G3870" s="195" t="n">
        <v>290.76</v>
      </c>
    </row>
    <row r="3871">
      <c r="A3871" s="196" t="inlineStr">
        <is>
          <t>2026-03-05</t>
        </is>
      </c>
      <c r="B3871" s="196" t="inlineStr">
        <is>
          <t>JPY</t>
        </is>
      </c>
      <c r="C3871" s="196" t="inlineStr">
        <is>
          <t>YEN</t>
        </is>
      </c>
      <c r="D3871" s="184" t="n">
        <v>161.02</v>
      </c>
      <c r="E3871" s="184" t="n">
        <v>162.64</v>
      </c>
      <c r="F3871" s="184" t="n">
        <v>171.24</v>
      </c>
      <c r="G3871" s="184" t="n">
        <v>166.94</v>
      </c>
    </row>
    <row r="3872">
      <c r="A3872" s="194" t="inlineStr">
        <is>
          <t>2026-03-05</t>
        </is>
      </c>
      <c r="B3872" s="194" t="inlineStr">
        <is>
          <t>KRW</t>
        </is>
      </c>
      <c r="C3872" s="194" t="inlineStr">
        <is>
          <t>KOREAN WON</t>
        </is>
      </c>
      <c r="D3872" s="195" t="n">
        <v>15.44</v>
      </c>
      <c r="E3872" s="195" t="n">
        <v>17.16</v>
      </c>
      <c r="F3872" s="195" t="n">
        <v>18.62</v>
      </c>
      <c r="G3872" s="195" t="n">
        <v>17.89</v>
      </c>
    </row>
    <row r="3873">
      <c r="A3873" s="196" t="inlineStr">
        <is>
          <t>2026-03-05</t>
        </is>
      </c>
      <c r="B3873" s="196" t="inlineStr">
        <is>
          <t>KWD</t>
        </is>
      </c>
      <c r="C3873" s="196" t="inlineStr">
        <is>
          <t>KUWAITI DINAR</t>
        </is>
      </c>
      <c r="D3873" s="184" t="n"/>
      <c r="E3873" s="184" t="n">
        <v>85171.78999999999</v>
      </c>
      <c r="F3873" s="184" t="n">
        <v>89300.28999999999</v>
      </c>
      <c r="G3873" s="184" t="n">
        <v>87236.03999999999</v>
      </c>
    </row>
    <row r="3874">
      <c r="A3874" s="194" t="inlineStr">
        <is>
          <t>2026-03-05</t>
        </is>
      </c>
      <c r="B3874" s="194" t="inlineStr">
        <is>
          <t>MYR</t>
        </is>
      </c>
      <c r="C3874" s="194" t="inlineStr">
        <is>
          <t>MALAYSIAN RINGGIT</t>
        </is>
      </c>
      <c r="D3874" s="195" t="n"/>
      <c r="E3874" s="195" t="n">
        <v>6579.74</v>
      </c>
      <c r="F3874" s="195" t="n">
        <v>6722.91</v>
      </c>
      <c r="G3874" s="195" t="n">
        <v>6651.32</v>
      </c>
    </row>
    <row r="3875">
      <c r="A3875" s="196" t="inlineStr">
        <is>
          <t>2026-03-05</t>
        </is>
      </c>
      <c r="B3875" s="196" t="inlineStr">
        <is>
          <t>NOK</t>
        </is>
      </c>
      <c r="C3875" s="196" t="inlineStr">
        <is>
          <t>NORWEGIAN KRONER</t>
        </is>
      </c>
      <c r="D3875" s="184" t="n"/>
      <c r="E3875" s="184" t="n">
        <v>2655.16</v>
      </c>
      <c r="F3875" s="184" t="n">
        <v>2767.75</v>
      </c>
      <c r="G3875" s="184" t="n">
        <v>2711.46</v>
      </c>
    </row>
    <row r="3876">
      <c r="A3876" s="194" t="inlineStr">
        <is>
          <t>2026-03-05</t>
        </is>
      </c>
      <c r="B3876" s="194" t="inlineStr">
        <is>
          <t>RUB</t>
        </is>
      </c>
      <c r="C3876" s="194" t="inlineStr">
        <is>
          <t>RUSSIAN RUBLE</t>
        </is>
      </c>
      <c r="D3876" s="195" t="n"/>
      <c r="E3876" s="195" t="n">
        <v>318.19</v>
      </c>
      <c r="F3876" s="195" t="n">
        <v>352.22</v>
      </c>
      <c r="G3876" s="195" t="n">
        <v>335.21</v>
      </c>
    </row>
    <row r="3877">
      <c r="A3877" s="196" t="inlineStr">
        <is>
          <t>2026-03-05</t>
        </is>
      </c>
      <c r="B3877" s="196" t="inlineStr">
        <is>
          <t>SAR</t>
        </is>
      </c>
      <c r="C3877" s="196" t="inlineStr">
        <is>
          <t>SAUDI RIAL</t>
        </is>
      </c>
      <c r="D3877" s="184" t="n"/>
      <c r="E3877" s="184" t="n">
        <v>6947.15</v>
      </c>
      <c r="F3877" s="184" t="n">
        <v>7246.16</v>
      </c>
      <c r="G3877" s="184" t="n">
        <v>7096.66</v>
      </c>
    </row>
    <row r="3878">
      <c r="A3878" s="194" t="inlineStr">
        <is>
          <t>2026-03-05</t>
        </is>
      </c>
      <c r="B3878" s="194" t="inlineStr">
        <is>
          <t>SEK</t>
        </is>
      </c>
      <c r="C3878" s="194" t="inlineStr">
        <is>
          <t>SWEDISH KRONA</t>
        </is>
      </c>
      <c r="D3878" s="195" t="n"/>
      <c r="E3878" s="195" t="n">
        <v>2785</v>
      </c>
      <c r="F3878" s="195" t="n">
        <v>2903.1</v>
      </c>
      <c r="G3878" s="195" t="n">
        <v>2844.05</v>
      </c>
    </row>
    <row r="3879">
      <c r="A3879" s="196" t="inlineStr">
        <is>
          <t>2026-03-05</t>
        </is>
      </c>
      <c r="B3879" s="196" t="inlineStr">
        <is>
          <t>SGD</t>
        </is>
      </c>
      <c r="C3879" s="196" t="inlineStr">
        <is>
          <t>SINGAPORE DOLLAR</t>
        </is>
      </c>
      <c r="D3879" s="184" t="n">
        <v>19986.91</v>
      </c>
      <c r="E3879" s="184" t="n">
        <v>20188.8</v>
      </c>
      <c r="F3879" s="184" t="n">
        <v>20877.16</v>
      </c>
      <c r="G3879" s="184" t="n">
        <v>20532.98</v>
      </c>
    </row>
    <row r="3880">
      <c r="A3880" s="194" t="inlineStr">
        <is>
          <t>2026-03-05</t>
        </is>
      </c>
      <c r="B3880" s="194" t="inlineStr">
        <is>
          <t>THB</t>
        </is>
      </c>
      <c r="C3880" s="194" t="inlineStr">
        <is>
          <t>THAILAND BAHT</t>
        </is>
      </c>
      <c r="D3880" s="195" t="n">
        <v>730.46</v>
      </c>
      <c r="E3880" s="195" t="n">
        <v>811.63</v>
      </c>
      <c r="F3880" s="195" t="n">
        <v>846.04</v>
      </c>
      <c r="G3880" s="195" t="n">
        <v>828.84</v>
      </c>
    </row>
    <row r="3881">
      <c r="A3881" s="196" t="inlineStr">
        <is>
          <t>2026-03-05</t>
        </is>
      </c>
      <c r="B3881" s="196" t="inlineStr">
        <is>
          <t>USD</t>
        </is>
      </c>
      <c r="C3881" s="196" t="inlineStr">
        <is>
          <t>US DOLLAR</t>
        </is>
      </c>
      <c r="D3881" s="184" t="n">
        <v>25997</v>
      </c>
      <c r="E3881" s="184" t="n">
        <v>26027</v>
      </c>
      <c r="F3881" s="184" t="n">
        <v>26307</v>
      </c>
      <c r="G3881" s="184" t="n">
        <v>26167</v>
      </c>
    </row>
    <row r="3882">
      <c r="A3882" s="194" t="inlineStr">
        <is>
          <t>2026-03-04</t>
        </is>
      </c>
      <c r="B3882" s="194" t="inlineStr">
        <is>
          <t>AUD</t>
        </is>
      </c>
      <c r="C3882" s="194" t="inlineStr">
        <is>
          <t>AUSTRALIAN DOLLAR</t>
        </is>
      </c>
      <c r="D3882" s="195" t="n">
        <v>17902.96</v>
      </c>
      <c r="E3882" s="195" t="n">
        <v>18083.8</v>
      </c>
      <c r="F3882" s="195" t="n">
        <v>18663.04</v>
      </c>
      <c r="G3882" s="195" t="n">
        <v>18373.42</v>
      </c>
    </row>
    <row r="3883">
      <c r="A3883" s="196" t="inlineStr">
        <is>
          <t>2026-03-04</t>
        </is>
      </c>
      <c r="B3883" s="196" t="inlineStr">
        <is>
          <t>CAD</t>
        </is>
      </c>
      <c r="C3883" s="196" t="inlineStr">
        <is>
          <t>CANADIAN DOLLAR</t>
        </is>
      </c>
      <c r="D3883" s="184" t="n">
        <v>18673.19</v>
      </c>
      <c r="E3883" s="184" t="n">
        <v>18861.81</v>
      </c>
      <c r="F3883" s="184" t="n">
        <v>19465.97</v>
      </c>
      <c r="G3883" s="184" t="n">
        <v>19163.89</v>
      </c>
    </row>
    <row r="3884">
      <c r="A3884" s="194" t="inlineStr">
        <is>
          <t>2026-03-04</t>
        </is>
      </c>
      <c r="B3884" s="194" t="inlineStr">
        <is>
          <t>CHF</t>
        </is>
      </c>
      <c r="C3884" s="194" t="inlineStr">
        <is>
          <t>SWISS FRANC</t>
        </is>
      </c>
      <c r="D3884" s="195" t="n">
        <v>32678.68</v>
      </c>
      <c r="E3884" s="195" t="n">
        <v>33008.77</v>
      </c>
      <c r="F3884" s="195" t="n">
        <v>34066.06</v>
      </c>
      <c r="G3884" s="195" t="n">
        <v>33537.41</v>
      </c>
    </row>
    <row r="3885">
      <c r="A3885" s="196" t="inlineStr">
        <is>
          <t>2026-03-04</t>
        </is>
      </c>
      <c r="B3885" s="196" t="inlineStr">
        <is>
          <t>CNY</t>
        </is>
      </c>
      <c r="C3885" s="196" t="inlineStr">
        <is>
          <t>YUAN RENMINBI</t>
        </is>
      </c>
      <c r="D3885" s="184" t="n">
        <v>3702.38</v>
      </c>
      <c r="E3885" s="184" t="n">
        <v>3739.78</v>
      </c>
      <c r="F3885" s="184" t="n">
        <v>3859.56</v>
      </c>
      <c r="G3885" s="184" t="n">
        <v>3799.67</v>
      </c>
    </row>
    <row r="3886">
      <c r="A3886" s="194" t="inlineStr">
        <is>
          <t>2026-03-04</t>
        </is>
      </c>
      <c r="B3886" s="194" t="inlineStr">
        <is>
          <t>DKK</t>
        </is>
      </c>
      <c r="C3886" s="194" t="inlineStr">
        <is>
          <t>DANISH KRONE</t>
        </is>
      </c>
      <c r="D3886" s="195" t="n"/>
      <c r="E3886" s="195" t="n">
        <v>3992.26</v>
      </c>
      <c r="F3886" s="195" t="n">
        <v>4144.94</v>
      </c>
      <c r="G3886" s="195" t="n">
        <v>4068.6</v>
      </c>
    </row>
    <row r="3887">
      <c r="A3887" s="196" t="inlineStr">
        <is>
          <t>2026-03-04</t>
        </is>
      </c>
      <c r="B3887" s="196" t="inlineStr">
        <is>
          <t>EUR</t>
        </is>
      </c>
      <c r="C3887" s="196" t="inlineStr">
        <is>
          <t>EURO</t>
        </is>
      </c>
      <c r="D3887" s="184" t="n">
        <v>29607.57</v>
      </c>
      <c r="E3887" s="184" t="n">
        <v>29906.64</v>
      </c>
      <c r="F3887" s="184" t="n">
        <v>31168.65</v>
      </c>
      <c r="G3887" s="184" t="n">
        <v>30537.64</v>
      </c>
    </row>
    <row r="3888">
      <c r="A3888" s="194" t="inlineStr">
        <is>
          <t>2026-03-04</t>
        </is>
      </c>
      <c r="B3888" s="194" t="inlineStr">
        <is>
          <t>GBP</t>
        </is>
      </c>
      <c r="C3888" s="194" t="inlineStr">
        <is>
          <t>POUND STERLING</t>
        </is>
      </c>
      <c r="D3888" s="195" t="n">
        <v>34043.72</v>
      </c>
      <c r="E3888" s="195" t="n">
        <v>34387.6</v>
      </c>
      <c r="F3888" s="195" t="n">
        <v>35489.06</v>
      </c>
      <c r="G3888" s="195" t="n">
        <v>34938.33</v>
      </c>
    </row>
    <row r="3889">
      <c r="A3889" s="196" t="inlineStr">
        <is>
          <t>2026-03-04</t>
        </is>
      </c>
      <c r="B3889" s="196" t="inlineStr">
        <is>
          <t>HKD</t>
        </is>
      </c>
      <c r="C3889" s="196" t="inlineStr">
        <is>
          <t>HONGKONG DOLLAR</t>
        </is>
      </c>
      <c r="D3889" s="184" t="n">
        <v>3262.83</v>
      </c>
      <c r="E3889" s="184" t="n">
        <v>3295.79</v>
      </c>
      <c r="F3889" s="184" t="n">
        <v>3421.83</v>
      </c>
      <c r="G3889" s="184" t="n">
        <v>3358.81</v>
      </c>
    </row>
    <row r="3890">
      <c r="A3890" s="194" t="inlineStr">
        <is>
          <t>2026-03-04</t>
        </is>
      </c>
      <c r="B3890" s="194" t="inlineStr">
        <is>
          <t>INR</t>
        </is>
      </c>
      <c r="C3890" s="194" t="inlineStr">
        <is>
          <t>INDIAN RUPEE</t>
        </is>
      </c>
      <c r="D3890" s="195" t="n"/>
      <c r="E3890" s="195" t="n">
        <v>283.24</v>
      </c>
      <c r="F3890" s="195" t="n">
        <v>295.43</v>
      </c>
      <c r="G3890" s="195" t="n">
        <v>289.34</v>
      </c>
    </row>
    <row r="3891">
      <c r="A3891" s="196" t="inlineStr">
        <is>
          <t>2026-03-04</t>
        </is>
      </c>
      <c r="B3891" s="196" t="inlineStr">
        <is>
          <t>JPY</t>
        </is>
      </c>
      <c r="C3891" s="196" t="inlineStr">
        <is>
          <t>YEN</t>
        </is>
      </c>
      <c r="D3891" s="184" t="n">
        <v>160.52</v>
      </c>
      <c r="E3891" s="184" t="n">
        <v>162.14</v>
      </c>
      <c r="F3891" s="184" t="n">
        <v>170.71</v>
      </c>
      <c r="G3891" s="184" t="n">
        <v>166.42</v>
      </c>
    </row>
    <row r="3892">
      <c r="A3892" s="194" t="inlineStr">
        <is>
          <t>2026-03-04</t>
        </is>
      </c>
      <c r="B3892" s="194" t="inlineStr">
        <is>
          <t>KRW</t>
        </is>
      </c>
      <c r="C3892" s="194" t="inlineStr">
        <is>
          <t>KOREAN WON</t>
        </is>
      </c>
      <c r="D3892" s="195" t="n">
        <v>15.34</v>
      </c>
      <c r="E3892" s="195" t="n">
        <v>17.05</v>
      </c>
      <c r="F3892" s="195" t="n">
        <v>18.5</v>
      </c>
      <c r="G3892" s="195" t="n">
        <v>17.77</v>
      </c>
    </row>
    <row r="3893">
      <c r="A3893" s="196" t="inlineStr">
        <is>
          <t>2026-03-04</t>
        </is>
      </c>
      <c r="B3893" s="196" t="inlineStr">
        <is>
          <t>KWD</t>
        </is>
      </c>
      <c r="C3893" s="196" t="inlineStr">
        <is>
          <t>KUWAITI DINAR</t>
        </is>
      </c>
      <c r="D3893" s="184" t="n"/>
      <c r="E3893" s="184" t="n">
        <v>85162.42</v>
      </c>
      <c r="F3893" s="184" t="n">
        <v>89290.58</v>
      </c>
      <c r="G3893" s="184" t="n">
        <v>87226.5</v>
      </c>
    </row>
    <row r="3894">
      <c r="A3894" s="194" t="inlineStr">
        <is>
          <t>2026-03-04</t>
        </is>
      </c>
      <c r="B3894" s="194" t="inlineStr">
        <is>
          <t>MYR</t>
        </is>
      </c>
      <c r="C3894" s="194" t="inlineStr">
        <is>
          <t>MALAYSIAN RINGGIT</t>
        </is>
      </c>
      <c r="D3894" s="195" t="n"/>
      <c r="E3894" s="195" t="n">
        <v>6581.39</v>
      </c>
      <c r="F3894" s="195" t="n">
        <v>6724.61</v>
      </c>
      <c r="G3894" s="195" t="n">
        <v>6653</v>
      </c>
    </row>
    <row r="3895">
      <c r="A3895" s="196" t="inlineStr">
        <is>
          <t>2026-03-04</t>
        </is>
      </c>
      <c r="B3895" s="196" t="inlineStr">
        <is>
          <t>NOK</t>
        </is>
      </c>
      <c r="C3895" s="196" t="inlineStr">
        <is>
          <t>NORWEGIAN KRONER</t>
        </is>
      </c>
      <c r="D3895" s="184" t="n"/>
      <c r="E3895" s="184" t="n">
        <v>2656.7</v>
      </c>
      <c r="F3895" s="184" t="n">
        <v>2769.36</v>
      </c>
      <c r="G3895" s="184" t="n">
        <v>2713.03</v>
      </c>
    </row>
    <row r="3896">
      <c r="A3896" s="194" t="inlineStr">
        <is>
          <t>2026-03-04</t>
        </is>
      </c>
      <c r="B3896" s="194" t="inlineStr">
        <is>
          <t>RUB</t>
        </is>
      </c>
      <c r="C3896" s="194" t="inlineStr">
        <is>
          <t>RUSSIAN RUBLE</t>
        </is>
      </c>
      <c r="D3896" s="195" t="n"/>
      <c r="E3896" s="195" t="n">
        <v>321.24</v>
      </c>
      <c r="F3896" s="195" t="n">
        <v>355.6</v>
      </c>
      <c r="G3896" s="195" t="n">
        <v>338.42</v>
      </c>
    </row>
    <row r="3897">
      <c r="A3897" s="196" t="inlineStr">
        <is>
          <t>2026-03-04</t>
        </is>
      </c>
      <c r="B3897" s="196" t="inlineStr">
        <is>
          <t>SAR</t>
        </is>
      </c>
      <c r="C3897" s="196" t="inlineStr">
        <is>
          <t>SAUDI RIAL</t>
        </is>
      </c>
      <c r="D3897" s="184" t="n"/>
      <c r="E3897" s="184" t="n">
        <v>6946.1</v>
      </c>
      <c r="F3897" s="184" t="n">
        <v>7245.07</v>
      </c>
      <c r="G3897" s="184" t="n">
        <v>7095.58</v>
      </c>
    </row>
    <row r="3898">
      <c r="A3898" s="194" t="inlineStr">
        <is>
          <t>2026-03-04</t>
        </is>
      </c>
      <c r="B3898" s="194" t="inlineStr">
        <is>
          <t>SEK</t>
        </is>
      </c>
      <c r="C3898" s="194" t="inlineStr">
        <is>
          <t>SWEDISH KRONA</t>
        </is>
      </c>
      <c r="D3898" s="195" t="n"/>
      <c r="E3898" s="195" t="n">
        <v>2767.93</v>
      </c>
      <c r="F3898" s="195" t="n">
        <v>2885.31</v>
      </c>
      <c r="G3898" s="195" t="n">
        <v>2826.62</v>
      </c>
    </row>
    <row r="3899">
      <c r="A3899" s="196" t="inlineStr">
        <is>
          <t>2026-03-04</t>
        </is>
      </c>
      <c r="B3899" s="196" t="inlineStr">
        <is>
          <t>SGD</t>
        </is>
      </c>
      <c r="C3899" s="196" t="inlineStr">
        <is>
          <t>SINGAPORE DOLLAR</t>
        </is>
      </c>
      <c r="D3899" s="184" t="n">
        <v>19976.35</v>
      </c>
      <c r="E3899" s="184" t="n">
        <v>20178.13</v>
      </c>
      <c r="F3899" s="184" t="n">
        <v>20866.15</v>
      </c>
      <c r="G3899" s="184" t="n">
        <v>20522.14</v>
      </c>
    </row>
    <row r="3900">
      <c r="A3900" s="194" t="inlineStr">
        <is>
          <t>2026-03-04</t>
        </is>
      </c>
      <c r="B3900" s="194" t="inlineStr">
        <is>
          <t>THB</t>
        </is>
      </c>
      <c r="C3900" s="194" t="inlineStr">
        <is>
          <t>THAILAND BAHT</t>
        </is>
      </c>
      <c r="D3900" s="195" t="n">
        <v>729.45</v>
      </c>
      <c r="E3900" s="195" t="n">
        <v>810.49</v>
      </c>
      <c r="F3900" s="195" t="n">
        <v>844.86</v>
      </c>
      <c r="G3900" s="195" t="n">
        <v>827.6799999999999</v>
      </c>
    </row>
    <row r="3901">
      <c r="A3901" s="196" t="inlineStr">
        <is>
          <t>2026-03-04</t>
        </is>
      </c>
      <c r="B3901" s="196" t="inlineStr">
        <is>
          <t>USD</t>
        </is>
      </c>
      <c r="C3901" s="196" t="inlineStr">
        <is>
          <t>US DOLLAR</t>
        </is>
      </c>
      <c r="D3901" s="184" t="n">
        <v>25974</v>
      </c>
      <c r="E3901" s="184" t="n">
        <v>26004</v>
      </c>
      <c r="F3901" s="184" t="n">
        <v>26304</v>
      </c>
      <c r="G3901" s="184" t="n">
        <v>26154</v>
      </c>
    </row>
    <row r="3902">
      <c r="A3902" s="194" t="inlineStr">
        <is>
          <t>2026-03-03</t>
        </is>
      </c>
      <c r="B3902" s="194" t="inlineStr">
        <is>
          <t>AUD</t>
        </is>
      </c>
      <c r="C3902" s="194" t="inlineStr">
        <is>
          <t>AUSTRALIAN DOLLAR</t>
        </is>
      </c>
      <c r="D3902" s="195" t="n">
        <v>18137.92</v>
      </c>
      <c r="E3902" s="195" t="n">
        <v>18321.14</v>
      </c>
      <c r="F3902" s="195" t="n">
        <v>18907.97</v>
      </c>
      <c r="G3902" s="195" t="n">
        <v>18614.56</v>
      </c>
    </row>
    <row r="3903">
      <c r="A3903" s="196" t="inlineStr">
        <is>
          <t>2026-03-03</t>
        </is>
      </c>
      <c r="B3903" s="196" t="inlineStr">
        <is>
          <t>CAD</t>
        </is>
      </c>
      <c r="C3903" s="196" t="inlineStr">
        <is>
          <t>CANADIAN DOLLAR</t>
        </is>
      </c>
      <c r="D3903" s="184" t="n">
        <v>18689.59</v>
      </c>
      <c r="E3903" s="184" t="n">
        <v>18878.37</v>
      </c>
      <c r="F3903" s="184" t="n">
        <v>19483.06</v>
      </c>
      <c r="G3903" s="184" t="n">
        <v>19180.72</v>
      </c>
    </row>
    <row r="3904">
      <c r="A3904" s="194" t="inlineStr">
        <is>
          <t>2026-03-03</t>
        </is>
      </c>
      <c r="B3904" s="194" t="inlineStr">
        <is>
          <t>CHF</t>
        </is>
      </c>
      <c r="C3904" s="194" t="inlineStr">
        <is>
          <t>SWISS FRANC</t>
        </is>
      </c>
      <c r="D3904" s="195" t="n">
        <v>32783.53</v>
      </c>
      <c r="E3904" s="195" t="n">
        <v>33114.68</v>
      </c>
      <c r="F3904" s="195" t="n">
        <v>34175.36</v>
      </c>
      <c r="G3904" s="195" t="n">
        <v>33645.02</v>
      </c>
    </row>
    <row r="3905">
      <c r="A3905" s="196" t="inlineStr">
        <is>
          <t>2026-03-03</t>
        </is>
      </c>
      <c r="B3905" s="196" t="inlineStr">
        <is>
          <t>CNY</t>
        </is>
      </c>
      <c r="C3905" s="196" t="inlineStr">
        <is>
          <t>YUAN RENMINBI</t>
        </is>
      </c>
      <c r="D3905" s="184" t="n">
        <v>3711.79</v>
      </c>
      <c r="E3905" s="184" t="n">
        <v>3749.29</v>
      </c>
      <c r="F3905" s="184" t="n">
        <v>3869.38</v>
      </c>
      <c r="G3905" s="184" t="n">
        <v>3809.34</v>
      </c>
    </row>
    <row r="3906">
      <c r="A3906" s="194" t="inlineStr">
        <is>
          <t>2026-03-03</t>
        </is>
      </c>
      <c r="B3906" s="194" t="inlineStr">
        <is>
          <t>DKK</t>
        </is>
      </c>
      <c r="C3906" s="194" t="inlineStr">
        <is>
          <t>DANISH KRONE</t>
        </is>
      </c>
      <c r="D3906" s="195" t="n"/>
      <c r="E3906" s="195" t="n">
        <v>4027.13</v>
      </c>
      <c r="F3906" s="195" t="n">
        <v>4181.14</v>
      </c>
      <c r="G3906" s="195" t="n">
        <v>4104.14</v>
      </c>
    </row>
    <row r="3907">
      <c r="A3907" s="196" t="inlineStr">
        <is>
          <t>2026-03-03</t>
        </is>
      </c>
      <c r="B3907" s="196" t="inlineStr">
        <is>
          <t>EUR</t>
        </is>
      </c>
      <c r="C3907" s="196" t="inlineStr">
        <is>
          <t>EURO</t>
        </is>
      </c>
      <c r="D3907" s="184" t="n">
        <v>29862.96</v>
      </c>
      <c r="E3907" s="184" t="n">
        <v>30164.61</v>
      </c>
      <c r="F3907" s="184" t="n">
        <v>31437.51</v>
      </c>
      <c r="G3907" s="184" t="n">
        <v>30801.06</v>
      </c>
    </row>
    <row r="3908">
      <c r="A3908" s="194" t="inlineStr">
        <is>
          <t>2026-03-03</t>
        </is>
      </c>
      <c r="B3908" s="194" t="inlineStr">
        <is>
          <t>GBP</t>
        </is>
      </c>
      <c r="C3908" s="194" t="inlineStr">
        <is>
          <t>POUND STERLING</t>
        </is>
      </c>
      <c r="D3908" s="195" t="n">
        <v>34245.48</v>
      </c>
      <c r="E3908" s="195" t="n">
        <v>34591.4</v>
      </c>
      <c r="F3908" s="195" t="n">
        <v>35699.38</v>
      </c>
      <c r="G3908" s="195" t="n">
        <v>35145.39</v>
      </c>
    </row>
    <row r="3909">
      <c r="A3909" s="196" t="inlineStr">
        <is>
          <t>2026-03-03</t>
        </is>
      </c>
      <c r="B3909" s="196" t="inlineStr">
        <is>
          <t>HKD</t>
        </is>
      </c>
      <c r="C3909" s="196" t="inlineStr">
        <is>
          <t>HONGKONG DOLLAR</t>
        </is>
      </c>
      <c r="D3909" s="184" t="n">
        <v>3256.61</v>
      </c>
      <c r="E3909" s="184" t="n">
        <v>3289.51</v>
      </c>
      <c r="F3909" s="184" t="n">
        <v>3415.31</v>
      </c>
      <c r="G3909" s="184" t="n">
        <v>3352.41</v>
      </c>
    </row>
    <row r="3910">
      <c r="A3910" s="194" t="inlineStr">
        <is>
          <t>2026-03-03</t>
        </is>
      </c>
      <c r="B3910" s="194" t="inlineStr">
        <is>
          <t>INR</t>
        </is>
      </c>
      <c r="C3910" s="194" t="inlineStr">
        <is>
          <t>INDIAN RUPEE</t>
        </is>
      </c>
      <c r="D3910" s="195" t="n"/>
      <c r="E3910" s="195" t="n">
        <v>284.54</v>
      </c>
      <c r="F3910" s="195" t="n">
        <v>296.78</v>
      </c>
      <c r="G3910" s="195" t="n">
        <v>290.66</v>
      </c>
    </row>
    <row r="3911">
      <c r="A3911" s="196" t="inlineStr">
        <is>
          <t>2026-03-03</t>
        </is>
      </c>
      <c r="B3911" s="196" t="inlineStr">
        <is>
          <t>JPY</t>
        </is>
      </c>
      <c r="C3911" s="196" t="inlineStr">
        <is>
          <t>YEN</t>
        </is>
      </c>
      <c r="D3911" s="184" t="n">
        <v>160.72</v>
      </c>
      <c r="E3911" s="184" t="n">
        <v>162.34</v>
      </c>
      <c r="F3911" s="184" t="n">
        <v>170.93</v>
      </c>
      <c r="G3911" s="184" t="n">
        <v>166.64</v>
      </c>
    </row>
    <row r="3912">
      <c r="A3912" s="194" t="inlineStr">
        <is>
          <t>2026-03-03</t>
        </is>
      </c>
      <c r="B3912" s="194" t="inlineStr">
        <is>
          <t>KRW</t>
        </is>
      </c>
      <c r="C3912" s="194" t="inlineStr">
        <is>
          <t>KOREAN WON</t>
        </is>
      </c>
      <c r="D3912" s="195" t="n">
        <v>15.48</v>
      </c>
      <c r="E3912" s="195" t="n">
        <v>17.2</v>
      </c>
      <c r="F3912" s="195" t="n">
        <v>18.66</v>
      </c>
      <c r="G3912" s="195" t="n">
        <v>17.93</v>
      </c>
    </row>
    <row r="3913">
      <c r="A3913" s="196" t="inlineStr">
        <is>
          <t>2026-03-03</t>
        </is>
      </c>
      <c r="B3913" s="196" t="inlineStr">
        <is>
          <t>KWD</t>
        </is>
      </c>
      <c r="C3913" s="196" t="inlineStr">
        <is>
          <t>KUWAITI DINAR</t>
        </is>
      </c>
      <c r="D3913" s="184" t="n"/>
      <c r="E3913" s="184" t="n">
        <v>85273.89</v>
      </c>
      <c r="F3913" s="184" t="n">
        <v>89407.45</v>
      </c>
      <c r="G3913" s="184" t="n">
        <v>87340.67</v>
      </c>
    </row>
    <row r="3914">
      <c r="A3914" s="194" t="inlineStr">
        <is>
          <t>2026-03-03</t>
        </is>
      </c>
      <c r="B3914" s="194" t="inlineStr">
        <is>
          <t>MYR</t>
        </is>
      </c>
      <c r="C3914" s="194" t="inlineStr">
        <is>
          <t>MALAYSIAN RINGGIT</t>
        </is>
      </c>
      <c r="D3914" s="195" t="n"/>
      <c r="E3914" s="195" t="n">
        <v>6601.5</v>
      </c>
      <c r="F3914" s="195" t="n">
        <v>6745.15</v>
      </c>
      <c r="G3914" s="195" t="n">
        <v>6673.32</v>
      </c>
    </row>
    <row r="3915">
      <c r="A3915" s="196" t="inlineStr">
        <is>
          <t>2026-03-03</t>
        </is>
      </c>
      <c r="B3915" s="196" t="inlineStr">
        <is>
          <t>NOK</t>
        </is>
      </c>
      <c r="C3915" s="196" t="inlineStr">
        <is>
          <t>NORWEGIAN KRONER</t>
        </is>
      </c>
      <c r="D3915" s="184" t="n"/>
      <c r="E3915" s="184" t="n">
        <v>2686.55</v>
      </c>
      <c r="F3915" s="184" t="n">
        <v>2800.48</v>
      </c>
      <c r="G3915" s="184" t="n">
        <v>2743.52</v>
      </c>
    </row>
    <row r="3916">
      <c r="A3916" s="194" t="inlineStr">
        <is>
          <t>2026-03-03</t>
        </is>
      </c>
      <c r="B3916" s="194" t="inlineStr">
        <is>
          <t>RUB</t>
        </is>
      </c>
      <c r="C3916" s="194" t="inlineStr">
        <is>
          <t>RUSSIAN RUBLE</t>
        </is>
      </c>
      <c r="D3916" s="195" t="n"/>
      <c r="E3916" s="195" t="n">
        <v>321.97</v>
      </c>
      <c r="F3916" s="195" t="n">
        <v>356.4</v>
      </c>
      <c r="G3916" s="195" t="n">
        <v>339.18</v>
      </c>
    </row>
    <row r="3917">
      <c r="A3917" s="196" t="inlineStr">
        <is>
          <t>2026-03-03</t>
        </is>
      </c>
      <c r="B3917" s="196" t="inlineStr">
        <is>
          <t>SAR</t>
        </is>
      </c>
      <c r="C3917" s="196" t="inlineStr">
        <is>
          <t>SAUDI RIAL</t>
        </is>
      </c>
      <c r="D3917" s="184" t="n"/>
      <c r="E3917" s="184" t="n">
        <v>6945.55</v>
      </c>
      <c r="F3917" s="184" t="n">
        <v>7244.5</v>
      </c>
      <c r="G3917" s="184" t="n">
        <v>7095.02</v>
      </c>
    </row>
    <row r="3918">
      <c r="A3918" s="194" t="inlineStr">
        <is>
          <t>2026-03-03</t>
        </is>
      </c>
      <c r="B3918" s="194" t="inlineStr">
        <is>
          <t>SEK</t>
        </is>
      </c>
      <c r="C3918" s="194" t="inlineStr">
        <is>
          <t>SWEDISH KRONA</t>
        </is>
      </c>
      <c r="D3918" s="195" t="n"/>
      <c r="E3918" s="195" t="n">
        <v>2803.87</v>
      </c>
      <c r="F3918" s="195" t="n">
        <v>2922.77</v>
      </c>
      <c r="G3918" s="195" t="n">
        <v>2863.32</v>
      </c>
    </row>
    <row r="3919">
      <c r="A3919" s="196" t="inlineStr">
        <is>
          <t>2026-03-03</t>
        </is>
      </c>
      <c r="B3919" s="196" t="inlineStr">
        <is>
          <t>SGD</t>
        </is>
      </c>
      <c r="C3919" s="196" t="inlineStr">
        <is>
          <t>SINGAPORE DOLLAR</t>
        </is>
      </c>
      <c r="D3919" s="184" t="n">
        <v>20053.26</v>
      </c>
      <c r="E3919" s="184" t="n">
        <v>20255.82</v>
      </c>
      <c r="F3919" s="184" t="n">
        <v>20946.49</v>
      </c>
      <c r="G3919" s="184" t="n">
        <v>20601.16</v>
      </c>
    </row>
    <row r="3920">
      <c r="A3920" s="194" t="inlineStr">
        <is>
          <t>2026-03-03</t>
        </is>
      </c>
      <c r="B3920" s="194" t="inlineStr">
        <is>
          <t>THB</t>
        </is>
      </c>
      <c r="C3920" s="194" t="inlineStr">
        <is>
          <t>THAILAND BAHT</t>
        </is>
      </c>
      <c r="D3920" s="195" t="n">
        <v>737.12</v>
      </c>
      <c r="E3920" s="195" t="n">
        <v>819.03</v>
      </c>
      <c r="F3920" s="195" t="n">
        <v>853.76</v>
      </c>
      <c r="G3920" s="195" t="n">
        <v>836.4</v>
      </c>
    </row>
    <row r="3921">
      <c r="A3921" s="196" t="inlineStr">
        <is>
          <t>2026-03-03</t>
        </is>
      </c>
      <c r="B3921" s="196" t="inlineStr">
        <is>
          <t>USD</t>
        </is>
      </c>
      <c r="C3921" s="196" t="inlineStr">
        <is>
          <t>US DOLLAR</t>
        </is>
      </c>
      <c r="D3921" s="184" t="n">
        <v>25968</v>
      </c>
      <c r="E3921" s="184" t="n">
        <v>25998</v>
      </c>
      <c r="F3921" s="184" t="n">
        <v>26298</v>
      </c>
      <c r="G3921" s="184" t="n">
        <v>26148</v>
      </c>
    </row>
    <row r="3922">
      <c r="A3922" s="194" t="inlineStr">
        <is>
          <t>2026-03-02</t>
        </is>
      </c>
      <c r="B3922" s="194" t="inlineStr">
        <is>
          <t>AUD</t>
        </is>
      </c>
      <c r="C3922" s="194" t="inlineStr">
        <is>
          <t>AUSTRALIAN DOLLAR</t>
        </is>
      </c>
      <c r="D3922" s="195" t="n">
        <v>18062.07</v>
      </c>
      <c r="E3922" s="195" t="n">
        <v>18244.51</v>
      </c>
      <c r="F3922" s="195" t="n">
        <v>18828.91</v>
      </c>
      <c r="G3922" s="195" t="n">
        <v>18536.71</v>
      </c>
    </row>
    <row r="3923">
      <c r="A3923" s="196" t="inlineStr">
        <is>
          <t>2026-03-02</t>
        </is>
      </c>
      <c r="B3923" s="196" t="inlineStr">
        <is>
          <t>CAD</t>
        </is>
      </c>
      <c r="C3923" s="196" t="inlineStr">
        <is>
          <t>CANADIAN DOLLAR</t>
        </is>
      </c>
      <c r="D3923" s="184" t="n">
        <v>18697.5</v>
      </c>
      <c r="E3923" s="184" t="n">
        <v>18886.36</v>
      </c>
      <c r="F3923" s="184" t="n">
        <v>19491.32</v>
      </c>
      <c r="G3923" s="184" t="n">
        <v>19188.84</v>
      </c>
    </row>
    <row r="3924">
      <c r="A3924" s="194" t="inlineStr">
        <is>
          <t>2026-03-02</t>
        </is>
      </c>
      <c r="B3924" s="194" t="inlineStr">
        <is>
          <t>CHF</t>
        </is>
      </c>
      <c r="C3924" s="194" t="inlineStr">
        <is>
          <t>SWISS FRANC</t>
        </is>
      </c>
      <c r="D3924" s="195" t="n">
        <v>33076.65</v>
      </c>
      <c r="E3924" s="195" t="n">
        <v>33410.76</v>
      </c>
      <c r="F3924" s="195" t="n">
        <v>34480.94</v>
      </c>
      <c r="G3924" s="195" t="n">
        <v>33945.85</v>
      </c>
    </row>
    <row r="3925">
      <c r="A3925" s="196" t="inlineStr">
        <is>
          <t>2026-03-02</t>
        </is>
      </c>
      <c r="B3925" s="196" t="inlineStr">
        <is>
          <t>CNY</t>
        </is>
      </c>
      <c r="C3925" s="196" t="inlineStr">
        <is>
          <t>YUAN RENMINBI</t>
        </is>
      </c>
      <c r="D3925" s="184" t="n">
        <v>3709.78</v>
      </c>
      <c r="E3925" s="184" t="n">
        <v>3747.25</v>
      </c>
      <c r="F3925" s="184" t="n">
        <v>3867.28</v>
      </c>
      <c r="G3925" s="184" t="n">
        <v>3807.27</v>
      </c>
    </row>
    <row r="3926">
      <c r="A3926" s="194" t="inlineStr">
        <is>
          <t>2026-03-02</t>
        </is>
      </c>
      <c r="B3926" s="194" t="inlineStr">
        <is>
          <t>DKK</t>
        </is>
      </c>
      <c r="C3926" s="194" t="inlineStr">
        <is>
          <t>DANISH KRONE</t>
        </is>
      </c>
      <c r="D3926" s="195" t="n"/>
      <c r="E3926" s="195" t="n">
        <v>4037.79</v>
      </c>
      <c r="F3926" s="195" t="n">
        <v>4192.21</v>
      </c>
      <c r="G3926" s="195" t="n">
        <v>4115</v>
      </c>
    </row>
    <row r="3927">
      <c r="A3927" s="196" t="inlineStr">
        <is>
          <t>2026-03-02</t>
        </is>
      </c>
      <c r="B3927" s="196" t="inlineStr">
        <is>
          <t>EUR</t>
        </is>
      </c>
      <c r="C3927" s="196" t="inlineStr">
        <is>
          <t>EURO</t>
        </is>
      </c>
      <c r="D3927" s="184" t="n">
        <v>29884.75</v>
      </c>
      <c r="E3927" s="184" t="n">
        <v>30186.61</v>
      </c>
      <c r="F3927" s="184" t="n">
        <v>31460.46</v>
      </c>
      <c r="G3927" s="184" t="n">
        <v>30823.54</v>
      </c>
    </row>
    <row r="3928">
      <c r="A3928" s="194" t="inlineStr">
        <is>
          <t>2026-03-02</t>
        </is>
      </c>
      <c r="B3928" s="194" t="inlineStr">
        <is>
          <t>GBP</t>
        </is>
      </c>
      <c r="C3928" s="194" t="inlineStr">
        <is>
          <t>POUND STERLING</t>
        </is>
      </c>
      <c r="D3928" s="195" t="n">
        <v>34097.1</v>
      </c>
      <c r="E3928" s="195" t="n">
        <v>34441.52</v>
      </c>
      <c r="F3928" s="195" t="n">
        <v>35544.72</v>
      </c>
      <c r="G3928" s="195" t="n">
        <v>34993.12</v>
      </c>
    </row>
    <row r="3929">
      <c r="A3929" s="196" t="inlineStr">
        <is>
          <t>2026-03-02</t>
        </is>
      </c>
      <c r="B3929" s="196" t="inlineStr">
        <is>
          <t>HKD</t>
        </is>
      </c>
      <c r="C3929" s="196" t="inlineStr">
        <is>
          <t>HONGKONG DOLLAR</t>
        </is>
      </c>
      <c r="D3929" s="184" t="n">
        <v>3254.87</v>
      </c>
      <c r="E3929" s="184" t="n">
        <v>3287.75</v>
      </c>
      <c r="F3929" s="184" t="n">
        <v>3413.48</v>
      </c>
      <c r="G3929" s="184" t="n">
        <v>3350.62</v>
      </c>
    </row>
    <row r="3930">
      <c r="A3930" s="194" t="inlineStr">
        <is>
          <t>2026-03-02</t>
        </is>
      </c>
      <c r="B3930" s="194" t="inlineStr">
        <is>
          <t>INR</t>
        </is>
      </c>
      <c r="C3930" s="194" t="inlineStr">
        <is>
          <t>INDIAN RUPEE</t>
        </is>
      </c>
      <c r="D3930" s="195" t="n"/>
      <c r="E3930" s="195" t="n">
        <v>284.84</v>
      </c>
      <c r="F3930" s="195" t="n">
        <v>297.1</v>
      </c>
      <c r="G3930" s="195" t="n">
        <v>290.97</v>
      </c>
    </row>
    <row r="3931">
      <c r="A3931" s="196" t="inlineStr">
        <is>
          <t>2026-03-02</t>
        </is>
      </c>
      <c r="B3931" s="196" t="inlineStr">
        <is>
          <t>JPY</t>
        </is>
      </c>
      <c r="C3931" s="196" t="inlineStr">
        <is>
          <t>YEN</t>
        </is>
      </c>
      <c r="D3931" s="184" t="n">
        <v>161.17</v>
      </c>
      <c r="E3931" s="184" t="n">
        <v>162.8</v>
      </c>
      <c r="F3931" s="184" t="n">
        <v>171.41</v>
      </c>
      <c r="G3931" s="184" t="n">
        <v>167.1</v>
      </c>
    </row>
    <row r="3932">
      <c r="A3932" s="194" t="inlineStr">
        <is>
          <t>2026-03-02</t>
        </is>
      </c>
      <c r="B3932" s="194" t="inlineStr">
        <is>
          <t>KRW</t>
        </is>
      </c>
      <c r="C3932" s="194" t="inlineStr">
        <is>
          <t>KOREAN WON</t>
        </is>
      </c>
      <c r="D3932" s="195" t="n">
        <v>15.56</v>
      </c>
      <c r="E3932" s="195" t="n">
        <v>17.29</v>
      </c>
      <c r="F3932" s="195" t="n">
        <v>18.75</v>
      </c>
      <c r="G3932" s="195" t="n">
        <v>18.02</v>
      </c>
    </row>
    <row r="3933">
      <c r="A3933" s="196" t="inlineStr">
        <is>
          <t>2026-03-02</t>
        </is>
      </c>
      <c r="B3933" s="196" t="inlineStr">
        <is>
          <t>KWD</t>
        </is>
      </c>
      <c r="C3933" s="196" t="inlineStr">
        <is>
          <t>KUWAITI DINAR</t>
        </is>
      </c>
      <c r="D3933" s="184" t="n"/>
      <c r="E3933" s="184" t="n">
        <v>85241.33</v>
      </c>
      <c r="F3933" s="184" t="n">
        <v>89373.36</v>
      </c>
      <c r="G3933" s="184" t="n">
        <v>87307.34</v>
      </c>
    </row>
    <row r="3934">
      <c r="A3934" s="194" t="inlineStr">
        <is>
          <t>2026-03-02</t>
        </is>
      </c>
      <c r="B3934" s="194" t="inlineStr">
        <is>
          <t>MYR</t>
        </is>
      </c>
      <c r="C3934" s="194" t="inlineStr">
        <is>
          <t>MALAYSIAN RINGGIT</t>
        </is>
      </c>
      <c r="D3934" s="195" t="n"/>
      <c r="E3934" s="195" t="n">
        <v>6602.34</v>
      </c>
      <c r="F3934" s="195" t="n">
        <v>6746.01</v>
      </c>
      <c r="G3934" s="195" t="n">
        <v>6674.18</v>
      </c>
    </row>
    <row r="3935">
      <c r="A3935" s="196" t="inlineStr">
        <is>
          <t>2026-03-02</t>
        </is>
      </c>
      <c r="B3935" s="196" t="inlineStr">
        <is>
          <t>NOK</t>
        </is>
      </c>
      <c r="C3935" s="196" t="inlineStr">
        <is>
          <t>NORWEGIAN KRONER</t>
        </is>
      </c>
      <c r="D3935" s="184" t="n"/>
      <c r="E3935" s="184" t="n">
        <v>2696.56</v>
      </c>
      <c r="F3935" s="184" t="n">
        <v>2810.91</v>
      </c>
      <c r="G3935" s="184" t="n">
        <v>2753.73</v>
      </c>
    </row>
    <row r="3936">
      <c r="A3936" s="194" t="inlineStr">
        <is>
          <t>2026-03-02</t>
        </is>
      </c>
      <c r="B3936" s="194" t="inlineStr">
        <is>
          <t>RUB</t>
        </is>
      </c>
      <c r="C3936" s="194" t="inlineStr">
        <is>
          <t>RUSSIAN RUBLE</t>
        </is>
      </c>
      <c r="D3936" s="195" t="n"/>
      <c r="E3936" s="195" t="n">
        <v>323.39</v>
      </c>
      <c r="F3936" s="195" t="n">
        <v>357.98</v>
      </c>
      <c r="G3936" s="195" t="n">
        <v>340.68</v>
      </c>
    </row>
    <row r="3937">
      <c r="A3937" s="196" t="inlineStr">
        <is>
          <t>2026-03-02</t>
        </is>
      </c>
      <c r="B3937" s="196" t="inlineStr">
        <is>
          <t>SAR</t>
        </is>
      </c>
      <c r="C3937" s="196" t="inlineStr">
        <is>
          <t>SAUDI RIAL</t>
        </is>
      </c>
      <c r="D3937" s="184" t="n"/>
      <c r="E3937" s="184" t="n">
        <v>6941.05</v>
      </c>
      <c r="F3937" s="184" t="n">
        <v>7239.8</v>
      </c>
      <c r="G3937" s="184" t="n">
        <v>7090.42</v>
      </c>
    </row>
    <row r="3938">
      <c r="A3938" s="194" t="inlineStr">
        <is>
          <t>2026-03-02</t>
        </is>
      </c>
      <c r="B3938" s="194" t="inlineStr">
        <is>
          <t>SEK</t>
        </is>
      </c>
      <c r="C3938" s="194" t="inlineStr">
        <is>
          <t>SWEDISH KRONA</t>
        </is>
      </c>
      <c r="D3938" s="195" t="n"/>
      <c r="E3938" s="195" t="n">
        <v>2808.94</v>
      </c>
      <c r="F3938" s="195" t="n">
        <v>2928.05</v>
      </c>
      <c r="G3938" s="195" t="n">
        <v>2868.5</v>
      </c>
    </row>
    <row r="3939">
      <c r="A3939" s="196" t="inlineStr">
        <is>
          <t>2026-03-02</t>
        </is>
      </c>
      <c r="B3939" s="196" t="inlineStr">
        <is>
          <t>SGD</t>
        </is>
      </c>
      <c r="C3939" s="196" t="inlineStr">
        <is>
          <t>SINGAPORE DOLLAR</t>
        </is>
      </c>
      <c r="D3939" s="184" t="n">
        <v>20050.33</v>
      </c>
      <c r="E3939" s="184" t="n">
        <v>20252.86</v>
      </c>
      <c r="F3939" s="184" t="n">
        <v>20943.44</v>
      </c>
      <c r="G3939" s="184" t="n">
        <v>20598.15</v>
      </c>
    </row>
    <row r="3940">
      <c r="A3940" s="194" t="inlineStr">
        <is>
          <t>2026-03-02</t>
        </is>
      </c>
      <c r="B3940" s="194" t="inlineStr">
        <is>
          <t>THB</t>
        </is>
      </c>
      <c r="C3940" s="194" t="inlineStr">
        <is>
          <t>THAILAND BAHT</t>
        </is>
      </c>
      <c r="D3940" s="195" t="n">
        <v>735.4299999999999</v>
      </c>
      <c r="E3940" s="195" t="n">
        <v>817.15</v>
      </c>
      <c r="F3940" s="195" t="n">
        <v>851.8</v>
      </c>
      <c r="G3940" s="195" t="n">
        <v>834.47</v>
      </c>
    </row>
    <row r="3941">
      <c r="A3941" s="196" t="inlineStr">
        <is>
          <t>2026-03-02</t>
        </is>
      </c>
      <c r="B3941" s="196" t="inlineStr">
        <is>
          <t>USD</t>
        </is>
      </c>
      <c r="C3941" s="196" t="inlineStr">
        <is>
          <t>US DOLLAR</t>
        </is>
      </c>
      <c r="D3941" s="184" t="n">
        <v>25959</v>
      </c>
      <c r="E3941" s="184" t="n">
        <v>25989</v>
      </c>
      <c r="F3941" s="184" t="n">
        <v>26289</v>
      </c>
      <c r="G3941" s="184" t="n">
        <v>26139</v>
      </c>
    </row>
    <row r="3942">
      <c r="A3942" s="194" t="inlineStr">
        <is>
          <t>2026-03-01</t>
        </is>
      </c>
      <c r="B3942" s="194" t="inlineStr">
        <is>
          <t>AUD</t>
        </is>
      </c>
      <c r="C3942" s="194" t="inlineStr">
        <is>
          <t>AUSTRALIAN DOLLAR</t>
        </is>
      </c>
      <c r="D3942" s="195" t="n">
        <v>18015.12</v>
      </c>
      <c r="E3942" s="195" t="n">
        <v>18197.09</v>
      </c>
      <c r="F3942" s="195" t="n">
        <v>18780.14</v>
      </c>
      <c r="G3942" s="195" t="n">
        <v>18488.61</v>
      </c>
    </row>
    <row r="3943">
      <c r="A3943" s="196" t="inlineStr">
        <is>
          <t>2026-03-01</t>
        </is>
      </c>
      <c r="B3943" s="196" t="inlineStr">
        <is>
          <t>CAD</t>
        </is>
      </c>
      <c r="C3943" s="196" t="inlineStr">
        <is>
          <t>CANADIAN DOLLAR</t>
        </is>
      </c>
      <c r="D3943" s="184" t="n">
        <v>18551.98</v>
      </c>
      <c r="E3943" s="184" t="n">
        <v>18739.38</v>
      </c>
      <c r="F3943" s="184" t="n">
        <v>19339.8</v>
      </c>
      <c r="G3943" s="184" t="n">
        <v>19039.59</v>
      </c>
    </row>
    <row r="3944">
      <c r="A3944" s="194" t="inlineStr">
        <is>
          <t>2026-03-01</t>
        </is>
      </c>
      <c r="B3944" s="194" t="inlineStr">
        <is>
          <t>CHF</t>
        </is>
      </c>
      <c r="C3944" s="194" t="inlineStr">
        <is>
          <t>SWISS FRANC</t>
        </is>
      </c>
      <c r="D3944" s="195" t="n">
        <v>32810.75</v>
      </c>
      <c r="E3944" s="195" t="n">
        <v>33142.17</v>
      </c>
      <c r="F3944" s="195" t="n">
        <v>34204.08</v>
      </c>
      <c r="G3944" s="195" t="n">
        <v>33673.12</v>
      </c>
    </row>
    <row r="3945">
      <c r="A3945" s="196" t="inlineStr">
        <is>
          <t>2026-03-01</t>
        </is>
      </c>
      <c r="B3945" s="196" t="inlineStr">
        <is>
          <t>CNY</t>
        </is>
      </c>
      <c r="C3945" s="196" t="inlineStr">
        <is>
          <t>YUAN RENMINBI</t>
        </is>
      </c>
      <c r="D3945" s="184" t="n">
        <v>3700.71</v>
      </c>
      <c r="E3945" s="184" t="n">
        <v>3738.09</v>
      </c>
      <c r="F3945" s="184" t="n">
        <v>3857.87</v>
      </c>
      <c r="G3945" s="184" t="n">
        <v>3797.98</v>
      </c>
    </row>
    <row r="3946">
      <c r="A3946" s="194" t="inlineStr">
        <is>
          <t>2026-03-01</t>
        </is>
      </c>
      <c r="B3946" s="194" t="inlineStr">
        <is>
          <t>DKK</t>
        </is>
      </c>
      <c r="C3946" s="194" t="inlineStr">
        <is>
          <t>DANISH KRONE</t>
        </is>
      </c>
      <c r="D3946" s="195" t="n"/>
      <c r="E3946" s="195" t="n">
        <v>4035.16</v>
      </c>
      <c r="F3946" s="195" t="n">
        <v>4189.52</v>
      </c>
      <c r="G3946" s="195" t="n">
        <v>4112.34</v>
      </c>
    </row>
    <row r="3947">
      <c r="A3947" s="196" t="inlineStr">
        <is>
          <t>2026-03-01</t>
        </is>
      </c>
      <c r="B3947" s="196" t="inlineStr">
        <is>
          <t>EUR</t>
        </is>
      </c>
      <c r="C3947" s="196" t="inlineStr">
        <is>
          <t>EURO</t>
        </is>
      </c>
      <c r="D3947" s="184" t="n">
        <v>29925.39</v>
      </c>
      <c r="E3947" s="184" t="n">
        <v>30227.67</v>
      </c>
      <c r="F3947" s="184" t="n">
        <v>31503.54</v>
      </c>
      <c r="G3947" s="184" t="n">
        <v>30865.6</v>
      </c>
    </row>
    <row r="3948">
      <c r="A3948" s="194" t="inlineStr">
        <is>
          <t>2026-03-01</t>
        </is>
      </c>
      <c r="B3948" s="194" t="inlineStr">
        <is>
          <t>GBP</t>
        </is>
      </c>
      <c r="C3948" s="194" t="inlineStr">
        <is>
          <t>POUND STERLING</t>
        </is>
      </c>
      <c r="D3948" s="195" t="n">
        <v>34205.88</v>
      </c>
      <c r="E3948" s="195" t="n">
        <v>34551.4</v>
      </c>
      <c r="F3948" s="195" t="n">
        <v>35658.46</v>
      </c>
      <c r="G3948" s="195" t="n">
        <v>35104.93</v>
      </c>
    </row>
    <row r="3949">
      <c r="A3949" s="196" t="inlineStr">
        <is>
          <t>2026-03-01</t>
        </is>
      </c>
      <c r="B3949" s="196" t="inlineStr">
        <is>
          <t>HKD</t>
        </is>
      </c>
      <c r="C3949" s="196" t="inlineStr">
        <is>
          <t>HONGKONG DOLLAR</t>
        </is>
      </c>
      <c r="D3949" s="184" t="n">
        <v>3234.98</v>
      </c>
      <c r="E3949" s="184" t="n">
        <v>3267.65</v>
      </c>
      <c r="F3949" s="184" t="n">
        <v>3392.65</v>
      </c>
      <c r="G3949" s="184" t="n">
        <v>3330.15</v>
      </c>
    </row>
    <row r="3950">
      <c r="A3950" s="194" t="inlineStr">
        <is>
          <t>2026-03-01</t>
        </is>
      </c>
      <c r="B3950" s="194" t="inlineStr">
        <is>
          <t>INR</t>
        </is>
      </c>
      <c r="C3950" s="194" t="inlineStr">
        <is>
          <t>INDIAN RUPEE</t>
        </is>
      </c>
      <c r="D3950" s="195" t="n"/>
      <c r="E3950" s="195" t="n">
        <v>284.5</v>
      </c>
      <c r="F3950" s="195" t="n">
        <v>296.75</v>
      </c>
      <c r="G3950" s="195" t="n">
        <v>290.62</v>
      </c>
    </row>
    <row r="3951">
      <c r="A3951" s="196" t="inlineStr">
        <is>
          <t>2026-03-01</t>
        </is>
      </c>
      <c r="B3951" s="196" t="inlineStr">
        <is>
          <t>JPY</t>
        </is>
      </c>
      <c r="C3951" s="196" t="inlineStr">
        <is>
          <t>YEN</t>
        </is>
      </c>
      <c r="D3951" s="184" t="n">
        <v>161.19</v>
      </c>
      <c r="E3951" s="184" t="n">
        <v>162.82</v>
      </c>
      <c r="F3951" s="184" t="n">
        <v>171.43</v>
      </c>
      <c r="G3951" s="184" t="n">
        <v>167.12</v>
      </c>
    </row>
    <row r="3952">
      <c r="A3952" s="194" t="inlineStr">
        <is>
          <t>2026-03-01</t>
        </is>
      </c>
      <c r="B3952" s="194" t="inlineStr">
        <is>
          <t>KRW</t>
        </is>
      </c>
      <c r="C3952" s="194" t="inlineStr">
        <is>
          <t>KOREAN WON</t>
        </is>
      </c>
      <c r="D3952" s="195" t="n">
        <v>15.65</v>
      </c>
      <c r="E3952" s="195" t="n">
        <v>17.39</v>
      </c>
      <c r="F3952" s="195" t="n">
        <v>18.87</v>
      </c>
      <c r="G3952" s="195" t="n">
        <v>18.13</v>
      </c>
    </row>
    <row r="3953">
      <c r="A3953" s="196" t="inlineStr">
        <is>
          <t>2026-03-01</t>
        </is>
      </c>
      <c r="B3953" s="196" t="inlineStr">
        <is>
          <t>KWD</t>
        </is>
      </c>
      <c r="C3953" s="196" t="inlineStr">
        <is>
          <t>KUWAITI DINAR</t>
        </is>
      </c>
      <c r="D3953" s="184" t="n"/>
      <c r="E3953" s="184" t="n">
        <v>84775.86</v>
      </c>
      <c r="F3953" s="184" t="n">
        <v>88886.16</v>
      </c>
      <c r="G3953" s="184" t="n">
        <v>86831.00999999999</v>
      </c>
    </row>
    <row r="3954">
      <c r="A3954" s="194" t="inlineStr">
        <is>
          <t>2026-03-01</t>
        </is>
      </c>
      <c r="B3954" s="194" t="inlineStr">
        <is>
          <t>MYR</t>
        </is>
      </c>
      <c r="C3954" s="194" t="inlineStr">
        <is>
          <t>MALAYSIAN RINGGIT</t>
        </is>
      </c>
      <c r="D3954" s="195" t="n"/>
      <c r="E3954" s="195" t="n">
        <v>6626.13</v>
      </c>
      <c r="F3954" s="195" t="n">
        <v>6770.38</v>
      </c>
      <c r="G3954" s="195" t="n">
        <v>6698.26</v>
      </c>
    </row>
    <row r="3955">
      <c r="A3955" s="196" t="inlineStr">
        <is>
          <t>2026-03-01</t>
        </is>
      </c>
      <c r="B3955" s="196" t="inlineStr">
        <is>
          <t>NOK</t>
        </is>
      </c>
      <c r="C3955" s="196" t="inlineStr">
        <is>
          <t>NORWEGIAN KRONER</t>
        </is>
      </c>
      <c r="D3955" s="184" t="n"/>
      <c r="E3955" s="184" t="n">
        <v>2669.48</v>
      </c>
      <c r="F3955" s="184" t="n">
        <v>2782.71</v>
      </c>
      <c r="G3955" s="184" t="n">
        <v>2726.1</v>
      </c>
    </row>
    <row r="3956">
      <c r="A3956" s="194" t="inlineStr">
        <is>
          <t>2026-03-01</t>
        </is>
      </c>
      <c r="B3956" s="194" t="inlineStr">
        <is>
          <t>RUB</t>
        </is>
      </c>
      <c r="C3956" s="194" t="inlineStr">
        <is>
          <t>RUSSIAN RUBLE</t>
        </is>
      </c>
      <c r="D3956" s="195" t="n"/>
      <c r="E3956" s="195" t="n">
        <v>322.37</v>
      </c>
      <c r="F3956" s="195" t="n">
        <v>356.85</v>
      </c>
      <c r="G3956" s="195" t="n">
        <v>339.61</v>
      </c>
    </row>
    <row r="3957">
      <c r="A3957" s="196" t="inlineStr">
        <is>
          <t>2026-03-01</t>
        </is>
      </c>
      <c r="B3957" s="196" t="inlineStr">
        <is>
          <t>SAR</t>
        </is>
      </c>
      <c r="C3957" s="196" t="inlineStr">
        <is>
          <t>SAUDI RIAL</t>
        </is>
      </c>
      <c r="D3957" s="184" t="n"/>
      <c r="E3957" s="184" t="n">
        <v>6903.59</v>
      </c>
      <c r="F3957" s="184" t="n">
        <v>7200.81</v>
      </c>
      <c r="G3957" s="184" t="n">
        <v>7052.2</v>
      </c>
    </row>
    <row r="3958">
      <c r="A3958" s="194" t="inlineStr">
        <is>
          <t>2026-03-01</t>
        </is>
      </c>
      <c r="B3958" s="194" t="inlineStr">
        <is>
          <t>SEK</t>
        </is>
      </c>
      <c r="C3958" s="194" t="inlineStr">
        <is>
          <t>SWEDISH KRONA</t>
        </is>
      </c>
      <c r="D3958" s="195" t="n"/>
      <c r="E3958" s="195" t="n">
        <v>2817.21</v>
      </c>
      <c r="F3958" s="195" t="n">
        <v>2936.7</v>
      </c>
      <c r="G3958" s="195" t="n">
        <v>2876.96</v>
      </c>
    </row>
    <row r="3959">
      <c r="A3959" s="196" t="inlineStr">
        <is>
          <t>2026-03-01</t>
        </is>
      </c>
      <c r="B3959" s="196" t="inlineStr">
        <is>
          <t>SGD</t>
        </is>
      </c>
      <c r="C3959" s="196" t="inlineStr">
        <is>
          <t>SINGAPORE DOLLAR</t>
        </is>
      </c>
      <c r="D3959" s="184" t="n">
        <v>20050.72</v>
      </c>
      <c r="E3959" s="184" t="n">
        <v>20253.25</v>
      </c>
      <c r="F3959" s="184" t="n">
        <v>20944.04</v>
      </c>
      <c r="G3959" s="184" t="n">
        <v>20598.64</v>
      </c>
    </row>
    <row r="3960">
      <c r="A3960" s="194" t="inlineStr">
        <is>
          <t>2026-03-01</t>
        </is>
      </c>
      <c r="B3960" s="194" t="inlineStr">
        <is>
          <t>THB</t>
        </is>
      </c>
      <c r="C3960" s="194" t="inlineStr">
        <is>
          <t>THAILAND BAHT</t>
        </is>
      </c>
      <c r="D3960" s="195" t="n">
        <v>738.23</v>
      </c>
      <c r="E3960" s="195" t="n">
        <v>820.25</v>
      </c>
      <c r="F3960" s="195" t="n">
        <v>855.04</v>
      </c>
      <c r="G3960" s="195" t="n">
        <v>837.64</v>
      </c>
    </row>
    <row r="3961">
      <c r="A3961" s="196" t="inlineStr">
        <is>
          <t>2026-03-01</t>
        </is>
      </c>
      <c r="B3961" s="196" t="inlineStr">
        <is>
          <t>USD</t>
        </is>
      </c>
      <c r="C3961" s="196" t="inlineStr">
        <is>
          <t>US DOLLAR</t>
        </is>
      </c>
      <c r="D3961" s="184" t="n">
        <v>25820</v>
      </c>
      <c r="E3961" s="184" t="n">
        <v>25850</v>
      </c>
      <c r="F3961" s="184" t="n">
        <v>26230</v>
      </c>
      <c r="G3961" s="184" t="n">
        <v>26040</v>
      </c>
    </row>
    <row r="3962">
      <c r="A3962" s="194" t="inlineStr">
        <is>
          <t>2026-02-28</t>
        </is>
      </c>
      <c r="B3962" s="194" t="inlineStr">
        <is>
          <t>AUD</t>
        </is>
      </c>
      <c r="C3962" s="194" t="inlineStr">
        <is>
          <t>AUSTRALIAN DOLLAR</t>
        </is>
      </c>
      <c r="D3962" s="195" t="n">
        <v>18015.12</v>
      </c>
      <c r="E3962" s="195" t="n">
        <v>18197.09</v>
      </c>
      <c r="F3962" s="195" t="n">
        <v>18780.14</v>
      </c>
      <c r="G3962" s="195" t="n">
        <v>18488.61</v>
      </c>
    </row>
    <row r="3963">
      <c r="A3963" s="196" t="inlineStr">
        <is>
          <t>2026-02-28</t>
        </is>
      </c>
      <c r="B3963" s="196" t="inlineStr">
        <is>
          <t>CAD</t>
        </is>
      </c>
      <c r="C3963" s="196" t="inlineStr">
        <is>
          <t>CANADIAN DOLLAR</t>
        </is>
      </c>
      <c r="D3963" s="184" t="n">
        <v>18551.98</v>
      </c>
      <c r="E3963" s="184" t="n">
        <v>18739.38</v>
      </c>
      <c r="F3963" s="184" t="n">
        <v>19339.8</v>
      </c>
      <c r="G3963" s="184" t="n">
        <v>19039.59</v>
      </c>
    </row>
    <row r="3964">
      <c r="A3964" s="194" t="inlineStr">
        <is>
          <t>2026-02-28</t>
        </is>
      </c>
      <c r="B3964" s="194" t="inlineStr">
        <is>
          <t>CHF</t>
        </is>
      </c>
      <c r="C3964" s="194" t="inlineStr">
        <is>
          <t>SWISS FRANC</t>
        </is>
      </c>
      <c r="D3964" s="195" t="n">
        <v>32810.75</v>
      </c>
      <c r="E3964" s="195" t="n">
        <v>33142.17</v>
      </c>
      <c r="F3964" s="195" t="n">
        <v>34204.08</v>
      </c>
      <c r="G3964" s="195" t="n">
        <v>33673.12</v>
      </c>
    </row>
    <row r="3965">
      <c r="A3965" s="196" t="inlineStr">
        <is>
          <t>2026-02-28</t>
        </is>
      </c>
      <c r="B3965" s="196" t="inlineStr">
        <is>
          <t>CNY</t>
        </is>
      </c>
      <c r="C3965" s="196" t="inlineStr">
        <is>
          <t>YUAN RENMINBI</t>
        </is>
      </c>
      <c r="D3965" s="184" t="n">
        <v>3700.71</v>
      </c>
      <c r="E3965" s="184" t="n">
        <v>3738.09</v>
      </c>
      <c r="F3965" s="184" t="n">
        <v>3857.87</v>
      </c>
      <c r="G3965" s="184" t="n">
        <v>3797.98</v>
      </c>
    </row>
    <row r="3966">
      <c r="A3966" s="194" t="inlineStr">
        <is>
          <t>2026-02-28</t>
        </is>
      </c>
      <c r="B3966" s="194" t="inlineStr">
        <is>
          <t>DKK</t>
        </is>
      </c>
      <c r="C3966" s="194" t="inlineStr">
        <is>
          <t>DANISH KRONE</t>
        </is>
      </c>
      <c r="D3966" s="195" t="n"/>
      <c r="E3966" s="195" t="n">
        <v>4035.16</v>
      </c>
      <c r="F3966" s="195" t="n">
        <v>4189.52</v>
      </c>
      <c r="G3966" s="195" t="n">
        <v>4112.34</v>
      </c>
    </row>
    <row r="3967">
      <c r="A3967" s="196" t="inlineStr">
        <is>
          <t>2026-02-28</t>
        </is>
      </c>
      <c r="B3967" s="196" t="inlineStr">
        <is>
          <t>EUR</t>
        </is>
      </c>
      <c r="C3967" s="196" t="inlineStr">
        <is>
          <t>EURO</t>
        </is>
      </c>
      <c r="D3967" s="184" t="n">
        <v>29925.39</v>
      </c>
      <c r="E3967" s="184" t="n">
        <v>30227.67</v>
      </c>
      <c r="F3967" s="184" t="n">
        <v>31503.54</v>
      </c>
      <c r="G3967" s="184" t="n">
        <v>30865.6</v>
      </c>
    </row>
    <row r="3968">
      <c r="A3968" s="194" t="inlineStr">
        <is>
          <t>2026-02-28</t>
        </is>
      </c>
      <c r="B3968" s="194" t="inlineStr">
        <is>
          <t>GBP</t>
        </is>
      </c>
      <c r="C3968" s="194" t="inlineStr">
        <is>
          <t>POUND STERLING</t>
        </is>
      </c>
      <c r="D3968" s="195" t="n">
        <v>34205.88</v>
      </c>
      <c r="E3968" s="195" t="n">
        <v>34551.4</v>
      </c>
      <c r="F3968" s="195" t="n">
        <v>35658.46</v>
      </c>
      <c r="G3968" s="195" t="n">
        <v>35104.93</v>
      </c>
    </row>
    <row r="3969">
      <c r="A3969" s="196" t="inlineStr">
        <is>
          <t>2026-02-28</t>
        </is>
      </c>
      <c r="B3969" s="196" t="inlineStr">
        <is>
          <t>HKD</t>
        </is>
      </c>
      <c r="C3969" s="196" t="inlineStr">
        <is>
          <t>HONGKONG DOLLAR</t>
        </is>
      </c>
      <c r="D3969" s="184" t="n">
        <v>3234.98</v>
      </c>
      <c r="E3969" s="184" t="n">
        <v>3267.65</v>
      </c>
      <c r="F3969" s="184" t="n">
        <v>3392.65</v>
      </c>
      <c r="G3969" s="184" t="n">
        <v>3330.15</v>
      </c>
    </row>
    <row r="3970">
      <c r="A3970" s="194" t="inlineStr">
        <is>
          <t>2026-02-28</t>
        </is>
      </c>
      <c r="B3970" s="194" t="inlineStr">
        <is>
          <t>INR</t>
        </is>
      </c>
      <c r="C3970" s="194" t="inlineStr">
        <is>
          <t>INDIAN RUPEE</t>
        </is>
      </c>
      <c r="D3970" s="195" t="n"/>
      <c r="E3970" s="195" t="n">
        <v>284.5</v>
      </c>
      <c r="F3970" s="195" t="n">
        <v>296.75</v>
      </c>
      <c r="G3970" s="195" t="n">
        <v>290.62</v>
      </c>
    </row>
    <row r="3971">
      <c r="A3971" s="196" t="inlineStr">
        <is>
          <t>2026-02-28</t>
        </is>
      </c>
      <c r="B3971" s="196" t="inlineStr">
        <is>
          <t>JPY</t>
        </is>
      </c>
      <c r="C3971" s="196" t="inlineStr">
        <is>
          <t>YEN</t>
        </is>
      </c>
      <c r="D3971" s="184" t="n">
        <v>161.19</v>
      </c>
      <c r="E3971" s="184" t="n">
        <v>162.82</v>
      </c>
      <c r="F3971" s="184" t="n">
        <v>171.43</v>
      </c>
      <c r="G3971" s="184" t="n">
        <v>167.12</v>
      </c>
    </row>
    <row r="3972">
      <c r="A3972" s="194" t="inlineStr">
        <is>
          <t>2026-02-28</t>
        </is>
      </c>
      <c r="B3972" s="194" t="inlineStr">
        <is>
          <t>KRW</t>
        </is>
      </c>
      <c r="C3972" s="194" t="inlineStr">
        <is>
          <t>KOREAN WON</t>
        </is>
      </c>
      <c r="D3972" s="195" t="n">
        <v>15.65</v>
      </c>
      <c r="E3972" s="195" t="n">
        <v>17.39</v>
      </c>
      <c r="F3972" s="195" t="n">
        <v>18.87</v>
      </c>
      <c r="G3972" s="195" t="n">
        <v>18.13</v>
      </c>
    </row>
    <row r="3973">
      <c r="A3973" s="196" t="inlineStr">
        <is>
          <t>2026-02-28</t>
        </is>
      </c>
      <c r="B3973" s="196" t="inlineStr">
        <is>
          <t>KWD</t>
        </is>
      </c>
      <c r="C3973" s="196" t="inlineStr">
        <is>
          <t>KUWAITI DINAR</t>
        </is>
      </c>
      <c r="D3973" s="184" t="n"/>
      <c r="E3973" s="184" t="n">
        <v>84775.86</v>
      </c>
      <c r="F3973" s="184" t="n">
        <v>88886.16</v>
      </c>
      <c r="G3973" s="184" t="n">
        <v>86831.00999999999</v>
      </c>
    </row>
    <row r="3974">
      <c r="A3974" s="194" t="inlineStr">
        <is>
          <t>2026-02-28</t>
        </is>
      </c>
      <c r="B3974" s="194" t="inlineStr">
        <is>
          <t>MYR</t>
        </is>
      </c>
      <c r="C3974" s="194" t="inlineStr">
        <is>
          <t>MALAYSIAN RINGGIT</t>
        </is>
      </c>
      <c r="D3974" s="195" t="n"/>
      <c r="E3974" s="195" t="n">
        <v>6626.13</v>
      </c>
      <c r="F3974" s="195" t="n">
        <v>6770.38</v>
      </c>
      <c r="G3974" s="195" t="n">
        <v>6698.26</v>
      </c>
    </row>
    <row r="3975">
      <c r="A3975" s="196" t="inlineStr">
        <is>
          <t>2026-02-28</t>
        </is>
      </c>
      <c r="B3975" s="196" t="inlineStr">
        <is>
          <t>NOK</t>
        </is>
      </c>
      <c r="C3975" s="196" t="inlineStr">
        <is>
          <t>NORWEGIAN KRONER</t>
        </is>
      </c>
      <c r="D3975" s="184" t="n"/>
      <c r="E3975" s="184" t="n">
        <v>2669.48</v>
      </c>
      <c r="F3975" s="184" t="n">
        <v>2782.71</v>
      </c>
      <c r="G3975" s="184" t="n">
        <v>2726.1</v>
      </c>
    </row>
    <row r="3976">
      <c r="A3976" s="194" t="inlineStr">
        <is>
          <t>2026-02-28</t>
        </is>
      </c>
      <c r="B3976" s="194" t="inlineStr">
        <is>
          <t>RUB</t>
        </is>
      </c>
      <c r="C3976" s="194" t="inlineStr">
        <is>
          <t>RUSSIAN RUBLE</t>
        </is>
      </c>
      <c r="D3976" s="195" t="n"/>
      <c r="E3976" s="195" t="n">
        <v>322.37</v>
      </c>
      <c r="F3976" s="195" t="n">
        <v>356.85</v>
      </c>
      <c r="G3976" s="195" t="n">
        <v>339.61</v>
      </c>
    </row>
    <row r="3977">
      <c r="A3977" s="196" t="inlineStr">
        <is>
          <t>2026-02-28</t>
        </is>
      </c>
      <c r="B3977" s="196" t="inlineStr">
        <is>
          <t>SAR</t>
        </is>
      </c>
      <c r="C3977" s="196" t="inlineStr">
        <is>
          <t>SAUDI RIAL</t>
        </is>
      </c>
      <c r="D3977" s="184" t="n"/>
      <c r="E3977" s="184" t="n">
        <v>6903.59</v>
      </c>
      <c r="F3977" s="184" t="n">
        <v>7200.81</v>
      </c>
      <c r="G3977" s="184" t="n">
        <v>7052.2</v>
      </c>
    </row>
    <row r="3978">
      <c r="A3978" s="194" t="inlineStr">
        <is>
          <t>2026-02-28</t>
        </is>
      </c>
      <c r="B3978" s="194" t="inlineStr">
        <is>
          <t>SEK</t>
        </is>
      </c>
      <c r="C3978" s="194" t="inlineStr">
        <is>
          <t>SWEDISH KRONA</t>
        </is>
      </c>
      <c r="D3978" s="195" t="n"/>
      <c r="E3978" s="195" t="n">
        <v>2817.21</v>
      </c>
      <c r="F3978" s="195" t="n">
        <v>2936.7</v>
      </c>
      <c r="G3978" s="195" t="n">
        <v>2876.96</v>
      </c>
    </row>
    <row r="3979">
      <c r="A3979" s="196" t="inlineStr">
        <is>
          <t>2026-02-28</t>
        </is>
      </c>
      <c r="B3979" s="196" t="inlineStr">
        <is>
          <t>SGD</t>
        </is>
      </c>
      <c r="C3979" s="196" t="inlineStr">
        <is>
          <t>SINGAPORE DOLLAR</t>
        </is>
      </c>
      <c r="D3979" s="184" t="n">
        <v>20050.72</v>
      </c>
      <c r="E3979" s="184" t="n">
        <v>20253.25</v>
      </c>
      <c r="F3979" s="184" t="n">
        <v>20944.04</v>
      </c>
      <c r="G3979" s="184" t="n">
        <v>20598.64</v>
      </c>
    </row>
    <row r="3980">
      <c r="A3980" s="194" t="inlineStr">
        <is>
          <t>2026-02-28</t>
        </is>
      </c>
      <c r="B3980" s="194" t="inlineStr">
        <is>
          <t>THB</t>
        </is>
      </c>
      <c r="C3980" s="194" t="inlineStr">
        <is>
          <t>THAILAND BAHT</t>
        </is>
      </c>
      <c r="D3980" s="195" t="n">
        <v>738.23</v>
      </c>
      <c r="E3980" s="195" t="n">
        <v>820.25</v>
      </c>
      <c r="F3980" s="195" t="n">
        <v>855.04</v>
      </c>
      <c r="G3980" s="195" t="n">
        <v>837.64</v>
      </c>
    </row>
    <row r="3981">
      <c r="A3981" s="196" t="inlineStr">
        <is>
          <t>2026-02-28</t>
        </is>
      </c>
      <c r="B3981" s="196" t="inlineStr">
        <is>
          <t>USD</t>
        </is>
      </c>
      <c r="C3981" s="196" t="inlineStr">
        <is>
          <t>US DOLLAR</t>
        </is>
      </c>
      <c r="D3981" s="184" t="n">
        <v>25820</v>
      </c>
      <c r="E3981" s="184" t="n">
        <v>25850</v>
      </c>
      <c r="F3981" s="184" t="n">
        <v>26230</v>
      </c>
      <c r="G3981" s="184" t="n">
        <v>26040</v>
      </c>
    </row>
    <row r="3982">
      <c r="A3982" s="194" t="inlineStr">
        <is>
          <t>2026-02-27</t>
        </is>
      </c>
      <c r="B3982" s="194" t="inlineStr">
        <is>
          <t>AUD</t>
        </is>
      </c>
      <c r="C3982" s="194" t="inlineStr">
        <is>
          <t>AUSTRALIAN DOLLAR</t>
        </is>
      </c>
      <c r="D3982" s="195" t="n">
        <v>18015.12</v>
      </c>
      <c r="E3982" s="195" t="n">
        <v>18197.09</v>
      </c>
      <c r="F3982" s="195" t="n">
        <v>18780.14</v>
      </c>
      <c r="G3982" s="195" t="n">
        <v>18488.61</v>
      </c>
    </row>
    <row r="3983">
      <c r="A3983" s="196" t="inlineStr">
        <is>
          <t>2026-02-27</t>
        </is>
      </c>
      <c r="B3983" s="196" t="inlineStr">
        <is>
          <t>CAD</t>
        </is>
      </c>
      <c r="C3983" s="196" t="inlineStr">
        <is>
          <t>CANADIAN DOLLAR</t>
        </is>
      </c>
      <c r="D3983" s="184" t="n">
        <v>18551.98</v>
      </c>
      <c r="E3983" s="184" t="n">
        <v>18739.38</v>
      </c>
      <c r="F3983" s="184" t="n">
        <v>19339.8</v>
      </c>
      <c r="G3983" s="184" t="n">
        <v>19039.59</v>
      </c>
    </row>
    <row r="3984">
      <c r="A3984" s="194" t="inlineStr">
        <is>
          <t>2026-02-27</t>
        </is>
      </c>
      <c r="B3984" s="194" t="inlineStr">
        <is>
          <t>CHF</t>
        </is>
      </c>
      <c r="C3984" s="194" t="inlineStr">
        <is>
          <t>SWISS FRANC</t>
        </is>
      </c>
      <c r="D3984" s="195" t="n">
        <v>32810.75</v>
      </c>
      <c r="E3984" s="195" t="n">
        <v>33142.17</v>
      </c>
      <c r="F3984" s="195" t="n">
        <v>34204.08</v>
      </c>
      <c r="G3984" s="195" t="n">
        <v>33673.12</v>
      </c>
    </row>
    <row r="3985">
      <c r="A3985" s="196" t="inlineStr">
        <is>
          <t>2026-02-27</t>
        </is>
      </c>
      <c r="B3985" s="196" t="inlineStr">
        <is>
          <t>CNY</t>
        </is>
      </c>
      <c r="C3985" s="196" t="inlineStr">
        <is>
          <t>YUAN RENMINBI</t>
        </is>
      </c>
      <c r="D3985" s="184" t="n">
        <v>3700.71</v>
      </c>
      <c r="E3985" s="184" t="n">
        <v>3738.09</v>
      </c>
      <c r="F3985" s="184" t="n">
        <v>3857.87</v>
      </c>
      <c r="G3985" s="184" t="n">
        <v>3797.98</v>
      </c>
    </row>
    <row r="3986">
      <c r="A3986" s="194" t="inlineStr">
        <is>
          <t>2026-02-27</t>
        </is>
      </c>
      <c r="B3986" s="194" t="inlineStr">
        <is>
          <t>DKK</t>
        </is>
      </c>
      <c r="C3986" s="194" t="inlineStr">
        <is>
          <t>DANISH KRONE</t>
        </is>
      </c>
      <c r="D3986" s="195" t="n"/>
      <c r="E3986" s="195" t="n">
        <v>4035.16</v>
      </c>
      <c r="F3986" s="195" t="n">
        <v>4189.52</v>
      </c>
      <c r="G3986" s="195" t="n">
        <v>4112.34</v>
      </c>
    </row>
    <row r="3987">
      <c r="A3987" s="196" t="inlineStr">
        <is>
          <t>2026-02-27</t>
        </is>
      </c>
      <c r="B3987" s="196" t="inlineStr">
        <is>
          <t>EUR</t>
        </is>
      </c>
      <c r="C3987" s="196" t="inlineStr">
        <is>
          <t>EURO</t>
        </is>
      </c>
      <c r="D3987" s="184" t="n">
        <v>29925.39</v>
      </c>
      <c r="E3987" s="184" t="n">
        <v>30227.67</v>
      </c>
      <c r="F3987" s="184" t="n">
        <v>31503.54</v>
      </c>
      <c r="G3987" s="184" t="n">
        <v>30865.6</v>
      </c>
    </row>
    <row r="3988">
      <c r="A3988" s="194" t="inlineStr">
        <is>
          <t>2026-02-27</t>
        </is>
      </c>
      <c r="B3988" s="194" t="inlineStr">
        <is>
          <t>GBP</t>
        </is>
      </c>
      <c r="C3988" s="194" t="inlineStr">
        <is>
          <t>POUND STERLING</t>
        </is>
      </c>
      <c r="D3988" s="195" t="n">
        <v>34205.88</v>
      </c>
      <c r="E3988" s="195" t="n">
        <v>34551.4</v>
      </c>
      <c r="F3988" s="195" t="n">
        <v>35658.46</v>
      </c>
      <c r="G3988" s="195" t="n">
        <v>35104.93</v>
      </c>
    </row>
    <row r="3989">
      <c r="A3989" s="196" t="inlineStr">
        <is>
          <t>2026-02-27</t>
        </is>
      </c>
      <c r="B3989" s="196" t="inlineStr">
        <is>
          <t>HKD</t>
        </is>
      </c>
      <c r="C3989" s="196" t="inlineStr">
        <is>
          <t>HONGKONG DOLLAR</t>
        </is>
      </c>
      <c r="D3989" s="184" t="n">
        <v>3234.98</v>
      </c>
      <c r="E3989" s="184" t="n">
        <v>3267.65</v>
      </c>
      <c r="F3989" s="184" t="n">
        <v>3392.65</v>
      </c>
      <c r="G3989" s="184" t="n">
        <v>3330.15</v>
      </c>
    </row>
    <row r="3990">
      <c r="A3990" s="194" t="inlineStr">
        <is>
          <t>2026-02-27</t>
        </is>
      </c>
      <c r="B3990" s="194" t="inlineStr">
        <is>
          <t>INR</t>
        </is>
      </c>
      <c r="C3990" s="194" t="inlineStr">
        <is>
          <t>INDIAN RUPEE</t>
        </is>
      </c>
      <c r="D3990" s="195" t="n"/>
      <c r="E3990" s="195" t="n">
        <v>284.5</v>
      </c>
      <c r="F3990" s="195" t="n">
        <v>296.75</v>
      </c>
      <c r="G3990" s="195" t="n">
        <v>290.62</v>
      </c>
    </row>
    <row r="3991">
      <c r="A3991" s="196" t="inlineStr">
        <is>
          <t>2026-02-27</t>
        </is>
      </c>
      <c r="B3991" s="196" t="inlineStr">
        <is>
          <t>JPY</t>
        </is>
      </c>
      <c r="C3991" s="196" t="inlineStr">
        <is>
          <t>YEN</t>
        </is>
      </c>
      <c r="D3991" s="184" t="n">
        <v>161.19</v>
      </c>
      <c r="E3991" s="184" t="n">
        <v>162.82</v>
      </c>
      <c r="F3991" s="184" t="n">
        <v>171.43</v>
      </c>
      <c r="G3991" s="184" t="n">
        <v>167.12</v>
      </c>
    </row>
    <row r="3992">
      <c r="A3992" s="194" t="inlineStr">
        <is>
          <t>2026-02-27</t>
        </is>
      </c>
      <c r="B3992" s="194" t="inlineStr">
        <is>
          <t>KRW</t>
        </is>
      </c>
      <c r="C3992" s="194" t="inlineStr">
        <is>
          <t>KOREAN WON</t>
        </is>
      </c>
      <c r="D3992" s="195" t="n">
        <v>15.65</v>
      </c>
      <c r="E3992" s="195" t="n">
        <v>17.39</v>
      </c>
      <c r="F3992" s="195" t="n">
        <v>18.87</v>
      </c>
      <c r="G3992" s="195" t="n">
        <v>18.13</v>
      </c>
    </row>
    <row r="3993">
      <c r="A3993" s="196" t="inlineStr">
        <is>
          <t>2026-02-27</t>
        </is>
      </c>
      <c r="B3993" s="196" t="inlineStr">
        <is>
          <t>KWD</t>
        </is>
      </c>
      <c r="C3993" s="196" t="inlineStr">
        <is>
          <t>KUWAITI DINAR</t>
        </is>
      </c>
      <c r="D3993" s="184" t="n"/>
      <c r="E3993" s="184" t="n">
        <v>84775.86</v>
      </c>
      <c r="F3993" s="184" t="n">
        <v>88886.16</v>
      </c>
      <c r="G3993" s="184" t="n">
        <v>86831.00999999999</v>
      </c>
    </row>
    <row r="3994">
      <c r="A3994" s="194" t="inlineStr">
        <is>
          <t>2026-02-27</t>
        </is>
      </c>
      <c r="B3994" s="194" t="inlineStr">
        <is>
          <t>MYR</t>
        </is>
      </c>
      <c r="C3994" s="194" t="inlineStr">
        <is>
          <t>MALAYSIAN RINGGIT</t>
        </is>
      </c>
      <c r="D3994" s="195" t="n"/>
      <c r="E3994" s="195" t="n">
        <v>6626.13</v>
      </c>
      <c r="F3994" s="195" t="n">
        <v>6770.38</v>
      </c>
      <c r="G3994" s="195" t="n">
        <v>6698.26</v>
      </c>
    </row>
    <row r="3995">
      <c r="A3995" s="196" t="inlineStr">
        <is>
          <t>2026-02-27</t>
        </is>
      </c>
      <c r="B3995" s="196" t="inlineStr">
        <is>
          <t>NOK</t>
        </is>
      </c>
      <c r="C3995" s="196" t="inlineStr">
        <is>
          <t>NORWEGIAN KRONER</t>
        </is>
      </c>
      <c r="D3995" s="184" t="n"/>
      <c r="E3995" s="184" t="n">
        <v>2669.48</v>
      </c>
      <c r="F3995" s="184" t="n">
        <v>2782.71</v>
      </c>
      <c r="G3995" s="184" t="n">
        <v>2726.1</v>
      </c>
    </row>
    <row r="3996">
      <c r="A3996" s="194" t="inlineStr">
        <is>
          <t>2026-02-27</t>
        </is>
      </c>
      <c r="B3996" s="194" t="inlineStr">
        <is>
          <t>RUB</t>
        </is>
      </c>
      <c r="C3996" s="194" t="inlineStr">
        <is>
          <t>RUSSIAN RUBLE</t>
        </is>
      </c>
      <c r="D3996" s="195" t="n"/>
      <c r="E3996" s="195" t="n">
        <v>322.37</v>
      </c>
      <c r="F3996" s="195" t="n">
        <v>356.85</v>
      </c>
      <c r="G3996" s="195" t="n">
        <v>339.61</v>
      </c>
    </row>
    <row r="3997">
      <c r="A3997" s="196" t="inlineStr">
        <is>
          <t>2026-02-27</t>
        </is>
      </c>
      <c r="B3997" s="196" t="inlineStr">
        <is>
          <t>SAR</t>
        </is>
      </c>
      <c r="C3997" s="196" t="inlineStr">
        <is>
          <t>SAUDI RIAL</t>
        </is>
      </c>
      <c r="D3997" s="184" t="n"/>
      <c r="E3997" s="184" t="n">
        <v>6903.59</v>
      </c>
      <c r="F3997" s="184" t="n">
        <v>7200.81</v>
      </c>
      <c r="G3997" s="184" t="n">
        <v>7052.2</v>
      </c>
    </row>
    <row r="3998">
      <c r="A3998" s="194" t="inlineStr">
        <is>
          <t>2026-02-27</t>
        </is>
      </c>
      <c r="B3998" s="194" t="inlineStr">
        <is>
          <t>SEK</t>
        </is>
      </c>
      <c r="C3998" s="194" t="inlineStr">
        <is>
          <t>SWEDISH KRONA</t>
        </is>
      </c>
      <c r="D3998" s="195" t="n"/>
      <c r="E3998" s="195" t="n">
        <v>2817.21</v>
      </c>
      <c r="F3998" s="195" t="n">
        <v>2936.7</v>
      </c>
      <c r="G3998" s="195" t="n">
        <v>2876.96</v>
      </c>
    </row>
    <row r="3999">
      <c r="A3999" s="196" t="inlineStr">
        <is>
          <t>2026-02-27</t>
        </is>
      </c>
      <c r="B3999" s="196" t="inlineStr">
        <is>
          <t>SGD</t>
        </is>
      </c>
      <c r="C3999" s="196" t="inlineStr">
        <is>
          <t>SINGAPORE DOLLAR</t>
        </is>
      </c>
      <c r="D3999" s="184" t="n">
        <v>20050.72</v>
      </c>
      <c r="E3999" s="184" t="n">
        <v>20253.25</v>
      </c>
      <c r="F3999" s="184" t="n">
        <v>20944.04</v>
      </c>
      <c r="G3999" s="184" t="n">
        <v>20598.64</v>
      </c>
    </row>
    <row r="4000">
      <c r="A4000" s="194" t="inlineStr">
        <is>
          <t>2026-02-27</t>
        </is>
      </c>
      <c r="B4000" s="194" t="inlineStr">
        <is>
          <t>THB</t>
        </is>
      </c>
      <c r="C4000" s="194" t="inlineStr">
        <is>
          <t>THAILAND BAHT</t>
        </is>
      </c>
      <c r="D4000" s="195" t="n">
        <v>738.23</v>
      </c>
      <c r="E4000" s="195" t="n">
        <v>820.25</v>
      </c>
      <c r="F4000" s="195" t="n">
        <v>855.04</v>
      </c>
      <c r="G4000" s="195" t="n">
        <v>837.64</v>
      </c>
    </row>
    <row r="4001">
      <c r="A4001" s="196" t="inlineStr">
        <is>
          <t>2026-02-27</t>
        </is>
      </c>
      <c r="B4001" s="196" t="inlineStr">
        <is>
          <t>USD</t>
        </is>
      </c>
      <c r="C4001" s="196" t="inlineStr">
        <is>
          <t>US DOLLAR</t>
        </is>
      </c>
      <c r="D4001" s="184" t="n">
        <v>25820</v>
      </c>
      <c r="E4001" s="184" t="n">
        <v>25850</v>
      </c>
      <c r="F4001" s="184" t="n">
        <v>26230</v>
      </c>
      <c r="G4001" s="184" t="n">
        <v>26040</v>
      </c>
    </row>
    <row r="4002">
      <c r="A4002" s="194" t="inlineStr">
        <is>
          <t>2026-02-26</t>
        </is>
      </c>
      <c r="B4002" s="194" t="inlineStr">
        <is>
          <t>AUD</t>
        </is>
      </c>
      <c r="C4002" s="194" t="inlineStr">
        <is>
          <t>AUSTRALIAN DOLLAR</t>
        </is>
      </c>
      <c r="D4002" s="195" t="n">
        <v>18079.07</v>
      </c>
      <c r="E4002" s="195" t="n">
        <v>18261.69</v>
      </c>
      <c r="F4002" s="195" t="n">
        <v>18846.78</v>
      </c>
      <c r="G4002" s="195" t="n">
        <v>18554.24</v>
      </c>
    </row>
    <row r="4003">
      <c r="A4003" s="196" t="inlineStr">
        <is>
          <t>2026-02-26</t>
        </is>
      </c>
      <c r="B4003" s="196" t="inlineStr">
        <is>
          <t>CAD</t>
        </is>
      </c>
      <c r="C4003" s="196" t="inlineStr">
        <is>
          <t>CANADIAN DOLLAR</t>
        </is>
      </c>
      <c r="D4003" s="184" t="n">
        <v>18592.4</v>
      </c>
      <c r="E4003" s="184" t="n">
        <v>18780.2</v>
      </c>
      <c r="F4003" s="184" t="n">
        <v>19381.9</v>
      </c>
      <c r="G4003" s="184" t="n">
        <v>19081.05</v>
      </c>
    </row>
    <row r="4004">
      <c r="A4004" s="194" t="inlineStr">
        <is>
          <t>2026-02-26</t>
        </is>
      </c>
      <c r="B4004" s="194" t="inlineStr">
        <is>
          <t>CHF</t>
        </is>
      </c>
      <c r="C4004" s="194" t="inlineStr">
        <is>
          <t>SWISS FRANC</t>
        </is>
      </c>
      <c r="D4004" s="195" t="n">
        <v>32912.4</v>
      </c>
      <c r="E4004" s="195" t="n">
        <v>33244.85</v>
      </c>
      <c r="F4004" s="195" t="n">
        <v>34309.99</v>
      </c>
      <c r="G4004" s="195" t="n">
        <v>33777.42</v>
      </c>
    </row>
    <row r="4005">
      <c r="A4005" s="196" t="inlineStr">
        <is>
          <t>2026-02-26</t>
        </is>
      </c>
      <c r="B4005" s="196" t="inlineStr">
        <is>
          <t>CNY</t>
        </is>
      </c>
      <c r="C4005" s="196" t="inlineStr">
        <is>
          <t>YUAN RENMINBI</t>
        </is>
      </c>
      <c r="D4005" s="184" t="n">
        <v>3715.44</v>
      </c>
      <c r="E4005" s="184" t="n">
        <v>3752.96</v>
      </c>
      <c r="F4005" s="184" t="n">
        <v>3873.21</v>
      </c>
      <c r="G4005" s="184" t="n">
        <v>3813.08</v>
      </c>
    </row>
    <row r="4006">
      <c r="A4006" s="194" t="inlineStr">
        <is>
          <t>2026-02-26</t>
        </is>
      </c>
      <c r="B4006" s="194" t="inlineStr">
        <is>
          <t>DKK</t>
        </is>
      </c>
      <c r="C4006" s="194" t="inlineStr">
        <is>
          <t>DANISH KRONE</t>
        </is>
      </c>
      <c r="D4006" s="195" t="n"/>
      <c r="E4006" s="195" t="n">
        <v>4045.5</v>
      </c>
      <c r="F4006" s="195" t="n">
        <v>4200.24</v>
      </c>
      <c r="G4006" s="195" t="n">
        <v>4122.87</v>
      </c>
    </row>
    <row r="4007">
      <c r="A4007" s="196" t="inlineStr">
        <is>
          <t>2026-02-26</t>
        </is>
      </c>
      <c r="B4007" s="196" t="inlineStr">
        <is>
          <t>EUR</t>
        </is>
      </c>
      <c r="C4007" s="196" t="inlineStr">
        <is>
          <t>EURO</t>
        </is>
      </c>
      <c r="D4007" s="184" t="n">
        <v>30003.08</v>
      </c>
      <c r="E4007" s="184" t="n">
        <v>30306.14</v>
      </c>
      <c r="F4007" s="184" t="n">
        <v>31585.27</v>
      </c>
      <c r="G4007" s="184" t="n">
        <v>30945.7</v>
      </c>
    </row>
    <row r="4008">
      <c r="A4008" s="194" t="inlineStr">
        <is>
          <t>2026-02-26</t>
        </is>
      </c>
      <c r="B4008" s="194" t="inlineStr">
        <is>
          <t>GBP</t>
        </is>
      </c>
      <c r="C4008" s="194" t="inlineStr">
        <is>
          <t>POUND STERLING</t>
        </is>
      </c>
      <c r="D4008" s="195" t="n">
        <v>34390.12</v>
      </c>
      <c r="E4008" s="195" t="n">
        <v>34737.49</v>
      </c>
      <c r="F4008" s="195" t="n">
        <v>35850.45</v>
      </c>
      <c r="G4008" s="195" t="n">
        <v>35293.97</v>
      </c>
    </row>
    <row r="4009">
      <c r="A4009" s="196" t="inlineStr">
        <is>
          <t>2026-02-26</t>
        </is>
      </c>
      <c r="B4009" s="196" t="inlineStr">
        <is>
          <t>HKD</t>
        </is>
      </c>
      <c r="C4009" s="196" t="inlineStr">
        <is>
          <t>HONGKONG DOLLAR</t>
        </is>
      </c>
      <c r="D4009" s="184" t="n">
        <v>3238.54</v>
      </c>
      <c r="E4009" s="184" t="n">
        <v>3271.25</v>
      </c>
      <c r="F4009" s="184" t="n">
        <v>3396.39</v>
      </c>
      <c r="G4009" s="184" t="n">
        <v>3333.82</v>
      </c>
    </row>
    <row r="4010">
      <c r="A4010" s="194" t="inlineStr">
        <is>
          <t>2026-02-26</t>
        </is>
      </c>
      <c r="B4010" s="194" t="inlineStr">
        <is>
          <t>INR</t>
        </is>
      </c>
      <c r="C4010" s="194" t="inlineStr">
        <is>
          <t>INDIAN RUPEE</t>
        </is>
      </c>
      <c r="D4010" s="195" t="n"/>
      <c r="E4010" s="195" t="n">
        <v>285.24</v>
      </c>
      <c r="F4010" s="195" t="n">
        <v>297.52</v>
      </c>
      <c r="G4010" s="195" t="n">
        <v>291.38</v>
      </c>
    </row>
    <row r="4011">
      <c r="A4011" s="196" t="inlineStr">
        <is>
          <t>2026-02-26</t>
        </is>
      </c>
      <c r="B4011" s="196" t="inlineStr">
        <is>
          <t>JPY</t>
        </is>
      </c>
      <c r="C4011" s="196" t="inlineStr">
        <is>
          <t>YEN</t>
        </is>
      </c>
      <c r="D4011" s="184" t="n">
        <v>161.24</v>
      </c>
      <c r="E4011" s="184" t="n">
        <v>162.87</v>
      </c>
      <c r="F4011" s="184" t="n">
        <v>171.49</v>
      </c>
      <c r="G4011" s="184" t="n">
        <v>167.18</v>
      </c>
    </row>
    <row r="4012">
      <c r="A4012" s="194" t="inlineStr">
        <is>
          <t>2026-02-26</t>
        </is>
      </c>
      <c r="B4012" s="194" t="inlineStr">
        <is>
          <t>KRW</t>
        </is>
      </c>
      <c r="C4012" s="194" t="inlineStr">
        <is>
          <t>KOREAN WON</t>
        </is>
      </c>
      <c r="D4012" s="195" t="n">
        <v>15.78</v>
      </c>
      <c r="E4012" s="195" t="n">
        <v>17.54</v>
      </c>
      <c r="F4012" s="195" t="n">
        <v>19.03</v>
      </c>
      <c r="G4012" s="195" t="n">
        <v>18.28</v>
      </c>
    </row>
    <row r="4013">
      <c r="A4013" s="196" t="inlineStr">
        <is>
          <t>2026-02-26</t>
        </is>
      </c>
      <c r="B4013" s="196" t="inlineStr">
        <is>
          <t>KWD</t>
        </is>
      </c>
      <c r="C4013" s="196" t="inlineStr">
        <is>
          <t>KUWAITI DINAR</t>
        </is>
      </c>
      <c r="D4013" s="184" t="n"/>
      <c r="E4013" s="184" t="n">
        <v>84873.60000000001</v>
      </c>
      <c r="F4013" s="184" t="n">
        <v>88988.49000000001</v>
      </c>
      <c r="G4013" s="184" t="n">
        <v>86931.05</v>
      </c>
    </row>
    <row r="4014">
      <c r="A4014" s="194" t="inlineStr">
        <is>
          <t>2026-02-26</t>
        </is>
      </c>
      <c r="B4014" s="194" t="inlineStr">
        <is>
          <t>MYR</t>
        </is>
      </c>
      <c r="C4014" s="194" t="inlineStr">
        <is>
          <t>MALAYSIAN RINGGIT</t>
        </is>
      </c>
      <c r="D4014" s="195" t="n"/>
      <c r="E4014" s="195" t="n">
        <v>6638.89</v>
      </c>
      <c r="F4014" s="195" t="n">
        <v>6783.41</v>
      </c>
      <c r="G4014" s="195" t="n">
        <v>6711.15</v>
      </c>
    </row>
    <row r="4015">
      <c r="A4015" s="196" t="inlineStr">
        <is>
          <t>2026-02-26</t>
        </is>
      </c>
      <c r="B4015" s="196" t="inlineStr">
        <is>
          <t>NOK</t>
        </is>
      </c>
      <c r="C4015" s="196" t="inlineStr">
        <is>
          <t>NORWEGIAN KRONER</t>
        </is>
      </c>
      <c r="D4015" s="184" t="n"/>
      <c r="E4015" s="184" t="n">
        <v>2675.78</v>
      </c>
      <c r="F4015" s="184" t="n">
        <v>2789.27</v>
      </c>
      <c r="G4015" s="184" t="n">
        <v>2732.52</v>
      </c>
    </row>
    <row r="4016">
      <c r="A4016" s="194" t="inlineStr">
        <is>
          <t>2026-02-26</t>
        </is>
      </c>
      <c r="B4016" s="194" t="inlineStr">
        <is>
          <t>RUB</t>
        </is>
      </c>
      <c r="C4016" s="194" t="inlineStr">
        <is>
          <t>RUSSIAN RUBLE</t>
        </is>
      </c>
      <c r="D4016" s="195" t="n"/>
      <c r="E4016" s="195" t="n">
        <v>322.2</v>
      </c>
      <c r="F4016" s="195" t="n">
        <v>356.66</v>
      </c>
      <c r="G4016" s="195" t="n">
        <v>339.43</v>
      </c>
    </row>
    <row r="4017">
      <c r="A4017" s="196" t="inlineStr">
        <is>
          <t>2026-02-26</t>
        </is>
      </c>
      <c r="B4017" s="196" t="inlineStr">
        <is>
          <t>SAR</t>
        </is>
      </c>
      <c r="C4017" s="196" t="inlineStr">
        <is>
          <t>SAUDI RIAL</t>
        </is>
      </c>
      <c r="D4017" s="184" t="n"/>
      <c r="E4017" s="184" t="n">
        <v>6911.37</v>
      </c>
      <c r="F4017" s="184" t="n">
        <v>7208.9</v>
      </c>
      <c r="G4017" s="184" t="n">
        <v>7060.14</v>
      </c>
    </row>
    <row r="4018">
      <c r="A4018" s="194" t="inlineStr">
        <is>
          <t>2026-02-26</t>
        </is>
      </c>
      <c r="B4018" s="194" t="inlineStr">
        <is>
          <t>SEK</t>
        </is>
      </c>
      <c r="C4018" s="194" t="inlineStr">
        <is>
          <t>SWEDISH KRONA</t>
        </is>
      </c>
      <c r="D4018" s="195" t="n"/>
      <c r="E4018" s="195" t="n">
        <v>2827.98</v>
      </c>
      <c r="F4018" s="195" t="n">
        <v>2947.93</v>
      </c>
      <c r="G4018" s="195" t="n">
        <v>2887.96</v>
      </c>
    </row>
    <row r="4019">
      <c r="A4019" s="196" t="inlineStr">
        <is>
          <t>2026-02-26</t>
        </is>
      </c>
      <c r="B4019" s="196" t="inlineStr">
        <is>
          <t>SGD</t>
        </is>
      </c>
      <c r="C4019" s="196" t="inlineStr">
        <is>
          <t>SINGAPORE DOLLAR</t>
        </is>
      </c>
      <c r="D4019" s="184" t="n">
        <v>20099.27</v>
      </c>
      <c r="E4019" s="184" t="n">
        <v>20302.29</v>
      </c>
      <c r="F4019" s="184" t="n">
        <v>20994.72</v>
      </c>
      <c r="G4019" s="184" t="n">
        <v>20648.5</v>
      </c>
    </row>
    <row r="4020">
      <c r="A4020" s="194" t="inlineStr">
        <is>
          <t>2026-02-26</t>
        </is>
      </c>
      <c r="B4020" s="194" t="inlineStr">
        <is>
          <t>THB</t>
        </is>
      </c>
      <c r="C4020" s="194" t="inlineStr">
        <is>
          <t>THAILAND BAHT</t>
        </is>
      </c>
      <c r="D4020" s="195" t="n">
        <v>740.51</v>
      </c>
      <c r="E4020" s="195" t="n">
        <v>822.78</v>
      </c>
      <c r="F4020" s="195" t="n">
        <v>857.6799999999999</v>
      </c>
      <c r="G4020" s="195" t="n">
        <v>840.23</v>
      </c>
    </row>
    <row r="4021">
      <c r="A4021" s="196" t="inlineStr">
        <is>
          <t>2026-02-26</t>
        </is>
      </c>
      <c r="B4021" s="196" t="inlineStr">
        <is>
          <t>USD</t>
        </is>
      </c>
      <c r="C4021" s="196" t="inlineStr">
        <is>
          <t>US DOLLAR</t>
        </is>
      </c>
      <c r="D4021" s="184" t="n">
        <v>25850</v>
      </c>
      <c r="E4021" s="184" t="n">
        <v>25880</v>
      </c>
      <c r="F4021" s="184" t="n">
        <v>26260</v>
      </c>
      <c r="G4021" s="184" t="n">
        <v>26070</v>
      </c>
    </row>
    <row r="4022">
      <c r="A4022" s="194" t="inlineStr">
        <is>
          <t>2026-02-25</t>
        </is>
      </c>
      <c r="B4022" s="194" t="inlineStr">
        <is>
          <t>AUD</t>
        </is>
      </c>
      <c r="C4022" s="194" t="inlineStr">
        <is>
          <t>AUSTRALIAN DOLLAR</t>
        </is>
      </c>
      <c r="D4022" s="195" t="n">
        <v>18106.14</v>
      </c>
      <c r="E4022" s="195" t="n">
        <v>18289.03</v>
      </c>
      <c r="F4022" s="195" t="n">
        <v>18874.94</v>
      </c>
      <c r="G4022" s="195" t="n">
        <v>18581.98</v>
      </c>
    </row>
    <row r="4023">
      <c r="A4023" s="196" t="inlineStr">
        <is>
          <t>2026-02-25</t>
        </is>
      </c>
      <c r="B4023" s="196" t="inlineStr">
        <is>
          <t>CAD</t>
        </is>
      </c>
      <c r="C4023" s="196" t="inlineStr">
        <is>
          <t>CANADIAN DOLLAR</t>
        </is>
      </c>
      <c r="D4023" s="184" t="n">
        <v>18617.19</v>
      </c>
      <c r="E4023" s="184" t="n">
        <v>18805.24</v>
      </c>
      <c r="F4023" s="184" t="n">
        <v>19407.69</v>
      </c>
      <c r="G4023" s="184" t="n">
        <v>19106.46</v>
      </c>
    </row>
    <row r="4024">
      <c r="A4024" s="194" t="inlineStr">
        <is>
          <t>2026-02-25</t>
        </is>
      </c>
      <c r="B4024" s="194" t="inlineStr">
        <is>
          <t>CHF</t>
        </is>
      </c>
      <c r="C4024" s="194" t="inlineStr">
        <is>
          <t>SWISS FRANC</t>
        </is>
      </c>
      <c r="D4024" s="195" t="n">
        <v>32954.23</v>
      </c>
      <c r="E4024" s="195" t="n">
        <v>33287.1</v>
      </c>
      <c r="F4024" s="195" t="n">
        <v>34353.49</v>
      </c>
      <c r="G4024" s="195" t="n">
        <v>33820.3</v>
      </c>
    </row>
    <row r="4025">
      <c r="A4025" s="196" t="inlineStr">
        <is>
          <t>2026-02-25</t>
        </is>
      </c>
      <c r="B4025" s="196" t="inlineStr">
        <is>
          <t>CNY</t>
        </is>
      </c>
      <c r="C4025" s="196" t="inlineStr">
        <is>
          <t>YUAN RENMINBI</t>
        </is>
      </c>
      <c r="D4025" s="184" t="n">
        <v>3707.76</v>
      </c>
      <c r="E4025" s="184" t="n">
        <v>3745.22</v>
      </c>
      <c r="F4025" s="184" t="n">
        <v>3865.2</v>
      </c>
      <c r="G4025" s="184" t="n">
        <v>3805.21</v>
      </c>
    </row>
    <row r="4026">
      <c r="A4026" s="194" t="inlineStr">
        <is>
          <t>2026-02-25</t>
        </is>
      </c>
      <c r="B4026" s="194" t="inlineStr">
        <is>
          <t>DKK</t>
        </is>
      </c>
      <c r="C4026" s="194" t="inlineStr">
        <is>
          <t>DANISH KRONE</t>
        </is>
      </c>
      <c r="D4026" s="195" t="n"/>
      <c r="E4026" s="195" t="n">
        <v>4051.21</v>
      </c>
      <c r="F4026" s="195" t="n">
        <v>4206.17</v>
      </c>
      <c r="G4026" s="195" t="n">
        <v>4128.69</v>
      </c>
    </row>
    <row r="4027">
      <c r="A4027" s="196" t="inlineStr">
        <is>
          <t>2026-02-25</t>
        </is>
      </c>
      <c r="B4027" s="196" t="inlineStr">
        <is>
          <t>EUR</t>
        </is>
      </c>
      <c r="C4027" s="196" t="inlineStr">
        <is>
          <t>EURO</t>
        </is>
      </c>
      <c r="D4027" s="184" t="n">
        <v>30042.85</v>
      </c>
      <c r="E4027" s="184" t="n">
        <v>30346.31</v>
      </c>
      <c r="F4027" s="184" t="n">
        <v>31627.05</v>
      </c>
      <c r="G4027" s="184" t="n">
        <v>30986.68</v>
      </c>
    </row>
    <row r="4028">
      <c r="A4028" s="194" t="inlineStr">
        <is>
          <t>2026-02-25</t>
        </is>
      </c>
      <c r="B4028" s="194" t="inlineStr">
        <is>
          <t>GBP</t>
        </is>
      </c>
      <c r="C4028" s="194" t="inlineStr">
        <is>
          <t>POUND STERLING</t>
        </is>
      </c>
      <c r="D4028" s="195" t="n">
        <v>34420.49</v>
      </c>
      <c r="E4028" s="195" t="n">
        <v>34768.18</v>
      </c>
      <c r="F4028" s="195" t="n">
        <v>35882.01</v>
      </c>
      <c r="G4028" s="195" t="n">
        <v>35325.1</v>
      </c>
    </row>
    <row r="4029">
      <c r="A4029" s="196" t="inlineStr">
        <is>
          <t>2026-02-25</t>
        </is>
      </c>
      <c r="B4029" s="196" t="inlineStr">
        <is>
          <t>HKD</t>
        </is>
      </c>
      <c r="C4029" s="196" t="inlineStr">
        <is>
          <t>HONGKONG DOLLAR</t>
        </is>
      </c>
      <c r="D4029" s="184" t="n">
        <v>3245.55</v>
      </c>
      <c r="E4029" s="184" t="n">
        <v>3278.33</v>
      </c>
      <c r="F4029" s="184" t="n">
        <v>3403.72</v>
      </c>
      <c r="G4029" s="184" t="n">
        <v>3341.02</v>
      </c>
    </row>
    <row r="4030">
      <c r="A4030" s="194" t="inlineStr">
        <is>
          <t>2026-02-25</t>
        </is>
      </c>
      <c r="B4030" s="194" t="inlineStr">
        <is>
          <t>INR</t>
        </is>
      </c>
      <c r="C4030" s="194" t="inlineStr">
        <is>
          <t>INDIAN RUPEE</t>
        </is>
      </c>
      <c r="D4030" s="195" t="n"/>
      <c r="E4030" s="195" t="n">
        <v>285.6</v>
      </c>
      <c r="F4030" s="195" t="n">
        <v>297.89</v>
      </c>
      <c r="G4030" s="195" t="n">
        <v>291.74</v>
      </c>
    </row>
    <row r="4031">
      <c r="A4031" s="196" t="inlineStr">
        <is>
          <t>2026-02-25</t>
        </is>
      </c>
      <c r="B4031" s="196" t="inlineStr">
        <is>
          <t>JPY</t>
        </is>
      </c>
      <c r="C4031" s="196" t="inlineStr">
        <is>
          <t>YEN</t>
        </is>
      </c>
      <c r="D4031" s="184" t="n">
        <v>161.9</v>
      </c>
      <c r="E4031" s="184" t="n">
        <v>163.53</v>
      </c>
      <c r="F4031" s="184" t="n">
        <v>172.18</v>
      </c>
      <c r="G4031" s="184" t="n">
        <v>167.86</v>
      </c>
    </row>
    <row r="4032">
      <c r="A4032" s="194" t="inlineStr">
        <is>
          <t>2026-02-25</t>
        </is>
      </c>
      <c r="B4032" s="194" t="inlineStr">
        <is>
          <t>KRW</t>
        </is>
      </c>
      <c r="C4032" s="194" t="inlineStr">
        <is>
          <t>KOREAN WON</t>
        </is>
      </c>
      <c r="D4032" s="195" t="n">
        <v>15.8</v>
      </c>
      <c r="E4032" s="195" t="n">
        <v>17.55</v>
      </c>
      <c r="F4032" s="195" t="n">
        <v>19.04</v>
      </c>
      <c r="G4032" s="195" t="n">
        <v>18.3</v>
      </c>
    </row>
    <row r="4033">
      <c r="A4033" s="196" t="inlineStr">
        <is>
          <t>2026-02-25</t>
        </is>
      </c>
      <c r="B4033" s="196" t="inlineStr">
        <is>
          <t>KWD</t>
        </is>
      </c>
      <c r="C4033" s="196" t="inlineStr">
        <is>
          <t>KUWAITI DINAR</t>
        </is>
      </c>
      <c r="D4033" s="184" t="n"/>
      <c r="E4033" s="184" t="n">
        <v>85036.50999999999</v>
      </c>
      <c r="F4033" s="184" t="n">
        <v>89159.03</v>
      </c>
      <c r="G4033" s="184" t="n">
        <v>87097.77</v>
      </c>
    </row>
    <row r="4034">
      <c r="A4034" s="194" t="inlineStr">
        <is>
          <t>2026-02-25</t>
        </is>
      </c>
      <c r="B4034" s="194" t="inlineStr">
        <is>
          <t>MYR</t>
        </is>
      </c>
      <c r="C4034" s="194" t="inlineStr">
        <is>
          <t>MALAYSIAN RINGGIT</t>
        </is>
      </c>
      <c r="D4034" s="195" t="n"/>
      <c r="E4034" s="195" t="n">
        <v>6655.06</v>
      </c>
      <c r="F4034" s="195" t="n">
        <v>6799.91</v>
      </c>
      <c r="G4034" s="195" t="n">
        <v>6727.48</v>
      </c>
    </row>
    <row r="4035">
      <c r="A4035" s="196" t="inlineStr">
        <is>
          <t>2026-02-25</t>
        </is>
      </c>
      <c r="B4035" s="196" t="inlineStr">
        <is>
          <t>NOK</t>
        </is>
      </c>
      <c r="C4035" s="196" t="inlineStr">
        <is>
          <t>NORWEGIAN KRONER</t>
        </is>
      </c>
      <c r="D4035" s="184" t="n"/>
      <c r="E4035" s="184" t="n">
        <v>2686.29</v>
      </c>
      <c r="F4035" s="184" t="n">
        <v>2800.22</v>
      </c>
      <c r="G4035" s="184" t="n">
        <v>2743.26</v>
      </c>
    </row>
    <row r="4036">
      <c r="A4036" s="194" t="inlineStr">
        <is>
          <t>2026-02-25</t>
        </is>
      </c>
      <c r="B4036" s="194" t="inlineStr">
        <is>
          <t>RUB</t>
        </is>
      </c>
      <c r="C4036" s="194" t="inlineStr">
        <is>
          <t>RUSSIAN RUBLE</t>
        </is>
      </c>
      <c r="D4036" s="195" t="n"/>
      <c r="E4036" s="195" t="n">
        <v>326</v>
      </c>
      <c r="F4036" s="195" t="n">
        <v>360.86</v>
      </c>
      <c r="G4036" s="195" t="n">
        <v>343.43</v>
      </c>
    </row>
    <row r="4037">
      <c r="A4037" s="196" t="inlineStr">
        <is>
          <t>2026-02-25</t>
        </is>
      </c>
      <c r="B4037" s="196" t="inlineStr">
        <is>
          <t>SAR</t>
        </is>
      </c>
      <c r="C4037" s="196" t="inlineStr">
        <is>
          <t>SAUDI RIAL</t>
        </is>
      </c>
      <c r="D4037" s="184" t="n"/>
      <c r="E4037" s="184" t="n">
        <v>6922.6</v>
      </c>
      <c r="F4037" s="184" t="n">
        <v>7220.6</v>
      </c>
      <c r="G4037" s="184" t="n">
        <v>7071.6</v>
      </c>
    </row>
    <row r="4038">
      <c r="A4038" s="194" t="inlineStr">
        <is>
          <t>2026-02-25</t>
        </is>
      </c>
      <c r="B4038" s="194" t="inlineStr">
        <is>
          <t>SEK</t>
        </is>
      </c>
      <c r="C4038" s="194" t="inlineStr">
        <is>
          <t>SWEDISH KRONA</t>
        </is>
      </c>
      <c r="D4038" s="195" t="n"/>
      <c r="E4038" s="195" t="n">
        <v>2838.6</v>
      </c>
      <c r="F4038" s="195" t="n">
        <v>2958.98</v>
      </c>
      <c r="G4038" s="195" t="n">
        <v>2898.79</v>
      </c>
    </row>
    <row r="4039">
      <c r="A4039" s="196" t="inlineStr">
        <is>
          <t>2026-02-25</t>
        </is>
      </c>
      <c r="B4039" s="196" t="inlineStr">
        <is>
          <t>SGD</t>
        </is>
      </c>
      <c r="C4039" s="196" t="inlineStr">
        <is>
          <t>SINGAPORE DOLLAR</t>
        </is>
      </c>
      <c r="D4039" s="184" t="n">
        <v>20121.91</v>
      </c>
      <c r="E4039" s="184" t="n">
        <v>20325.17</v>
      </c>
      <c r="F4039" s="184" t="n">
        <v>21018.31</v>
      </c>
      <c r="G4039" s="184" t="n">
        <v>20671.74</v>
      </c>
    </row>
    <row r="4040">
      <c r="A4040" s="194" t="inlineStr">
        <is>
          <t>2026-02-25</t>
        </is>
      </c>
      <c r="B4040" s="194" t="inlineStr">
        <is>
          <t>THB</t>
        </is>
      </c>
      <c r="C4040" s="194" t="inlineStr">
        <is>
          <t>THAILAND BAHT</t>
        </is>
      </c>
      <c r="D4040" s="195" t="n">
        <v>741.9299999999999</v>
      </c>
      <c r="E4040" s="195" t="n">
        <v>824.36</v>
      </c>
      <c r="F4040" s="195" t="n">
        <v>859.33</v>
      </c>
      <c r="G4040" s="195" t="n">
        <v>841.84</v>
      </c>
    </row>
    <row r="4041">
      <c r="A4041" s="196" t="inlineStr">
        <is>
          <t>2026-02-25</t>
        </is>
      </c>
      <c r="B4041" s="196" t="inlineStr">
        <is>
          <t>USD</t>
        </is>
      </c>
      <c r="C4041" s="196" t="inlineStr">
        <is>
          <t>US DOLLAR</t>
        </is>
      </c>
      <c r="D4041" s="184" t="n">
        <v>25899</v>
      </c>
      <c r="E4041" s="184" t="n">
        <v>25929</v>
      </c>
      <c r="F4041" s="184" t="n">
        <v>26309</v>
      </c>
      <c r="G4041" s="184" t="n">
        <v>26119</v>
      </c>
    </row>
    <row r="4042">
      <c r="A4042" s="194" t="inlineStr">
        <is>
          <t>2026-02-24</t>
        </is>
      </c>
      <c r="B4042" s="194" t="inlineStr">
        <is>
          <t>AUD</t>
        </is>
      </c>
      <c r="C4042" s="194" t="inlineStr">
        <is>
          <t>AUSTRALIAN DOLLAR</t>
        </is>
      </c>
      <c r="D4042" s="195" t="n">
        <v>18027.1</v>
      </c>
      <c r="E4042" s="195" t="n">
        <v>18209.19</v>
      </c>
      <c r="F4042" s="195" t="n">
        <v>18792.47</v>
      </c>
      <c r="G4042" s="195" t="n">
        <v>18500.83</v>
      </c>
    </row>
    <row r="4043">
      <c r="A4043" s="196" t="inlineStr">
        <is>
          <t>2026-02-24</t>
        </is>
      </c>
      <c r="B4043" s="196" t="inlineStr">
        <is>
          <t>CAD</t>
        </is>
      </c>
      <c r="C4043" s="196" t="inlineStr">
        <is>
          <t>CANADIAN DOLLAR</t>
        </is>
      </c>
      <c r="D4043" s="184" t="n">
        <v>18633.05</v>
      </c>
      <c r="E4043" s="184" t="n">
        <v>18821.27</v>
      </c>
      <c r="F4043" s="184" t="n">
        <v>19424.15</v>
      </c>
      <c r="G4043" s="184" t="n">
        <v>19122.71</v>
      </c>
    </row>
    <row r="4044">
      <c r="A4044" s="194" t="inlineStr">
        <is>
          <t>2026-02-24</t>
        </is>
      </c>
      <c r="B4044" s="194" t="inlineStr">
        <is>
          <t>CHF</t>
        </is>
      </c>
      <c r="C4044" s="194" t="inlineStr">
        <is>
          <t>SWISS FRANC</t>
        </is>
      </c>
      <c r="D4044" s="195" t="n">
        <v>32914.79</v>
      </c>
      <c r="E4044" s="195" t="n">
        <v>33247.26</v>
      </c>
      <c r="F4044" s="195" t="n">
        <v>34312.23</v>
      </c>
      <c r="G4044" s="195" t="n">
        <v>33779.75</v>
      </c>
    </row>
    <row r="4045">
      <c r="A4045" s="196" t="inlineStr">
        <is>
          <t>2026-02-24</t>
        </is>
      </c>
      <c r="B4045" s="196" t="inlineStr">
        <is>
          <t>CNY</t>
        </is>
      </c>
      <c r="C4045" s="196" t="inlineStr">
        <is>
          <t>YUAN RENMINBI</t>
        </is>
      </c>
      <c r="D4045" s="184" t="n">
        <v>3702.66</v>
      </c>
      <c r="E4045" s="184" t="n">
        <v>3740.06</v>
      </c>
      <c r="F4045" s="184" t="n">
        <v>3859.86</v>
      </c>
      <c r="G4045" s="184" t="n">
        <v>3799.96</v>
      </c>
    </row>
    <row r="4046">
      <c r="A4046" s="194" t="inlineStr">
        <is>
          <t>2026-02-24</t>
        </is>
      </c>
      <c r="B4046" s="194" t="inlineStr">
        <is>
          <t>DKK</t>
        </is>
      </c>
      <c r="C4046" s="194" t="inlineStr">
        <is>
          <t>DANISH KRONE</t>
        </is>
      </c>
      <c r="D4046" s="195" t="n"/>
      <c r="E4046" s="195" t="n">
        <v>4052.92</v>
      </c>
      <c r="F4046" s="195" t="n">
        <v>4207.92</v>
      </c>
      <c r="G4046" s="195" t="n">
        <v>4130.42</v>
      </c>
    </row>
    <row r="4047">
      <c r="A4047" s="196" t="inlineStr">
        <is>
          <t>2026-02-24</t>
        </is>
      </c>
      <c r="B4047" s="196" t="inlineStr">
        <is>
          <t>EUR</t>
        </is>
      </c>
      <c r="C4047" s="196" t="inlineStr">
        <is>
          <t>EURO</t>
        </is>
      </c>
      <c r="D4047" s="184" t="n">
        <v>30054.52</v>
      </c>
      <c r="E4047" s="184" t="n">
        <v>30358.1</v>
      </c>
      <c r="F4047" s="184" t="n">
        <v>31639.2</v>
      </c>
      <c r="G4047" s="184" t="n">
        <v>30998.65</v>
      </c>
    </row>
    <row r="4048">
      <c r="A4048" s="194" t="inlineStr">
        <is>
          <t>2026-02-24</t>
        </is>
      </c>
      <c r="B4048" s="194" t="inlineStr">
        <is>
          <t>GBP</t>
        </is>
      </c>
      <c r="C4048" s="194" t="inlineStr">
        <is>
          <t>POUND STERLING</t>
        </is>
      </c>
      <c r="D4048" s="195" t="n">
        <v>34408.18</v>
      </c>
      <c r="E4048" s="195" t="n">
        <v>34755.74</v>
      </c>
      <c r="F4048" s="195" t="n">
        <v>35869.03</v>
      </c>
      <c r="G4048" s="195" t="n">
        <v>35312.38</v>
      </c>
    </row>
    <row r="4049">
      <c r="A4049" s="196" t="inlineStr">
        <is>
          <t>2026-02-24</t>
        </is>
      </c>
      <c r="B4049" s="196" t="inlineStr">
        <is>
          <t>HKD</t>
        </is>
      </c>
      <c r="C4049" s="196" t="inlineStr">
        <is>
          <t>HONGKONG DOLLAR</t>
        </is>
      </c>
      <c r="D4049" s="184" t="n">
        <v>3253.92</v>
      </c>
      <c r="E4049" s="184" t="n">
        <v>3286.79</v>
      </c>
      <c r="F4049" s="184" t="n">
        <v>3412.49</v>
      </c>
      <c r="G4049" s="184" t="n">
        <v>3349.64</v>
      </c>
    </row>
    <row r="4050">
      <c r="A4050" s="194" t="inlineStr">
        <is>
          <t>2026-02-24</t>
        </is>
      </c>
      <c r="B4050" s="194" t="inlineStr">
        <is>
          <t>INR</t>
        </is>
      </c>
      <c r="C4050" s="194" t="inlineStr">
        <is>
          <t>INDIAN RUPEE</t>
        </is>
      </c>
      <c r="D4050" s="195" t="n"/>
      <c r="E4050" s="195" t="n">
        <v>286.28</v>
      </c>
      <c r="F4050" s="195" t="n">
        <v>298.6</v>
      </c>
      <c r="G4050" s="195" t="n">
        <v>292.44</v>
      </c>
    </row>
    <row r="4051">
      <c r="A4051" s="196" t="inlineStr">
        <is>
          <t>2026-02-24</t>
        </is>
      </c>
      <c r="B4051" s="196" t="inlineStr">
        <is>
          <t>JPY</t>
        </is>
      </c>
      <c r="C4051" s="196" t="inlineStr">
        <is>
          <t>YEN</t>
        </is>
      </c>
      <c r="D4051" s="184" t="n">
        <v>163.06</v>
      </c>
      <c r="E4051" s="184" t="n">
        <v>164.71</v>
      </c>
      <c r="F4051" s="184" t="n">
        <v>173.42</v>
      </c>
      <c r="G4051" s="184" t="n">
        <v>169.06</v>
      </c>
    </row>
    <row r="4052">
      <c r="A4052" s="194" t="inlineStr">
        <is>
          <t>2026-02-24</t>
        </is>
      </c>
      <c r="B4052" s="194" t="inlineStr">
        <is>
          <t>KRW</t>
        </is>
      </c>
      <c r="C4052" s="194" t="inlineStr">
        <is>
          <t>KOREAN WON</t>
        </is>
      </c>
      <c r="D4052" s="195" t="n">
        <v>15.7</v>
      </c>
      <c r="E4052" s="195" t="n">
        <v>17.44</v>
      </c>
      <c r="F4052" s="195" t="n">
        <v>18.92</v>
      </c>
      <c r="G4052" s="195" t="n">
        <v>18.18</v>
      </c>
    </row>
    <row r="4053">
      <c r="A4053" s="196" t="inlineStr">
        <is>
          <t>2026-02-24</t>
        </is>
      </c>
      <c r="B4053" s="196" t="inlineStr">
        <is>
          <t>KWD</t>
        </is>
      </c>
      <c r="C4053" s="196" t="inlineStr">
        <is>
          <t>KUWAITI DINAR</t>
        </is>
      </c>
      <c r="D4053" s="184" t="n"/>
      <c r="E4053" s="184" t="n">
        <v>85320.45</v>
      </c>
      <c r="F4053" s="184" t="n">
        <v>89456.37</v>
      </c>
      <c r="G4053" s="184" t="n">
        <v>87388.41</v>
      </c>
    </row>
    <row r="4054">
      <c r="A4054" s="194" t="inlineStr">
        <is>
          <t>2026-02-24</t>
        </is>
      </c>
      <c r="B4054" s="194" t="inlineStr">
        <is>
          <t>MYR</t>
        </is>
      </c>
      <c r="C4054" s="194" t="inlineStr">
        <is>
          <t>MALAYSIAN RINGGIT</t>
        </is>
      </c>
      <c r="D4054" s="195" t="n"/>
      <c r="E4054" s="195" t="n">
        <v>6655.76</v>
      </c>
      <c r="F4054" s="195" t="n">
        <v>6800.6</v>
      </c>
      <c r="G4054" s="195" t="n">
        <v>6728.18</v>
      </c>
    </row>
    <row r="4055">
      <c r="A4055" s="196" t="inlineStr">
        <is>
          <t>2026-02-24</t>
        </is>
      </c>
      <c r="B4055" s="196" t="inlineStr">
        <is>
          <t>NOK</t>
        </is>
      </c>
      <c r="C4055" s="196" t="inlineStr">
        <is>
          <t>NORWEGIAN KRONER</t>
        </is>
      </c>
      <c r="D4055" s="184" t="n"/>
      <c r="E4055" s="184" t="n">
        <v>2679.54</v>
      </c>
      <c r="F4055" s="184" t="n">
        <v>2793.17</v>
      </c>
      <c r="G4055" s="184" t="n">
        <v>2736.36</v>
      </c>
    </row>
    <row r="4056">
      <c r="A4056" s="194" t="inlineStr">
        <is>
          <t>2026-02-24</t>
        </is>
      </c>
      <c r="B4056" s="194" t="inlineStr">
        <is>
          <t>RUB</t>
        </is>
      </c>
      <c r="C4056" s="194" t="inlineStr">
        <is>
          <t>RUSSIAN RUBLE</t>
        </is>
      </c>
      <c r="D4056" s="195" t="n"/>
      <c r="E4056" s="195" t="n">
        <v>324.53</v>
      </c>
      <c r="F4056" s="195" t="n">
        <v>359.24</v>
      </c>
      <c r="G4056" s="195" t="n">
        <v>341.88</v>
      </c>
    </row>
    <row r="4057">
      <c r="A4057" s="196" t="inlineStr">
        <is>
          <t>2026-02-24</t>
        </is>
      </c>
      <c r="B4057" s="196" t="inlineStr">
        <is>
          <t>SAR</t>
        </is>
      </c>
      <c r="C4057" s="196" t="inlineStr">
        <is>
          <t>SAUDI RIAL</t>
        </is>
      </c>
      <c r="D4057" s="184" t="n"/>
      <c r="E4057" s="184" t="n">
        <v>6941.17</v>
      </c>
      <c r="F4057" s="184" t="n">
        <v>7239.94</v>
      </c>
      <c r="G4057" s="184" t="n">
        <v>7090.56</v>
      </c>
    </row>
    <row r="4058">
      <c r="A4058" s="194" t="inlineStr">
        <is>
          <t>2026-02-24</t>
        </is>
      </c>
      <c r="B4058" s="194" t="inlineStr">
        <is>
          <t>SEK</t>
        </is>
      </c>
      <c r="C4058" s="194" t="inlineStr">
        <is>
          <t>SWEDISH KRONA</t>
        </is>
      </c>
      <c r="D4058" s="195" t="n"/>
      <c r="E4058" s="195" t="n">
        <v>2827.76</v>
      </c>
      <c r="F4058" s="195" t="n">
        <v>2947.68</v>
      </c>
      <c r="G4058" s="195" t="n">
        <v>2887.72</v>
      </c>
    </row>
    <row r="4059">
      <c r="A4059" s="196" t="inlineStr">
        <is>
          <t>2026-02-24</t>
        </is>
      </c>
      <c r="B4059" s="196" t="inlineStr">
        <is>
          <t>SGD</t>
        </is>
      </c>
      <c r="C4059" s="196" t="inlineStr">
        <is>
          <t>SINGAPORE DOLLAR</t>
        </is>
      </c>
      <c r="D4059" s="184" t="n">
        <v>20134.46</v>
      </c>
      <c r="E4059" s="184" t="n">
        <v>20337.84</v>
      </c>
      <c r="F4059" s="184" t="n">
        <v>21031.33</v>
      </c>
      <c r="G4059" s="184" t="n">
        <v>20684.58</v>
      </c>
    </row>
    <row r="4060">
      <c r="A4060" s="194" t="inlineStr">
        <is>
          <t>2026-02-24</t>
        </is>
      </c>
      <c r="B4060" s="194" t="inlineStr">
        <is>
          <t>THB</t>
        </is>
      </c>
      <c r="C4060" s="194" t="inlineStr">
        <is>
          <t>THAILAND BAHT</t>
        </is>
      </c>
      <c r="D4060" s="195" t="n">
        <v>743.4400000000001</v>
      </c>
      <c r="E4060" s="195" t="n">
        <v>826.04</v>
      </c>
      <c r="F4060" s="195" t="n">
        <v>861.0700000000001</v>
      </c>
      <c r="G4060" s="195" t="n">
        <v>843.5599999999999</v>
      </c>
    </row>
    <row r="4061">
      <c r="A4061" s="196" t="inlineStr">
        <is>
          <t>2026-02-24</t>
        </is>
      </c>
      <c r="B4061" s="196" t="inlineStr">
        <is>
          <t>USD</t>
        </is>
      </c>
      <c r="C4061" s="196" t="inlineStr">
        <is>
          <t>US DOLLAR</t>
        </is>
      </c>
      <c r="D4061" s="184" t="n">
        <v>25955</v>
      </c>
      <c r="E4061" s="184" t="n">
        <v>25985</v>
      </c>
      <c r="F4061" s="184" t="n">
        <v>26305</v>
      </c>
      <c r="G4061" s="184" t="n">
        <v>26145</v>
      </c>
    </row>
    <row r="4062">
      <c r="A4062" s="194" t="inlineStr">
        <is>
          <t>2026-02-23</t>
        </is>
      </c>
      <c r="B4062" s="194" t="inlineStr">
        <is>
          <t>AUD</t>
        </is>
      </c>
      <c r="C4062" s="194" t="inlineStr">
        <is>
          <t>AUSTRALIAN DOLLAR</t>
        </is>
      </c>
      <c r="D4062" s="195" t="n">
        <v>18021.05</v>
      </c>
      <c r="E4062" s="195" t="n">
        <v>18203.08</v>
      </c>
      <c r="F4062" s="195" t="n">
        <v>18786.26</v>
      </c>
      <c r="G4062" s="195" t="n">
        <v>18494.67</v>
      </c>
    </row>
    <row r="4063">
      <c r="A4063" s="196" t="inlineStr">
        <is>
          <t>2026-02-23</t>
        </is>
      </c>
      <c r="B4063" s="196" t="inlineStr">
        <is>
          <t>CAD</t>
        </is>
      </c>
      <c r="C4063" s="196" t="inlineStr">
        <is>
          <t>CANADIAN DOLLAR</t>
        </is>
      </c>
      <c r="D4063" s="184" t="n">
        <v>18615.17</v>
      </c>
      <c r="E4063" s="184" t="n">
        <v>18803.21</v>
      </c>
      <c r="F4063" s="184" t="n">
        <v>19405.61</v>
      </c>
      <c r="G4063" s="184" t="n">
        <v>19104.41</v>
      </c>
    </row>
    <row r="4064">
      <c r="A4064" s="194" t="inlineStr">
        <is>
          <t>2026-02-23</t>
        </is>
      </c>
      <c r="B4064" s="194" t="inlineStr">
        <is>
          <t>CHF</t>
        </is>
      </c>
      <c r="C4064" s="194" t="inlineStr">
        <is>
          <t>SWISS FRANC</t>
        </is>
      </c>
      <c r="D4064" s="195" t="n">
        <v>32877.91</v>
      </c>
      <c r="E4064" s="195" t="n">
        <v>33210.01</v>
      </c>
      <c r="F4064" s="195" t="n">
        <v>34273.96</v>
      </c>
      <c r="G4064" s="195" t="n">
        <v>33741.98</v>
      </c>
    </row>
    <row r="4065">
      <c r="A4065" s="196" t="inlineStr">
        <is>
          <t>2026-02-23</t>
        </is>
      </c>
      <c r="B4065" s="196" t="inlineStr">
        <is>
          <t>CNY</t>
        </is>
      </c>
      <c r="C4065" s="196" t="inlineStr">
        <is>
          <t>YUAN RENMINBI</t>
        </is>
      </c>
      <c r="D4065" s="184" t="n">
        <v>3682.34</v>
      </c>
      <c r="E4065" s="184" t="n">
        <v>3719.54</v>
      </c>
      <c r="F4065" s="184" t="n">
        <v>3838.7</v>
      </c>
      <c r="G4065" s="184" t="n">
        <v>3779.12</v>
      </c>
    </row>
    <row r="4066">
      <c r="A4066" s="194" t="inlineStr">
        <is>
          <t>2026-02-23</t>
        </is>
      </c>
      <c r="B4066" s="194" t="inlineStr">
        <is>
          <t>DKK</t>
        </is>
      </c>
      <c r="C4066" s="194" t="inlineStr">
        <is>
          <t>DANISH KRONE</t>
        </is>
      </c>
      <c r="D4066" s="195" t="n"/>
      <c r="E4066" s="195" t="n">
        <v>4049.84</v>
      </c>
      <c r="F4066" s="195" t="n">
        <v>4204.74</v>
      </c>
      <c r="G4066" s="195" t="n">
        <v>4127.29</v>
      </c>
    </row>
    <row r="4067">
      <c r="A4067" s="196" t="inlineStr">
        <is>
          <t>2026-02-23</t>
        </is>
      </c>
      <c r="B4067" s="196" t="inlineStr">
        <is>
          <t>EUR</t>
        </is>
      </c>
      <c r="C4067" s="196" t="inlineStr">
        <is>
          <t>EURO</t>
        </is>
      </c>
      <c r="D4067" s="184" t="n">
        <v>30032.54</v>
      </c>
      <c r="E4067" s="184" t="n">
        <v>30335.9</v>
      </c>
      <c r="F4067" s="184" t="n">
        <v>31616.24</v>
      </c>
      <c r="G4067" s="184" t="n">
        <v>30976.07</v>
      </c>
    </row>
    <row r="4068">
      <c r="A4068" s="194" t="inlineStr">
        <is>
          <t>2026-02-23</t>
        </is>
      </c>
      <c r="B4068" s="194" t="inlineStr">
        <is>
          <t>GBP</t>
        </is>
      </c>
      <c r="C4068" s="194" t="inlineStr">
        <is>
          <t>POUND STERLING</t>
        </is>
      </c>
      <c r="D4068" s="195" t="n">
        <v>34361.06</v>
      </c>
      <c r="E4068" s="195" t="n">
        <v>34708.14</v>
      </c>
      <c r="F4068" s="195" t="n">
        <v>35820.09</v>
      </c>
      <c r="G4068" s="195" t="n">
        <v>35264.12</v>
      </c>
    </row>
    <row r="4069">
      <c r="A4069" s="196" t="inlineStr">
        <is>
          <t>2026-02-23</t>
        </is>
      </c>
      <c r="B4069" s="196" t="inlineStr">
        <is>
          <t>HKD</t>
        </is>
      </c>
      <c r="C4069" s="196" t="inlineStr">
        <is>
          <t>HONGKONG DOLLAR</t>
        </is>
      </c>
      <c r="D4069" s="184" t="n">
        <v>3244.26</v>
      </c>
      <c r="E4069" s="184" t="n">
        <v>3277.03</v>
      </c>
      <c r="F4069" s="184" t="n">
        <v>3402.38</v>
      </c>
      <c r="G4069" s="184" t="n">
        <v>3339.7</v>
      </c>
    </row>
    <row r="4070">
      <c r="A4070" s="194" t="inlineStr">
        <is>
          <t>2026-02-23</t>
        </is>
      </c>
      <c r="B4070" s="194" t="inlineStr">
        <is>
          <t>INR</t>
        </is>
      </c>
      <c r="C4070" s="194" t="inlineStr">
        <is>
          <t>INDIAN RUPEE</t>
        </is>
      </c>
      <c r="D4070" s="195" t="n"/>
      <c r="E4070" s="195" t="n">
        <v>285.59</v>
      </c>
      <c r="F4070" s="195" t="n">
        <v>297.89</v>
      </c>
      <c r="G4070" s="195" t="n">
        <v>291.74</v>
      </c>
    </row>
    <row r="4071">
      <c r="A4071" s="196" t="inlineStr">
        <is>
          <t>2026-02-23</t>
        </is>
      </c>
      <c r="B4071" s="196" t="inlineStr">
        <is>
          <t>JPY</t>
        </is>
      </c>
      <c r="C4071" s="196" t="inlineStr">
        <is>
          <t>YEN</t>
        </is>
      </c>
      <c r="D4071" s="184" t="n">
        <v>162.78</v>
      </c>
      <c r="E4071" s="184" t="n">
        <v>164.42</v>
      </c>
      <c r="F4071" s="184" t="n">
        <v>173.12</v>
      </c>
      <c r="G4071" s="184" t="n">
        <v>168.77</v>
      </c>
    </row>
    <row r="4072">
      <c r="A4072" s="194" t="inlineStr">
        <is>
          <t>2026-02-23</t>
        </is>
      </c>
      <c r="B4072" s="194" t="inlineStr">
        <is>
          <t>KRW</t>
        </is>
      </c>
      <c r="C4072" s="194" t="inlineStr">
        <is>
          <t>KOREAN WON</t>
        </is>
      </c>
      <c r="D4072" s="195" t="n">
        <v>15.64</v>
      </c>
      <c r="E4072" s="195" t="n">
        <v>17.38</v>
      </c>
      <c r="F4072" s="195" t="n">
        <v>18.86</v>
      </c>
      <c r="G4072" s="195" t="n">
        <v>18.12</v>
      </c>
    </row>
    <row r="4073">
      <c r="A4073" s="196" t="inlineStr">
        <is>
          <t>2026-02-23</t>
        </is>
      </c>
      <c r="B4073" s="196" t="inlineStr">
        <is>
          <t>KWD</t>
        </is>
      </c>
      <c r="C4073" s="196" t="inlineStr">
        <is>
          <t>KUWAITI DINAR</t>
        </is>
      </c>
      <c r="D4073" s="184" t="n"/>
      <c r="E4073" s="184" t="n">
        <v>85027.03</v>
      </c>
      <c r="F4073" s="184" t="n">
        <v>89149.19</v>
      </c>
      <c r="G4073" s="184" t="n">
        <v>87088.11</v>
      </c>
    </row>
    <row r="4074">
      <c r="A4074" s="194" t="inlineStr">
        <is>
          <t>2026-02-23</t>
        </is>
      </c>
      <c r="B4074" s="194" t="inlineStr">
        <is>
          <t>MYR</t>
        </is>
      </c>
      <c r="C4074" s="194" t="inlineStr">
        <is>
          <t>MALAYSIAN RINGGIT</t>
        </is>
      </c>
      <c r="D4074" s="195" t="n"/>
      <c r="E4074" s="195" t="n">
        <v>6641.4</v>
      </c>
      <c r="F4074" s="195" t="n">
        <v>6785.97</v>
      </c>
      <c r="G4074" s="195" t="n">
        <v>6713.68</v>
      </c>
    </row>
    <row r="4075">
      <c r="A4075" s="196" t="inlineStr">
        <is>
          <t>2026-02-23</t>
        </is>
      </c>
      <c r="B4075" s="196" t="inlineStr">
        <is>
          <t>NOK</t>
        </is>
      </c>
      <c r="C4075" s="196" t="inlineStr">
        <is>
          <t>NORWEGIAN KRONER</t>
        </is>
      </c>
      <c r="D4075" s="184" t="n"/>
      <c r="E4075" s="184" t="n">
        <v>2680.85</v>
      </c>
      <c r="F4075" s="184" t="n">
        <v>2794.55</v>
      </c>
      <c r="G4075" s="184" t="n">
        <v>2737.7</v>
      </c>
    </row>
    <row r="4076">
      <c r="A4076" s="194" t="inlineStr">
        <is>
          <t>2026-02-23</t>
        </is>
      </c>
      <c r="B4076" s="194" t="inlineStr">
        <is>
          <t>RUB</t>
        </is>
      </c>
      <c r="C4076" s="194" t="inlineStr">
        <is>
          <t>RUSSIAN RUBLE</t>
        </is>
      </c>
      <c r="D4076" s="195" t="n"/>
      <c r="E4076" s="195" t="n">
        <v>322.99</v>
      </c>
      <c r="F4076" s="195" t="n">
        <v>357.54</v>
      </c>
      <c r="G4076" s="195" t="n">
        <v>340.26</v>
      </c>
    </row>
    <row r="4077">
      <c r="A4077" s="196" t="inlineStr">
        <is>
          <t>2026-02-23</t>
        </is>
      </c>
      <c r="B4077" s="196" t="inlineStr">
        <is>
          <t>SAR</t>
        </is>
      </c>
      <c r="C4077" s="196" t="inlineStr">
        <is>
          <t>SAUDI RIAL</t>
        </is>
      </c>
      <c r="D4077" s="184" t="n"/>
      <c r="E4077" s="184" t="n">
        <v>6918.22</v>
      </c>
      <c r="F4077" s="184" t="n">
        <v>7216.04</v>
      </c>
      <c r="G4077" s="184" t="n">
        <v>7067.13</v>
      </c>
    </row>
    <row r="4078">
      <c r="A4078" s="194" t="inlineStr">
        <is>
          <t>2026-02-23</t>
        </is>
      </c>
      <c r="B4078" s="194" t="inlineStr">
        <is>
          <t>SEK</t>
        </is>
      </c>
      <c r="C4078" s="194" t="inlineStr">
        <is>
          <t>SWEDISH KRONA</t>
        </is>
      </c>
      <c r="D4078" s="195" t="n"/>
      <c r="E4078" s="195" t="n">
        <v>2827.01</v>
      </c>
      <c r="F4078" s="195" t="n">
        <v>2946.91</v>
      </c>
      <c r="G4078" s="195" t="n">
        <v>2886.96</v>
      </c>
    </row>
    <row r="4079">
      <c r="A4079" s="196" t="inlineStr">
        <is>
          <t>2026-02-23</t>
        </is>
      </c>
      <c r="B4079" s="196" t="inlineStr">
        <is>
          <t>SGD</t>
        </is>
      </c>
      <c r="C4079" s="196" t="inlineStr">
        <is>
          <t>SINGAPORE DOLLAR</t>
        </is>
      </c>
      <c r="D4079" s="184" t="n">
        <v>20095.36</v>
      </c>
      <c r="E4079" s="184" t="n">
        <v>20298.35</v>
      </c>
      <c r="F4079" s="184" t="n">
        <v>20990.6</v>
      </c>
      <c r="G4079" s="184" t="n">
        <v>20644.47</v>
      </c>
    </row>
    <row r="4080">
      <c r="A4080" s="194" t="inlineStr">
        <is>
          <t>2026-02-23</t>
        </is>
      </c>
      <c r="B4080" s="194" t="inlineStr">
        <is>
          <t>THB</t>
        </is>
      </c>
      <c r="C4080" s="194" t="inlineStr">
        <is>
          <t>THAILAND BAHT</t>
        </is>
      </c>
      <c r="D4080" s="195" t="n">
        <v>741.84</v>
      </c>
      <c r="E4080" s="195" t="n">
        <v>824.26</v>
      </c>
      <c r="F4080" s="195" t="n">
        <v>859.22</v>
      </c>
      <c r="G4080" s="195" t="n">
        <v>841.74</v>
      </c>
    </row>
    <row r="4081">
      <c r="A4081" s="196" t="inlineStr">
        <is>
          <t>2026-02-23</t>
        </is>
      </c>
      <c r="B4081" s="196" t="inlineStr">
        <is>
          <t>USD</t>
        </is>
      </c>
      <c r="C4081" s="196" t="inlineStr">
        <is>
          <t>US DOLLAR</t>
        </is>
      </c>
      <c r="D4081" s="184" t="n">
        <v>25880</v>
      </c>
      <c r="E4081" s="184" t="n">
        <v>25910</v>
      </c>
      <c r="F4081" s="184" t="n">
        <v>26290</v>
      </c>
      <c r="G4081" s="184" t="n">
        <v>26100</v>
      </c>
    </row>
    <row r="4082">
      <c r="A4082" s="194" t="inlineStr">
        <is>
          <t>2026-02-22</t>
        </is>
      </c>
      <c r="B4082" s="194" t="inlineStr">
        <is>
          <t>AUD</t>
        </is>
      </c>
      <c r="C4082" s="194" t="inlineStr">
        <is>
          <t>AUSTRALIAN DOLLAR</t>
        </is>
      </c>
      <c r="D4082" s="195" t="n">
        <v>17843.15</v>
      </c>
      <c r="E4082" s="195" t="n">
        <v>18023.38</v>
      </c>
      <c r="F4082" s="195" t="n">
        <v>18715.9</v>
      </c>
      <c r="G4082" s="195" t="n">
        <v>18369.64</v>
      </c>
    </row>
    <row r="4083">
      <c r="A4083" s="196" t="inlineStr">
        <is>
          <t>2026-02-22</t>
        </is>
      </c>
      <c r="B4083" s="196" t="inlineStr">
        <is>
          <t>CAD</t>
        </is>
      </c>
      <c r="C4083" s="196" t="inlineStr">
        <is>
          <t>CANADIAN DOLLAR</t>
        </is>
      </c>
      <c r="D4083" s="184" t="n">
        <v>18552.17</v>
      </c>
      <c r="E4083" s="184" t="n">
        <v>18739.57</v>
      </c>
      <c r="F4083" s="184" t="n">
        <v>19459.6</v>
      </c>
      <c r="G4083" s="184" t="n">
        <v>19099.58</v>
      </c>
    </row>
    <row r="4084">
      <c r="A4084" s="194" t="inlineStr">
        <is>
          <t>2026-02-22</t>
        </is>
      </c>
      <c r="B4084" s="194" t="inlineStr">
        <is>
          <t>CHF</t>
        </is>
      </c>
      <c r="C4084" s="194" t="inlineStr">
        <is>
          <t>SWISS FRANC</t>
        </is>
      </c>
      <c r="D4084" s="195" t="n">
        <v>32791.17</v>
      </c>
      <c r="E4084" s="195" t="n">
        <v>33122.4</v>
      </c>
      <c r="F4084" s="195" t="n">
        <v>34395.07</v>
      </c>
      <c r="G4084" s="195" t="n">
        <v>33758.74</v>
      </c>
    </row>
    <row r="4085">
      <c r="A4085" s="196" t="inlineStr">
        <is>
          <t>2026-02-22</t>
        </is>
      </c>
      <c r="B4085" s="196" t="inlineStr">
        <is>
          <t>CNY</t>
        </is>
      </c>
      <c r="C4085" s="196" t="inlineStr">
        <is>
          <t>YUAN RENMINBI</t>
        </is>
      </c>
      <c r="D4085" s="184" t="n">
        <v>3652.43</v>
      </c>
      <c r="E4085" s="184" t="n">
        <v>3689.32</v>
      </c>
      <c r="F4085" s="184" t="n">
        <v>3831.08</v>
      </c>
      <c r="G4085" s="184" t="n">
        <v>3760.2</v>
      </c>
    </row>
    <row r="4086">
      <c r="A4086" s="194" t="inlineStr">
        <is>
          <t>2026-02-22</t>
        </is>
      </c>
      <c r="B4086" s="194" t="inlineStr">
        <is>
          <t>DKK</t>
        </is>
      </c>
      <c r="C4086" s="194" t="inlineStr">
        <is>
          <t>DANISH KRONE</t>
        </is>
      </c>
      <c r="D4086" s="195" t="n"/>
      <c r="E4086" s="195" t="n">
        <v>4036.05</v>
      </c>
      <c r="F4086" s="195" t="n">
        <v>4216.36</v>
      </c>
      <c r="G4086" s="195" t="n">
        <v>4126.2</v>
      </c>
    </row>
    <row r="4087">
      <c r="A4087" s="196" t="inlineStr">
        <is>
          <t>2026-02-22</t>
        </is>
      </c>
      <c r="B4087" s="196" t="inlineStr">
        <is>
          <t>EUR</t>
        </is>
      </c>
      <c r="C4087" s="196" t="inlineStr">
        <is>
          <t>EURO</t>
        </is>
      </c>
      <c r="D4087" s="184" t="n">
        <v>29919.38</v>
      </c>
      <c r="E4087" s="184" t="n">
        <v>30221.59</v>
      </c>
      <c r="F4087" s="184" t="n">
        <v>31692</v>
      </c>
      <c r="G4087" s="184" t="n">
        <v>30956.8</v>
      </c>
    </row>
    <row r="4088">
      <c r="A4088" s="194" t="inlineStr">
        <is>
          <t>2026-02-22</t>
        </is>
      </c>
      <c r="B4088" s="194" t="inlineStr">
        <is>
          <t>GBP</t>
        </is>
      </c>
      <c r="C4088" s="194" t="inlineStr">
        <is>
          <t>POUND STERLING</t>
        </is>
      </c>
      <c r="D4088" s="195" t="n">
        <v>34364.4</v>
      </c>
      <c r="E4088" s="195" t="n">
        <v>34711.51</v>
      </c>
      <c r="F4088" s="195" t="n">
        <v>36045.24</v>
      </c>
      <c r="G4088" s="195" t="n">
        <v>35378.38</v>
      </c>
    </row>
    <row r="4089">
      <c r="A4089" s="196" t="inlineStr">
        <is>
          <t>2026-02-22</t>
        </is>
      </c>
      <c r="B4089" s="196" t="inlineStr">
        <is>
          <t>HKD</t>
        </is>
      </c>
      <c r="C4089" s="196" t="inlineStr">
        <is>
          <t>HONGKONG DOLLAR</t>
        </is>
      </c>
      <c r="D4089" s="184" t="n">
        <v>3218.8</v>
      </c>
      <c r="E4089" s="184" t="n">
        <v>3251.31</v>
      </c>
      <c r="F4089" s="184" t="n">
        <v>3396.56</v>
      </c>
      <c r="G4089" s="184" t="n">
        <v>3323.94</v>
      </c>
    </row>
    <row r="4090">
      <c r="A4090" s="194" t="inlineStr">
        <is>
          <t>2026-02-22</t>
        </is>
      </c>
      <c r="B4090" s="194" t="inlineStr">
        <is>
          <t>INR</t>
        </is>
      </c>
      <c r="C4090" s="194" t="inlineStr">
        <is>
          <t>INDIAN RUPEE</t>
        </is>
      </c>
      <c r="D4090" s="195" t="n"/>
      <c r="E4090" s="195" t="n">
        <v>283.84</v>
      </c>
      <c r="F4090" s="195" t="n">
        <v>297.89</v>
      </c>
      <c r="G4090" s="195" t="n">
        <v>290.86</v>
      </c>
    </row>
    <row r="4091">
      <c r="A4091" s="196" t="inlineStr">
        <is>
          <t>2026-02-22</t>
        </is>
      </c>
      <c r="B4091" s="196" t="inlineStr">
        <is>
          <t>JPY</t>
        </is>
      </c>
      <c r="C4091" s="196" t="inlineStr">
        <is>
          <t>YEN</t>
        </is>
      </c>
      <c r="D4091" s="184" t="n">
        <v>162.74</v>
      </c>
      <c r="E4091" s="184" t="n">
        <v>164.38</v>
      </c>
      <c r="F4091" s="184" t="n">
        <v>174.15</v>
      </c>
      <c r="G4091" s="184" t="n">
        <v>169.26</v>
      </c>
    </row>
    <row r="4092">
      <c r="A4092" s="194" t="inlineStr">
        <is>
          <t>2026-02-22</t>
        </is>
      </c>
      <c r="B4092" s="194" t="inlineStr">
        <is>
          <t>KRW</t>
        </is>
      </c>
      <c r="C4092" s="194" t="inlineStr">
        <is>
          <t>KOREAN WON</t>
        </is>
      </c>
      <c r="D4092" s="195" t="n">
        <v>15.5</v>
      </c>
      <c r="E4092" s="195" t="n">
        <v>17.22</v>
      </c>
      <c r="F4092" s="195" t="n">
        <v>18.8</v>
      </c>
      <c r="G4092" s="195" t="n">
        <v>18.01</v>
      </c>
    </row>
    <row r="4093">
      <c r="A4093" s="196" t="inlineStr">
        <is>
          <t>2026-02-22</t>
        </is>
      </c>
      <c r="B4093" s="196" t="inlineStr">
        <is>
          <t>KWD</t>
        </is>
      </c>
      <c r="C4093" s="196" t="inlineStr">
        <is>
          <t>KUWAITI DINAR</t>
        </is>
      </c>
      <c r="D4093" s="184" t="n"/>
      <c r="E4093" s="184" t="n">
        <v>84370.02</v>
      </c>
      <c r="F4093" s="184" t="n">
        <v>89007.7</v>
      </c>
      <c r="G4093" s="184" t="n">
        <v>86688.86</v>
      </c>
    </row>
    <row r="4094">
      <c r="A4094" s="194" t="inlineStr">
        <is>
          <t>2026-02-22</t>
        </is>
      </c>
      <c r="B4094" s="194" t="inlineStr">
        <is>
          <t>MYR</t>
        </is>
      </c>
      <c r="C4094" s="194" t="inlineStr">
        <is>
          <t>MALAYSIAN RINGGIT</t>
        </is>
      </c>
      <c r="D4094" s="195" t="n"/>
      <c r="E4094" s="195" t="n">
        <v>6560.93</v>
      </c>
      <c r="F4094" s="195" t="n">
        <v>6745.22</v>
      </c>
      <c r="G4094" s="195" t="n">
        <v>6653.08</v>
      </c>
    </row>
    <row r="4095">
      <c r="A4095" s="196" t="inlineStr">
        <is>
          <t>2026-02-22</t>
        </is>
      </c>
      <c r="B4095" s="196" t="inlineStr">
        <is>
          <t>NOK</t>
        </is>
      </c>
      <c r="C4095" s="196" t="inlineStr">
        <is>
          <t>NORWEGIAN KRONER</t>
        </is>
      </c>
      <c r="D4095" s="184" t="n"/>
      <c r="E4095" s="184" t="n">
        <v>2662.34</v>
      </c>
      <c r="F4095" s="184" t="n">
        <v>2792.43</v>
      </c>
      <c r="G4095" s="184" t="n">
        <v>2727.38</v>
      </c>
    </row>
    <row r="4096">
      <c r="A4096" s="194" t="inlineStr">
        <is>
          <t>2026-02-22</t>
        </is>
      </c>
      <c r="B4096" s="194" t="inlineStr">
        <is>
          <t>RUB</t>
        </is>
      </c>
      <c r="C4096" s="194" t="inlineStr">
        <is>
          <t>RUSSIAN RUBLE</t>
        </is>
      </c>
      <c r="D4096" s="195" t="n"/>
      <c r="E4096" s="195" t="n">
        <v>319.35</v>
      </c>
      <c r="F4096" s="195" t="n">
        <v>355.7</v>
      </c>
      <c r="G4096" s="195" t="n">
        <v>337.52</v>
      </c>
    </row>
    <row r="4097">
      <c r="A4097" s="196" t="inlineStr">
        <is>
          <t>2026-02-22</t>
        </is>
      </c>
      <c r="B4097" s="196" t="inlineStr">
        <is>
          <t>SAR</t>
        </is>
      </c>
      <c r="C4097" s="196" t="inlineStr">
        <is>
          <t>SAUDI RIAL</t>
        </is>
      </c>
      <c r="D4097" s="184" t="n"/>
      <c r="E4097" s="184" t="n">
        <v>6863.98</v>
      </c>
      <c r="F4097" s="184" t="n">
        <v>7203.76</v>
      </c>
      <c r="G4097" s="184" t="n">
        <v>7033.87</v>
      </c>
    </row>
    <row r="4098">
      <c r="A4098" s="194" t="inlineStr">
        <is>
          <t>2026-02-22</t>
        </is>
      </c>
      <c r="B4098" s="194" t="inlineStr">
        <is>
          <t>SEK</t>
        </is>
      </c>
      <c r="C4098" s="194" t="inlineStr">
        <is>
          <t>SWEDISH KRONA</t>
        </is>
      </c>
      <c r="D4098" s="195" t="n"/>
      <c r="E4098" s="195" t="n">
        <v>2840.59</v>
      </c>
      <c r="F4098" s="195" t="n">
        <v>2979.39</v>
      </c>
      <c r="G4098" s="195" t="n">
        <v>2909.99</v>
      </c>
    </row>
    <row r="4099">
      <c r="A4099" s="196" t="inlineStr">
        <is>
          <t>2026-02-22</t>
        </is>
      </c>
      <c r="B4099" s="196" t="inlineStr">
        <is>
          <t>SGD</t>
        </is>
      </c>
      <c r="C4099" s="196" t="inlineStr">
        <is>
          <t>SINGAPORE DOLLAR</t>
        </is>
      </c>
      <c r="D4099" s="184" t="n">
        <v>19954.07</v>
      </c>
      <c r="E4099" s="184" t="n">
        <v>20155.62</v>
      </c>
      <c r="F4099" s="184" t="n">
        <v>20971.98</v>
      </c>
      <c r="G4099" s="184" t="n">
        <v>20563.8</v>
      </c>
    </row>
    <row r="4100">
      <c r="A4100" s="194" t="inlineStr">
        <is>
          <t>2026-02-22</t>
        </is>
      </c>
      <c r="B4100" s="194" t="inlineStr">
        <is>
          <t>THB</t>
        </is>
      </c>
      <c r="C4100" s="194" t="inlineStr">
        <is>
          <t>THAILAND BAHT</t>
        </is>
      </c>
      <c r="D4100" s="195" t="n">
        <v>735.15</v>
      </c>
      <c r="E4100" s="195" t="n">
        <v>816.84</v>
      </c>
      <c r="F4100" s="195" t="n">
        <v>856.75</v>
      </c>
      <c r="G4100" s="195" t="n">
        <v>836.8</v>
      </c>
    </row>
    <row r="4101">
      <c r="A4101" s="196" t="inlineStr">
        <is>
          <t>2026-02-22</t>
        </is>
      </c>
      <c r="B4101" s="196" t="inlineStr">
        <is>
          <t>USD</t>
        </is>
      </c>
      <c r="C4101" s="196" t="inlineStr">
        <is>
          <t>US DOLLAR</t>
        </is>
      </c>
      <c r="D4101" s="184" t="n">
        <v>25750</v>
      </c>
      <c r="E4101" s="184" t="n">
        <v>25780</v>
      </c>
      <c r="F4101" s="184" t="n">
        <v>26160</v>
      </c>
      <c r="G4101" s="184" t="n">
        <v>25970</v>
      </c>
    </row>
    <row r="4102">
      <c r="A4102" s="194" t="inlineStr">
        <is>
          <t>2026-02-21</t>
        </is>
      </c>
      <c r="B4102" s="194" t="inlineStr">
        <is>
          <t>AUD</t>
        </is>
      </c>
      <c r="C4102" s="194" t="inlineStr">
        <is>
          <t>AUSTRALIAN DOLLAR</t>
        </is>
      </c>
      <c r="D4102" s="195" t="n">
        <v>17843.15</v>
      </c>
      <c r="E4102" s="195" t="n">
        <v>18023.38</v>
      </c>
      <c r="F4102" s="195" t="n">
        <v>18715.9</v>
      </c>
      <c r="G4102" s="195" t="n">
        <v>18369.64</v>
      </c>
    </row>
    <row r="4103">
      <c r="A4103" s="196" t="inlineStr">
        <is>
          <t>2026-02-21</t>
        </is>
      </c>
      <c r="B4103" s="196" t="inlineStr">
        <is>
          <t>CAD</t>
        </is>
      </c>
      <c r="C4103" s="196" t="inlineStr">
        <is>
          <t>CANADIAN DOLLAR</t>
        </is>
      </c>
      <c r="D4103" s="184" t="n">
        <v>18552.17</v>
      </c>
      <c r="E4103" s="184" t="n">
        <v>18739.57</v>
      </c>
      <c r="F4103" s="184" t="n">
        <v>19459.6</v>
      </c>
      <c r="G4103" s="184" t="n">
        <v>19099.58</v>
      </c>
    </row>
    <row r="4104">
      <c r="A4104" s="194" t="inlineStr">
        <is>
          <t>2026-02-21</t>
        </is>
      </c>
      <c r="B4104" s="194" t="inlineStr">
        <is>
          <t>CHF</t>
        </is>
      </c>
      <c r="C4104" s="194" t="inlineStr">
        <is>
          <t>SWISS FRANC</t>
        </is>
      </c>
      <c r="D4104" s="195" t="n">
        <v>32791.17</v>
      </c>
      <c r="E4104" s="195" t="n">
        <v>33122.4</v>
      </c>
      <c r="F4104" s="195" t="n">
        <v>34395.07</v>
      </c>
      <c r="G4104" s="195" t="n">
        <v>33758.74</v>
      </c>
    </row>
    <row r="4105">
      <c r="A4105" s="196" t="inlineStr">
        <is>
          <t>2026-02-21</t>
        </is>
      </c>
      <c r="B4105" s="196" t="inlineStr">
        <is>
          <t>CNY</t>
        </is>
      </c>
      <c r="C4105" s="196" t="inlineStr">
        <is>
          <t>YUAN RENMINBI</t>
        </is>
      </c>
      <c r="D4105" s="184" t="n">
        <v>3652.43</v>
      </c>
      <c r="E4105" s="184" t="n">
        <v>3689.32</v>
      </c>
      <c r="F4105" s="184" t="n">
        <v>3831.08</v>
      </c>
      <c r="G4105" s="184" t="n">
        <v>3760.2</v>
      </c>
    </row>
    <row r="4106">
      <c r="A4106" s="194" t="inlineStr">
        <is>
          <t>2026-02-21</t>
        </is>
      </c>
      <c r="B4106" s="194" t="inlineStr">
        <is>
          <t>DKK</t>
        </is>
      </c>
      <c r="C4106" s="194" t="inlineStr">
        <is>
          <t>DANISH KRONE</t>
        </is>
      </c>
      <c r="D4106" s="195" t="n"/>
      <c r="E4106" s="195" t="n">
        <v>4036.05</v>
      </c>
      <c r="F4106" s="195" t="n">
        <v>4216.36</v>
      </c>
      <c r="G4106" s="195" t="n">
        <v>4126.2</v>
      </c>
    </row>
    <row r="4107">
      <c r="A4107" s="196" t="inlineStr">
        <is>
          <t>2026-02-21</t>
        </is>
      </c>
      <c r="B4107" s="196" t="inlineStr">
        <is>
          <t>EUR</t>
        </is>
      </c>
      <c r="C4107" s="196" t="inlineStr">
        <is>
          <t>EURO</t>
        </is>
      </c>
      <c r="D4107" s="184" t="n">
        <v>29919.38</v>
      </c>
      <c r="E4107" s="184" t="n">
        <v>30221.59</v>
      </c>
      <c r="F4107" s="184" t="n">
        <v>31692</v>
      </c>
      <c r="G4107" s="184" t="n">
        <v>30956.8</v>
      </c>
    </row>
    <row r="4108">
      <c r="A4108" s="194" t="inlineStr">
        <is>
          <t>2026-02-21</t>
        </is>
      </c>
      <c r="B4108" s="194" t="inlineStr">
        <is>
          <t>GBP</t>
        </is>
      </c>
      <c r="C4108" s="194" t="inlineStr">
        <is>
          <t>POUND STERLING</t>
        </is>
      </c>
      <c r="D4108" s="195" t="n">
        <v>34364.4</v>
      </c>
      <c r="E4108" s="195" t="n">
        <v>34711.51</v>
      </c>
      <c r="F4108" s="195" t="n">
        <v>36045.24</v>
      </c>
      <c r="G4108" s="195" t="n">
        <v>35378.38</v>
      </c>
    </row>
    <row r="4109">
      <c r="A4109" s="196" t="inlineStr">
        <is>
          <t>2026-02-21</t>
        </is>
      </c>
      <c r="B4109" s="196" t="inlineStr">
        <is>
          <t>HKD</t>
        </is>
      </c>
      <c r="C4109" s="196" t="inlineStr">
        <is>
          <t>HONGKONG DOLLAR</t>
        </is>
      </c>
      <c r="D4109" s="184" t="n">
        <v>3218.8</v>
      </c>
      <c r="E4109" s="184" t="n">
        <v>3251.31</v>
      </c>
      <c r="F4109" s="184" t="n">
        <v>3396.56</v>
      </c>
      <c r="G4109" s="184" t="n">
        <v>3323.94</v>
      </c>
    </row>
    <row r="4110">
      <c r="A4110" s="194" t="inlineStr">
        <is>
          <t>2026-02-21</t>
        </is>
      </c>
      <c r="B4110" s="194" t="inlineStr">
        <is>
          <t>INR</t>
        </is>
      </c>
      <c r="C4110" s="194" t="inlineStr">
        <is>
          <t>INDIAN RUPEE</t>
        </is>
      </c>
      <c r="D4110" s="195" t="n"/>
      <c r="E4110" s="195" t="n">
        <v>283.84</v>
      </c>
      <c r="F4110" s="195" t="n">
        <v>297.89</v>
      </c>
      <c r="G4110" s="195" t="n">
        <v>290.86</v>
      </c>
    </row>
    <row r="4111">
      <c r="A4111" s="196" t="inlineStr">
        <is>
          <t>2026-02-21</t>
        </is>
      </c>
      <c r="B4111" s="196" t="inlineStr">
        <is>
          <t>JPY</t>
        </is>
      </c>
      <c r="C4111" s="196" t="inlineStr">
        <is>
          <t>YEN</t>
        </is>
      </c>
      <c r="D4111" s="184" t="n">
        <v>162.74</v>
      </c>
      <c r="E4111" s="184" t="n">
        <v>164.38</v>
      </c>
      <c r="F4111" s="184" t="n">
        <v>174.15</v>
      </c>
      <c r="G4111" s="184" t="n">
        <v>169.26</v>
      </c>
    </row>
    <row r="4112">
      <c r="A4112" s="194" t="inlineStr">
        <is>
          <t>2026-02-21</t>
        </is>
      </c>
      <c r="B4112" s="194" t="inlineStr">
        <is>
          <t>KRW</t>
        </is>
      </c>
      <c r="C4112" s="194" t="inlineStr">
        <is>
          <t>KOREAN WON</t>
        </is>
      </c>
      <c r="D4112" s="195" t="n">
        <v>15.5</v>
      </c>
      <c r="E4112" s="195" t="n">
        <v>17.22</v>
      </c>
      <c r="F4112" s="195" t="n">
        <v>18.8</v>
      </c>
      <c r="G4112" s="195" t="n">
        <v>18.01</v>
      </c>
    </row>
    <row r="4113">
      <c r="A4113" s="196" t="inlineStr">
        <is>
          <t>2026-02-21</t>
        </is>
      </c>
      <c r="B4113" s="196" t="inlineStr">
        <is>
          <t>KWD</t>
        </is>
      </c>
      <c r="C4113" s="196" t="inlineStr">
        <is>
          <t>KUWAITI DINAR</t>
        </is>
      </c>
      <c r="D4113" s="184" t="n"/>
      <c r="E4113" s="184" t="n">
        <v>84370.02</v>
      </c>
      <c r="F4113" s="184" t="n">
        <v>89007.7</v>
      </c>
      <c r="G4113" s="184" t="n">
        <v>86688.86</v>
      </c>
    </row>
    <row r="4114">
      <c r="A4114" s="194" t="inlineStr">
        <is>
          <t>2026-02-21</t>
        </is>
      </c>
      <c r="B4114" s="194" t="inlineStr">
        <is>
          <t>MYR</t>
        </is>
      </c>
      <c r="C4114" s="194" t="inlineStr">
        <is>
          <t>MALAYSIAN RINGGIT</t>
        </is>
      </c>
      <c r="D4114" s="195" t="n"/>
      <c r="E4114" s="195" t="n">
        <v>6560.93</v>
      </c>
      <c r="F4114" s="195" t="n">
        <v>6745.22</v>
      </c>
      <c r="G4114" s="195" t="n">
        <v>6653.08</v>
      </c>
    </row>
    <row r="4115">
      <c r="A4115" s="196" t="inlineStr">
        <is>
          <t>2026-02-21</t>
        </is>
      </c>
      <c r="B4115" s="196" t="inlineStr">
        <is>
          <t>NOK</t>
        </is>
      </c>
      <c r="C4115" s="196" t="inlineStr">
        <is>
          <t>NORWEGIAN KRONER</t>
        </is>
      </c>
      <c r="D4115" s="184" t="n"/>
      <c r="E4115" s="184" t="n">
        <v>2662.34</v>
      </c>
      <c r="F4115" s="184" t="n">
        <v>2792.43</v>
      </c>
      <c r="G4115" s="184" t="n">
        <v>2727.38</v>
      </c>
    </row>
    <row r="4116">
      <c r="A4116" s="194" t="inlineStr">
        <is>
          <t>2026-02-21</t>
        </is>
      </c>
      <c r="B4116" s="194" t="inlineStr">
        <is>
          <t>RUB</t>
        </is>
      </c>
      <c r="C4116" s="194" t="inlineStr">
        <is>
          <t>RUSSIAN RUBLE</t>
        </is>
      </c>
      <c r="D4116" s="195" t="n"/>
      <c r="E4116" s="195" t="n">
        <v>319.35</v>
      </c>
      <c r="F4116" s="195" t="n">
        <v>355.7</v>
      </c>
      <c r="G4116" s="195" t="n">
        <v>337.52</v>
      </c>
    </row>
    <row r="4117">
      <c r="A4117" s="196" t="inlineStr">
        <is>
          <t>2026-02-21</t>
        </is>
      </c>
      <c r="B4117" s="196" t="inlineStr">
        <is>
          <t>SAR</t>
        </is>
      </c>
      <c r="C4117" s="196" t="inlineStr">
        <is>
          <t>SAUDI RIAL</t>
        </is>
      </c>
      <c r="D4117" s="184" t="n"/>
      <c r="E4117" s="184" t="n">
        <v>6863.98</v>
      </c>
      <c r="F4117" s="184" t="n">
        <v>7203.76</v>
      </c>
      <c r="G4117" s="184" t="n">
        <v>7033.87</v>
      </c>
    </row>
    <row r="4118">
      <c r="A4118" s="194" t="inlineStr">
        <is>
          <t>2026-02-21</t>
        </is>
      </c>
      <c r="B4118" s="194" t="inlineStr">
        <is>
          <t>SEK</t>
        </is>
      </c>
      <c r="C4118" s="194" t="inlineStr">
        <is>
          <t>SWEDISH KRONA</t>
        </is>
      </c>
      <c r="D4118" s="195" t="n"/>
      <c r="E4118" s="195" t="n">
        <v>2840.59</v>
      </c>
      <c r="F4118" s="195" t="n">
        <v>2979.39</v>
      </c>
      <c r="G4118" s="195" t="n">
        <v>2909.99</v>
      </c>
    </row>
    <row r="4119">
      <c r="A4119" s="196" t="inlineStr">
        <is>
          <t>2026-02-21</t>
        </is>
      </c>
      <c r="B4119" s="196" t="inlineStr">
        <is>
          <t>SGD</t>
        </is>
      </c>
      <c r="C4119" s="196" t="inlineStr">
        <is>
          <t>SINGAPORE DOLLAR</t>
        </is>
      </c>
      <c r="D4119" s="184" t="n">
        <v>19954.07</v>
      </c>
      <c r="E4119" s="184" t="n">
        <v>20155.62</v>
      </c>
      <c r="F4119" s="184" t="n">
        <v>20971.98</v>
      </c>
      <c r="G4119" s="184" t="n">
        <v>20563.8</v>
      </c>
    </row>
    <row r="4120">
      <c r="A4120" s="194" t="inlineStr">
        <is>
          <t>2026-02-21</t>
        </is>
      </c>
      <c r="B4120" s="194" t="inlineStr">
        <is>
          <t>THB</t>
        </is>
      </c>
      <c r="C4120" s="194" t="inlineStr">
        <is>
          <t>THAILAND BAHT</t>
        </is>
      </c>
      <c r="D4120" s="195" t="n">
        <v>735.15</v>
      </c>
      <c r="E4120" s="195" t="n">
        <v>816.84</v>
      </c>
      <c r="F4120" s="195" t="n">
        <v>856.75</v>
      </c>
      <c r="G4120" s="195" t="n">
        <v>836.8</v>
      </c>
    </row>
    <row r="4121">
      <c r="A4121" s="196" t="inlineStr">
        <is>
          <t>2026-02-21</t>
        </is>
      </c>
      <c r="B4121" s="196" t="inlineStr">
        <is>
          <t>USD</t>
        </is>
      </c>
      <c r="C4121" s="196" t="inlineStr">
        <is>
          <t>US DOLLAR</t>
        </is>
      </c>
      <c r="D4121" s="184" t="n">
        <v>25750</v>
      </c>
      <c r="E4121" s="184" t="n">
        <v>25780</v>
      </c>
      <c r="F4121" s="184" t="n">
        <v>26160</v>
      </c>
      <c r="G4121" s="184" t="n">
        <v>25970</v>
      </c>
    </row>
    <row r="4122">
      <c r="A4122" s="194" t="inlineStr">
        <is>
          <t>2026-02-20</t>
        </is>
      </c>
      <c r="B4122" s="194" t="inlineStr">
        <is>
          <t>AUD</t>
        </is>
      </c>
      <c r="C4122" s="194" t="inlineStr">
        <is>
          <t>AUSTRALIAN DOLLAR</t>
        </is>
      </c>
      <c r="D4122" s="195" t="n">
        <v>17843.15</v>
      </c>
      <c r="E4122" s="195" t="n">
        <v>18023.38</v>
      </c>
      <c r="F4122" s="195" t="n">
        <v>18715.9</v>
      </c>
      <c r="G4122" s="195" t="n">
        <v>18369.64</v>
      </c>
    </row>
    <row r="4123">
      <c r="A4123" s="196" t="inlineStr">
        <is>
          <t>2026-02-20</t>
        </is>
      </c>
      <c r="B4123" s="196" t="inlineStr">
        <is>
          <t>CAD</t>
        </is>
      </c>
      <c r="C4123" s="196" t="inlineStr">
        <is>
          <t>CANADIAN DOLLAR</t>
        </is>
      </c>
      <c r="D4123" s="184" t="n">
        <v>18552.17</v>
      </c>
      <c r="E4123" s="184" t="n">
        <v>18739.57</v>
      </c>
      <c r="F4123" s="184" t="n">
        <v>19459.6</v>
      </c>
      <c r="G4123" s="184" t="n">
        <v>19099.58</v>
      </c>
    </row>
    <row r="4124">
      <c r="A4124" s="194" t="inlineStr">
        <is>
          <t>2026-02-20</t>
        </is>
      </c>
      <c r="B4124" s="194" t="inlineStr">
        <is>
          <t>CHF</t>
        </is>
      </c>
      <c r="C4124" s="194" t="inlineStr">
        <is>
          <t>SWISS FRANC</t>
        </is>
      </c>
      <c r="D4124" s="195" t="n">
        <v>32791.17</v>
      </c>
      <c r="E4124" s="195" t="n">
        <v>33122.4</v>
      </c>
      <c r="F4124" s="195" t="n">
        <v>34395.07</v>
      </c>
      <c r="G4124" s="195" t="n">
        <v>33758.74</v>
      </c>
    </row>
    <row r="4125">
      <c r="A4125" s="196" t="inlineStr">
        <is>
          <t>2026-02-20</t>
        </is>
      </c>
      <c r="B4125" s="196" t="inlineStr">
        <is>
          <t>CNY</t>
        </is>
      </c>
      <c r="C4125" s="196" t="inlineStr">
        <is>
          <t>YUAN RENMINBI</t>
        </is>
      </c>
      <c r="D4125" s="184" t="n">
        <v>3652.43</v>
      </c>
      <c r="E4125" s="184" t="n">
        <v>3689.32</v>
      </c>
      <c r="F4125" s="184" t="n">
        <v>3831.08</v>
      </c>
      <c r="G4125" s="184" t="n">
        <v>3760.2</v>
      </c>
    </row>
    <row r="4126">
      <c r="A4126" s="194" t="inlineStr">
        <is>
          <t>2026-02-20</t>
        </is>
      </c>
      <c r="B4126" s="194" t="inlineStr">
        <is>
          <t>DKK</t>
        </is>
      </c>
      <c r="C4126" s="194" t="inlineStr">
        <is>
          <t>DANISH KRONE</t>
        </is>
      </c>
      <c r="D4126" s="195" t="n"/>
      <c r="E4126" s="195" t="n">
        <v>4036.05</v>
      </c>
      <c r="F4126" s="195" t="n">
        <v>4216.36</v>
      </c>
      <c r="G4126" s="195" t="n">
        <v>4126.2</v>
      </c>
    </row>
    <row r="4127">
      <c r="A4127" s="196" t="inlineStr">
        <is>
          <t>2026-02-20</t>
        </is>
      </c>
      <c r="B4127" s="196" t="inlineStr">
        <is>
          <t>EUR</t>
        </is>
      </c>
      <c r="C4127" s="196" t="inlineStr">
        <is>
          <t>EURO</t>
        </is>
      </c>
      <c r="D4127" s="184" t="n">
        <v>29919.38</v>
      </c>
      <c r="E4127" s="184" t="n">
        <v>30221.59</v>
      </c>
      <c r="F4127" s="184" t="n">
        <v>31692</v>
      </c>
      <c r="G4127" s="184" t="n">
        <v>30956.8</v>
      </c>
    </row>
    <row r="4128">
      <c r="A4128" s="194" t="inlineStr">
        <is>
          <t>2026-02-20</t>
        </is>
      </c>
      <c r="B4128" s="194" t="inlineStr">
        <is>
          <t>GBP</t>
        </is>
      </c>
      <c r="C4128" s="194" t="inlineStr">
        <is>
          <t>POUND STERLING</t>
        </is>
      </c>
      <c r="D4128" s="195" t="n">
        <v>34364.4</v>
      </c>
      <c r="E4128" s="195" t="n">
        <v>34711.51</v>
      </c>
      <c r="F4128" s="195" t="n">
        <v>36045.24</v>
      </c>
      <c r="G4128" s="195" t="n">
        <v>35378.38</v>
      </c>
    </row>
    <row r="4129">
      <c r="A4129" s="196" t="inlineStr">
        <is>
          <t>2026-02-20</t>
        </is>
      </c>
      <c r="B4129" s="196" t="inlineStr">
        <is>
          <t>HKD</t>
        </is>
      </c>
      <c r="C4129" s="196" t="inlineStr">
        <is>
          <t>HONGKONG DOLLAR</t>
        </is>
      </c>
      <c r="D4129" s="184" t="n">
        <v>3218.8</v>
      </c>
      <c r="E4129" s="184" t="n">
        <v>3251.31</v>
      </c>
      <c r="F4129" s="184" t="n">
        <v>3396.56</v>
      </c>
      <c r="G4129" s="184" t="n">
        <v>3323.94</v>
      </c>
    </row>
    <row r="4130">
      <c r="A4130" s="194" t="inlineStr">
        <is>
          <t>2026-02-20</t>
        </is>
      </c>
      <c r="B4130" s="194" t="inlineStr">
        <is>
          <t>INR</t>
        </is>
      </c>
      <c r="C4130" s="194" t="inlineStr">
        <is>
          <t>INDIAN RUPEE</t>
        </is>
      </c>
      <c r="D4130" s="195" t="n"/>
      <c r="E4130" s="195" t="n">
        <v>283.84</v>
      </c>
      <c r="F4130" s="195" t="n">
        <v>297.89</v>
      </c>
      <c r="G4130" s="195" t="n">
        <v>290.86</v>
      </c>
    </row>
    <row r="4131">
      <c r="A4131" s="196" t="inlineStr">
        <is>
          <t>2026-02-20</t>
        </is>
      </c>
      <c r="B4131" s="196" t="inlineStr">
        <is>
          <t>JPY</t>
        </is>
      </c>
      <c r="C4131" s="196" t="inlineStr">
        <is>
          <t>YEN</t>
        </is>
      </c>
      <c r="D4131" s="184" t="n">
        <v>162.74</v>
      </c>
      <c r="E4131" s="184" t="n">
        <v>164.38</v>
      </c>
      <c r="F4131" s="184" t="n">
        <v>174.15</v>
      </c>
      <c r="G4131" s="184" t="n">
        <v>169.26</v>
      </c>
    </row>
    <row r="4132">
      <c r="A4132" s="194" t="inlineStr">
        <is>
          <t>2026-02-20</t>
        </is>
      </c>
      <c r="B4132" s="194" t="inlineStr">
        <is>
          <t>KRW</t>
        </is>
      </c>
      <c r="C4132" s="194" t="inlineStr">
        <is>
          <t>KOREAN WON</t>
        </is>
      </c>
      <c r="D4132" s="195" t="n">
        <v>15.5</v>
      </c>
      <c r="E4132" s="195" t="n">
        <v>17.22</v>
      </c>
      <c r="F4132" s="195" t="n">
        <v>18.8</v>
      </c>
      <c r="G4132" s="195" t="n">
        <v>18.01</v>
      </c>
    </row>
    <row r="4133">
      <c r="A4133" s="196" t="inlineStr">
        <is>
          <t>2026-02-20</t>
        </is>
      </c>
      <c r="B4133" s="196" t="inlineStr">
        <is>
          <t>KWD</t>
        </is>
      </c>
      <c r="C4133" s="196" t="inlineStr">
        <is>
          <t>KUWAITI DINAR</t>
        </is>
      </c>
      <c r="D4133" s="184" t="n"/>
      <c r="E4133" s="184" t="n">
        <v>84370.02</v>
      </c>
      <c r="F4133" s="184" t="n">
        <v>89007.7</v>
      </c>
      <c r="G4133" s="184" t="n">
        <v>86688.86</v>
      </c>
    </row>
    <row r="4134">
      <c r="A4134" s="194" t="inlineStr">
        <is>
          <t>2026-02-20</t>
        </is>
      </c>
      <c r="B4134" s="194" t="inlineStr">
        <is>
          <t>MYR</t>
        </is>
      </c>
      <c r="C4134" s="194" t="inlineStr">
        <is>
          <t>MALAYSIAN RINGGIT</t>
        </is>
      </c>
      <c r="D4134" s="195" t="n"/>
      <c r="E4134" s="195" t="n">
        <v>6560.93</v>
      </c>
      <c r="F4134" s="195" t="n">
        <v>6745.22</v>
      </c>
      <c r="G4134" s="195" t="n">
        <v>6653.08</v>
      </c>
    </row>
    <row r="4135">
      <c r="A4135" s="196" t="inlineStr">
        <is>
          <t>2026-02-20</t>
        </is>
      </c>
      <c r="B4135" s="196" t="inlineStr">
        <is>
          <t>NOK</t>
        </is>
      </c>
      <c r="C4135" s="196" t="inlineStr">
        <is>
          <t>NORWEGIAN KRONER</t>
        </is>
      </c>
      <c r="D4135" s="184" t="n"/>
      <c r="E4135" s="184" t="n">
        <v>2662.34</v>
      </c>
      <c r="F4135" s="184" t="n">
        <v>2792.43</v>
      </c>
      <c r="G4135" s="184" t="n">
        <v>2727.38</v>
      </c>
    </row>
    <row r="4136">
      <c r="A4136" s="194" t="inlineStr">
        <is>
          <t>2026-02-20</t>
        </is>
      </c>
      <c r="B4136" s="194" t="inlineStr">
        <is>
          <t>RUB</t>
        </is>
      </c>
      <c r="C4136" s="194" t="inlineStr">
        <is>
          <t>RUSSIAN RUBLE</t>
        </is>
      </c>
      <c r="D4136" s="195" t="n"/>
      <c r="E4136" s="195" t="n">
        <v>319.35</v>
      </c>
      <c r="F4136" s="195" t="n">
        <v>355.7</v>
      </c>
      <c r="G4136" s="195" t="n">
        <v>337.52</v>
      </c>
    </row>
    <row r="4137">
      <c r="A4137" s="196" t="inlineStr">
        <is>
          <t>2026-02-20</t>
        </is>
      </c>
      <c r="B4137" s="196" t="inlineStr">
        <is>
          <t>SAR</t>
        </is>
      </c>
      <c r="C4137" s="196" t="inlineStr">
        <is>
          <t>SAUDI RIAL</t>
        </is>
      </c>
      <c r="D4137" s="184" t="n"/>
      <c r="E4137" s="184" t="n">
        <v>6863.98</v>
      </c>
      <c r="F4137" s="184" t="n">
        <v>7203.76</v>
      </c>
      <c r="G4137" s="184" t="n">
        <v>7033.87</v>
      </c>
    </row>
    <row r="4138">
      <c r="A4138" s="194" t="inlineStr">
        <is>
          <t>2026-02-20</t>
        </is>
      </c>
      <c r="B4138" s="194" t="inlineStr">
        <is>
          <t>SEK</t>
        </is>
      </c>
      <c r="C4138" s="194" t="inlineStr">
        <is>
          <t>SWEDISH KRONA</t>
        </is>
      </c>
      <c r="D4138" s="195" t="n"/>
      <c r="E4138" s="195" t="n">
        <v>2840.59</v>
      </c>
      <c r="F4138" s="195" t="n">
        <v>2979.39</v>
      </c>
      <c r="G4138" s="195" t="n">
        <v>2909.99</v>
      </c>
    </row>
    <row r="4139">
      <c r="A4139" s="196" t="inlineStr">
        <is>
          <t>2026-02-20</t>
        </is>
      </c>
      <c r="B4139" s="196" t="inlineStr">
        <is>
          <t>SGD</t>
        </is>
      </c>
      <c r="C4139" s="196" t="inlineStr">
        <is>
          <t>SINGAPORE DOLLAR</t>
        </is>
      </c>
      <c r="D4139" s="184" t="n">
        <v>19954.07</v>
      </c>
      <c r="E4139" s="184" t="n">
        <v>20155.62</v>
      </c>
      <c r="F4139" s="184" t="n">
        <v>20971.98</v>
      </c>
      <c r="G4139" s="184" t="n">
        <v>20563.8</v>
      </c>
    </row>
    <row r="4140">
      <c r="A4140" s="194" t="inlineStr">
        <is>
          <t>2026-02-20</t>
        </is>
      </c>
      <c r="B4140" s="194" t="inlineStr">
        <is>
          <t>THB</t>
        </is>
      </c>
      <c r="C4140" s="194" t="inlineStr">
        <is>
          <t>THAILAND BAHT</t>
        </is>
      </c>
      <c r="D4140" s="195" t="n">
        <v>735.15</v>
      </c>
      <c r="E4140" s="195" t="n">
        <v>816.84</v>
      </c>
      <c r="F4140" s="195" t="n">
        <v>856.75</v>
      </c>
      <c r="G4140" s="195" t="n">
        <v>836.8</v>
      </c>
    </row>
    <row r="4141">
      <c r="A4141" s="196" t="inlineStr">
        <is>
          <t>2026-02-20</t>
        </is>
      </c>
      <c r="B4141" s="196" t="inlineStr">
        <is>
          <t>USD</t>
        </is>
      </c>
      <c r="C4141" s="196" t="inlineStr">
        <is>
          <t>US DOLLAR</t>
        </is>
      </c>
      <c r="D4141" s="184" t="n">
        <v>25750</v>
      </c>
      <c r="E4141" s="184" t="n">
        <v>25780</v>
      </c>
      <c r="F4141" s="184" t="n">
        <v>26160</v>
      </c>
      <c r="G4141" s="184" t="n">
        <v>25970</v>
      </c>
    </row>
    <row r="4142">
      <c r="A4142" s="194" t="inlineStr">
        <is>
          <t>2026-02-19</t>
        </is>
      </c>
      <c r="B4142" s="194" t="inlineStr">
        <is>
          <t>AUD</t>
        </is>
      </c>
      <c r="C4142" s="194" t="inlineStr">
        <is>
          <t>AUSTRALIAN DOLLAR</t>
        </is>
      </c>
      <c r="D4142" s="195" t="n">
        <v>17843.15</v>
      </c>
      <c r="E4142" s="195" t="n">
        <v>18023.38</v>
      </c>
      <c r="F4142" s="195" t="n">
        <v>18715.9</v>
      </c>
      <c r="G4142" s="195" t="n">
        <v>18369.64</v>
      </c>
    </row>
    <row r="4143">
      <c r="A4143" s="196" t="inlineStr">
        <is>
          <t>2026-02-19</t>
        </is>
      </c>
      <c r="B4143" s="196" t="inlineStr">
        <is>
          <t>CAD</t>
        </is>
      </c>
      <c r="C4143" s="196" t="inlineStr">
        <is>
          <t>CANADIAN DOLLAR</t>
        </is>
      </c>
      <c r="D4143" s="184" t="n">
        <v>18552.17</v>
      </c>
      <c r="E4143" s="184" t="n">
        <v>18739.57</v>
      </c>
      <c r="F4143" s="184" t="n">
        <v>19459.6</v>
      </c>
      <c r="G4143" s="184" t="n">
        <v>19099.58</v>
      </c>
    </row>
    <row r="4144">
      <c r="A4144" s="194" t="inlineStr">
        <is>
          <t>2026-02-19</t>
        </is>
      </c>
      <c r="B4144" s="194" t="inlineStr">
        <is>
          <t>CHF</t>
        </is>
      </c>
      <c r="C4144" s="194" t="inlineStr">
        <is>
          <t>SWISS FRANC</t>
        </is>
      </c>
      <c r="D4144" s="195" t="n">
        <v>32791.17</v>
      </c>
      <c r="E4144" s="195" t="n">
        <v>33122.4</v>
      </c>
      <c r="F4144" s="195" t="n">
        <v>34395.07</v>
      </c>
      <c r="G4144" s="195" t="n">
        <v>33758.74</v>
      </c>
    </row>
    <row r="4145">
      <c r="A4145" s="196" t="inlineStr">
        <is>
          <t>2026-02-19</t>
        </is>
      </c>
      <c r="B4145" s="196" t="inlineStr">
        <is>
          <t>CNY</t>
        </is>
      </c>
      <c r="C4145" s="196" t="inlineStr">
        <is>
          <t>YUAN RENMINBI</t>
        </is>
      </c>
      <c r="D4145" s="184" t="n">
        <v>3652.43</v>
      </c>
      <c r="E4145" s="184" t="n">
        <v>3689.32</v>
      </c>
      <c r="F4145" s="184" t="n">
        <v>3831.08</v>
      </c>
      <c r="G4145" s="184" t="n">
        <v>3760.2</v>
      </c>
    </row>
    <row r="4146">
      <c r="A4146" s="194" t="inlineStr">
        <is>
          <t>2026-02-19</t>
        </is>
      </c>
      <c r="B4146" s="194" t="inlineStr">
        <is>
          <t>DKK</t>
        </is>
      </c>
      <c r="C4146" s="194" t="inlineStr">
        <is>
          <t>DANISH KRONE</t>
        </is>
      </c>
      <c r="D4146" s="195" t="n"/>
      <c r="E4146" s="195" t="n">
        <v>4036.05</v>
      </c>
      <c r="F4146" s="195" t="n">
        <v>4216.36</v>
      </c>
      <c r="G4146" s="195" t="n">
        <v>4126.2</v>
      </c>
    </row>
    <row r="4147">
      <c r="A4147" s="196" t="inlineStr">
        <is>
          <t>2026-02-19</t>
        </is>
      </c>
      <c r="B4147" s="196" t="inlineStr">
        <is>
          <t>EUR</t>
        </is>
      </c>
      <c r="C4147" s="196" t="inlineStr">
        <is>
          <t>EURO</t>
        </is>
      </c>
      <c r="D4147" s="184" t="n">
        <v>29919.38</v>
      </c>
      <c r="E4147" s="184" t="n">
        <v>30221.59</v>
      </c>
      <c r="F4147" s="184" t="n">
        <v>31692</v>
      </c>
      <c r="G4147" s="184" t="n">
        <v>30956.8</v>
      </c>
    </row>
    <row r="4148">
      <c r="A4148" s="194" t="inlineStr">
        <is>
          <t>2026-02-19</t>
        </is>
      </c>
      <c r="B4148" s="194" t="inlineStr">
        <is>
          <t>GBP</t>
        </is>
      </c>
      <c r="C4148" s="194" t="inlineStr">
        <is>
          <t>POUND STERLING</t>
        </is>
      </c>
      <c r="D4148" s="195" t="n">
        <v>34364.4</v>
      </c>
      <c r="E4148" s="195" t="n">
        <v>34711.51</v>
      </c>
      <c r="F4148" s="195" t="n">
        <v>36045.24</v>
      </c>
      <c r="G4148" s="195" t="n">
        <v>35378.38</v>
      </c>
    </row>
    <row r="4149">
      <c r="A4149" s="196" t="inlineStr">
        <is>
          <t>2026-02-19</t>
        </is>
      </c>
      <c r="B4149" s="196" t="inlineStr">
        <is>
          <t>HKD</t>
        </is>
      </c>
      <c r="C4149" s="196" t="inlineStr">
        <is>
          <t>HONGKONG DOLLAR</t>
        </is>
      </c>
      <c r="D4149" s="184" t="n">
        <v>3218.8</v>
      </c>
      <c r="E4149" s="184" t="n">
        <v>3251.31</v>
      </c>
      <c r="F4149" s="184" t="n">
        <v>3396.56</v>
      </c>
      <c r="G4149" s="184" t="n">
        <v>3323.94</v>
      </c>
    </row>
    <row r="4150">
      <c r="A4150" s="194" t="inlineStr">
        <is>
          <t>2026-02-19</t>
        </is>
      </c>
      <c r="B4150" s="194" t="inlineStr">
        <is>
          <t>INR</t>
        </is>
      </c>
      <c r="C4150" s="194" t="inlineStr">
        <is>
          <t>INDIAN RUPEE</t>
        </is>
      </c>
      <c r="D4150" s="195" t="n"/>
      <c r="E4150" s="195" t="n">
        <v>283.84</v>
      </c>
      <c r="F4150" s="195" t="n">
        <v>297.89</v>
      </c>
      <c r="G4150" s="195" t="n">
        <v>290.86</v>
      </c>
    </row>
    <row r="4151">
      <c r="A4151" s="196" t="inlineStr">
        <is>
          <t>2026-02-19</t>
        </is>
      </c>
      <c r="B4151" s="196" t="inlineStr">
        <is>
          <t>JPY</t>
        </is>
      </c>
      <c r="C4151" s="196" t="inlineStr">
        <is>
          <t>YEN</t>
        </is>
      </c>
      <c r="D4151" s="184" t="n">
        <v>162.74</v>
      </c>
      <c r="E4151" s="184" t="n">
        <v>164.38</v>
      </c>
      <c r="F4151" s="184" t="n">
        <v>174.15</v>
      </c>
      <c r="G4151" s="184" t="n">
        <v>169.26</v>
      </c>
    </row>
    <row r="4152">
      <c r="A4152" s="194" t="inlineStr">
        <is>
          <t>2026-02-19</t>
        </is>
      </c>
      <c r="B4152" s="194" t="inlineStr">
        <is>
          <t>KRW</t>
        </is>
      </c>
      <c r="C4152" s="194" t="inlineStr">
        <is>
          <t>KOREAN WON</t>
        </is>
      </c>
      <c r="D4152" s="195" t="n">
        <v>15.5</v>
      </c>
      <c r="E4152" s="195" t="n">
        <v>17.22</v>
      </c>
      <c r="F4152" s="195" t="n">
        <v>18.8</v>
      </c>
      <c r="G4152" s="195" t="n">
        <v>18.01</v>
      </c>
    </row>
    <row r="4153">
      <c r="A4153" s="196" t="inlineStr">
        <is>
          <t>2026-02-19</t>
        </is>
      </c>
      <c r="B4153" s="196" t="inlineStr">
        <is>
          <t>KWD</t>
        </is>
      </c>
      <c r="C4153" s="196" t="inlineStr">
        <is>
          <t>KUWAITI DINAR</t>
        </is>
      </c>
      <c r="D4153" s="184" t="n"/>
      <c r="E4153" s="184" t="n">
        <v>84370.02</v>
      </c>
      <c r="F4153" s="184" t="n">
        <v>89007.7</v>
      </c>
      <c r="G4153" s="184" t="n">
        <v>86688.86</v>
      </c>
    </row>
    <row r="4154">
      <c r="A4154" s="194" t="inlineStr">
        <is>
          <t>2026-02-19</t>
        </is>
      </c>
      <c r="B4154" s="194" t="inlineStr">
        <is>
          <t>MYR</t>
        </is>
      </c>
      <c r="C4154" s="194" t="inlineStr">
        <is>
          <t>MALAYSIAN RINGGIT</t>
        </is>
      </c>
      <c r="D4154" s="195" t="n"/>
      <c r="E4154" s="195" t="n">
        <v>6560.93</v>
      </c>
      <c r="F4154" s="195" t="n">
        <v>6745.22</v>
      </c>
      <c r="G4154" s="195" t="n">
        <v>6653.08</v>
      </c>
    </row>
    <row r="4155">
      <c r="A4155" s="196" t="inlineStr">
        <is>
          <t>2026-02-19</t>
        </is>
      </c>
      <c r="B4155" s="196" t="inlineStr">
        <is>
          <t>NOK</t>
        </is>
      </c>
      <c r="C4155" s="196" t="inlineStr">
        <is>
          <t>NORWEGIAN KRONER</t>
        </is>
      </c>
      <c r="D4155" s="184" t="n"/>
      <c r="E4155" s="184" t="n">
        <v>2662.34</v>
      </c>
      <c r="F4155" s="184" t="n">
        <v>2792.43</v>
      </c>
      <c r="G4155" s="184" t="n">
        <v>2727.38</v>
      </c>
    </row>
    <row r="4156">
      <c r="A4156" s="194" t="inlineStr">
        <is>
          <t>2026-02-19</t>
        </is>
      </c>
      <c r="B4156" s="194" t="inlineStr">
        <is>
          <t>RUB</t>
        </is>
      </c>
      <c r="C4156" s="194" t="inlineStr">
        <is>
          <t>RUSSIAN RUBLE</t>
        </is>
      </c>
      <c r="D4156" s="195" t="n"/>
      <c r="E4156" s="195" t="n">
        <v>319.35</v>
      </c>
      <c r="F4156" s="195" t="n">
        <v>355.7</v>
      </c>
      <c r="G4156" s="195" t="n">
        <v>337.52</v>
      </c>
    </row>
    <row r="4157">
      <c r="A4157" s="196" t="inlineStr">
        <is>
          <t>2026-02-19</t>
        </is>
      </c>
      <c r="B4157" s="196" t="inlineStr">
        <is>
          <t>SAR</t>
        </is>
      </c>
      <c r="C4157" s="196" t="inlineStr">
        <is>
          <t>SAUDI RIAL</t>
        </is>
      </c>
      <c r="D4157" s="184" t="n"/>
      <c r="E4157" s="184" t="n">
        <v>6863.98</v>
      </c>
      <c r="F4157" s="184" t="n">
        <v>7203.76</v>
      </c>
      <c r="G4157" s="184" t="n">
        <v>7033.87</v>
      </c>
    </row>
    <row r="4158">
      <c r="A4158" s="194" t="inlineStr">
        <is>
          <t>2026-02-19</t>
        </is>
      </c>
      <c r="B4158" s="194" t="inlineStr">
        <is>
          <t>SEK</t>
        </is>
      </c>
      <c r="C4158" s="194" t="inlineStr">
        <is>
          <t>SWEDISH KRONA</t>
        </is>
      </c>
      <c r="D4158" s="195" t="n"/>
      <c r="E4158" s="195" t="n">
        <v>2840.59</v>
      </c>
      <c r="F4158" s="195" t="n">
        <v>2979.39</v>
      </c>
      <c r="G4158" s="195" t="n">
        <v>2909.99</v>
      </c>
    </row>
    <row r="4159">
      <c r="A4159" s="196" t="inlineStr">
        <is>
          <t>2026-02-19</t>
        </is>
      </c>
      <c r="B4159" s="196" t="inlineStr">
        <is>
          <t>SGD</t>
        </is>
      </c>
      <c r="C4159" s="196" t="inlineStr">
        <is>
          <t>SINGAPORE DOLLAR</t>
        </is>
      </c>
      <c r="D4159" s="184" t="n">
        <v>19954.07</v>
      </c>
      <c r="E4159" s="184" t="n">
        <v>20155.62</v>
      </c>
      <c r="F4159" s="184" t="n">
        <v>20971.98</v>
      </c>
      <c r="G4159" s="184" t="n">
        <v>20563.8</v>
      </c>
    </row>
    <row r="4160">
      <c r="A4160" s="194" t="inlineStr">
        <is>
          <t>2026-02-19</t>
        </is>
      </c>
      <c r="B4160" s="194" t="inlineStr">
        <is>
          <t>THB</t>
        </is>
      </c>
      <c r="C4160" s="194" t="inlineStr">
        <is>
          <t>THAILAND BAHT</t>
        </is>
      </c>
      <c r="D4160" s="195" t="n">
        <v>735.15</v>
      </c>
      <c r="E4160" s="195" t="n">
        <v>816.84</v>
      </c>
      <c r="F4160" s="195" t="n">
        <v>856.75</v>
      </c>
      <c r="G4160" s="195" t="n">
        <v>836.8</v>
      </c>
    </row>
    <row r="4161">
      <c r="A4161" s="196" t="inlineStr">
        <is>
          <t>2026-02-19</t>
        </is>
      </c>
      <c r="B4161" s="196" t="inlineStr">
        <is>
          <t>USD</t>
        </is>
      </c>
      <c r="C4161" s="196" t="inlineStr">
        <is>
          <t>US DOLLAR</t>
        </is>
      </c>
      <c r="D4161" s="184" t="n">
        <v>25750</v>
      </c>
      <c r="E4161" s="184" t="n">
        <v>25780</v>
      </c>
      <c r="F4161" s="184" t="n">
        <v>26160</v>
      </c>
      <c r="G4161" s="184" t="n">
        <v>25970</v>
      </c>
    </row>
    <row r="4162">
      <c r="A4162" s="194" t="inlineStr">
        <is>
          <t>2026-02-18</t>
        </is>
      </c>
      <c r="B4162" s="194" t="inlineStr">
        <is>
          <t>AUD</t>
        </is>
      </c>
      <c r="C4162" s="194" t="inlineStr">
        <is>
          <t>AUSTRALIAN DOLLAR</t>
        </is>
      </c>
      <c r="D4162" s="195" t="n">
        <v>17843.15</v>
      </c>
      <c r="E4162" s="195" t="n">
        <v>18023.38</v>
      </c>
      <c r="F4162" s="195" t="n">
        <v>18715.9</v>
      </c>
      <c r="G4162" s="195" t="n">
        <v>18369.64</v>
      </c>
    </row>
    <row r="4163">
      <c r="A4163" s="196" t="inlineStr">
        <is>
          <t>2026-02-18</t>
        </is>
      </c>
      <c r="B4163" s="196" t="inlineStr">
        <is>
          <t>CAD</t>
        </is>
      </c>
      <c r="C4163" s="196" t="inlineStr">
        <is>
          <t>CANADIAN DOLLAR</t>
        </is>
      </c>
      <c r="D4163" s="184" t="n">
        <v>18552.17</v>
      </c>
      <c r="E4163" s="184" t="n">
        <v>18739.57</v>
      </c>
      <c r="F4163" s="184" t="n">
        <v>19459.6</v>
      </c>
      <c r="G4163" s="184" t="n">
        <v>19099.58</v>
      </c>
    </row>
    <row r="4164">
      <c r="A4164" s="194" t="inlineStr">
        <is>
          <t>2026-02-18</t>
        </is>
      </c>
      <c r="B4164" s="194" t="inlineStr">
        <is>
          <t>CHF</t>
        </is>
      </c>
      <c r="C4164" s="194" t="inlineStr">
        <is>
          <t>SWISS FRANC</t>
        </is>
      </c>
      <c r="D4164" s="195" t="n">
        <v>32791.17</v>
      </c>
      <c r="E4164" s="195" t="n">
        <v>33122.4</v>
      </c>
      <c r="F4164" s="195" t="n">
        <v>34395.07</v>
      </c>
      <c r="G4164" s="195" t="n">
        <v>33758.74</v>
      </c>
    </row>
    <row r="4165">
      <c r="A4165" s="196" t="inlineStr">
        <is>
          <t>2026-02-18</t>
        </is>
      </c>
      <c r="B4165" s="196" t="inlineStr">
        <is>
          <t>CNY</t>
        </is>
      </c>
      <c r="C4165" s="196" t="inlineStr">
        <is>
          <t>YUAN RENMINBI</t>
        </is>
      </c>
      <c r="D4165" s="184" t="n">
        <v>3652.43</v>
      </c>
      <c r="E4165" s="184" t="n">
        <v>3689.32</v>
      </c>
      <c r="F4165" s="184" t="n">
        <v>3831.08</v>
      </c>
      <c r="G4165" s="184" t="n">
        <v>3760.2</v>
      </c>
    </row>
    <row r="4166">
      <c r="A4166" s="194" t="inlineStr">
        <is>
          <t>2026-02-18</t>
        </is>
      </c>
      <c r="B4166" s="194" t="inlineStr">
        <is>
          <t>DKK</t>
        </is>
      </c>
      <c r="C4166" s="194" t="inlineStr">
        <is>
          <t>DANISH KRONE</t>
        </is>
      </c>
      <c r="D4166" s="195" t="n"/>
      <c r="E4166" s="195" t="n">
        <v>4036.05</v>
      </c>
      <c r="F4166" s="195" t="n">
        <v>4216.36</v>
      </c>
      <c r="G4166" s="195" t="n">
        <v>4126.2</v>
      </c>
    </row>
    <row r="4167">
      <c r="A4167" s="196" t="inlineStr">
        <is>
          <t>2026-02-18</t>
        </is>
      </c>
      <c r="B4167" s="196" t="inlineStr">
        <is>
          <t>EUR</t>
        </is>
      </c>
      <c r="C4167" s="196" t="inlineStr">
        <is>
          <t>EURO</t>
        </is>
      </c>
      <c r="D4167" s="184" t="n">
        <v>29919.38</v>
      </c>
      <c r="E4167" s="184" t="n">
        <v>30221.59</v>
      </c>
      <c r="F4167" s="184" t="n">
        <v>31692</v>
      </c>
      <c r="G4167" s="184" t="n">
        <v>30956.8</v>
      </c>
    </row>
    <row r="4168">
      <c r="A4168" s="194" t="inlineStr">
        <is>
          <t>2026-02-18</t>
        </is>
      </c>
      <c r="B4168" s="194" t="inlineStr">
        <is>
          <t>GBP</t>
        </is>
      </c>
      <c r="C4168" s="194" t="inlineStr">
        <is>
          <t>POUND STERLING</t>
        </is>
      </c>
      <c r="D4168" s="195" t="n">
        <v>34364.4</v>
      </c>
      <c r="E4168" s="195" t="n">
        <v>34711.51</v>
      </c>
      <c r="F4168" s="195" t="n">
        <v>36045.24</v>
      </c>
      <c r="G4168" s="195" t="n">
        <v>35378.38</v>
      </c>
    </row>
    <row r="4169">
      <c r="A4169" s="196" t="inlineStr">
        <is>
          <t>2026-02-18</t>
        </is>
      </c>
      <c r="B4169" s="196" t="inlineStr">
        <is>
          <t>HKD</t>
        </is>
      </c>
      <c r="C4169" s="196" t="inlineStr">
        <is>
          <t>HONGKONG DOLLAR</t>
        </is>
      </c>
      <c r="D4169" s="184" t="n">
        <v>3218.8</v>
      </c>
      <c r="E4169" s="184" t="n">
        <v>3251.31</v>
      </c>
      <c r="F4169" s="184" t="n">
        <v>3396.56</v>
      </c>
      <c r="G4169" s="184" t="n">
        <v>3323.94</v>
      </c>
    </row>
    <row r="4170">
      <c r="A4170" s="194" t="inlineStr">
        <is>
          <t>2026-02-18</t>
        </is>
      </c>
      <c r="B4170" s="194" t="inlineStr">
        <is>
          <t>INR</t>
        </is>
      </c>
      <c r="C4170" s="194" t="inlineStr">
        <is>
          <t>INDIAN RUPEE</t>
        </is>
      </c>
      <c r="D4170" s="195" t="n"/>
      <c r="E4170" s="195" t="n">
        <v>283.84</v>
      </c>
      <c r="F4170" s="195" t="n">
        <v>297.89</v>
      </c>
      <c r="G4170" s="195" t="n">
        <v>290.86</v>
      </c>
    </row>
    <row r="4171">
      <c r="A4171" s="196" t="inlineStr">
        <is>
          <t>2026-02-18</t>
        </is>
      </c>
      <c r="B4171" s="196" t="inlineStr">
        <is>
          <t>JPY</t>
        </is>
      </c>
      <c r="C4171" s="196" t="inlineStr">
        <is>
          <t>YEN</t>
        </is>
      </c>
      <c r="D4171" s="184" t="n">
        <v>162.74</v>
      </c>
      <c r="E4171" s="184" t="n">
        <v>164.38</v>
      </c>
      <c r="F4171" s="184" t="n">
        <v>174.15</v>
      </c>
      <c r="G4171" s="184" t="n">
        <v>169.26</v>
      </c>
    </row>
    <row r="4172">
      <c r="A4172" s="194" t="inlineStr">
        <is>
          <t>2026-02-18</t>
        </is>
      </c>
      <c r="B4172" s="194" t="inlineStr">
        <is>
          <t>KRW</t>
        </is>
      </c>
      <c r="C4172" s="194" t="inlineStr">
        <is>
          <t>KOREAN WON</t>
        </is>
      </c>
      <c r="D4172" s="195" t="n">
        <v>15.5</v>
      </c>
      <c r="E4172" s="195" t="n">
        <v>17.22</v>
      </c>
      <c r="F4172" s="195" t="n">
        <v>18.8</v>
      </c>
      <c r="G4172" s="195" t="n">
        <v>18.01</v>
      </c>
    </row>
    <row r="4173">
      <c r="A4173" s="196" t="inlineStr">
        <is>
          <t>2026-02-18</t>
        </is>
      </c>
      <c r="B4173" s="196" t="inlineStr">
        <is>
          <t>KWD</t>
        </is>
      </c>
      <c r="C4173" s="196" t="inlineStr">
        <is>
          <t>KUWAITI DINAR</t>
        </is>
      </c>
      <c r="D4173" s="184" t="n"/>
      <c r="E4173" s="184" t="n">
        <v>84370.02</v>
      </c>
      <c r="F4173" s="184" t="n">
        <v>89007.7</v>
      </c>
      <c r="G4173" s="184" t="n">
        <v>86688.86</v>
      </c>
    </row>
    <row r="4174">
      <c r="A4174" s="194" t="inlineStr">
        <is>
          <t>2026-02-18</t>
        </is>
      </c>
      <c r="B4174" s="194" t="inlineStr">
        <is>
          <t>MYR</t>
        </is>
      </c>
      <c r="C4174" s="194" t="inlineStr">
        <is>
          <t>MALAYSIAN RINGGIT</t>
        </is>
      </c>
      <c r="D4174" s="195" t="n"/>
      <c r="E4174" s="195" t="n">
        <v>6560.93</v>
      </c>
      <c r="F4174" s="195" t="n">
        <v>6745.22</v>
      </c>
      <c r="G4174" s="195" t="n">
        <v>6653.08</v>
      </c>
    </row>
    <row r="4175">
      <c r="A4175" s="196" t="inlineStr">
        <is>
          <t>2026-02-18</t>
        </is>
      </c>
      <c r="B4175" s="196" t="inlineStr">
        <is>
          <t>NOK</t>
        </is>
      </c>
      <c r="C4175" s="196" t="inlineStr">
        <is>
          <t>NORWEGIAN KRONER</t>
        </is>
      </c>
      <c r="D4175" s="184" t="n"/>
      <c r="E4175" s="184" t="n">
        <v>2662.34</v>
      </c>
      <c r="F4175" s="184" t="n">
        <v>2792.43</v>
      </c>
      <c r="G4175" s="184" t="n">
        <v>2727.38</v>
      </c>
    </row>
    <row r="4176">
      <c r="A4176" s="194" t="inlineStr">
        <is>
          <t>2026-02-18</t>
        </is>
      </c>
      <c r="B4176" s="194" t="inlineStr">
        <is>
          <t>RUB</t>
        </is>
      </c>
      <c r="C4176" s="194" t="inlineStr">
        <is>
          <t>RUSSIAN RUBLE</t>
        </is>
      </c>
      <c r="D4176" s="195" t="n"/>
      <c r="E4176" s="195" t="n">
        <v>319.35</v>
      </c>
      <c r="F4176" s="195" t="n">
        <v>355.7</v>
      </c>
      <c r="G4176" s="195" t="n">
        <v>337.52</v>
      </c>
    </row>
    <row r="4177">
      <c r="A4177" s="196" t="inlineStr">
        <is>
          <t>2026-02-18</t>
        </is>
      </c>
      <c r="B4177" s="196" t="inlineStr">
        <is>
          <t>SAR</t>
        </is>
      </c>
      <c r="C4177" s="196" t="inlineStr">
        <is>
          <t>SAUDI RIAL</t>
        </is>
      </c>
      <c r="D4177" s="184" t="n"/>
      <c r="E4177" s="184" t="n">
        <v>6863.98</v>
      </c>
      <c r="F4177" s="184" t="n">
        <v>7203.76</v>
      </c>
      <c r="G4177" s="184" t="n">
        <v>7033.87</v>
      </c>
    </row>
    <row r="4178">
      <c r="A4178" s="194" t="inlineStr">
        <is>
          <t>2026-02-18</t>
        </is>
      </c>
      <c r="B4178" s="194" t="inlineStr">
        <is>
          <t>SEK</t>
        </is>
      </c>
      <c r="C4178" s="194" t="inlineStr">
        <is>
          <t>SWEDISH KRONA</t>
        </is>
      </c>
      <c r="D4178" s="195" t="n"/>
      <c r="E4178" s="195" t="n">
        <v>2840.59</v>
      </c>
      <c r="F4178" s="195" t="n">
        <v>2979.39</v>
      </c>
      <c r="G4178" s="195" t="n">
        <v>2909.99</v>
      </c>
    </row>
    <row r="4179">
      <c r="A4179" s="196" t="inlineStr">
        <is>
          <t>2026-02-18</t>
        </is>
      </c>
      <c r="B4179" s="196" t="inlineStr">
        <is>
          <t>SGD</t>
        </is>
      </c>
      <c r="C4179" s="196" t="inlineStr">
        <is>
          <t>SINGAPORE DOLLAR</t>
        </is>
      </c>
      <c r="D4179" s="184" t="n">
        <v>19954.07</v>
      </c>
      <c r="E4179" s="184" t="n">
        <v>20155.62</v>
      </c>
      <c r="F4179" s="184" t="n">
        <v>20971.98</v>
      </c>
      <c r="G4179" s="184" t="n">
        <v>20563.8</v>
      </c>
    </row>
    <row r="4180">
      <c r="A4180" s="194" t="inlineStr">
        <is>
          <t>2026-02-18</t>
        </is>
      </c>
      <c r="B4180" s="194" t="inlineStr">
        <is>
          <t>THB</t>
        </is>
      </c>
      <c r="C4180" s="194" t="inlineStr">
        <is>
          <t>THAILAND BAHT</t>
        </is>
      </c>
      <c r="D4180" s="195" t="n">
        <v>735.15</v>
      </c>
      <c r="E4180" s="195" t="n">
        <v>816.84</v>
      </c>
      <c r="F4180" s="195" t="n">
        <v>856.75</v>
      </c>
      <c r="G4180" s="195" t="n">
        <v>836.8</v>
      </c>
    </row>
    <row r="4181">
      <c r="A4181" s="196" t="inlineStr">
        <is>
          <t>2026-02-18</t>
        </is>
      </c>
      <c r="B4181" s="196" t="inlineStr">
        <is>
          <t>USD</t>
        </is>
      </c>
      <c r="C4181" s="196" t="inlineStr">
        <is>
          <t>US DOLLAR</t>
        </is>
      </c>
      <c r="D4181" s="184" t="n">
        <v>25750</v>
      </c>
      <c r="E4181" s="184" t="n">
        <v>25780</v>
      </c>
      <c r="F4181" s="184" t="n">
        <v>26160</v>
      </c>
      <c r="G4181" s="184" t="n">
        <v>25970</v>
      </c>
    </row>
    <row r="4182">
      <c r="A4182" s="194" t="inlineStr">
        <is>
          <t>2026-02-17</t>
        </is>
      </c>
      <c r="B4182" s="194" t="inlineStr">
        <is>
          <t>AUD</t>
        </is>
      </c>
      <c r="C4182" s="194" t="inlineStr">
        <is>
          <t>AUSTRALIAN DOLLAR</t>
        </is>
      </c>
      <c r="D4182" s="195" t="n">
        <v>17843.15</v>
      </c>
      <c r="E4182" s="195" t="n">
        <v>18023.38</v>
      </c>
      <c r="F4182" s="195" t="n">
        <v>18715.9</v>
      </c>
      <c r="G4182" s="195" t="n">
        <v>18369.64</v>
      </c>
    </row>
    <row r="4183">
      <c r="A4183" s="196" t="inlineStr">
        <is>
          <t>2026-02-17</t>
        </is>
      </c>
      <c r="B4183" s="196" t="inlineStr">
        <is>
          <t>CAD</t>
        </is>
      </c>
      <c r="C4183" s="196" t="inlineStr">
        <is>
          <t>CANADIAN DOLLAR</t>
        </is>
      </c>
      <c r="D4183" s="184" t="n">
        <v>18552.17</v>
      </c>
      <c r="E4183" s="184" t="n">
        <v>18739.57</v>
      </c>
      <c r="F4183" s="184" t="n">
        <v>19459.6</v>
      </c>
      <c r="G4183" s="184" t="n">
        <v>19099.58</v>
      </c>
    </row>
    <row r="4184">
      <c r="A4184" s="194" t="inlineStr">
        <is>
          <t>2026-02-17</t>
        </is>
      </c>
      <c r="B4184" s="194" t="inlineStr">
        <is>
          <t>CHF</t>
        </is>
      </c>
      <c r="C4184" s="194" t="inlineStr">
        <is>
          <t>SWISS FRANC</t>
        </is>
      </c>
      <c r="D4184" s="195" t="n">
        <v>32791.17</v>
      </c>
      <c r="E4184" s="195" t="n">
        <v>33122.4</v>
      </c>
      <c r="F4184" s="195" t="n">
        <v>34395.07</v>
      </c>
      <c r="G4184" s="195" t="n">
        <v>33758.74</v>
      </c>
    </row>
    <row r="4185">
      <c r="A4185" s="196" t="inlineStr">
        <is>
          <t>2026-02-17</t>
        </is>
      </c>
      <c r="B4185" s="196" t="inlineStr">
        <is>
          <t>CNY</t>
        </is>
      </c>
      <c r="C4185" s="196" t="inlineStr">
        <is>
          <t>YUAN RENMINBI</t>
        </is>
      </c>
      <c r="D4185" s="184" t="n">
        <v>3652.43</v>
      </c>
      <c r="E4185" s="184" t="n">
        <v>3689.32</v>
      </c>
      <c r="F4185" s="184" t="n">
        <v>3831.08</v>
      </c>
      <c r="G4185" s="184" t="n">
        <v>3760.2</v>
      </c>
    </row>
    <row r="4186">
      <c r="A4186" s="194" t="inlineStr">
        <is>
          <t>2026-02-17</t>
        </is>
      </c>
      <c r="B4186" s="194" t="inlineStr">
        <is>
          <t>DKK</t>
        </is>
      </c>
      <c r="C4186" s="194" t="inlineStr">
        <is>
          <t>DANISH KRONE</t>
        </is>
      </c>
      <c r="D4186" s="195" t="n"/>
      <c r="E4186" s="195" t="n">
        <v>4036.05</v>
      </c>
      <c r="F4186" s="195" t="n">
        <v>4216.36</v>
      </c>
      <c r="G4186" s="195" t="n">
        <v>4126.2</v>
      </c>
    </row>
    <row r="4187">
      <c r="A4187" s="196" t="inlineStr">
        <is>
          <t>2026-02-17</t>
        </is>
      </c>
      <c r="B4187" s="196" t="inlineStr">
        <is>
          <t>EUR</t>
        </is>
      </c>
      <c r="C4187" s="196" t="inlineStr">
        <is>
          <t>EURO</t>
        </is>
      </c>
      <c r="D4187" s="184" t="n">
        <v>29919.38</v>
      </c>
      <c r="E4187" s="184" t="n">
        <v>30221.59</v>
      </c>
      <c r="F4187" s="184" t="n">
        <v>31692</v>
      </c>
      <c r="G4187" s="184" t="n">
        <v>30956.8</v>
      </c>
    </row>
    <row r="4188">
      <c r="A4188" s="194" t="inlineStr">
        <is>
          <t>2026-02-17</t>
        </is>
      </c>
      <c r="B4188" s="194" t="inlineStr">
        <is>
          <t>GBP</t>
        </is>
      </c>
      <c r="C4188" s="194" t="inlineStr">
        <is>
          <t>POUND STERLING</t>
        </is>
      </c>
      <c r="D4188" s="195" t="n">
        <v>34364.4</v>
      </c>
      <c r="E4188" s="195" t="n">
        <v>34711.51</v>
      </c>
      <c r="F4188" s="195" t="n">
        <v>36045.24</v>
      </c>
      <c r="G4188" s="195" t="n">
        <v>35378.38</v>
      </c>
    </row>
    <row r="4189">
      <c r="A4189" s="196" t="inlineStr">
        <is>
          <t>2026-02-17</t>
        </is>
      </c>
      <c r="B4189" s="196" t="inlineStr">
        <is>
          <t>HKD</t>
        </is>
      </c>
      <c r="C4189" s="196" t="inlineStr">
        <is>
          <t>HONGKONG DOLLAR</t>
        </is>
      </c>
      <c r="D4189" s="184" t="n">
        <v>3218.8</v>
      </c>
      <c r="E4189" s="184" t="n">
        <v>3251.31</v>
      </c>
      <c r="F4189" s="184" t="n">
        <v>3396.56</v>
      </c>
      <c r="G4189" s="184" t="n">
        <v>3323.94</v>
      </c>
    </row>
    <row r="4190">
      <c r="A4190" s="194" t="inlineStr">
        <is>
          <t>2026-02-17</t>
        </is>
      </c>
      <c r="B4190" s="194" t="inlineStr">
        <is>
          <t>INR</t>
        </is>
      </c>
      <c r="C4190" s="194" t="inlineStr">
        <is>
          <t>INDIAN RUPEE</t>
        </is>
      </c>
      <c r="D4190" s="195" t="n"/>
      <c r="E4190" s="195" t="n">
        <v>283.84</v>
      </c>
      <c r="F4190" s="195" t="n">
        <v>297.89</v>
      </c>
      <c r="G4190" s="195" t="n">
        <v>290.86</v>
      </c>
    </row>
    <row r="4191">
      <c r="A4191" s="196" t="inlineStr">
        <is>
          <t>2026-02-17</t>
        </is>
      </c>
      <c r="B4191" s="196" t="inlineStr">
        <is>
          <t>JPY</t>
        </is>
      </c>
      <c r="C4191" s="196" t="inlineStr">
        <is>
          <t>YEN</t>
        </is>
      </c>
      <c r="D4191" s="184" t="n">
        <v>162.74</v>
      </c>
      <c r="E4191" s="184" t="n">
        <v>164.38</v>
      </c>
      <c r="F4191" s="184" t="n">
        <v>174.15</v>
      </c>
      <c r="G4191" s="184" t="n">
        <v>169.26</v>
      </c>
    </row>
    <row r="4192">
      <c r="A4192" s="194" t="inlineStr">
        <is>
          <t>2026-02-17</t>
        </is>
      </c>
      <c r="B4192" s="194" t="inlineStr">
        <is>
          <t>KRW</t>
        </is>
      </c>
      <c r="C4192" s="194" t="inlineStr">
        <is>
          <t>KOREAN WON</t>
        </is>
      </c>
      <c r="D4192" s="195" t="n">
        <v>15.5</v>
      </c>
      <c r="E4192" s="195" t="n">
        <v>17.22</v>
      </c>
      <c r="F4192" s="195" t="n">
        <v>18.8</v>
      </c>
      <c r="G4192" s="195" t="n">
        <v>18.01</v>
      </c>
    </row>
    <row r="4193">
      <c r="A4193" s="196" t="inlineStr">
        <is>
          <t>2026-02-17</t>
        </is>
      </c>
      <c r="B4193" s="196" t="inlineStr">
        <is>
          <t>KWD</t>
        </is>
      </c>
      <c r="C4193" s="196" t="inlineStr">
        <is>
          <t>KUWAITI DINAR</t>
        </is>
      </c>
      <c r="D4193" s="184" t="n"/>
      <c r="E4193" s="184" t="n">
        <v>84370.02</v>
      </c>
      <c r="F4193" s="184" t="n">
        <v>89007.7</v>
      </c>
      <c r="G4193" s="184" t="n">
        <v>86688.86</v>
      </c>
    </row>
    <row r="4194">
      <c r="A4194" s="194" t="inlineStr">
        <is>
          <t>2026-02-17</t>
        </is>
      </c>
      <c r="B4194" s="194" t="inlineStr">
        <is>
          <t>MYR</t>
        </is>
      </c>
      <c r="C4194" s="194" t="inlineStr">
        <is>
          <t>MALAYSIAN RINGGIT</t>
        </is>
      </c>
      <c r="D4194" s="195" t="n"/>
      <c r="E4194" s="195" t="n">
        <v>6560.93</v>
      </c>
      <c r="F4194" s="195" t="n">
        <v>6745.22</v>
      </c>
      <c r="G4194" s="195" t="n">
        <v>6653.08</v>
      </c>
    </row>
    <row r="4195">
      <c r="A4195" s="196" t="inlineStr">
        <is>
          <t>2026-02-17</t>
        </is>
      </c>
      <c r="B4195" s="196" t="inlineStr">
        <is>
          <t>NOK</t>
        </is>
      </c>
      <c r="C4195" s="196" t="inlineStr">
        <is>
          <t>NORWEGIAN KRONER</t>
        </is>
      </c>
      <c r="D4195" s="184" t="n"/>
      <c r="E4195" s="184" t="n">
        <v>2662.34</v>
      </c>
      <c r="F4195" s="184" t="n">
        <v>2792.43</v>
      </c>
      <c r="G4195" s="184" t="n">
        <v>2727.38</v>
      </c>
    </row>
    <row r="4196">
      <c r="A4196" s="194" t="inlineStr">
        <is>
          <t>2026-02-17</t>
        </is>
      </c>
      <c r="B4196" s="194" t="inlineStr">
        <is>
          <t>RUB</t>
        </is>
      </c>
      <c r="C4196" s="194" t="inlineStr">
        <is>
          <t>RUSSIAN RUBLE</t>
        </is>
      </c>
      <c r="D4196" s="195" t="n"/>
      <c r="E4196" s="195" t="n">
        <v>319.35</v>
      </c>
      <c r="F4196" s="195" t="n">
        <v>355.7</v>
      </c>
      <c r="G4196" s="195" t="n">
        <v>337.52</v>
      </c>
    </row>
    <row r="4197">
      <c r="A4197" s="196" t="inlineStr">
        <is>
          <t>2026-02-17</t>
        </is>
      </c>
      <c r="B4197" s="196" t="inlineStr">
        <is>
          <t>SAR</t>
        </is>
      </c>
      <c r="C4197" s="196" t="inlineStr">
        <is>
          <t>SAUDI RIAL</t>
        </is>
      </c>
      <c r="D4197" s="184" t="n"/>
      <c r="E4197" s="184" t="n">
        <v>6863.98</v>
      </c>
      <c r="F4197" s="184" t="n">
        <v>7203.76</v>
      </c>
      <c r="G4197" s="184" t="n">
        <v>7033.87</v>
      </c>
    </row>
    <row r="4198">
      <c r="A4198" s="194" t="inlineStr">
        <is>
          <t>2026-02-17</t>
        </is>
      </c>
      <c r="B4198" s="194" t="inlineStr">
        <is>
          <t>SEK</t>
        </is>
      </c>
      <c r="C4198" s="194" t="inlineStr">
        <is>
          <t>SWEDISH KRONA</t>
        </is>
      </c>
      <c r="D4198" s="195" t="n"/>
      <c r="E4198" s="195" t="n">
        <v>2840.59</v>
      </c>
      <c r="F4198" s="195" t="n">
        <v>2979.39</v>
      </c>
      <c r="G4198" s="195" t="n">
        <v>2909.99</v>
      </c>
    </row>
    <row r="4199">
      <c r="A4199" s="196" t="inlineStr">
        <is>
          <t>2026-02-17</t>
        </is>
      </c>
      <c r="B4199" s="196" t="inlineStr">
        <is>
          <t>SGD</t>
        </is>
      </c>
      <c r="C4199" s="196" t="inlineStr">
        <is>
          <t>SINGAPORE DOLLAR</t>
        </is>
      </c>
      <c r="D4199" s="184" t="n">
        <v>19954.07</v>
      </c>
      <c r="E4199" s="184" t="n">
        <v>20155.62</v>
      </c>
      <c r="F4199" s="184" t="n">
        <v>20971.98</v>
      </c>
      <c r="G4199" s="184" t="n">
        <v>20563.8</v>
      </c>
    </row>
    <row r="4200">
      <c r="A4200" s="194" t="inlineStr">
        <is>
          <t>2026-02-17</t>
        </is>
      </c>
      <c r="B4200" s="194" t="inlineStr">
        <is>
          <t>THB</t>
        </is>
      </c>
      <c r="C4200" s="194" t="inlineStr">
        <is>
          <t>THAILAND BAHT</t>
        </is>
      </c>
      <c r="D4200" s="195" t="n">
        <v>735.15</v>
      </c>
      <c r="E4200" s="195" t="n">
        <v>816.84</v>
      </c>
      <c r="F4200" s="195" t="n">
        <v>856.75</v>
      </c>
      <c r="G4200" s="195" t="n">
        <v>836.8</v>
      </c>
    </row>
    <row r="4201">
      <c r="A4201" s="196" t="inlineStr">
        <is>
          <t>2026-02-17</t>
        </is>
      </c>
      <c r="B4201" s="196" t="inlineStr">
        <is>
          <t>USD</t>
        </is>
      </c>
      <c r="C4201" s="196" t="inlineStr">
        <is>
          <t>US DOLLAR</t>
        </is>
      </c>
      <c r="D4201" s="184" t="n">
        <v>25750</v>
      </c>
      <c r="E4201" s="184" t="n">
        <v>25780</v>
      </c>
      <c r="F4201" s="184" t="n">
        <v>26160</v>
      </c>
      <c r="G4201" s="184" t="n">
        <v>25970</v>
      </c>
    </row>
    <row r="4202">
      <c r="A4202" s="194" t="inlineStr">
        <is>
          <t>2026-02-16</t>
        </is>
      </c>
      <c r="B4202" s="194" t="inlineStr">
        <is>
          <t>AUD</t>
        </is>
      </c>
      <c r="C4202" s="194" t="inlineStr">
        <is>
          <t>AUSTRALIAN DOLLAR</t>
        </is>
      </c>
      <c r="D4202" s="195" t="n">
        <v>17843.15</v>
      </c>
      <c r="E4202" s="195" t="n">
        <v>18023.38</v>
      </c>
      <c r="F4202" s="195" t="n">
        <v>18715.9</v>
      </c>
      <c r="G4202" s="195" t="n">
        <v>18369.64</v>
      </c>
    </row>
    <row r="4203">
      <c r="A4203" s="196" t="inlineStr">
        <is>
          <t>2026-02-16</t>
        </is>
      </c>
      <c r="B4203" s="196" t="inlineStr">
        <is>
          <t>CAD</t>
        </is>
      </c>
      <c r="C4203" s="196" t="inlineStr">
        <is>
          <t>CANADIAN DOLLAR</t>
        </is>
      </c>
      <c r="D4203" s="184" t="n">
        <v>18552.17</v>
      </c>
      <c r="E4203" s="184" t="n">
        <v>18739.57</v>
      </c>
      <c r="F4203" s="184" t="n">
        <v>19459.6</v>
      </c>
      <c r="G4203" s="184" t="n">
        <v>19099.58</v>
      </c>
    </row>
    <row r="4204">
      <c r="A4204" s="194" t="inlineStr">
        <is>
          <t>2026-02-16</t>
        </is>
      </c>
      <c r="B4204" s="194" t="inlineStr">
        <is>
          <t>CHF</t>
        </is>
      </c>
      <c r="C4204" s="194" t="inlineStr">
        <is>
          <t>SWISS FRANC</t>
        </is>
      </c>
      <c r="D4204" s="195" t="n">
        <v>32791.17</v>
      </c>
      <c r="E4204" s="195" t="n">
        <v>33122.4</v>
      </c>
      <c r="F4204" s="195" t="n">
        <v>34395.07</v>
      </c>
      <c r="G4204" s="195" t="n">
        <v>33758.74</v>
      </c>
    </row>
    <row r="4205">
      <c r="A4205" s="196" t="inlineStr">
        <is>
          <t>2026-02-16</t>
        </is>
      </c>
      <c r="B4205" s="196" t="inlineStr">
        <is>
          <t>CNY</t>
        </is>
      </c>
      <c r="C4205" s="196" t="inlineStr">
        <is>
          <t>YUAN RENMINBI</t>
        </is>
      </c>
      <c r="D4205" s="184" t="n">
        <v>3652.43</v>
      </c>
      <c r="E4205" s="184" t="n">
        <v>3689.32</v>
      </c>
      <c r="F4205" s="184" t="n">
        <v>3831.08</v>
      </c>
      <c r="G4205" s="184" t="n">
        <v>3760.2</v>
      </c>
    </row>
    <row r="4206">
      <c r="A4206" s="194" t="inlineStr">
        <is>
          <t>2026-02-16</t>
        </is>
      </c>
      <c r="B4206" s="194" t="inlineStr">
        <is>
          <t>DKK</t>
        </is>
      </c>
      <c r="C4206" s="194" t="inlineStr">
        <is>
          <t>DANISH KRONE</t>
        </is>
      </c>
      <c r="D4206" s="195" t="n"/>
      <c r="E4206" s="195" t="n">
        <v>4036.05</v>
      </c>
      <c r="F4206" s="195" t="n">
        <v>4216.36</v>
      </c>
      <c r="G4206" s="195" t="n">
        <v>4126.2</v>
      </c>
    </row>
    <row r="4207">
      <c r="A4207" s="196" t="inlineStr">
        <is>
          <t>2026-02-16</t>
        </is>
      </c>
      <c r="B4207" s="196" t="inlineStr">
        <is>
          <t>EUR</t>
        </is>
      </c>
      <c r="C4207" s="196" t="inlineStr">
        <is>
          <t>EURO</t>
        </is>
      </c>
      <c r="D4207" s="184" t="n">
        <v>29919.38</v>
      </c>
      <c r="E4207" s="184" t="n">
        <v>30221.59</v>
      </c>
      <c r="F4207" s="184" t="n">
        <v>31692</v>
      </c>
      <c r="G4207" s="184" t="n">
        <v>30956.8</v>
      </c>
    </row>
    <row r="4208">
      <c r="A4208" s="194" t="inlineStr">
        <is>
          <t>2026-02-16</t>
        </is>
      </c>
      <c r="B4208" s="194" t="inlineStr">
        <is>
          <t>GBP</t>
        </is>
      </c>
      <c r="C4208" s="194" t="inlineStr">
        <is>
          <t>POUND STERLING</t>
        </is>
      </c>
      <c r="D4208" s="195" t="n">
        <v>34364.4</v>
      </c>
      <c r="E4208" s="195" t="n">
        <v>34711.51</v>
      </c>
      <c r="F4208" s="195" t="n">
        <v>36045.24</v>
      </c>
      <c r="G4208" s="195" t="n">
        <v>35378.38</v>
      </c>
    </row>
    <row r="4209">
      <c r="A4209" s="196" t="inlineStr">
        <is>
          <t>2026-02-16</t>
        </is>
      </c>
      <c r="B4209" s="196" t="inlineStr">
        <is>
          <t>HKD</t>
        </is>
      </c>
      <c r="C4209" s="196" t="inlineStr">
        <is>
          <t>HONGKONG DOLLAR</t>
        </is>
      </c>
      <c r="D4209" s="184" t="n">
        <v>3218.8</v>
      </c>
      <c r="E4209" s="184" t="n">
        <v>3251.31</v>
      </c>
      <c r="F4209" s="184" t="n">
        <v>3396.56</v>
      </c>
      <c r="G4209" s="184" t="n">
        <v>3323.94</v>
      </c>
    </row>
    <row r="4210">
      <c r="A4210" s="194" t="inlineStr">
        <is>
          <t>2026-02-16</t>
        </is>
      </c>
      <c r="B4210" s="194" t="inlineStr">
        <is>
          <t>INR</t>
        </is>
      </c>
      <c r="C4210" s="194" t="inlineStr">
        <is>
          <t>INDIAN RUPEE</t>
        </is>
      </c>
      <c r="D4210" s="195" t="n"/>
      <c r="E4210" s="195" t="n">
        <v>283.84</v>
      </c>
      <c r="F4210" s="195" t="n">
        <v>297.89</v>
      </c>
      <c r="G4210" s="195" t="n">
        <v>290.86</v>
      </c>
    </row>
    <row r="4211">
      <c r="A4211" s="196" t="inlineStr">
        <is>
          <t>2026-02-16</t>
        </is>
      </c>
      <c r="B4211" s="196" t="inlineStr">
        <is>
          <t>JPY</t>
        </is>
      </c>
      <c r="C4211" s="196" t="inlineStr">
        <is>
          <t>YEN</t>
        </is>
      </c>
      <c r="D4211" s="184" t="n">
        <v>162.74</v>
      </c>
      <c r="E4211" s="184" t="n">
        <v>164.38</v>
      </c>
      <c r="F4211" s="184" t="n">
        <v>174.15</v>
      </c>
      <c r="G4211" s="184" t="n">
        <v>169.26</v>
      </c>
    </row>
    <row r="4212">
      <c r="A4212" s="194" t="inlineStr">
        <is>
          <t>2026-02-16</t>
        </is>
      </c>
      <c r="B4212" s="194" t="inlineStr">
        <is>
          <t>KRW</t>
        </is>
      </c>
      <c r="C4212" s="194" t="inlineStr">
        <is>
          <t>KOREAN WON</t>
        </is>
      </c>
      <c r="D4212" s="195" t="n">
        <v>15.5</v>
      </c>
      <c r="E4212" s="195" t="n">
        <v>17.22</v>
      </c>
      <c r="F4212" s="195" t="n">
        <v>18.8</v>
      </c>
      <c r="G4212" s="195" t="n">
        <v>18.01</v>
      </c>
    </row>
    <row r="4213">
      <c r="A4213" s="196" t="inlineStr">
        <is>
          <t>2026-02-16</t>
        </is>
      </c>
      <c r="B4213" s="196" t="inlineStr">
        <is>
          <t>KWD</t>
        </is>
      </c>
      <c r="C4213" s="196" t="inlineStr">
        <is>
          <t>KUWAITI DINAR</t>
        </is>
      </c>
      <c r="D4213" s="184" t="n"/>
      <c r="E4213" s="184" t="n">
        <v>84370.02</v>
      </c>
      <c r="F4213" s="184" t="n">
        <v>89007.7</v>
      </c>
      <c r="G4213" s="184" t="n">
        <v>86688.86</v>
      </c>
    </row>
    <row r="4214">
      <c r="A4214" s="194" t="inlineStr">
        <is>
          <t>2026-02-16</t>
        </is>
      </c>
      <c r="B4214" s="194" t="inlineStr">
        <is>
          <t>MYR</t>
        </is>
      </c>
      <c r="C4214" s="194" t="inlineStr">
        <is>
          <t>MALAYSIAN RINGGIT</t>
        </is>
      </c>
      <c r="D4214" s="195" t="n"/>
      <c r="E4214" s="195" t="n">
        <v>6560.93</v>
      </c>
      <c r="F4214" s="195" t="n">
        <v>6745.22</v>
      </c>
      <c r="G4214" s="195" t="n">
        <v>6653.08</v>
      </c>
    </row>
    <row r="4215">
      <c r="A4215" s="196" t="inlineStr">
        <is>
          <t>2026-02-16</t>
        </is>
      </c>
      <c r="B4215" s="196" t="inlineStr">
        <is>
          <t>NOK</t>
        </is>
      </c>
      <c r="C4215" s="196" t="inlineStr">
        <is>
          <t>NORWEGIAN KRONER</t>
        </is>
      </c>
      <c r="D4215" s="184" t="n"/>
      <c r="E4215" s="184" t="n">
        <v>2662.34</v>
      </c>
      <c r="F4215" s="184" t="n">
        <v>2792.43</v>
      </c>
      <c r="G4215" s="184" t="n">
        <v>2727.38</v>
      </c>
    </row>
    <row r="4216">
      <c r="A4216" s="194" t="inlineStr">
        <is>
          <t>2026-02-16</t>
        </is>
      </c>
      <c r="B4216" s="194" t="inlineStr">
        <is>
          <t>RUB</t>
        </is>
      </c>
      <c r="C4216" s="194" t="inlineStr">
        <is>
          <t>RUSSIAN RUBLE</t>
        </is>
      </c>
      <c r="D4216" s="195" t="n"/>
      <c r="E4216" s="195" t="n">
        <v>319.35</v>
      </c>
      <c r="F4216" s="195" t="n">
        <v>355.7</v>
      </c>
      <c r="G4216" s="195" t="n">
        <v>337.52</v>
      </c>
    </row>
    <row r="4217">
      <c r="A4217" s="196" t="inlineStr">
        <is>
          <t>2026-02-16</t>
        </is>
      </c>
      <c r="B4217" s="196" t="inlineStr">
        <is>
          <t>SAR</t>
        </is>
      </c>
      <c r="C4217" s="196" t="inlineStr">
        <is>
          <t>SAUDI RIAL</t>
        </is>
      </c>
      <c r="D4217" s="184" t="n"/>
      <c r="E4217" s="184" t="n">
        <v>6863.98</v>
      </c>
      <c r="F4217" s="184" t="n">
        <v>7203.76</v>
      </c>
      <c r="G4217" s="184" t="n">
        <v>7033.87</v>
      </c>
    </row>
    <row r="4218">
      <c r="A4218" s="194" t="inlineStr">
        <is>
          <t>2026-02-16</t>
        </is>
      </c>
      <c r="B4218" s="194" t="inlineStr">
        <is>
          <t>SEK</t>
        </is>
      </c>
      <c r="C4218" s="194" t="inlineStr">
        <is>
          <t>SWEDISH KRONA</t>
        </is>
      </c>
      <c r="D4218" s="195" t="n"/>
      <c r="E4218" s="195" t="n">
        <v>2840.59</v>
      </c>
      <c r="F4218" s="195" t="n">
        <v>2979.39</v>
      </c>
      <c r="G4218" s="195" t="n">
        <v>2909.99</v>
      </c>
    </row>
    <row r="4219">
      <c r="A4219" s="196" t="inlineStr">
        <is>
          <t>2026-02-16</t>
        </is>
      </c>
      <c r="B4219" s="196" t="inlineStr">
        <is>
          <t>SGD</t>
        </is>
      </c>
      <c r="C4219" s="196" t="inlineStr">
        <is>
          <t>SINGAPORE DOLLAR</t>
        </is>
      </c>
      <c r="D4219" s="184" t="n">
        <v>19954.07</v>
      </c>
      <c r="E4219" s="184" t="n">
        <v>20155.62</v>
      </c>
      <c r="F4219" s="184" t="n">
        <v>20971.98</v>
      </c>
      <c r="G4219" s="184" t="n">
        <v>20563.8</v>
      </c>
    </row>
    <row r="4220">
      <c r="A4220" s="194" t="inlineStr">
        <is>
          <t>2026-02-16</t>
        </is>
      </c>
      <c r="B4220" s="194" t="inlineStr">
        <is>
          <t>THB</t>
        </is>
      </c>
      <c r="C4220" s="194" t="inlineStr">
        <is>
          <t>THAILAND BAHT</t>
        </is>
      </c>
      <c r="D4220" s="195" t="n">
        <v>735.15</v>
      </c>
      <c r="E4220" s="195" t="n">
        <v>816.84</v>
      </c>
      <c r="F4220" s="195" t="n">
        <v>856.75</v>
      </c>
      <c r="G4220" s="195" t="n">
        <v>836.8</v>
      </c>
    </row>
    <row r="4221">
      <c r="A4221" s="196" t="inlineStr">
        <is>
          <t>2026-02-16</t>
        </is>
      </c>
      <c r="B4221" s="196" t="inlineStr">
        <is>
          <t>USD</t>
        </is>
      </c>
      <c r="C4221" s="196" t="inlineStr">
        <is>
          <t>US DOLLAR</t>
        </is>
      </c>
      <c r="D4221" s="184" t="n">
        <v>25750</v>
      </c>
      <c r="E4221" s="184" t="n">
        <v>25780</v>
      </c>
      <c r="F4221" s="184" t="n">
        <v>26160</v>
      </c>
      <c r="G4221" s="184" t="n">
        <v>25970</v>
      </c>
    </row>
    <row r="4222">
      <c r="A4222" s="194" t="inlineStr">
        <is>
          <t>2026-02-15</t>
        </is>
      </c>
      <c r="B4222" s="194" t="inlineStr">
        <is>
          <t>AUD</t>
        </is>
      </c>
      <c r="C4222" s="194" t="inlineStr">
        <is>
          <t>AUSTRALIAN DOLLAR</t>
        </is>
      </c>
      <c r="D4222" s="195" t="n">
        <v>17843.15</v>
      </c>
      <c r="E4222" s="195" t="n">
        <v>18023.38</v>
      </c>
      <c r="F4222" s="195" t="n">
        <v>18715.9</v>
      </c>
      <c r="G4222" s="195" t="n">
        <v>18369.64</v>
      </c>
    </row>
    <row r="4223">
      <c r="A4223" s="196" t="inlineStr">
        <is>
          <t>2026-02-15</t>
        </is>
      </c>
      <c r="B4223" s="196" t="inlineStr">
        <is>
          <t>CAD</t>
        </is>
      </c>
      <c r="C4223" s="196" t="inlineStr">
        <is>
          <t>CANADIAN DOLLAR</t>
        </is>
      </c>
      <c r="D4223" s="184" t="n">
        <v>18552.17</v>
      </c>
      <c r="E4223" s="184" t="n">
        <v>18739.57</v>
      </c>
      <c r="F4223" s="184" t="n">
        <v>19459.6</v>
      </c>
      <c r="G4223" s="184" t="n">
        <v>19099.58</v>
      </c>
    </row>
    <row r="4224">
      <c r="A4224" s="194" t="inlineStr">
        <is>
          <t>2026-02-15</t>
        </is>
      </c>
      <c r="B4224" s="194" t="inlineStr">
        <is>
          <t>CHF</t>
        </is>
      </c>
      <c r="C4224" s="194" t="inlineStr">
        <is>
          <t>SWISS FRANC</t>
        </is>
      </c>
      <c r="D4224" s="195" t="n">
        <v>32791.17</v>
      </c>
      <c r="E4224" s="195" t="n">
        <v>33122.4</v>
      </c>
      <c r="F4224" s="195" t="n">
        <v>34395.07</v>
      </c>
      <c r="G4224" s="195" t="n">
        <v>33758.74</v>
      </c>
    </row>
    <row r="4225">
      <c r="A4225" s="196" t="inlineStr">
        <is>
          <t>2026-02-15</t>
        </is>
      </c>
      <c r="B4225" s="196" t="inlineStr">
        <is>
          <t>CNY</t>
        </is>
      </c>
      <c r="C4225" s="196" t="inlineStr">
        <is>
          <t>YUAN RENMINBI</t>
        </is>
      </c>
      <c r="D4225" s="184" t="n">
        <v>3652.43</v>
      </c>
      <c r="E4225" s="184" t="n">
        <v>3689.32</v>
      </c>
      <c r="F4225" s="184" t="n">
        <v>3831.08</v>
      </c>
      <c r="G4225" s="184" t="n">
        <v>3760.2</v>
      </c>
    </row>
    <row r="4226">
      <c r="A4226" s="194" t="inlineStr">
        <is>
          <t>2026-02-15</t>
        </is>
      </c>
      <c r="B4226" s="194" t="inlineStr">
        <is>
          <t>DKK</t>
        </is>
      </c>
      <c r="C4226" s="194" t="inlineStr">
        <is>
          <t>DANISH KRONE</t>
        </is>
      </c>
      <c r="D4226" s="195" t="n"/>
      <c r="E4226" s="195" t="n">
        <v>4036.05</v>
      </c>
      <c r="F4226" s="195" t="n">
        <v>4216.36</v>
      </c>
      <c r="G4226" s="195" t="n">
        <v>4126.2</v>
      </c>
    </row>
    <row r="4227">
      <c r="A4227" s="196" t="inlineStr">
        <is>
          <t>2026-02-15</t>
        </is>
      </c>
      <c r="B4227" s="196" t="inlineStr">
        <is>
          <t>EUR</t>
        </is>
      </c>
      <c r="C4227" s="196" t="inlineStr">
        <is>
          <t>EURO</t>
        </is>
      </c>
      <c r="D4227" s="184" t="n">
        <v>29919.38</v>
      </c>
      <c r="E4227" s="184" t="n">
        <v>30221.59</v>
      </c>
      <c r="F4227" s="184" t="n">
        <v>31692</v>
      </c>
      <c r="G4227" s="184" t="n">
        <v>30956.8</v>
      </c>
    </row>
    <row r="4228">
      <c r="A4228" s="194" t="inlineStr">
        <is>
          <t>2026-02-15</t>
        </is>
      </c>
      <c r="B4228" s="194" t="inlineStr">
        <is>
          <t>GBP</t>
        </is>
      </c>
      <c r="C4228" s="194" t="inlineStr">
        <is>
          <t>POUND STERLING</t>
        </is>
      </c>
      <c r="D4228" s="195" t="n">
        <v>34364.4</v>
      </c>
      <c r="E4228" s="195" t="n">
        <v>34711.51</v>
      </c>
      <c r="F4228" s="195" t="n">
        <v>36045.24</v>
      </c>
      <c r="G4228" s="195" t="n">
        <v>35378.38</v>
      </c>
    </row>
    <row r="4229">
      <c r="A4229" s="196" t="inlineStr">
        <is>
          <t>2026-02-15</t>
        </is>
      </c>
      <c r="B4229" s="196" t="inlineStr">
        <is>
          <t>HKD</t>
        </is>
      </c>
      <c r="C4229" s="196" t="inlineStr">
        <is>
          <t>HONGKONG DOLLAR</t>
        </is>
      </c>
      <c r="D4229" s="184" t="n">
        <v>3218.8</v>
      </c>
      <c r="E4229" s="184" t="n">
        <v>3251.31</v>
      </c>
      <c r="F4229" s="184" t="n">
        <v>3396.56</v>
      </c>
      <c r="G4229" s="184" t="n">
        <v>3323.94</v>
      </c>
    </row>
    <row r="4230">
      <c r="A4230" s="194" t="inlineStr">
        <is>
          <t>2026-02-15</t>
        </is>
      </c>
      <c r="B4230" s="194" t="inlineStr">
        <is>
          <t>INR</t>
        </is>
      </c>
      <c r="C4230" s="194" t="inlineStr">
        <is>
          <t>INDIAN RUPEE</t>
        </is>
      </c>
      <c r="D4230" s="195" t="n"/>
      <c r="E4230" s="195" t="n">
        <v>283.84</v>
      </c>
      <c r="F4230" s="195" t="n">
        <v>297.89</v>
      </c>
      <c r="G4230" s="195" t="n">
        <v>290.86</v>
      </c>
    </row>
    <row r="4231">
      <c r="A4231" s="196" t="inlineStr">
        <is>
          <t>2026-02-15</t>
        </is>
      </c>
      <c r="B4231" s="196" t="inlineStr">
        <is>
          <t>JPY</t>
        </is>
      </c>
      <c r="C4231" s="196" t="inlineStr">
        <is>
          <t>YEN</t>
        </is>
      </c>
      <c r="D4231" s="184" t="n">
        <v>162.74</v>
      </c>
      <c r="E4231" s="184" t="n">
        <v>164.38</v>
      </c>
      <c r="F4231" s="184" t="n">
        <v>174.15</v>
      </c>
      <c r="G4231" s="184" t="n">
        <v>169.26</v>
      </c>
    </row>
    <row r="4232">
      <c r="A4232" s="194" t="inlineStr">
        <is>
          <t>2026-02-15</t>
        </is>
      </c>
      <c r="B4232" s="194" t="inlineStr">
        <is>
          <t>KRW</t>
        </is>
      </c>
      <c r="C4232" s="194" t="inlineStr">
        <is>
          <t>KOREAN WON</t>
        </is>
      </c>
      <c r="D4232" s="195" t="n">
        <v>15.5</v>
      </c>
      <c r="E4232" s="195" t="n">
        <v>17.22</v>
      </c>
      <c r="F4232" s="195" t="n">
        <v>18.8</v>
      </c>
      <c r="G4232" s="195" t="n">
        <v>18.01</v>
      </c>
    </row>
    <row r="4233">
      <c r="A4233" s="196" t="inlineStr">
        <is>
          <t>2026-02-15</t>
        </is>
      </c>
      <c r="B4233" s="196" t="inlineStr">
        <is>
          <t>KWD</t>
        </is>
      </c>
      <c r="C4233" s="196" t="inlineStr">
        <is>
          <t>KUWAITI DINAR</t>
        </is>
      </c>
      <c r="D4233" s="184" t="n"/>
      <c r="E4233" s="184" t="n">
        <v>84370.02</v>
      </c>
      <c r="F4233" s="184" t="n">
        <v>89007.7</v>
      </c>
      <c r="G4233" s="184" t="n">
        <v>86688.86</v>
      </c>
    </row>
    <row r="4234">
      <c r="A4234" s="194" t="inlineStr">
        <is>
          <t>2026-02-15</t>
        </is>
      </c>
      <c r="B4234" s="194" t="inlineStr">
        <is>
          <t>MYR</t>
        </is>
      </c>
      <c r="C4234" s="194" t="inlineStr">
        <is>
          <t>MALAYSIAN RINGGIT</t>
        </is>
      </c>
      <c r="D4234" s="195" t="n"/>
      <c r="E4234" s="195" t="n">
        <v>6560.93</v>
      </c>
      <c r="F4234" s="195" t="n">
        <v>6745.22</v>
      </c>
      <c r="G4234" s="195" t="n">
        <v>6653.08</v>
      </c>
    </row>
    <row r="4235">
      <c r="A4235" s="196" t="inlineStr">
        <is>
          <t>2026-02-15</t>
        </is>
      </c>
      <c r="B4235" s="196" t="inlineStr">
        <is>
          <t>NOK</t>
        </is>
      </c>
      <c r="C4235" s="196" t="inlineStr">
        <is>
          <t>NORWEGIAN KRONER</t>
        </is>
      </c>
      <c r="D4235" s="184" t="n"/>
      <c r="E4235" s="184" t="n">
        <v>2662.34</v>
      </c>
      <c r="F4235" s="184" t="n">
        <v>2792.43</v>
      </c>
      <c r="G4235" s="184" t="n">
        <v>2727.38</v>
      </c>
    </row>
    <row r="4236">
      <c r="A4236" s="194" t="inlineStr">
        <is>
          <t>2026-02-15</t>
        </is>
      </c>
      <c r="B4236" s="194" t="inlineStr">
        <is>
          <t>RUB</t>
        </is>
      </c>
      <c r="C4236" s="194" t="inlineStr">
        <is>
          <t>RUSSIAN RUBLE</t>
        </is>
      </c>
      <c r="D4236" s="195" t="n"/>
      <c r="E4236" s="195" t="n">
        <v>319.35</v>
      </c>
      <c r="F4236" s="195" t="n">
        <v>355.7</v>
      </c>
      <c r="G4236" s="195" t="n">
        <v>337.52</v>
      </c>
    </row>
    <row r="4237">
      <c r="A4237" s="196" t="inlineStr">
        <is>
          <t>2026-02-15</t>
        </is>
      </c>
      <c r="B4237" s="196" t="inlineStr">
        <is>
          <t>SAR</t>
        </is>
      </c>
      <c r="C4237" s="196" t="inlineStr">
        <is>
          <t>SAUDI RIAL</t>
        </is>
      </c>
      <c r="D4237" s="184" t="n"/>
      <c r="E4237" s="184" t="n">
        <v>6863.98</v>
      </c>
      <c r="F4237" s="184" t="n">
        <v>7203.76</v>
      </c>
      <c r="G4237" s="184" t="n">
        <v>7033.87</v>
      </c>
    </row>
    <row r="4238">
      <c r="A4238" s="194" t="inlineStr">
        <is>
          <t>2026-02-15</t>
        </is>
      </c>
      <c r="B4238" s="194" t="inlineStr">
        <is>
          <t>SEK</t>
        </is>
      </c>
      <c r="C4238" s="194" t="inlineStr">
        <is>
          <t>SWEDISH KRONA</t>
        </is>
      </c>
      <c r="D4238" s="195" t="n"/>
      <c r="E4238" s="195" t="n">
        <v>2840.59</v>
      </c>
      <c r="F4238" s="195" t="n">
        <v>2979.39</v>
      </c>
      <c r="G4238" s="195" t="n">
        <v>2909.99</v>
      </c>
    </row>
    <row r="4239">
      <c r="A4239" s="196" t="inlineStr">
        <is>
          <t>2026-02-15</t>
        </is>
      </c>
      <c r="B4239" s="196" t="inlineStr">
        <is>
          <t>SGD</t>
        </is>
      </c>
      <c r="C4239" s="196" t="inlineStr">
        <is>
          <t>SINGAPORE DOLLAR</t>
        </is>
      </c>
      <c r="D4239" s="184" t="n">
        <v>19954.07</v>
      </c>
      <c r="E4239" s="184" t="n">
        <v>20155.62</v>
      </c>
      <c r="F4239" s="184" t="n">
        <v>20971.98</v>
      </c>
      <c r="G4239" s="184" t="n">
        <v>20563.8</v>
      </c>
    </row>
    <row r="4240">
      <c r="A4240" s="194" t="inlineStr">
        <is>
          <t>2026-02-15</t>
        </is>
      </c>
      <c r="B4240" s="194" t="inlineStr">
        <is>
          <t>THB</t>
        </is>
      </c>
      <c r="C4240" s="194" t="inlineStr">
        <is>
          <t>THAILAND BAHT</t>
        </is>
      </c>
      <c r="D4240" s="195" t="n">
        <v>735.15</v>
      </c>
      <c r="E4240" s="195" t="n">
        <v>816.84</v>
      </c>
      <c r="F4240" s="195" t="n">
        <v>856.75</v>
      </c>
      <c r="G4240" s="195" t="n">
        <v>836.8</v>
      </c>
    </row>
    <row r="4241">
      <c r="A4241" s="196" t="inlineStr">
        <is>
          <t>2026-02-15</t>
        </is>
      </c>
      <c r="B4241" s="196" t="inlineStr">
        <is>
          <t>USD</t>
        </is>
      </c>
      <c r="C4241" s="196" t="inlineStr">
        <is>
          <t>US DOLLAR</t>
        </is>
      </c>
      <c r="D4241" s="184" t="n">
        <v>25750</v>
      </c>
      <c r="E4241" s="184" t="n">
        <v>25780</v>
      </c>
      <c r="F4241" s="184" t="n">
        <v>26160</v>
      </c>
      <c r="G4241" s="184" t="n">
        <v>25970</v>
      </c>
    </row>
    <row r="4242">
      <c r="A4242" s="194" t="inlineStr">
        <is>
          <t>2026-02-14</t>
        </is>
      </c>
      <c r="B4242" s="194" t="inlineStr">
        <is>
          <t>AUD</t>
        </is>
      </c>
      <c r="C4242" s="194" t="inlineStr">
        <is>
          <t>AUSTRALIAN DOLLAR</t>
        </is>
      </c>
      <c r="D4242" s="195" t="n">
        <v>17843.15</v>
      </c>
      <c r="E4242" s="195" t="n">
        <v>18023.38</v>
      </c>
      <c r="F4242" s="195" t="n">
        <v>18715.9</v>
      </c>
      <c r="G4242" s="195" t="n">
        <v>18369.64</v>
      </c>
    </row>
    <row r="4243">
      <c r="A4243" s="196" t="inlineStr">
        <is>
          <t>2026-02-14</t>
        </is>
      </c>
      <c r="B4243" s="196" t="inlineStr">
        <is>
          <t>CAD</t>
        </is>
      </c>
      <c r="C4243" s="196" t="inlineStr">
        <is>
          <t>CANADIAN DOLLAR</t>
        </is>
      </c>
      <c r="D4243" s="184" t="n">
        <v>18552.17</v>
      </c>
      <c r="E4243" s="184" t="n">
        <v>18739.57</v>
      </c>
      <c r="F4243" s="184" t="n">
        <v>19459.6</v>
      </c>
      <c r="G4243" s="184" t="n">
        <v>19099.58</v>
      </c>
    </row>
    <row r="4244">
      <c r="A4244" s="194" t="inlineStr">
        <is>
          <t>2026-02-14</t>
        </is>
      </c>
      <c r="B4244" s="194" t="inlineStr">
        <is>
          <t>CHF</t>
        </is>
      </c>
      <c r="C4244" s="194" t="inlineStr">
        <is>
          <t>SWISS FRANC</t>
        </is>
      </c>
      <c r="D4244" s="195" t="n">
        <v>32791.17</v>
      </c>
      <c r="E4244" s="195" t="n">
        <v>33122.4</v>
      </c>
      <c r="F4244" s="195" t="n">
        <v>34395.07</v>
      </c>
      <c r="G4244" s="195" t="n">
        <v>33758.74</v>
      </c>
    </row>
    <row r="4245">
      <c r="A4245" s="196" t="inlineStr">
        <is>
          <t>2026-02-14</t>
        </is>
      </c>
      <c r="B4245" s="196" t="inlineStr">
        <is>
          <t>CNY</t>
        </is>
      </c>
      <c r="C4245" s="196" t="inlineStr">
        <is>
          <t>YUAN RENMINBI</t>
        </is>
      </c>
      <c r="D4245" s="184" t="n">
        <v>3652.43</v>
      </c>
      <c r="E4245" s="184" t="n">
        <v>3689.32</v>
      </c>
      <c r="F4245" s="184" t="n">
        <v>3831.08</v>
      </c>
      <c r="G4245" s="184" t="n">
        <v>3760.2</v>
      </c>
    </row>
    <row r="4246">
      <c r="A4246" s="194" t="inlineStr">
        <is>
          <t>2026-02-14</t>
        </is>
      </c>
      <c r="B4246" s="194" t="inlineStr">
        <is>
          <t>DKK</t>
        </is>
      </c>
      <c r="C4246" s="194" t="inlineStr">
        <is>
          <t>DANISH KRONE</t>
        </is>
      </c>
      <c r="D4246" s="195" t="n"/>
      <c r="E4246" s="195" t="n">
        <v>4036.05</v>
      </c>
      <c r="F4246" s="195" t="n">
        <v>4216.36</v>
      </c>
      <c r="G4246" s="195" t="n">
        <v>4126.2</v>
      </c>
    </row>
    <row r="4247">
      <c r="A4247" s="196" t="inlineStr">
        <is>
          <t>2026-02-14</t>
        </is>
      </c>
      <c r="B4247" s="196" t="inlineStr">
        <is>
          <t>EUR</t>
        </is>
      </c>
      <c r="C4247" s="196" t="inlineStr">
        <is>
          <t>EURO</t>
        </is>
      </c>
      <c r="D4247" s="184" t="n">
        <v>29919.38</v>
      </c>
      <c r="E4247" s="184" t="n">
        <v>30221.59</v>
      </c>
      <c r="F4247" s="184" t="n">
        <v>31692</v>
      </c>
      <c r="G4247" s="184" t="n">
        <v>30956.8</v>
      </c>
    </row>
    <row r="4248">
      <c r="A4248" s="194" t="inlineStr">
        <is>
          <t>2026-02-14</t>
        </is>
      </c>
      <c r="B4248" s="194" t="inlineStr">
        <is>
          <t>GBP</t>
        </is>
      </c>
      <c r="C4248" s="194" t="inlineStr">
        <is>
          <t>POUND STERLING</t>
        </is>
      </c>
      <c r="D4248" s="195" t="n">
        <v>34364.4</v>
      </c>
      <c r="E4248" s="195" t="n">
        <v>34711.51</v>
      </c>
      <c r="F4248" s="195" t="n">
        <v>36045.24</v>
      </c>
      <c r="G4248" s="195" t="n">
        <v>35378.38</v>
      </c>
    </row>
    <row r="4249">
      <c r="A4249" s="196" t="inlineStr">
        <is>
          <t>2026-02-14</t>
        </is>
      </c>
      <c r="B4249" s="196" t="inlineStr">
        <is>
          <t>HKD</t>
        </is>
      </c>
      <c r="C4249" s="196" t="inlineStr">
        <is>
          <t>HONGKONG DOLLAR</t>
        </is>
      </c>
      <c r="D4249" s="184" t="n">
        <v>3218.8</v>
      </c>
      <c r="E4249" s="184" t="n">
        <v>3251.31</v>
      </c>
      <c r="F4249" s="184" t="n">
        <v>3396.56</v>
      </c>
      <c r="G4249" s="184" t="n">
        <v>3323.94</v>
      </c>
    </row>
    <row r="4250">
      <c r="A4250" s="194" t="inlineStr">
        <is>
          <t>2026-02-14</t>
        </is>
      </c>
      <c r="B4250" s="194" t="inlineStr">
        <is>
          <t>INR</t>
        </is>
      </c>
      <c r="C4250" s="194" t="inlineStr">
        <is>
          <t>INDIAN RUPEE</t>
        </is>
      </c>
      <c r="D4250" s="195" t="n"/>
      <c r="E4250" s="195" t="n">
        <v>283.84</v>
      </c>
      <c r="F4250" s="195" t="n">
        <v>297.89</v>
      </c>
      <c r="G4250" s="195" t="n">
        <v>290.86</v>
      </c>
    </row>
    <row r="4251">
      <c r="A4251" s="196" t="inlineStr">
        <is>
          <t>2026-02-14</t>
        </is>
      </c>
      <c r="B4251" s="196" t="inlineStr">
        <is>
          <t>JPY</t>
        </is>
      </c>
      <c r="C4251" s="196" t="inlineStr">
        <is>
          <t>YEN</t>
        </is>
      </c>
      <c r="D4251" s="184" t="n">
        <v>162.74</v>
      </c>
      <c r="E4251" s="184" t="n">
        <v>164.38</v>
      </c>
      <c r="F4251" s="184" t="n">
        <v>174.15</v>
      </c>
      <c r="G4251" s="184" t="n">
        <v>169.26</v>
      </c>
    </row>
    <row r="4252">
      <c r="A4252" s="194" t="inlineStr">
        <is>
          <t>2026-02-14</t>
        </is>
      </c>
      <c r="B4252" s="194" t="inlineStr">
        <is>
          <t>KRW</t>
        </is>
      </c>
      <c r="C4252" s="194" t="inlineStr">
        <is>
          <t>KOREAN WON</t>
        </is>
      </c>
      <c r="D4252" s="195" t="n">
        <v>15.5</v>
      </c>
      <c r="E4252" s="195" t="n">
        <v>17.22</v>
      </c>
      <c r="F4252" s="195" t="n">
        <v>18.8</v>
      </c>
      <c r="G4252" s="195" t="n">
        <v>18.01</v>
      </c>
    </row>
    <row r="4253">
      <c r="A4253" s="196" t="inlineStr">
        <is>
          <t>2026-02-14</t>
        </is>
      </c>
      <c r="B4253" s="196" t="inlineStr">
        <is>
          <t>KWD</t>
        </is>
      </c>
      <c r="C4253" s="196" t="inlineStr">
        <is>
          <t>KUWAITI DINAR</t>
        </is>
      </c>
      <c r="D4253" s="184" t="n"/>
      <c r="E4253" s="184" t="n">
        <v>84370.02</v>
      </c>
      <c r="F4253" s="184" t="n">
        <v>89007.7</v>
      </c>
      <c r="G4253" s="184" t="n">
        <v>86688.86</v>
      </c>
    </row>
    <row r="4254">
      <c r="A4254" s="194" t="inlineStr">
        <is>
          <t>2026-02-14</t>
        </is>
      </c>
      <c r="B4254" s="194" t="inlineStr">
        <is>
          <t>MYR</t>
        </is>
      </c>
      <c r="C4254" s="194" t="inlineStr">
        <is>
          <t>MALAYSIAN RINGGIT</t>
        </is>
      </c>
      <c r="D4254" s="195" t="n"/>
      <c r="E4254" s="195" t="n">
        <v>6560.93</v>
      </c>
      <c r="F4254" s="195" t="n">
        <v>6745.22</v>
      </c>
      <c r="G4254" s="195" t="n">
        <v>6653.08</v>
      </c>
    </row>
    <row r="4255">
      <c r="A4255" s="196" t="inlineStr">
        <is>
          <t>2026-02-14</t>
        </is>
      </c>
      <c r="B4255" s="196" t="inlineStr">
        <is>
          <t>NOK</t>
        </is>
      </c>
      <c r="C4255" s="196" t="inlineStr">
        <is>
          <t>NORWEGIAN KRONER</t>
        </is>
      </c>
      <c r="D4255" s="184" t="n"/>
      <c r="E4255" s="184" t="n">
        <v>2662.34</v>
      </c>
      <c r="F4255" s="184" t="n">
        <v>2792.43</v>
      </c>
      <c r="G4255" s="184" t="n">
        <v>2727.38</v>
      </c>
    </row>
    <row r="4256">
      <c r="A4256" s="194" t="inlineStr">
        <is>
          <t>2026-02-14</t>
        </is>
      </c>
      <c r="B4256" s="194" t="inlineStr">
        <is>
          <t>RUB</t>
        </is>
      </c>
      <c r="C4256" s="194" t="inlineStr">
        <is>
          <t>RUSSIAN RUBLE</t>
        </is>
      </c>
      <c r="D4256" s="195" t="n"/>
      <c r="E4256" s="195" t="n">
        <v>319.35</v>
      </c>
      <c r="F4256" s="195" t="n">
        <v>355.7</v>
      </c>
      <c r="G4256" s="195" t="n">
        <v>337.52</v>
      </c>
    </row>
    <row r="4257">
      <c r="A4257" s="196" t="inlineStr">
        <is>
          <t>2026-02-14</t>
        </is>
      </c>
      <c r="B4257" s="196" t="inlineStr">
        <is>
          <t>SAR</t>
        </is>
      </c>
      <c r="C4257" s="196" t="inlineStr">
        <is>
          <t>SAUDI RIAL</t>
        </is>
      </c>
      <c r="D4257" s="184" t="n"/>
      <c r="E4257" s="184" t="n">
        <v>6863.98</v>
      </c>
      <c r="F4257" s="184" t="n">
        <v>7203.76</v>
      </c>
      <c r="G4257" s="184" t="n">
        <v>7033.87</v>
      </c>
    </row>
    <row r="4258">
      <c r="A4258" s="194" t="inlineStr">
        <is>
          <t>2026-02-14</t>
        </is>
      </c>
      <c r="B4258" s="194" t="inlineStr">
        <is>
          <t>SEK</t>
        </is>
      </c>
      <c r="C4258" s="194" t="inlineStr">
        <is>
          <t>SWEDISH KRONA</t>
        </is>
      </c>
      <c r="D4258" s="195" t="n"/>
      <c r="E4258" s="195" t="n">
        <v>2840.59</v>
      </c>
      <c r="F4258" s="195" t="n">
        <v>2979.39</v>
      </c>
      <c r="G4258" s="195" t="n">
        <v>2909.99</v>
      </c>
    </row>
    <row r="4259">
      <c r="A4259" s="196" t="inlineStr">
        <is>
          <t>2026-02-14</t>
        </is>
      </c>
      <c r="B4259" s="196" t="inlineStr">
        <is>
          <t>SGD</t>
        </is>
      </c>
      <c r="C4259" s="196" t="inlineStr">
        <is>
          <t>SINGAPORE DOLLAR</t>
        </is>
      </c>
      <c r="D4259" s="184" t="n">
        <v>19954.07</v>
      </c>
      <c r="E4259" s="184" t="n">
        <v>20155.62</v>
      </c>
      <c r="F4259" s="184" t="n">
        <v>20971.98</v>
      </c>
      <c r="G4259" s="184" t="n">
        <v>20563.8</v>
      </c>
    </row>
    <row r="4260">
      <c r="A4260" s="194" t="inlineStr">
        <is>
          <t>2026-02-14</t>
        </is>
      </c>
      <c r="B4260" s="194" t="inlineStr">
        <is>
          <t>THB</t>
        </is>
      </c>
      <c r="C4260" s="194" t="inlineStr">
        <is>
          <t>THAILAND BAHT</t>
        </is>
      </c>
      <c r="D4260" s="195" t="n">
        <v>735.15</v>
      </c>
      <c r="E4260" s="195" t="n">
        <v>816.84</v>
      </c>
      <c r="F4260" s="195" t="n">
        <v>856.75</v>
      </c>
      <c r="G4260" s="195" t="n">
        <v>836.8</v>
      </c>
    </row>
    <row r="4261">
      <c r="A4261" s="196" t="inlineStr">
        <is>
          <t>2026-02-14</t>
        </is>
      </c>
      <c r="B4261" s="196" t="inlineStr">
        <is>
          <t>USD</t>
        </is>
      </c>
      <c r="C4261" s="196" t="inlineStr">
        <is>
          <t>US DOLLAR</t>
        </is>
      </c>
      <c r="D4261" s="184" t="n">
        <v>25750</v>
      </c>
      <c r="E4261" s="184" t="n">
        <v>25780</v>
      </c>
      <c r="F4261" s="184" t="n">
        <v>26160</v>
      </c>
      <c r="G4261" s="184" t="n">
        <v>25970</v>
      </c>
    </row>
    <row r="4262">
      <c r="A4262" s="194" t="inlineStr">
        <is>
          <t>2026-02-13</t>
        </is>
      </c>
      <c r="B4262" s="194" t="inlineStr">
        <is>
          <t>AUD</t>
        </is>
      </c>
      <c r="C4262" s="194" t="inlineStr">
        <is>
          <t>AUSTRALIAN DOLLAR</t>
        </is>
      </c>
      <c r="D4262" s="195" t="n">
        <v>17843.15</v>
      </c>
      <c r="E4262" s="195" t="n">
        <v>18023.38</v>
      </c>
      <c r="F4262" s="195" t="n">
        <v>18715.9</v>
      </c>
      <c r="G4262" s="195" t="n">
        <v>18369.64</v>
      </c>
    </row>
    <row r="4263">
      <c r="A4263" s="196" t="inlineStr">
        <is>
          <t>2026-02-13</t>
        </is>
      </c>
      <c r="B4263" s="196" t="inlineStr">
        <is>
          <t>CAD</t>
        </is>
      </c>
      <c r="C4263" s="196" t="inlineStr">
        <is>
          <t>CANADIAN DOLLAR</t>
        </is>
      </c>
      <c r="D4263" s="184" t="n">
        <v>18552.17</v>
      </c>
      <c r="E4263" s="184" t="n">
        <v>18739.57</v>
      </c>
      <c r="F4263" s="184" t="n">
        <v>19459.6</v>
      </c>
      <c r="G4263" s="184" t="n">
        <v>19099.58</v>
      </c>
    </row>
    <row r="4264">
      <c r="A4264" s="194" t="inlineStr">
        <is>
          <t>2026-02-13</t>
        </is>
      </c>
      <c r="B4264" s="194" t="inlineStr">
        <is>
          <t>CHF</t>
        </is>
      </c>
      <c r="C4264" s="194" t="inlineStr">
        <is>
          <t>SWISS FRANC</t>
        </is>
      </c>
      <c r="D4264" s="195" t="n">
        <v>32791.17</v>
      </c>
      <c r="E4264" s="195" t="n">
        <v>33122.4</v>
      </c>
      <c r="F4264" s="195" t="n">
        <v>34395.07</v>
      </c>
      <c r="G4264" s="195" t="n">
        <v>33758.74</v>
      </c>
    </row>
    <row r="4265">
      <c r="A4265" s="196" t="inlineStr">
        <is>
          <t>2026-02-13</t>
        </is>
      </c>
      <c r="B4265" s="196" t="inlineStr">
        <is>
          <t>CNY</t>
        </is>
      </c>
      <c r="C4265" s="196" t="inlineStr">
        <is>
          <t>YUAN RENMINBI</t>
        </is>
      </c>
      <c r="D4265" s="184" t="n">
        <v>3652.43</v>
      </c>
      <c r="E4265" s="184" t="n">
        <v>3689.32</v>
      </c>
      <c r="F4265" s="184" t="n">
        <v>3831.08</v>
      </c>
      <c r="G4265" s="184" t="n">
        <v>3760.2</v>
      </c>
    </row>
    <row r="4266">
      <c r="A4266" s="194" t="inlineStr">
        <is>
          <t>2026-02-13</t>
        </is>
      </c>
      <c r="B4266" s="194" t="inlineStr">
        <is>
          <t>DKK</t>
        </is>
      </c>
      <c r="C4266" s="194" t="inlineStr">
        <is>
          <t>DANISH KRONE</t>
        </is>
      </c>
      <c r="D4266" s="195" t="n"/>
      <c r="E4266" s="195" t="n">
        <v>4036.05</v>
      </c>
      <c r="F4266" s="195" t="n">
        <v>4216.36</v>
      </c>
      <c r="G4266" s="195" t="n">
        <v>4126.2</v>
      </c>
    </row>
    <row r="4267">
      <c r="A4267" s="196" t="inlineStr">
        <is>
          <t>2026-02-13</t>
        </is>
      </c>
      <c r="B4267" s="196" t="inlineStr">
        <is>
          <t>EUR</t>
        </is>
      </c>
      <c r="C4267" s="196" t="inlineStr">
        <is>
          <t>EURO</t>
        </is>
      </c>
      <c r="D4267" s="184" t="n">
        <v>29919.38</v>
      </c>
      <c r="E4267" s="184" t="n">
        <v>30221.59</v>
      </c>
      <c r="F4267" s="184" t="n">
        <v>31692</v>
      </c>
      <c r="G4267" s="184" t="n">
        <v>30956.8</v>
      </c>
    </row>
    <row r="4268">
      <c r="A4268" s="194" t="inlineStr">
        <is>
          <t>2026-02-13</t>
        </is>
      </c>
      <c r="B4268" s="194" t="inlineStr">
        <is>
          <t>GBP</t>
        </is>
      </c>
      <c r="C4268" s="194" t="inlineStr">
        <is>
          <t>POUND STERLING</t>
        </is>
      </c>
      <c r="D4268" s="195" t="n">
        <v>34364.4</v>
      </c>
      <c r="E4268" s="195" t="n">
        <v>34711.51</v>
      </c>
      <c r="F4268" s="195" t="n">
        <v>36045.24</v>
      </c>
      <c r="G4268" s="195" t="n">
        <v>35378.38</v>
      </c>
    </row>
    <row r="4269">
      <c r="A4269" s="196" t="inlineStr">
        <is>
          <t>2026-02-13</t>
        </is>
      </c>
      <c r="B4269" s="196" t="inlineStr">
        <is>
          <t>HKD</t>
        </is>
      </c>
      <c r="C4269" s="196" t="inlineStr">
        <is>
          <t>HONGKONG DOLLAR</t>
        </is>
      </c>
      <c r="D4269" s="184" t="n">
        <v>3218.8</v>
      </c>
      <c r="E4269" s="184" t="n">
        <v>3251.31</v>
      </c>
      <c r="F4269" s="184" t="n">
        <v>3396.56</v>
      </c>
      <c r="G4269" s="184" t="n">
        <v>3323.94</v>
      </c>
    </row>
    <row r="4270">
      <c r="A4270" s="194" t="inlineStr">
        <is>
          <t>2026-02-13</t>
        </is>
      </c>
      <c r="B4270" s="194" t="inlineStr">
        <is>
          <t>INR</t>
        </is>
      </c>
      <c r="C4270" s="194" t="inlineStr">
        <is>
          <t>INDIAN RUPEE</t>
        </is>
      </c>
      <c r="D4270" s="195" t="n"/>
      <c r="E4270" s="195" t="n">
        <v>283.84</v>
      </c>
      <c r="F4270" s="195" t="n">
        <v>297.89</v>
      </c>
      <c r="G4270" s="195" t="n">
        <v>290.86</v>
      </c>
    </row>
    <row r="4271">
      <c r="A4271" s="196" t="inlineStr">
        <is>
          <t>2026-02-13</t>
        </is>
      </c>
      <c r="B4271" s="196" t="inlineStr">
        <is>
          <t>JPY</t>
        </is>
      </c>
      <c r="C4271" s="196" t="inlineStr">
        <is>
          <t>YEN</t>
        </is>
      </c>
      <c r="D4271" s="184" t="n">
        <v>162.74</v>
      </c>
      <c r="E4271" s="184" t="n">
        <v>164.38</v>
      </c>
      <c r="F4271" s="184" t="n">
        <v>174.15</v>
      </c>
      <c r="G4271" s="184" t="n">
        <v>169.26</v>
      </c>
    </row>
    <row r="4272">
      <c r="A4272" s="194" t="inlineStr">
        <is>
          <t>2026-02-13</t>
        </is>
      </c>
      <c r="B4272" s="194" t="inlineStr">
        <is>
          <t>KRW</t>
        </is>
      </c>
      <c r="C4272" s="194" t="inlineStr">
        <is>
          <t>KOREAN WON</t>
        </is>
      </c>
      <c r="D4272" s="195" t="n">
        <v>15.5</v>
      </c>
      <c r="E4272" s="195" t="n">
        <v>17.22</v>
      </c>
      <c r="F4272" s="195" t="n">
        <v>18.8</v>
      </c>
      <c r="G4272" s="195" t="n">
        <v>18.01</v>
      </c>
    </row>
    <row r="4273">
      <c r="A4273" s="196" t="inlineStr">
        <is>
          <t>2026-02-13</t>
        </is>
      </c>
      <c r="B4273" s="196" t="inlineStr">
        <is>
          <t>KWD</t>
        </is>
      </c>
      <c r="C4273" s="196" t="inlineStr">
        <is>
          <t>KUWAITI DINAR</t>
        </is>
      </c>
      <c r="D4273" s="184" t="n"/>
      <c r="E4273" s="184" t="n">
        <v>84370.02</v>
      </c>
      <c r="F4273" s="184" t="n">
        <v>89007.7</v>
      </c>
      <c r="G4273" s="184" t="n">
        <v>86688.86</v>
      </c>
    </row>
    <row r="4274">
      <c r="A4274" s="194" t="inlineStr">
        <is>
          <t>2026-02-13</t>
        </is>
      </c>
      <c r="B4274" s="194" t="inlineStr">
        <is>
          <t>MYR</t>
        </is>
      </c>
      <c r="C4274" s="194" t="inlineStr">
        <is>
          <t>MALAYSIAN RINGGIT</t>
        </is>
      </c>
      <c r="D4274" s="195" t="n"/>
      <c r="E4274" s="195" t="n">
        <v>6560.93</v>
      </c>
      <c r="F4274" s="195" t="n">
        <v>6745.22</v>
      </c>
      <c r="G4274" s="195" t="n">
        <v>6653.08</v>
      </c>
    </row>
    <row r="4275">
      <c r="A4275" s="196" t="inlineStr">
        <is>
          <t>2026-02-13</t>
        </is>
      </c>
      <c r="B4275" s="196" t="inlineStr">
        <is>
          <t>NOK</t>
        </is>
      </c>
      <c r="C4275" s="196" t="inlineStr">
        <is>
          <t>NORWEGIAN KRONER</t>
        </is>
      </c>
      <c r="D4275" s="184" t="n"/>
      <c r="E4275" s="184" t="n">
        <v>2662.34</v>
      </c>
      <c r="F4275" s="184" t="n">
        <v>2792.43</v>
      </c>
      <c r="G4275" s="184" t="n">
        <v>2727.38</v>
      </c>
    </row>
    <row r="4276">
      <c r="A4276" s="194" t="inlineStr">
        <is>
          <t>2026-02-13</t>
        </is>
      </c>
      <c r="B4276" s="194" t="inlineStr">
        <is>
          <t>RUB</t>
        </is>
      </c>
      <c r="C4276" s="194" t="inlineStr">
        <is>
          <t>RUSSIAN RUBLE</t>
        </is>
      </c>
      <c r="D4276" s="195" t="n"/>
      <c r="E4276" s="195" t="n">
        <v>319.35</v>
      </c>
      <c r="F4276" s="195" t="n">
        <v>355.7</v>
      </c>
      <c r="G4276" s="195" t="n">
        <v>337.52</v>
      </c>
    </row>
    <row r="4277">
      <c r="A4277" s="196" t="inlineStr">
        <is>
          <t>2026-02-13</t>
        </is>
      </c>
      <c r="B4277" s="196" t="inlineStr">
        <is>
          <t>SAR</t>
        </is>
      </c>
      <c r="C4277" s="196" t="inlineStr">
        <is>
          <t>SAUDI RIAL</t>
        </is>
      </c>
      <c r="D4277" s="184" t="n"/>
      <c r="E4277" s="184" t="n">
        <v>6863.98</v>
      </c>
      <c r="F4277" s="184" t="n">
        <v>7203.76</v>
      </c>
      <c r="G4277" s="184" t="n">
        <v>7033.87</v>
      </c>
    </row>
    <row r="4278">
      <c r="A4278" s="194" t="inlineStr">
        <is>
          <t>2026-02-13</t>
        </is>
      </c>
      <c r="B4278" s="194" t="inlineStr">
        <is>
          <t>SEK</t>
        </is>
      </c>
      <c r="C4278" s="194" t="inlineStr">
        <is>
          <t>SWEDISH KRONA</t>
        </is>
      </c>
      <c r="D4278" s="195" t="n"/>
      <c r="E4278" s="195" t="n">
        <v>2840.59</v>
      </c>
      <c r="F4278" s="195" t="n">
        <v>2979.39</v>
      </c>
      <c r="G4278" s="195" t="n">
        <v>2909.99</v>
      </c>
    </row>
    <row r="4279">
      <c r="A4279" s="196" t="inlineStr">
        <is>
          <t>2026-02-13</t>
        </is>
      </c>
      <c r="B4279" s="196" t="inlineStr">
        <is>
          <t>SGD</t>
        </is>
      </c>
      <c r="C4279" s="196" t="inlineStr">
        <is>
          <t>SINGAPORE DOLLAR</t>
        </is>
      </c>
      <c r="D4279" s="184" t="n">
        <v>19954.07</v>
      </c>
      <c r="E4279" s="184" t="n">
        <v>20155.62</v>
      </c>
      <c r="F4279" s="184" t="n">
        <v>20971.98</v>
      </c>
      <c r="G4279" s="184" t="n">
        <v>20563.8</v>
      </c>
    </row>
    <row r="4280">
      <c r="A4280" s="194" t="inlineStr">
        <is>
          <t>2026-02-13</t>
        </is>
      </c>
      <c r="B4280" s="194" t="inlineStr">
        <is>
          <t>THB</t>
        </is>
      </c>
      <c r="C4280" s="194" t="inlineStr">
        <is>
          <t>THAILAND BAHT</t>
        </is>
      </c>
      <c r="D4280" s="195" t="n">
        <v>735.15</v>
      </c>
      <c r="E4280" s="195" t="n">
        <v>816.84</v>
      </c>
      <c r="F4280" s="195" t="n">
        <v>856.75</v>
      </c>
      <c r="G4280" s="195" t="n">
        <v>836.8</v>
      </c>
    </row>
    <row r="4281">
      <c r="A4281" s="196" t="inlineStr">
        <is>
          <t>2026-02-13</t>
        </is>
      </c>
      <c r="B4281" s="196" t="inlineStr">
        <is>
          <t>USD</t>
        </is>
      </c>
      <c r="C4281" s="196" t="inlineStr">
        <is>
          <t>US DOLLAR</t>
        </is>
      </c>
      <c r="D4281" s="184" t="n">
        <v>25750</v>
      </c>
      <c r="E4281" s="184" t="n">
        <v>25780</v>
      </c>
      <c r="F4281" s="184" t="n">
        <v>26160</v>
      </c>
      <c r="G4281" s="184" t="n">
        <v>25970</v>
      </c>
    </row>
    <row r="4282">
      <c r="A4282" s="194" t="inlineStr">
        <is>
          <t>2026-02-12</t>
        </is>
      </c>
      <c r="B4282" s="194" t="inlineStr">
        <is>
          <t>AUD</t>
        </is>
      </c>
      <c r="C4282" s="194" t="inlineStr">
        <is>
          <t>AUSTRALIAN DOLLAR</t>
        </is>
      </c>
      <c r="D4282" s="195" t="n">
        <v>18037.51</v>
      </c>
      <c r="E4282" s="195" t="n">
        <v>18219.7</v>
      </c>
      <c r="F4282" s="195" t="n">
        <v>18803.56</v>
      </c>
      <c r="G4282" s="195" t="n">
        <v>18511.63</v>
      </c>
    </row>
    <row r="4283">
      <c r="A4283" s="196" t="inlineStr">
        <is>
          <t>2026-02-12</t>
        </is>
      </c>
      <c r="B4283" s="196" t="inlineStr">
        <is>
          <t>CAD</t>
        </is>
      </c>
      <c r="C4283" s="196" t="inlineStr">
        <is>
          <t>CANADIAN DOLLAR</t>
        </is>
      </c>
      <c r="D4283" s="184" t="n">
        <v>18646.56</v>
      </c>
      <c r="E4283" s="184" t="n">
        <v>18834.91</v>
      </c>
      <c r="F4283" s="184" t="n">
        <v>19438.48</v>
      </c>
      <c r="G4283" s="184" t="n">
        <v>19136.7</v>
      </c>
    </row>
    <row r="4284">
      <c r="A4284" s="194" t="inlineStr">
        <is>
          <t>2026-02-12</t>
        </is>
      </c>
      <c r="B4284" s="194" t="inlineStr">
        <is>
          <t>CHF</t>
        </is>
      </c>
      <c r="C4284" s="194" t="inlineStr">
        <is>
          <t>SWISS FRANC</t>
        </is>
      </c>
      <c r="D4284" s="195" t="n">
        <v>32841.36</v>
      </c>
      <c r="E4284" s="195" t="n">
        <v>33173.09</v>
      </c>
      <c r="F4284" s="195" t="n">
        <v>34236.13</v>
      </c>
      <c r="G4284" s="195" t="n">
        <v>33704.61</v>
      </c>
    </row>
    <row r="4285">
      <c r="A4285" s="196" t="inlineStr">
        <is>
          <t>2026-02-12</t>
        </is>
      </c>
      <c r="B4285" s="196" t="inlineStr">
        <is>
          <t>CNY</t>
        </is>
      </c>
      <c r="C4285" s="196" t="inlineStr">
        <is>
          <t>YUAN RENMINBI</t>
        </is>
      </c>
      <c r="D4285" s="184" t="n">
        <v>3667.49</v>
      </c>
      <c r="E4285" s="184" t="n">
        <v>3704.54</v>
      </c>
      <c r="F4285" s="184" t="n">
        <v>3823.25</v>
      </c>
      <c r="G4285" s="184" t="n">
        <v>3763.9</v>
      </c>
    </row>
    <row r="4286">
      <c r="A4286" s="194" t="inlineStr">
        <is>
          <t>2026-02-12</t>
        </is>
      </c>
      <c r="B4286" s="194" t="inlineStr">
        <is>
          <t>DKK</t>
        </is>
      </c>
      <c r="C4286" s="194" t="inlineStr">
        <is>
          <t>DANISH KRONE</t>
        </is>
      </c>
      <c r="D4286" s="195" t="n"/>
      <c r="E4286" s="195" t="n">
        <v>4049.56</v>
      </c>
      <c r="F4286" s="195" t="n">
        <v>4204.49</v>
      </c>
      <c r="G4286" s="195" t="n">
        <v>4127.02</v>
      </c>
    </row>
    <row r="4287">
      <c r="A4287" s="196" t="inlineStr">
        <is>
          <t>2026-02-12</t>
        </is>
      </c>
      <c r="B4287" s="196" t="inlineStr">
        <is>
          <t>EUR</t>
        </is>
      </c>
      <c r="C4287" s="196" t="inlineStr">
        <is>
          <t>EURO</t>
        </is>
      </c>
      <c r="D4287" s="184" t="n">
        <v>30032.14</v>
      </c>
      <c r="E4287" s="184" t="n">
        <v>30335.5</v>
      </c>
      <c r="F4287" s="184" t="n">
        <v>31616.06</v>
      </c>
      <c r="G4287" s="184" t="n">
        <v>30975.78</v>
      </c>
    </row>
    <row r="4288">
      <c r="A4288" s="194" t="inlineStr">
        <is>
          <t>2026-02-12</t>
        </is>
      </c>
      <c r="B4288" s="194" t="inlineStr">
        <is>
          <t>GBP</t>
        </is>
      </c>
      <c r="C4288" s="194" t="inlineStr">
        <is>
          <t>POUND STERLING</t>
        </is>
      </c>
      <c r="D4288" s="195" t="n">
        <v>34483.32</v>
      </c>
      <c r="E4288" s="195" t="n">
        <v>34831.63</v>
      </c>
      <c r="F4288" s="195" t="n">
        <v>35947.82</v>
      </c>
      <c r="G4288" s="195" t="n">
        <v>35389.72</v>
      </c>
    </row>
    <row r="4289">
      <c r="A4289" s="196" t="inlineStr">
        <is>
          <t>2026-02-12</t>
        </is>
      </c>
      <c r="B4289" s="196" t="inlineStr">
        <is>
          <t>HKD</t>
        </is>
      </c>
      <c r="C4289" s="196" t="inlineStr">
        <is>
          <t>HONGKONG DOLLAR</t>
        </is>
      </c>
      <c r="D4289" s="184" t="n">
        <v>3228.88</v>
      </c>
      <c r="E4289" s="184" t="n">
        <v>3261.49</v>
      </c>
      <c r="F4289" s="184" t="n">
        <v>3386.27</v>
      </c>
      <c r="G4289" s="184" t="n">
        <v>3323.88</v>
      </c>
    </row>
    <row r="4290">
      <c r="A4290" s="194" t="inlineStr">
        <is>
          <t>2026-02-12</t>
        </is>
      </c>
      <c r="B4290" s="194" t="inlineStr">
        <is>
          <t>INR</t>
        </is>
      </c>
      <c r="C4290" s="194" t="inlineStr">
        <is>
          <t>INDIAN RUPEE</t>
        </is>
      </c>
      <c r="D4290" s="195" t="n"/>
      <c r="E4290" s="195" t="n">
        <v>285.23</v>
      </c>
      <c r="F4290" s="195" t="n">
        <v>297.52</v>
      </c>
      <c r="G4290" s="195" t="n">
        <v>291.38</v>
      </c>
    </row>
    <row r="4291">
      <c r="A4291" s="196" t="inlineStr">
        <is>
          <t>2026-02-12</t>
        </is>
      </c>
      <c r="B4291" s="196" t="inlineStr">
        <is>
          <t>JPY</t>
        </is>
      </c>
      <c r="C4291" s="196" t="inlineStr">
        <is>
          <t>YEN</t>
        </is>
      </c>
      <c r="D4291" s="184" t="n">
        <v>164.32</v>
      </c>
      <c r="E4291" s="184" t="n">
        <v>165.98</v>
      </c>
      <c r="F4291" s="184" t="n">
        <v>174.76</v>
      </c>
      <c r="G4291" s="184" t="n">
        <v>170.37</v>
      </c>
    </row>
    <row r="4292">
      <c r="A4292" s="194" t="inlineStr">
        <is>
          <t>2026-02-12</t>
        </is>
      </c>
      <c r="B4292" s="194" t="inlineStr">
        <is>
          <t>KRW</t>
        </is>
      </c>
      <c r="C4292" s="194" t="inlineStr">
        <is>
          <t>KOREAN WON</t>
        </is>
      </c>
      <c r="D4292" s="195" t="n">
        <v>15.57</v>
      </c>
      <c r="E4292" s="195" t="n">
        <v>17.3</v>
      </c>
      <c r="F4292" s="195" t="n">
        <v>18.77</v>
      </c>
      <c r="G4292" s="195" t="n">
        <v>18.04</v>
      </c>
    </row>
    <row r="4293">
      <c r="A4293" s="196" t="inlineStr">
        <is>
          <t>2026-02-12</t>
        </is>
      </c>
      <c r="B4293" s="196" t="inlineStr">
        <is>
          <t>KWD</t>
        </is>
      </c>
      <c r="C4293" s="196" t="inlineStr">
        <is>
          <t>KUWAITI DINAR</t>
        </is>
      </c>
      <c r="D4293" s="184" t="n"/>
      <c r="E4293" s="184" t="n">
        <v>84658.67</v>
      </c>
      <c r="F4293" s="184" t="n">
        <v>88763.66</v>
      </c>
      <c r="G4293" s="184" t="n">
        <v>86711.16</v>
      </c>
    </row>
    <row r="4294">
      <c r="A4294" s="194" t="inlineStr">
        <is>
          <t>2026-02-12</t>
        </is>
      </c>
      <c r="B4294" s="194" t="inlineStr">
        <is>
          <t>MYR</t>
        </is>
      </c>
      <c r="C4294" s="194" t="inlineStr">
        <is>
          <t>MALAYSIAN RINGGIT</t>
        </is>
      </c>
      <c r="D4294" s="195" t="n"/>
      <c r="E4294" s="195" t="n">
        <v>6582.9</v>
      </c>
      <c r="F4294" s="195" t="n">
        <v>6726.24</v>
      </c>
      <c r="G4294" s="195" t="n">
        <v>6654.57</v>
      </c>
    </row>
    <row r="4295">
      <c r="A4295" s="196" t="inlineStr">
        <is>
          <t>2026-02-12</t>
        </is>
      </c>
      <c r="B4295" s="196" t="inlineStr">
        <is>
          <t>NOK</t>
        </is>
      </c>
      <c r="C4295" s="196" t="inlineStr">
        <is>
          <t>NORWEGIAN KRONER</t>
        </is>
      </c>
      <c r="D4295" s="184" t="n"/>
      <c r="E4295" s="184" t="n">
        <v>2685.2</v>
      </c>
      <c r="F4295" s="184" t="n">
        <v>2799.11</v>
      </c>
      <c r="G4295" s="184" t="n">
        <v>2742.16</v>
      </c>
    </row>
    <row r="4296">
      <c r="A4296" s="194" t="inlineStr">
        <is>
          <t>2026-02-12</t>
        </is>
      </c>
      <c r="B4296" s="194" t="inlineStr">
        <is>
          <t>RUB</t>
        </is>
      </c>
      <c r="C4296" s="194" t="inlineStr">
        <is>
          <t>RUSSIAN RUBLE</t>
        </is>
      </c>
      <c r="D4296" s="195" t="n"/>
      <c r="E4296" s="195" t="n">
        <v>320.57</v>
      </c>
      <c r="F4296" s="195" t="n">
        <v>354.86</v>
      </c>
      <c r="G4296" s="195" t="n">
        <v>337.72</v>
      </c>
    </row>
    <row r="4297">
      <c r="A4297" s="196" t="inlineStr">
        <is>
          <t>2026-02-12</t>
        </is>
      </c>
      <c r="B4297" s="196" t="inlineStr">
        <is>
          <t>SAR</t>
        </is>
      </c>
      <c r="C4297" s="196" t="inlineStr">
        <is>
          <t>SAUDI RIAL</t>
        </is>
      </c>
      <c r="D4297" s="184" t="n"/>
      <c r="E4297" s="184" t="n">
        <v>6885.2</v>
      </c>
      <c r="F4297" s="184" t="n">
        <v>7181.65</v>
      </c>
      <c r="G4297" s="184" t="n">
        <v>7033.42</v>
      </c>
    </row>
    <row r="4298">
      <c r="A4298" s="194" t="inlineStr">
        <is>
          <t>2026-02-12</t>
        </is>
      </c>
      <c r="B4298" s="194" t="inlineStr">
        <is>
          <t>SEK</t>
        </is>
      </c>
      <c r="C4298" s="194" t="inlineStr">
        <is>
          <t>SWEDISH KRONA</t>
        </is>
      </c>
      <c r="D4298" s="195" t="n"/>
      <c r="E4298" s="195" t="n">
        <v>2862.9</v>
      </c>
      <c r="F4298" s="195" t="n">
        <v>2984.35</v>
      </c>
      <c r="G4298" s="195" t="n">
        <v>2923.62</v>
      </c>
    </row>
    <row r="4299">
      <c r="A4299" s="196" t="inlineStr">
        <is>
          <t>2026-02-12</t>
        </is>
      </c>
      <c r="B4299" s="196" t="inlineStr">
        <is>
          <t>SGD</t>
        </is>
      </c>
      <c r="C4299" s="196" t="inlineStr">
        <is>
          <t>SINGAPORE DOLLAR</t>
        </is>
      </c>
      <c r="D4299" s="184" t="n">
        <v>20045.92</v>
      </c>
      <c r="E4299" s="184" t="n">
        <v>20248.41</v>
      </c>
      <c r="F4299" s="184" t="n">
        <v>20939.12</v>
      </c>
      <c r="G4299" s="184" t="n">
        <v>20593.76</v>
      </c>
    </row>
    <row r="4300">
      <c r="A4300" s="194" t="inlineStr">
        <is>
          <t>2026-02-12</t>
        </is>
      </c>
      <c r="B4300" s="194" t="inlineStr">
        <is>
          <t>THB</t>
        </is>
      </c>
      <c r="C4300" s="194" t="inlineStr">
        <is>
          <t>THAILAND BAHT</t>
        </is>
      </c>
      <c r="D4300" s="195" t="n">
        <v>737.9</v>
      </c>
      <c r="E4300" s="195" t="n">
        <v>819.89</v>
      </c>
      <c r="F4300" s="195" t="n">
        <v>854.67</v>
      </c>
      <c r="G4300" s="195" t="n">
        <v>837.28</v>
      </c>
    </row>
    <row r="4301">
      <c r="A4301" s="196" t="inlineStr">
        <is>
          <t>2026-02-12</t>
        </is>
      </c>
      <c r="B4301" s="196" t="inlineStr">
        <is>
          <t>USD</t>
        </is>
      </c>
      <c r="C4301" s="196" t="inlineStr">
        <is>
          <t>US DOLLAR</t>
        </is>
      </c>
      <c r="D4301" s="184" t="n">
        <v>25750</v>
      </c>
      <c r="E4301" s="184" t="n">
        <v>25780</v>
      </c>
      <c r="F4301" s="184" t="n">
        <v>26160</v>
      </c>
      <c r="G4301" s="184" t="n">
        <v>25970</v>
      </c>
    </row>
    <row r="4302">
      <c r="A4302" s="194" t="inlineStr">
        <is>
          <t>2026-02-11</t>
        </is>
      </c>
      <c r="B4302" s="194" t="inlineStr">
        <is>
          <t>AUD</t>
        </is>
      </c>
      <c r="C4302" s="194" t="inlineStr">
        <is>
          <t>AUSTRALIAN DOLLAR</t>
        </is>
      </c>
      <c r="D4302" s="195" t="n">
        <v>17971.71</v>
      </c>
      <c r="E4302" s="195" t="n">
        <v>18153.24</v>
      </c>
      <c r="F4302" s="195" t="n">
        <v>18734.97</v>
      </c>
      <c r="G4302" s="195" t="n">
        <v>18444.11</v>
      </c>
    </row>
    <row r="4303">
      <c r="A4303" s="196" t="inlineStr">
        <is>
          <t>2026-02-11</t>
        </is>
      </c>
      <c r="B4303" s="196" t="inlineStr">
        <is>
          <t>CAD</t>
        </is>
      </c>
      <c r="C4303" s="196" t="inlineStr">
        <is>
          <t>CANADIAN DOLLAR</t>
        </is>
      </c>
      <c r="D4303" s="184" t="n">
        <v>18709.96</v>
      </c>
      <c r="E4303" s="184" t="n">
        <v>18898.95</v>
      </c>
      <c r="F4303" s="184" t="n">
        <v>19504.57</v>
      </c>
      <c r="G4303" s="184" t="n">
        <v>19201.76</v>
      </c>
    </row>
    <row r="4304">
      <c r="A4304" s="194" t="inlineStr">
        <is>
          <t>2026-02-11</t>
        </is>
      </c>
      <c r="B4304" s="194" t="inlineStr">
        <is>
          <t>CHF</t>
        </is>
      </c>
      <c r="C4304" s="194" t="inlineStr">
        <is>
          <t>SWISS FRANC</t>
        </is>
      </c>
      <c r="D4304" s="195" t="n">
        <v>33042.87</v>
      </c>
      <c r="E4304" s="195" t="n">
        <v>33376.64</v>
      </c>
      <c r="F4304" s="195" t="n">
        <v>34446.2</v>
      </c>
      <c r="G4304" s="195" t="n">
        <v>33911.42</v>
      </c>
    </row>
    <row r="4305">
      <c r="A4305" s="196" t="inlineStr">
        <is>
          <t>2026-02-11</t>
        </is>
      </c>
      <c r="B4305" s="196" t="inlineStr">
        <is>
          <t>CNY</t>
        </is>
      </c>
      <c r="C4305" s="196" t="inlineStr">
        <is>
          <t>YUAN RENMINBI</t>
        </is>
      </c>
      <c r="D4305" s="184" t="n">
        <v>3661.76</v>
      </c>
      <c r="E4305" s="184" t="n">
        <v>3698.75</v>
      </c>
      <c r="F4305" s="184" t="n">
        <v>3817.28</v>
      </c>
      <c r="G4305" s="184" t="n">
        <v>3758.02</v>
      </c>
    </row>
    <row r="4306">
      <c r="A4306" s="194" t="inlineStr">
        <is>
          <t>2026-02-11</t>
        </is>
      </c>
      <c r="B4306" s="194" t="inlineStr">
        <is>
          <t>DKK</t>
        </is>
      </c>
      <c r="C4306" s="194" t="inlineStr">
        <is>
          <t>DANISH KRONE</t>
        </is>
      </c>
      <c r="D4306" s="195" t="n"/>
      <c r="E4306" s="195" t="n">
        <v>4065.32</v>
      </c>
      <c r="F4306" s="195" t="n">
        <v>4220.85</v>
      </c>
      <c r="G4306" s="195" t="n">
        <v>4143.08</v>
      </c>
    </row>
    <row r="4307">
      <c r="A4307" s="196" t="inlineStr">
        <is>
          <t>2026-02-11</t>
        </is>
      </c>
      <c r="B4307" s="196" t="inlineStr">
        <is>
          <t>EUR</t>
        </is>
      </c>
      <c r="C4307" s="196" t="inlineStr">
        <is>
          <t>EURO</t>
        </is>
      </c>
      <c r="D4307" s="184" t="n">
        <v>30146.02</v>
      </c>
      <c r="E4307" s="184" t="n">
        <v>30450.52</v>
      </c>
      <c r="F4307" s="184" t="n">
        <v>31735.93</v>
      </c>
      <c r="G4307" s="184" t="n">
        <v>31093.22</v>
      </c>
    </row>
    <row r="4308">
      <c r="A4308" s="194" t="inlineStr">
        <is>
          <t>2026-02-11</t>
        </is>
      </c>
      <c r="B4308" s="194" t="inlineStr">
        <is>
          <t>GBP</t>
        </is>
      </c>
      <c r="C4308" s="194" t="inlineStr">
        <is>
          <t>POUND STERLING</t>
        </is>
      </c>
      <c r="D4308" s="195" t="n">
        <v>34584.54</v>
      </c>
      <c r="E4308" s="195" t="n">
        <v>34933.88</v>
      </c>
      <c r="F4308" s="195" t="n">
        <v>36053.34</v>
      </c>
      <c r="G4308" s="195" t="n">
        <v>35493.61</v>
      </c>
    </row>
    <row r="4309">
      <c r="A4309" s="196" t="inlineStr">
        <is>
          <t>2026-02-11</t>
        </is>
      </c>
      <c r="B4309" s="196" t="inlineStr">
        <is>
          <t>HKD</t>
        </is>
      </c>
      <c r="C4309" s="196" t="inlineStr">
        <is>
          <t>HONGKONG DOLLAR</t>
        </is>
      </c>
      <c r="D4309" s="184" t="n">
        <v>3229.12</v>
      </c>
      <c r="E4309" s="184" t="n">
        <v>3261.74</v>
      </c>
      <c r="F4309" s="184" t="n">
        <v>3386.53</v>
      </c>
      <c r="G4309" s="184" t="n">
        <v>3324.14</v>
      </c>
    </row>
    <row r="4310">
      <c r="A4310" s="194" t="inlineStr">
        <is>
          <t>2026-02-11</t>
        </is>
      </c>
      <c r="B4310" s="194" t="inlineStr">
        <is>
          <t>INR</t>
        </is>
      </c>
      <c r="C4310" s="194" t="inlineStr">
        <is>
          <t>INDIAN RUPEE</t>
        </is>
      </c>
      <c r="D4310" s="195" t="n"/>
      <c r="E4310" s="195" t="n">
        <v>284.72</v>
      </c>
      <c r="F4310" s="195" t="n">
        <v>296.97</v>
      </c>
      <c r="G4310" s="195" t="n">
        <v>290.85</v>
      </c>
    </row>
    <row r="4311">
      <c r="A4311" s="196" t="inlineStr">
        <is>
          <t>2026-02-11</t>
        </is>
      </c>
      <c r="B4311" s="196" t="inlineStr">
        <is>
          <t>JPY</t>
        </is>
      </c>
      <c r="C4311" s="196" t="inlineStr">
        <is>
          <t>YEN</t>
        </is>
      </c>
      <c r="D4311" s="184" t="n">
        <v>163.54</v>
      </c>
      <c r="E4311" s="184" t="n">
        <v>165.19</v>
      </c>
      <c r="F4311" s="184" t="n">
        <v>173.93</v>
      </c>
      <c r="G4311" s="184" t="n">
        <v>169.56</v>
      </c>
    </row>
    <row r="4312">
      <c r="A4312" s="194" t="inlineStr">
        <is>
          <t>2026-02-11</t>
        </is>
      </c>
      <c r="B4312" s="194" t="inlineStr">
        <is>
          <t>KRW</t>
        </is>
      </c>
      <c r="C4312" s="194" t="inlineStr">
        <is>
          <t>KOREAN WON</t>
        </is>
      </c>
      <c r="D4312" s="195" t="n">
        <v>15.45</v>
      </c>
      <c r="E4312" s="195" t="n">
        <v>17.17</v>
      </c>
      <c r="F4312" s="195" t="n">
        <v>18.63</v>
      </c>
      <c r="G4312" s="195" t="n">
        <v>17.9</v>
      </c>
    </row>
    <row r="4313">
      <c r="A4313" s="196" t="inlineStr">
        <is>
          <t>2026-02-11</t>
        </is>
      </c>
      <c r="B4313" s="196" t="inlineStr">
        <is>
          <t>KWD</t>
        </is>
      </c>
      <c r="C4313" s="196" t="inlineStr">
        <is>
          <t>KUWAITI DINAR</t>
        </is>
      </c>
      <c r="D4313" s="184" t="n"/>
      <c r="E4313" s="184" t="n">
        <v>84658.67</v>
      </c>
      <c r="F4313" s="184" t="n">
        <v>88763.66</v>
      </c>
      <c r="G4313" s="184" t="n">
        <v>86711.16</v>
      </c>
    </row>
    <row r="4314">
      <c r="A4314" s="194" t="inlineStr">
        <is>
          <t>2026-02-11</t>
        </is>
      </c>
      <c r="B4314" s="194" t="inlineStr">
        <is>
          <t>MYR</t>
        </is>
      </c>
      <c r="C4314" s="194" t="inlineStr">
        <is>
          <t>MALAYSIAN RINGGIT</t>
        </is>
      </c>
      <c r="D4314" s="195" t="n"/>
      <c r="E4314" s="195" t="n">
        <v>6546</v>
      </c>
      <c r="F4314" s="195" t="n">
        <v>6688.54</v>
      </c>
      <c r="G4314" s="195" t="n">
        <v>6617.27</v>
      </c>
    </row>
    <row r="4315">
      <c r="A4315" s="196" t="inlineStr">
        <is>
          <t>2026-02-11</t>
        </is>
      </c>
      <c r="B4315" s="196" t="inlineStr">
        <is>
          <t>NOK</t>
        </is>
      </c>
      <c r="C4315" s="196" t="inlineStr">
        <is>
          <t>NORWEGIAN KRONER</t>
        </is>
      </c>
      <c r="D4315" s="184" t="n"/>
      <c r="E4315" s="184" t="n">
        <v>2680.16</v>
      </c>
      <c r="F4315" s="184" t="n">
        <v>2793.86</v>
      </c>
      <c r="G4315" s="184" t="n">
        <v>2737.01</v>
      </c>
    </row>
    <row r="4316">
      <c r="A4316" s="194" t="inlineStr">
        <is>
          <t>2026-02-11</t>
        </is>
      </c>
      <c r="B4316" s="194" t="inlineStr">
        <is>
          <t>RUB</t>
        </is>
      </c>
      <c r="C4316" s="194" t="inlineStr">
        <is>
          <t>RUSSIAN RUBLE</t>
        </is>
      </c>
      <c r="D4316" s="195" t="n"/>
      <c r="E4316" s="195" t="n">
        <v>319.1</v>
      </c>
      <c r="F4316" s="195" t="n">
        <v>353.23</v>
      </c>
      <c r="G4316" s="195" t="n">
        <v>336.16</v>
      </c>
    </row>
    <row r="4317">
      <c r="A4317" s="196" t="inlineStr">
        <is>
          <t>2026-02-11</t>
        </is>
      </c>
      <c r="B4317" s="196" t="inlineStr">
        <is>
          <t>SAR</t>
        </is>
      </c>
      <c r="C4317" s="196" t="inlineStr">
        <is>
          <t>SAUDI RIAL</t>
        </is>
      </c>
      <c r="D4317" s="184" t="n"/>
      <c r="E4317" s="184" t="n">
        <v>6884.47</v>
      </c>
      <c r="F4317" s="184" t="n">
        <v>7180.89</v>
      </c>
      <c r="G4317" s="184" t="n">
        <v>7032.68</v>
      </c>
    </row>
    <row r="4318">
      <c r="A4318" s="194" t="inlineStr">
        <is>
          <t>2026-02-11</t>
        </is>
      </c>
      <c r="B4318" s="194" t="inlineStr">
        <is>
          <t>SEK</t>
        </is>
      </c>
      <c r="C4318" s="194" t="inlineStr">
        <is>
          <t>SWEDISH KRONA</t>
        </is>
      </c>
      <c r="D4318" s="195" t="n"/>
      <c r="E4318" s="195" t="n">
        <v>2868.97</v>
      </c>
      <c r="F4318" s="195" t="n">
        <v>2990.67</v>
      </c>
      <c r="G4318" s="195" t="n">
        <v>2929.82</v>
      </c>
    </row>
    <row r="4319">
      <c r="A4319" s="196" t="inlineStr">
        <is>
          <t>2026-02-11</t>
        </is>
      </c>
      <c r="B4319" s="196" t="inlineStr">
        <is>
          <t>SGD</t>
        </is>
      </c>
      <c r="C4319" s="196" t="inlineStr">
        <is>
          <t>SINGAPORE DOLLAR</t>
        </is>
      </c>
      <c r="D4319" s="184" t="n">
        <v>20026.87</v>
      </c>
      <c r="E4319" s="184" t="n">
        <v>20229.16</v>
      </c>
      <c r="F4319" s="184" t="n">
        <v>20919.22</v>
      </c>
      <c r="G4319" s="184" t="n">
        <v>20574.19</v>
      </c>
    </row>
    <row r="4320">
      <c r="A4320" s="194" t="inlineStr">
        <is>
          <t>2026-02-11</t>
        </is>
      </c>
      <c r="B4320" s="194" t="inlineStr">
        <is>
          <t>THB</t>
        </is>
      </c>
      <c r="C4320" s="194" t="inlineStr">
        <is>
          <t>THAILAND BAHT</t>
        </is>
      </c>
      <c r="D4320" s="195" t="n">
        <v>736.48</v>
      </c>
      <c r="E4320" s="195" t="n">
        <v>818.3099999999999</v>
      </c>
      <c r="F4320" s="195" t="n">
        <v>853.02</v>
      </c>
      <c r="G4320" s="195" t="n">
        <v>835.66</v>
      </c>
    </row>
    <row r="4321">
      <c r="A4321" s="196" t="inlineStr">
        <is>
          <t>2026-02-11</t>
        </is>
      </c>
      <c r="B4321" s="196" t="inlineStr">
        <is>
          <t>USD</t>
        </is>
      </c>
      <c r="C4321" s="196" t="inlineStr">
        <is>
          <t>US DOLLAR</t>
        </is>
      </c>
      <c r="D4321" s="184" t="n">
        <v>25750</v>
      </c>
      <c r="E4321" s="184" t="n">
        <v>25780</v>
      </c>
      <c r="F4321" s="184" t="n">
        <v>26160</v>
      </c>
      <c r="G4321" s="184" t="n">
        <v>25970</v>
      </c>
    </row>
    <row r="4322">
      <c r="A4322" s="194" t="inlineStr">
        <is>
          <t>2026-02-10</t>
        </is>
      </c>
      <c r="B4322" s="194" t="inlineStr">
        <is>
          <t>AUD</t>
        </is>
      </c>
      <c r="C4322" s="194" t="inlineStr">
        <is>
          <t>AUSTRALIAN DOLLAR</t>
        </is>
      </c>
      <c r="D4322" s="195" t="n">
        <v>17819.27</v>
      </c>
      <c r="E4322" s="195" t="n">
        <v>17999.26</v>
      </c>
      <c r="F4322" s="195" t="n">
        <v>18576.17</v>
      </c>
      <c r="G4322" s="195" t="n">
        <v>18287.71</v>
      </c>
    </row>
    <row r="4323">
      <c r="A4323" s="196" t="inlineStr">
        <is>
          <t>2026-02-10</t>
        </is>
      </c>
      <c r="B4323" s="196" t="inlineStr">
        <is>
          <t>CAD</t>
        </is>
      </c>
      <c r="C4323" s="196" t="inlineStr">
        <is>
          <t>CANADIAN DOLLAR</t>
        </is>
      </c>
      <c r="D4323" s="184" t="n">
        <v>18600.74</v>
      </c>
      <c r="E4323" s="184" t="n">
        <v>18788.62</v>
      </c>
      <c r="F4323" s="184" t="n">
        <v>19390.83</v>
      </c>
      <c r="G4323" s="184" t="n">
        <v>19089.72</v>
      </c>
    </row>
    <row r="4324">
      <c r="A4324" s="194" t="inlineStr">
        <is>
          <t>2026-02-10</t>
        </is>
      </c>
      <c r="B4324" s="194" t="inlineStr">
        <is>
          <t>CHF</t>
        </is>
      </c>
      <c r="C4324" s="194" t="inlineStr">
        <is>
          <t>SWISS FRANC</t>
        </is>
      </c>
      <c r="D4324" s="195" t="n">
        <v>32876.91</v>
      </c>
      <c r="E4324" s="195" t="n">
        <v>33209</v>
      </c>
      <c r="F4324" s="195" t="n">
        <v>34273.39</v>
      </c>
      <c r="G4324" s="195" t="n">
        <v>33741.2</v>
      </c>
    </row>
    <row r="4325">
      <c r="A4325" s="196" t="inlineStr">
        <is>
          <t>2026-02-10</t>
        </is>
      </c>
      <c r="B4325" s="196" t="inlineStr">
        <is>
          <t>CNY</t>
        </is>
      </c>
      <c r="C4325" s="196" t="inlineStr">
        <is>
          <t>YUAN RENMINBI</t>
        </is>
      </c>
      <c r="D4325" s="184" t="n">
        <v>3647.6</v>
      </c>
      <c r="E4325" s="184" t="n">
        <v>3684.44</v>
      </c>
      <c r="F4325" s="184" t="n">
        <v>3802.54</v>
      </c>
      <c r="G4325" s="184" t="n">
        <v>3743.49</v>
      </c>
    </row>
    <row r="4326">
      <c r="A4326" s="194" t="inlineStr">
        <is>
          <t>2026-02-10</t>
        </is>
      </c>
      <c r="B4326" s="194" t="inlineStr">
        <is>
          <t>DKK</t>
        </is>
      </c>
      <c r="C4326" s="194" t="inlineStr">
        <is>
          <t>DANISH KRONE</t>
        </is>
      </c>
      <c r="D4326" s="195" t="n"/>
      <c r="E4326" s="195" t="n">
        <v>4047.2</v>
      </c>
      <c r="F4326" s="195" t="n">
        <v>4202.06</v>
      </c>
      <c r="G4326" s="195" t="n">
        <v>4124.63</v>
      </c>
    </row>
    <row r="4327">
      <c r="A4327" s="196" t="inlineStr">
        <is>
          <t>2026-02-10</t>
        </is>
      </c>
      <c r="B4327" s="196" t="inlineStr">
        <is>
          <t>EUR</t>
        </is>
      </c>
      <c r="C4327" s="196" t="inlineStr">
        <is>
          <t>EURO</t>
        </is>
      </c>
      <c r="D4327" s="184" t="n">
        <v>30012.2</v>
      </c>
      <c r="E4327" s="184" t="n">
        <v>30315.35</v>
      </c>
      <c r="F4327" s="184" t="n">
        <v>31595.25</v>
      </c>
      <c r="G4327" s="184" t="n">
        <v>30955.3</v>
      </c>
    </row>
    <row r="4328">
      <c r="A4328" s="194" t="inlineStr">
        <is>
          <t>2026-02-10</t>
        </is>
      </c>
      <c r="B4328" s="194" t="inlineStr">
        <is>
          <t>GBP</t>
        </is>
      </c>
      <c r="C4328" s="194" t="inlineStr">
        <is>
          <t>POUND STERLING</t>
        </is>
      </c>
      <c r="D4328" s="195" t="n">
        <v>34473.95</v>
      </c>
      <c r="E4328" s="195" t="n">
        <v>34822.17</v>
      </c>
      <c r="F4328" s="195" t="n">
        <v>35938.27</v>
      </c>
      <c r="G4328" s="195" t="n">
        <v>35380.22</v>
      </c>
    </row>
    <row r="4329">
      <c r="A4329" s="196" t="inlineStr">
        <is>
          <t>2026-02-10</t>
        </is>
      </c>
      <c r="B4329" s="196" t="inlineStr">
        <is>
          <t>HKD</t>
        </is>
      </c>
      <c r="C4329" s="196" t="inlineStr">
        <is>
          <t>HONGKONG DOLLAR</t>
        </is>
      </c>
      <c r="D4329" s="184" t="n">
        <v>3215.98</v>
      </c>
      <c r="E4329" s="184" t="n">
        <v>3248.47</v>
      </c>
      <c r="F4329" s="184" t="n">
        <v>3372.76</v>
      </c>
      <c r="G4329" s="184" t="n">
        <v>3310.62</v>
      </c>
    </row>
    <row r="4330">
      <c r="A4330" s="194" t="inlineStr">
        <is>
          <t>2026-02-10</t>
        </is>
      </c>
      <c r="B4330" s="194" t="inlineStr">
        <is>
          <t>INR</t>
        </is>
      </c>
      <c r="C4330" s="194" t="inlineStr">
        <is>
          <t>INDIAN RUPEE</t>
        </is>
      </c>
      <c r="D4330" s="195" t="n"/>
      <c r="E4330" s="195" t="n">
        <v>283.84</v>
      </c>
      <c r="F4330" s="195" t="n">
        <v>296.06</v>
      </c>
      <c r="G4330" s="195" t="n">
        <v>289.95</v>
      </c>
    </row>
    <row r="4331">
      <c r="A4331" s="196" t="inlineStr">
        <is>
          <t>2026-02-10</t>
        </is>
      </c>
      <c r="B4331" s="196" t="inlineStr">
        <is>
          <t>JPY</t>
        </is>
      </c>
      <c r="C4331" s="196" t="inlineStr">
        <is>
          <t>YEN</t>
        </is>
      </c>
      <c r="D4331" s="184" t="n">
        <v>160.68</v>
      </c>
      <c r="E4331" s="184" t="n">
        <v>162.3</v>
      </c>
      <c r="F4331" s="184" t="n">
        <v>170.89</v>
      </c>
      <c r="G4331" s="184" t="n">
        <v>166.6</v>
      </c>
    </row>
    <row r="4332">
      <c r="A4332" s="194" t="inlineStr">
        <is>
          <t>2026-02-10</t>
        </is>
      </c>
      <c r="B4332" s="194" t="inlineStr">
        <is>
          <t>KRW</t>
        </is>
      </c>
      <c r="C4332" s="194" t="inlineStr">
        <is>
          <t>KOREAN WON</t>
        </is>
      </c>
      <c r="D4332" s="195" t="n">
        <v>15.33</v>
      </c>
      <c r="E4332" s="195" t="n">
        <v>17.03</v>
      </c>
      <c r="F4332" s="195" t="n">
        <v>18.48</v>
      </c>
      <c r="G4332" s="195" t="n">
        <v>17.76</v>
      </c>
    </row>
    <row r="4333">
      <c r="A4333" s="196" t="inlineStr">
        <is>
          <t>2026-02-10</t>
        </is>
      </c>
      <c r="B4333" s="196" t="inlineStr">
        <is>
          <t>KWD</t>
        </is>
      </c>
      <c r="C4333" s="196" t="inlineStr">
        <is>
          <t>KUWAITI DINAR</t>
        </is>
      </c>
      <c r="D4333" s="184" t="n"/>
      <c r="E4333" s="184" t="n">
        <v>84304.8</v>
      </c>
      <c r="F4333" s="184" t="n">
        <v>88393.14999999999</v>
      </c>
      <c r="G4333" s="184" t="n">
        <v>86348.98</v>
      </c>
    </row>
    <row r="4334">
      <c r="A4334" s="194" t="inlineStr">
        <is>
          <t>2026-02-10</t>
        </is>
      </c>
      <c r="B4334" s="194" t="inlineStr">
        <is>
          <t>MYR</t>
        </is>
      </c>
      <c r="C4334" s="194" t="inlineStr">
        <is>
          <t>MALAYSIAN RINGGIT</t>
        </is>
      </c>
      <c r="D4334" s="195" t="n"/>
      <c r="E4334" s="195" t="n">
        <v>6519.12</v>
      </c>
      <c r="F4334" s="195" t="n">
        <v>6661.11</v>
      </c>
      <c r="G4334" s="195" t="n">
        <v>6590.12</v>
      </c>
    </row>
    <row r="4335">
      <c r="A4335" s="196" t="inlineStr">
        <is>
          <t>2026-02-10</t>
        </is>
      </c>
      <c r="B4335" s="196" t="inlineStr">
        <is>
          <t>NOK</t>
        </is>
      </c>
      <c r="C4335" s="196" t="inlineStr">
        <is>
          <t>NORWEGIAN KRONER</t>
        </is>
      </c>
      <c r="D4335" s="184" t="n"/>
      <c r="E4335" s="184" t="n">
        <v>2652.79</v>
      </c>
      <c r="F4335" s="184" t="n">
        <v>2765.34</v>
      </c>
      <c r="G4335" s="184" t="n">
        <v>2709.06</v>
      </c>
    </row>
    <row r="4336">
      <c r="A4336" s="194" t="inlineStr">
        <is>
          <t>2026-02-10</t>
        </is>
      </c>
      <c r="B4336" s="194" t="inlineStr">
        <is>
          <t>RUB</t>
        </is>
      </c>
      <c r="C4336" s="194" t="inlineStr">
        <is>
          <t>RUSSIAN RUBLE</t>
        </is>
      </c>
      <c r="D4336" s="195" t="n"/>
      <c r="E4336" s="195" t="n">
        <v>319.31</v>
      </c>
      <c r="F4336" s="195" t="n">
        <v>353.47</v>
      </c>
      <c r="G4336" s="195" t="n">
        <v>336.39</v>
      </c>
    </row>
    <row r="4337">
      <c r="A4337" s="196" t="inlineStr">
        <is>
          <t>2026-02-10</t>
        </is>
      </c>
      <c r="B4337" s="196" t="inlineStr">
        <is>
          <t>SAR</t>
        </is>
      </c>
      <c r="C4337" s="196" t="inlineStr">
        <is>
          <t>SAUDI RIAL</t>
        </is>
      </c>
      <c r="D4337" s="184" t="n"/>
      <c r="E4337" s="184" t="n">
        <v>6858.49</v>
      </c>
      <c r="F4337" s="184" t="n">
        <v>7153.83</v>
      </c>
      <c r="G4337" s="184" t="n">
        <v>7006.16</v>
      </c>
    </row>
    <row r="4338">
      <c r="A4338" s="194" t="inlineStr">
        <is>
          <t>2026-02-10</t>
        </is>
      </c>
      <c r="B4338" s="194" t="inlineStr">
        <is>
          <t>SEK</t>
        </is>
      </c>
      <c r="C4338" s="194" t="inlineStr">
        <is>
          <t>SWEDISH KRONA</t>
        </is>
      </c>
      <c r="D4338" s="195" t="n"/>
      <c r="E4338" s="195" t="n">
        <v>2837.6</v>
      </c>
      <c r="F4338" s="195" t="n">
        <v>2957.99</v>
      </c>
      <c r="G4338" s="195" t="n">
        <v>2897.8</v>
      </c>
    </row>
    <row r="4339">
      <c r="A4339" s="196" t="inlineStr">
        <is>
          <t>2026-02-10</t>
        </is>
      </c>
      <c r="B4339" s="196" t="inlineStr">
        <is>
          <t>SGD</t>
        </is>
      </c>
      <c r="C4339" s="196" t="inlineStr">
        <is>
          <t>SINGAPORE DOLLAR</t>
        </is>
      </c>
      <c r="D4339" s="184" t="n">
        <v>19908.7</v>
      </c>
      <c r="E4339" s="184" t="n">
        <v>20109.8</v>
      </c>
      <c r="F4339" s="184" t="n">
        <v>20795.9</v>
      </c>
      <c r="G4339" s="184" t="n">
        <v>20452.85</v>
      </c>
    </row>
    <row r="4340">
      <c r="A4340" s="194" t="inlineStr">
        <is>
          <t>2026-02-10</t>
        </is>
      </c>
      <c r="B4340" s="194" t="inlineStr">
        <is>
          <t>THB</t>
        </is>
      </c>
      <c r="C4340" s="194" t="inlineStr">
        <is>
          <t>THAILAND BAHT</t>
        </is>
      </c>
      <c r="D4340" s="195" t="n">
        <v>731.52</v>
      </c>
      <c r="E4340" s="195" t="n">
        <v>812.8</v>
      </c>
      <c r="F4340" s="195" t="n">
        <v>847.29</v>
      </c>
      <c r="G4340" s="195" t="n">
        <v>830.04</v>
      </c>
    </row>
    <row r="4341">
      <c r="A4341" s="196" t="inlineStr">
        <is>
          <t>2026-02-10</t>
        </is>
      </c>
      <c r="B4341" s="196" t="inlineStr">
        <is>
          <t>USD</t>
        </is>
      </c>
      <c r="C4341" s="196" t="inlineStr">
        <is>
          <t>US DOLLAR</t>
        </is>
      </c>
      <c r="D4341" s="184" t="n">
        <v>25650</v>
      </c>
      <c r="E4341" s="184" t="n">
        <v>25680</v>
      </c>
      <c r="F4341" s="184" t="n">
        <v>26060</v>
      </c>
      <c r="G4341" s="184" t="n">
        <v>25870</v>
      </c>
    </row>
    <row r="4342">
      <c r="A4342" s="194" t="inlineStr">
        <is>
          <t>2026-02-09</t>
        </is>
      </c>
      <c r="B4342" s="194" t="inlineStr">
        <is>
          <t>AUD</t>
        </is>
      </c>
      <c r="C4342" s="194" t="inlineStr">
        <is>
          <t>AUSTRALIAN DOLLAR</t>
        </is>
      </c>
      <c r="D4342" s="195" t="n">
        <v>17753.43</v>
      </c>
      <c r="E4342" s="195" t="n">
        <v>17932.76</v>
      </c>
      <c r="F4342" s="195" t="n">
        <v>18507.49</v>
      </c>
      <c r="G4342" s="195" t="n">
        <v>18220.12</v>
      </c>
    </row>
    <row r="4343">
      <c r="A4343" s="196" t="inlineStr">
        <is>
          <t>2026-02-09</t>
        </is>
      </c>
      <c r="B4343" s="196" t="inlineStr">
        <is>
          <t>CAD</t>
        </is>
      </c>
      <c r="C4343" s="196" t="inlineStr">
        <is>
          <t>CANADIAN DOLLAR</t>
        </is>
      </c>
      <c r="D4343" s="184" t="n">
        <v>18512.07</v>
      </c>
      <c r="E4343" s="184" t="n">
        <v>18699.06</v>
      </c>
      <c r="F4343" s="184" t="n">
        <v>19298.35</v>
      </c>
      <c r="G4343" s="184" t="n">
        <v>18998.71</v>
      </c>
    </row>
    <row r="4344">
      <c r="A4344" s="194" t="inlineStr">
        <is>
          <t>2026-02-09</t>
        </is>
      </c>
      <c r="B4344" s="194" t="inlineStr">
        <is>
          <t>CHF</t>
        </is>
      </c>
      <c r="C4344" s="194" t="inlineStr">
        <is>
          <t>SWISS FRANC</t>
        </is>
      </c>
      <c r="D4344" s="195" t="n">
        <v>32680.62</v>
      </c>
      <c r="E4344" s="195" t="n">
        <v>33010.73</v>
      </c>
      <c r="F4344" s="195" t="n">
        <v>34068.69</v>
      </c>
      <c r="G4344" s="195" t="n">
        <v>33539.71</v>
      </c>
    </row>
    <row r="4345">
      <c r="A4345" s="196" t="inlineStr">
        <is>
          <t>2026-02-09</t>
        </is>
      </c>
      <c r="B4345" s="196" t="inlineStr">
        <is>
          <t>CNY</t>
        </is>
      </c>
      <c r="C4345" s="196" t="inlineStr">
        <is>
          <t>YUAN RENMINBI</t>
        </is>
      </c>
      <c r="D4345" s="184" t="n">
        <v>3645.75</v>
      </c>
      <c r="E4345" s="184" t="n">
        <v>3682.58</v>
      </c>
      <c r="F4345" s="184" t="n">
        <v>3800.6</v>
      </c>
      <c r="G4345" s="184" t="n">
        <v>3741.59</v>
      </c>
    </row>
    <row r="4346">
      <c r="A4346" s="194" t="inlineStr">
        <is>
          <t>2026-02-09</t>
        </is>
      </c>
      <c r="B4346" s="194" t="inlineStr">
        <is>
          <t>DKK</t>
        </is>
      </c>
      <c r="C4346" s="194" t="inlineStr">
        <is>
          <t>DANISH KRONE</t>
        </is>
      </c>
      <c r="D4346" s="195" t="n"/>
      <c r="E4346" s="195" t="n">
        <v>4037.89</v>
      </c>
      <c r="F4346" s="195" t="n">
        <v>4192.38</v>
      </c>
      <c r="G4346" s="195" t="n">
        <v>4115.14</v>
      </c>
    </row>
    <row r="4347">
      <c r="A4347" s="196" t="inlineStr">
        <is>
          <t>2026-02-09</t>
        </is>
      </c>
      <c r="B4347" s="196" t="inlineStr">
        <is>
          <t>EUR</t>
        </is>
      </c>
      <c r="C4347" s="196" t="inlineStr">
        <is>
          <t>EURO</t>
        </is>
      </c>
      <c r="D4347" s="184" t="n">
        <v>29932.41</v>
      </c>
      <c r="E4347" s="184" t="n">
        <v>30234.76</v>
      </c>
      <c r="F4347" s="184" t="n">
        <v>31511.17</v>
      </c>
      <c r="G4347" s="184" t="n">
        <v>30872.96</v>
      </c>
    </row>
    <row r="4348">
      <c r="A4348" s="194" t="inlineStr">
        <is>
          <t>2026-02-09</t>
        </is>
      </c>
      <c r="B4348" s="194" t="inlineStr">
        <is>
          <t>GBP</t>
        </is>
      </c>
      <c r="C4348" s="194" t="inlineStr">
        <is>
          <t>POUND STERLING</t>
        </is>
      </c>
      <c r="D4348" s="195" t="n">
        <v>34315.22</v>
      </c>
      <c r="E4348" s="195" t="n">
        <v>34661.84</v>
      </c>
      <c r="F4348" s="195" t="n">
        <v>35772.72</v>
      </c>
      <c r="G4348" s="195" t="n">
        <v>35217.28</v>
      </c>
    </row>
    <row r="4349">
      <c r="A4349" s="196" t="inlineStr">
        <is>
          <t>2026-02-09</t>
        </is>
      </c>
      <c r="B4349" s="196" t="inlineStr">
        <is>
          <t>HKD</t>
        </is>
      </c>
      <c r="C4349" s="196" t="inlineStr">
        <is>
          <t>HONGKONG DOLLAR</t>
        </is>
      </c>
      <c r="D4349" s="184" t="n">
        <v>3221.12</v>
      </c>
      <c r="E4349" s="184" t="n">
        <v>3253.66</v>
      </c>
      <c r="F4349" s="184" t="n">
        <v>3378.15</v>
      </c>
      <c r="G4349" s="184" t="n">
        <v>3315.9</v>
      </c>
    </row>
    <row r="4350">
      <c r="A4350" s="194" t="inlineStr">
        <is>
          <t>2026-02-09</t>
        </is>
      </c>
      <c r="B4350" s="194" t="inlineStr">
        <is>
          <t>INR</t>
        </is>
      </c>
      <c r="C4350" s="194" t="inlineStr">
        <is>
          <t>INDIAN RUPEE</t>
        </is>
      </c>
      <c r="D4350" s="195" t="n"/>
      <c r="E4350" s="195" t="n">
        <v>284.08</v>
      </c>
      <c r="F4350" s="195" t="n">
        <v>296.31</v>
      </c>
      <c r="G4350" s="195" t="n">
        <v>290.2</v>
      </c>
    </row>
    <row r="4351">
      <c r="A4351" s="196" t="inlineStr">
        <is>
          <t>2026-02-09</t>
        </is>
      </c>
      <c r="B4351" s="196" t="inlineStr">
        <is>
          <t>JPY</t>
        </is>
      </c>
      <c r="C4351" s="196" t="inlineStr">
        <is>
          <t>YEN</t>
        </is>
      </c>
      <c r="D4351" s="184" t="n">
        <v>159.56</v>
      </c>
      <c r="E4351" s="184" t="n">
        <v>161.17</v>
      </c>
      <c r="F4351" s="184" t="n">
        <v>169.7</v>
      </c>
      <c r="G4351" s="184" t="n">
        <v>165.44</v>
      </c>
    </row>
    <row r="4352">
      <c r="A4352" s="194" t="inlineStr">
        <is>
          <t>2026-02-09</t>
        </is>
      </c>
      <c r="B4352" s="194" t="inlineStr">
        <is>
          <t>KRW</t>
        </is>
      </c>
      <c r="C4352" s="194" t="inlineStr">
        <is>
          <t>KOREAN WON</t>
        </is>
      </c>
      <c r="D4352" s="195" t="n">
        <v>15.32</v>
      </c>
      <c r="E4352" s="195" t="n">
        <v>17.02</v>
      </c>
      <c r="F4352" s="195" t="n">
        <v>18.46</v>
      </c>
      <c r="G4352" s="195" t="n">
        <v>17.74</v>
      </c>
    </row>
    <row r="4353">
      <c r="A4353" s="196" t="inlineStr">
        <is>
          <t>2026-02-09</t>
        </is>
      </c>
      <c r="B4353" s="196" t="inlineStr">
        <is>
          <t>KWD</t>
        </is>
      </c>
      <c r="C4353" s="196" t="inlineStr">
        <is>
          <t>KUWAITI DINAR</t>
        </is>
      </c>
      <c r="D4353" s="184" t="n"/>
      <c r="E4353" s="184" t="n">
        <v>84352.31</v>
      </c>
      <c r="F4353" s="184" t="n">
        <v>88442.75</v>
      </c>
      <c r="G4353" s="184" t="n">
        <v>86397.53</v>
      </c>
    </row>
    <row r="4354">
      <c r="A4354" s="194" t="inlineStr">
        <is>
          <t>2026-02-09</t>
        </is>
      </c>
      <c r="B4354" s="194" t="inlineStr">
        <is>
          <t>MYR</t>
        </is>
      </c>
      <c r="C4354" s="194" t="inlineStr">
        <is>
          <t>MALAYSIAN RINGGIT</t>
        </is>
      </c>
      <c r="D4354" s="195" t="n"/>
      <c r="E4354" s="195" t="n">
        <v>6519.24</v>
      </c>
      <c r="F4354" s="195" t="n">
        <v>6661.22</v>
      </c>
      <c r="G4354" s="195" t="n">
        <v>6590.23</v>
      </c>
    </row>
    <row r="4355">
      <c r="A4355" s="196" t="inlineStr">
        <is>
          <t>2026-02-09</t>
        </is>
      </c>
      <c r="B4355" s="196" t="inlineStr">
        <is>
          <t>NOK</t>
        </is>
      </c>
      <c r="C4355" s="196" t="inlineStr">
        <is>
          <t>NORWEGIAN KRONER</t>
        </is>
      </c>
      <c r="D4355" s="184" t="n"/>
      <c r="E4355" s="184" t="n">
        <v>2627.49</v>
      </c>
      <c r="F4355" s="184" t="n">
        <v>2738.96</v>
      </c>
      <c r="G4355" s="184" t="n">
        <v>2683.22</v>
      </c>
    </row>
    <row r="4356">
      <c r="A4356" s="194" t="inlineStr">
        <is>
          <t>2026-02-09</t>
        </is>
      </c>
      <c r="B4356" s="194" t="inlineStr">
        <is>
          <t>RUB</t>
        </is>
      </c>
      <c r="C4356" s="194" t="inlineStr">
        <is>
          <t>RUSSIAN RUBLE</t>
        </is>
      </c>
      <c r="D4356" s="195" t="n"/>
      <c r="E4356" s="195" t="n">
        <v>319.19</v>
      </c>
      <c r="F4356" s="195" t="n">
        <v>353.33</v>
      </c>
      <c r="G4356" s="195" t="n">
        <v>336.26</v>
      </c>
    </row>
    <row r="4357">
      <c r="A4357" s="196" t="inlineStr">
        <is>
          <t>2026-02-09</t>
        </is>
      </c>
      <c r="B4357" s="196" t="inlineStr">
        <is>
          <t>SAR</t>
        </is>
      </c>
      <c r="C4357" s="196" t="inlineStr">
        <is>
          <t>SAUDI RIAL</t>
        </is>
      </c>
      <c r="D4357" s="184" t="n"/>
      <c r="E4357" s="184" t="n">
        <v>6869.29</v>
      </c>
      <c r="F4357" s="184" t="n">
        <v>7165.08</v>
      </c>
      <c r="G4357" s="184" t="n">
        <v>7017.18</v>
      </c>
    </row>
    <row r="4358">
      <c r="A4358" s="194" t="inlineStr">
        <is>
          <t>2026-02-09</t>
        </is>
      </c>
      <c r="B4358" s="194" t="inlineStr">
        <is>
          <t>SEK</t>
        </is>
      </c>
      <c r="C4358" s="194" t="inlineStr">
        <is>
          <t>SWEDISH KRONA</t>
        </is>
      </c>
      <c r="D4358" s="195" t="n"/>
      <c r="E4358" s="195" t="n">
        <v>2822.77</v>
      </c>
      <c r="F4358" s="195" t="n">
        <v>2942.52</v>
      </c>
      <c r="G4358" s="195" t="n">
        <v>2882.64</v>
      </c>
    </row>
    <row r="4359">
      <c r="A4359" s="196" t="inlineStr">
        <is>
          <t>2026-02-09</t>
        </is>
      </c>
      <c r="B4359" s="196" t="inlineStr">
        <is>
          <t>SGD</t>
        </is>
      </c>
      <c r="C4359" s="196" t="inlineStr">
        <is>
          <t>SINGAPORE DOLLAR</t>
        </is>
      </c>
      <c r="D4359" s="184" t="n">
        <v>19878.23</v>
      </c>
      <c r="E4359" s="184" t="n">
        <v>20079.02</v>
      </c>
      <c r="F4359" s="184" t="n">
        <v>20764.03</v>
      </c>
      <c r="G4359" s="184" t="n">
        <v>20421.53</v>
      </c>
    </row>
    <row r="4360">
      <c r="A4360" s="194" t="inlineStr">
        <is>
          <t>2026-02-09</t>
        </is>
      </c>
      <c r="B4360" s="194" t="inlineStr">
        <is>
          <t>THB</t>
        </is>
      </c>
      <c r="C4360" s="194" t="inlineStr">
        <is>
          <t>THAILAND BAHT</t>
        </is>
      </c>
      <c r="D4360" s="195" t="n">
        <v>732.1799999999999</v>
      </c>
      <c r="E4360" s="195" t="n">
        <v>813.54</v>
      </c>
      <c r="F4360" s="195" t="n">
        <v>848.05</v>
      </c>
      <c r="G4360" s="195" t="n">
        <v>830.8</v>
      </c>
    </row>
    <row r="4361">
      <c r="A4361" s="196" t="inlineStr">
        <is>
          <t>2026-02-09</t>
        </is>
      </c>
      <c r="B4361" s="196" t="inlineStr">
        <is>
          <t>USD</t>
        </is>
      </c>
      <c r="C4361" s="196" t="inlineStr">
        <is>
          <t>US DOLLAR</t>
        </is>
      </c>
      <c r="D4361" s="184" t="n">
        <v>25690</v>
      </c>
      <c r="E4361" s="184" t="n">
        <v>25720</v>
      </c>
      <c r="F4361" s="184" t="n">
        <v>26100</v>
      </c>
      <c r="G4361" s="184" t="n">
        <v>25910</v>
      </c>
    </row>
    <row r="4362">
      <c r="A4362" s="194" t="inlineStr">
        <is>
          <t>2026-02-08</t>
        </is>
      </c>
      <c r="B4362" s="194" t="inlineStr">
        <is>
          <t>AUD</t>
        </is>
      </c>
      <c r="C4362" s="194" t="inlineStr">
        <is>
          <t>AUSTRALIAN DOLLAR</t>
        </is>
      </c>
      <c r="D4362" s="195" t="n">
        <v>17497.66</v>
      </c>
      <c r="E4362" s="195" t="n">
        <v>17674.41</v>
      </c>
      <c r="F4362" s="195" t="n">
        <v>18240.81</v>
      </c>
      <c r="G4362" s="195" t="n">
        <v>17957.61</v>
      </c>
    </row>
    <row r="4363">
      <c r="A4363" s="196" t="inlineStr">
        <is>
          <t>2026-02-08</t>
        </is>
      </c>
      <c r="B4363" s="196" t="inlineStr">
        <is>
          <t>CAD</t>
        </is>
      </c>
      <c r="C4363" s="196" t="inlineStr">
        <is>
          <t>CANADIAN DOLLAR</t>
        </is>
      </c>
      <c r="D4363" s="184" t="n">
        <v>18450.05</v>
      </c>
      <c r="E4363" s="184" t="n">
        <v>18636.42</v>
      </c>
      <c r="F4363" s="184" t="n">
        <v>19233.65</v>
      </c>
      <c r="G4363" s="184" t="n">
        <v>18935.04</v>
      </c>
    </row>
    <row r="4364">
      <c r="A4364" s="194" t="inlineStr">
        <is>
          <t>2026-02-08</t>
        </is>
      </c>
      <c r="B4364" s="194" t="inlineStr">
        <is>
          <t>CHF</t>
        </is>
      </c>
      <c r="C4364" s="194" t="inlineStr">
        <is>
          <t>SWISS FRANC</t>
        </is>
      </c>
      <c r="D4364" s="195" t="n">
        <v>32533.23</v>
      </c>
      <c r="E4364" s="195" t="n">
        <v>32861.84</v>
      </c>
      <c r="F4364" s="195" t="n">
        <v>33914.95</v>
      </c>
      <c r="G4364" s="195" t="n">
        <v>33388.39</v>
      </c>
    </row>
    <row r="4365">
      <c r="A4365" s="196" t="inlineStr">
        <is>
          <t>2026-02-08</t>
        </is>
      </c>
      <c r="B4365" s="196" t="inlineStr">
        <is>
          <t>CNY</t>
        </is>
      </c>
      <c r="C4365" s="196" t="inlineStr">
        <is>
          <t>YUAN RENMINBI</t>
        </is>
      </c>
      <c r="D4365" s="184" t="n">
        <v>3645.44</v>
      </c>
      <c r="E4365" s="184" t="n">
        <v>3682.26</v>
      </c>
      <c r="F4365" s="184" t="n">
        <v>3800.27</v>
      </c>
      <c r="G4365" s="184" t="n">
        <v>3741.27</v>
      </c>
    </row>
    <row r="4366">
      <c r="A4366" s="194" t="inlineStr">
        <is>
          <t>2026-02-08</t>
        </is>
      </c>
      <c r="B4366" s="194" t="inlineStr">
        <is>
          <t>DKK</t>
        </is>
      </c>
      <c r="C4366" s="194" t="inlineStr">
        <is>
          <t>DANISH KRONE</t>
        </is>
      </c>
      <c r="D4366" s="195" t="n"/>
      <c r="E4366" s="195" t="n">
        <v>4018.03</v>
      </c>
      <c r="F4366" s="195" t="n">
        <v>4171.76</v>
      </c>
      <c r="G4366" s="195" t="n">
        <v>4094.9</v>
      </c>
    </row>
    <row r="4367">
      <c r="A4367" s="196" t="inlineStr">
        <is>
          <t>2026-02-08</t>
        </is>
      </c>
      <c r="B4367" s="196" t="inlineStr">
        <is>
          <t>EUR</t>
        </is>
      </c>
      <c r="C4367" s="196" t="inlineStr">
        <is>
          <t>EURO</t>
        </is>
      </c>
      <c r="D4367" s="184" t="n">
        <v>29781.43</v>
      </c>
      <c r="E4367" s="184" t="n">
        <v>30082.25</v>
      </c>
      <c r="F4367" s="184" t="n">
        <v>31352.15</v>
      </c>
      <c r="G4367" s="184" t="n">
        <v>30717.2</v>
      </c>
    </row>
    <row r="4368">
      <c r="A4368" s="194" t="inlineStr">
        <is>
          <t>2026-02-08</t>
        </is>
      </c>
      <c r="B4368" s="194" t="inlineStr">
        <is>
          <t>GBP</t>
        </is>
      </c>
      <c r="C4368" s="194" t="inlineStr">
        <is>
          <t>POUND STERLING</t>
        </is>
      </c>
      <c r="D4368" s="195" t="n">
        <v>34196.3</v>
      </c>
      <c r="E4368" s="195" t="n">
        <v>34541.72</v>
      </c>
      <c r="F4368" s="195" t="n">
        <v>35648.66</v>
      </c>
      <c r="G4368" s="195" t="n">
        <v>35095.19</v>
      </c>
    </row>
    <row r="4369">
      <c r="A4369" s="196" t="inlineStr">
        <is>
          <t>2026-02-08</t>
        </is>
      </c>
      <c r="B4369" s="196" t="inlineStr">
        <is>
          <t>HKD</t>
        </is>
      </c>
      <c r="C4369" s="196" t="inlineStr">
        <is>
          <t>HONGKONG DOLLAR</t>
        </is>
      </c>
      <c r="D4369" s="184" t="n">
        <v>3227.87</v>
      </c>
      <c r="E4369" s="184" t="n">
        <v>3260.48</v>
      </c>
      <c r="F4369" s="184" t="n">
        <v>3385.22</v>
      </c>
      <c r="G4369" s="184" t="n">
        <v>3322.85</v>
      </c>
    </row>
    <row r="4370">
      <c r="A4370" s="194" t="inlineStr">
        <is>
          <t>2026-02-08</t>
        </is>
      </c>
      <c r="B4370" s="194" t="inlineStr">
        <is>
          <t>INR</t>
        </is>
      </c>
      <c r="C4370" s="194" t="inlineStr">
        <is>
          <t>INDIAN RUPEE</t>
        </is>
      </c>
      <c r="D4370" s="195" t="n"/>
      <c r="E4370" s="195" t="n">
        <v>285.72</v>
      </c>
      <c r="F4370" s="195" t="n">
        <v>298.02</v>
      </c>
      <c r="G4370" s="195" t="n">
        <v>291.87</v>
      </c>
    </row>
    <row r="4371">
      <c r="A4371" s="196" t="inlineStr">
        <is>
          <t>2026-02-08</t>
        </is>
      </c>
      <c r="B4371" s="196" t="inlineStr">
        <is>
          <t>JPY</t>
        </is>
      </c>
      <c r="C4371" s="196" t="inlineStr">
        <is>
          <t>YEN</t>
        </is>
      </c>
      <c r="D4371" s="184" t="n">
        <v>159.83</v>
      </c>
      <c r="E4371" s="184" t="n">
        <v>161.44</v>
      </c>
      <c r="F4371" s="184" t="n">
        <v>169.98</v>
      </c>
      <c r="G4371" s="184" t="n">
        <v>165.71</v>
      </c>
    </row>
    <row r="4372">
      <c r="A4372" s="194" t="inlineStr">
        <is>
          <t>2026-02-08</t>
        </is>
      </c>
      <c r="B4372" s="194" t="inlineStr">
        <is>
          <t>KRW</t>
        </is>
      </c>
      <c r="C4372" s="194" t="inlineStr">
        <is>
          <t>KOREAN WON</t>
        </is>
      </c>
      <c r="D4372" s="195" t="n">
        <v>15.24</v>
      </c>
      <c r="E4372" s="195" t="n">
        <v>16.94</v>
      </c>
      <c r="F4372" s="195" t="n">
        <v>18.38</v>
      </c>
      <c r="G4372" s="195" t="n">
        <v>17.66</v>
      </c>
    </row>
    <row r="4373">
      <c r="A4373" s="196" t="inlineStr">
        <is>
          <t>2026-02-08</t>
        </is>
      </c>
      <c r="B4373" s="196" t="inlineStr">
        <is>
          <t>KWD</t>
        </is>
      </c>
      <c r="C4373" s="196" t="inlineStr">
        <is>
          <t>KUWAITI DINAR</t>
        </is>
      </c>
      <c r="D4373" s="184" t="n"/>
      <c r="E4373" s="184" t="n">
        <v>84427.34</v>
      </c>
      <c r="F4373" s="184" t="n">
        <v>88521.22</v>
      </c>
      <c r="G4373" s="184" t="n">
        <v>86474.28</v>
      </c>
    </row>
    <row r="4374">
      <c r="A4374" s="194" t="inlineStr">
        <is>
          <t>2026-02-08</t>
        </is>
      </c>
      <c r="B4374" s="194" t="inlineStr">
        <is>
          <t>MYR</t>
        </is>
      </c>
      <c r="C4374" s="194" t="inlineStr">
        <is>
          <t>MALAYSIAN RINGGIT</t>
        </is>
      </c>
      <c r="D4374" s="195" t="n"/>
      <c r="E4374" s="195" t="n">
        <v>6483.15</v>
      </c>
      <c r="F4374" s="195" t="n">
        <v>6624.32</v>
      </c>
      <c r="G4374" s="195" t="n">
        <v>6553.74</v>
      </c>
    </row>
    <row r="4375">
      <c r="A4375" s="196" t="inlineStr">
        <is>
          <t>2026-02-08</t>
        </is>
      </c>
      <c r="B4375" s="196" t="inlineStr">
        <is>
          <t>NOK</t>
        </is>
      </c>
      <c r="C4375" s="196" t="inlineStr">
        <is>
          <t>NORWEGIAN KRONER</t>
        </is>
      </c>
      <c r="D4375" s="184" t="n"/>
      <c r="E4375" s="184" t="n">
        <v>2589.91</v>
      </c>
      <c r="F4375" s="184" t="n">
        <v>2699.78</v>
      </c>
      <c r="G4375" s="184" t="n">
        <v>2644.84</v>
      </c>
    </row>
    <row r="4376">
      <c r="A4376" s="194" t="inlineStr">
        <is>
          <t>2026-02-08</t>
        </is>
      </c>
      <c r="B4376" s="194" t="inlineStr">
        <is>
          <t>RUB</t>
        </is>
      </c>
      <c r="C4376" s="194" t="inlineStr">
        <is>
          <t>RUSSIAN RUBLE</t>
        </is>
      </c>
      <c r="D4376" s="195" t="n"/>
      <c r="E4376" s="195" t="n">
        <v>321.78</v>
      </c>
      <c r="F4376" s="195" t="n">
        <v>356.2</v>
      </c>
      <c r="G4376" s="195" t="n">
        <v>338.99</v>
      </c>
    </row>
    <row r="4377">
      <c r="A4377" s="196" t="inlineStr">
        <is>
          <t>2026-02-08</t>
        </is>
      </c>
      <c r="B4377" s="196" t="inlineStr">
        <is>
          <t>SAR</t>
        </is>
      </c>
      <c r="C4377" s="196" t="inlineStr">
        <is>
          <t>SAUDI RIAL</t>
        </is>
      </c>
      <c r="D4377" s="184" t="n"/>
      <c r="E4377" s="184" t="n">
        <v>6880.27</v>
      </c>
      <c r="F4377" s="184" t="n">
        <v>7176.51</v>
      </c>
      <c r="G4377" s="184" t="n">
        <v>7028.39</v>
      </c>
    </row>
    <row r="4378">
      <c r="A4378" s="194" t="inlineStr">
        <is>
          <t>2026-02-08</t>
        </is>
      </c>
      <c r="B4378" s="194" t="inlineStr">
        <is>
          <t>SEK</t>
        </is>
      </c>
      <c r="C4378" s="194" t="inlineStr">
        <is>
          <t>SWEDISH KRONA</t>
        </is>
      </c>
      <c r="D4378" s="195" t="n"/>
      <c r="E4378" s="195" t="n">
        <v>2803.22</v>
      </c>
      <c r="F4378" s="195" t="n">
        <v>2922.14</v>
      </c>
      <c r="G4378" s="195" t="n">
        <v>2862.68</v>
      </c>
    </row>
    <row r="4379">
      <c r="A4379" s="196" t="inlineStr">
        <is>
          <t>2026-02-08</t>
        </is>
      </c>
      <c r="B4379" s="196" t="inlineStr">
        <is>
          <t>SGD</t>
        </is>
      </c>
      <c r="C4379" s="196" t="inlineStr">
        <is>
          <t>SINGAPORE DOLLAR</t>
        </is>
      </c>
      <c r="D4379" s="184" t="n">
        <v>19810.6</v>
      </c>
      <c r="E4379" s="184" t="n">
        <v>20010.71</v>
      </c>
      <c r="F4379" s="184" t="n">
        <v>20693.33</v>
      </c>
      <c r="G4379" s="184" t="n">
        <v>20352.02</v>
      </c>
    </row>
    <row r="4380">
      <c r="A4380" s="194" t="inlineStr">
        <is>
          <t>2026-02-08</t>
        </is>
      </c>
      <c r="B4380" s="194" t="inlineStr">
        <is>
          <t>THB</t>
        </is>
      </c>
      <c r="C4380" s="194" t="inlineStr">
        <is>
          <t>THAILAND BAHT</t>
        </is>
      </c>
      <c r="D4380" s="195" t="n">
        <v>718.8</v>
      </c>
      <c r="E4380" s="195" t="n">
        <v>798.67</v>
      </c>
      <c r="F4380" s="195" t="n">
        <v>832.55</v>
      </c>
      <c r="G4380" s="195" t="n">
        <v>815.61</v>
      </c>
    </row>
    <row r="4381">
      <c r="A4381" s="196" t="inlineStr">
        <is>
          <t>2026-02-08</t>
        </is>
      </c>
      <c r="B4381" s="196" t="inlineStr">
        <is>
          <t>USD</t>
        </is>
      </c>
      <c r="C4381" s="196" t="inlineStr">
        <is>
          <t>US DOLLAR</t>
        </is>
      </c>
      <c r="D4381" s="184" t="n">
        <v>25730</v>
      </c>
      <c r="E4381" s="184" t="n">
        <v>25760</v>
      </c>
      <c r="F4381" s="184" t="n">
        <v>26140</v>
      </c>
      <c r="G4381" s="184" t="n">
        <v>25950</v>
      </c>
    </row>
    <row r="4382">
      <c r="A4382" s="194" t="inlineStr">
        <is>
          <t>2026-02-07</t>
        </is>
      </c>
      <c r="B4382" s="194" t="inlineStr">
        <is>
          <t>AUD</t>
        </is>
      </c>
      <c r="C4382" s="194" t="inlineStr">
        <is>
          <t>AUSTRALIAN DOLLAR</t>
        </is>
      </c>
      <c r="D4382" s="195" t="n">
        <v>17497.66</v>
      </c>
      <c r="E4382" s="195" t="n">
        <v>17674.41</v>
      </c>
      <c r="F4382" s="195" t="n">
        <v>18240.81</v>
      </c>
      <c r="G4382" s="195" t="n">
        <v>17957.61</v>
      </c>
    </row>
    <row r="4383">
      <c r="A4383" s="196" t="inlineStr">
        <is>
          <t>2026-02-07</t>
        </is>
      </c>
      <c r="B4383" s="196" t="inlineStr">
        <is>
          <t>CAD</t>
        </is>
      </c>
      <c r="C4383" s="196" t="inlineStr">
        <is>
          <t>CANADIAN DOLLAR</t>
        </is>
      </c>
      <c r="D4383" s="184" t="n">
        <v>18450.05</v>
      </c>
      <c r="E4383" s="184" t="n">
        <v>18636.42</v>
      </c>
      <c r="F4383" s="184" t="n">
        <v>19233.65</v>
      </c>
      <c r="G4383" s="184" t="n">
        <v>18935.04</v>
      </c>
    </row>
    <row r="4384">
      <c r="A4384" s="194" t="inlineStr">
        <is>
          <t>2026-02-07</t>
        </is>
      </c>
      <c r="B4384" s="194" t="inlineStr">
        <is>
          <t>CHF</t>
        </is>
      </c>
      <c r="C4384" s="194" t="inlineStr">
        <is>
          <t>SWISS FRANC</t>
        </is>
      </c>
      <c r="D4384" s="195" t="n">
        <v>32533.23</v>
      </c>
      <c r="E4384" s="195" t="n">
        <v>32861.84</v>
      </c>
      <c r="F4384" s="195" t="n">
        <v>33914.95</v>
      </c>
      <c r="G4384" s="195" t="n">
        <v>33388.39</v>
      </c>
    </row>
    <row r="4385">
      <c r="A4385" s="196" t="inlineStr">
        <is>
          <t>2026-02-07</t>
        </is>
      </c>
      <c r="B4385" s="196" t="inlineStr">
        <is>
          <t>CNY</t>
        </is>
      </c>
      <c r="C4385" s="196" t="inlineStr">
        <is>
          <t>YUAN RENMINBI</t>
        </is>
      </c>
      <c r="D4385" s="184" t="n">
        <v>3645.44</v>
      </c>
      <c r="E4385" s="184" t="n">
        <v>3682.26</v>
      </c>
      <c r="F4385" s="184" t="n">
        <v>3800.27</v>
      </c>
      <c r="G4385" s="184" t="n">
        <v>3741.27</v>
      </c>
    </row>
    <row r="4386">
      <c r="A4386" s="194" t="inlineStr">
        <is>
          <t>2026-02-07</t>
        </is>
      </c>
      <c r="B4386" s="194" t="inlineStr">
        <is>
          <t>DKK</t>
        </is>
      </c>
      <c r="C4386" s="194" t="inlineStr">
        <is>
          <t>DANISH KRONE</t>
        </is>
      </c>
      <c r="D4386" s="195" t="n"/>
      <c r="E4386" s="195" t="n">
        <v>4018.03</v>
      </c>
      <c r="F4386" s="195" t="n">
        <v>4171.76</v>
      </c>
      <c r="G4386" s="195" t="n">
        <v>4094.9</v>
      </c>
    </row>
    <row r="4387">
      <c r="A4387" s="196" t="inlineStr">
        <is>
          <t>2026-02-07</t>
        </is>
      </c>
      <c r="B4387" s="196" t="inlineStr">
        <is>
          <t>EUR</t>
        </is>
      </c>
      <c r="C4387" s="196" t="inlineStr">
        <is>
          <t>EURO</t>
        </is>
      </c>
      <c r="D4387" s="184" t="n">
        <v>29781.43</v>
      </c>
      <c r="E4387" s="184" t="n">
        <v>30082.25</v>
      </c>
      <c r="F4387" s="184" t="n">
        <v>31352.15</v>
      </c>
      <c r="G4387" s="184" t="n">
        <v>30717.2</v>
      </c>
    </row>
    <row r="4388">
      <c r="A4388" s="194" t="inlineStr">
        <is>
          <t>2026-02-07</t>
        </is>
      </c>
      <c r="B4388" s="194" t="inlineStr">
        <is>
          <t>GBP</t>
        </is>
      </c>
      <c r="C4388" s="194" t="inlineStr">
        <is>
          <t>POUND STERLING</t>
        </is>
      </c>
      <c r="D4388" s="195" t="n">
        <v>34196.3</v>
      </c>
      <c r="E4388" s="195" t="n">
        <v>34541.72</v>
      </c>
      <c r="F4388" s="195" t="n">
        <v>35648.66</v>
      </c>
      <c r="G4388" s="195" t="n">
        <v>35095.19</v>
      </c>
    </row>
    <row r="4389">
      <c r="A4389" s="196" t="inlineStr">
        <is>
          <t>2026-02-07</t>
        </is>
      </c>
      <c r="B4389" s="196" t="inlineStr">
        <is>
          <t>HKD</t>
        </is>
      </c>
      <c r="C4389" s="196" t="inlineStr">
        <is>
          <t>HONGKONG DOLLAR</t>
        </is>
      </c>
      <c r="D4389" s="184" t="n">
        <v>3227.87</v>
      </c>
      <c r="E4389" s="184" t="n">
        <v>3260.48</v>
      </c>
      <c r="F4389" s="184" t="n">
        <v>3385.22</v>
      </c>
      <c r="G4389" s="184" t="n">
        <v>3322.85</v>
      </c>
    </row>
    <row r="4390">
      <c r="A4390" s="194" t="inlineStr">
        <is>
          <t>2026-02-07</t>
        </is>
      </c>
      <c r="B4390" s="194" t="inlineStr">
        <is>
          <t>INR</t>
        </is>
      </c>
      <c r="C4390" s="194" t="inlineStr">
        <is>
          <t>INDIAN RUPEE</t>
        </is>
      </c>
      <c r="D4390" s="195" t="n"/>
      <c r="E4390" s="195" t="n">
        <v>285.72</v>
      </c>
      <c r="F4390" s="195" t="n">
        <v>298.02</v>
      </c>
      <c r="G4390" s="195" t="n">
        <v>291.87</v>
      </c>
    </row>
    <row r="4391">
      <c r="A4391" s="196" t="inlineStr">
        <is>
          <t>2026-02-07</t>
        </is>
      </c>
      <c r="B4391" s="196" t="inlineStr">
        <is>
          <t>JPY</t>
        </is>
      </c>
      <c r="C4391" s="196" t="inlineStr">
        <is>
          <t>YEN</t>
        </is>
      </c>
      <c r="D4391" s="184" t="n">
        <v>159.83</v>
      </c>
      <c r="E4391" s="184" t="n">
        <v>161.44</v>
      </c>
      <c r="F4391" s="184" t="n">
        <v>169.98</v>
      </c>
      <c r="G4391" s="184" t="n">
        <v>165.71</v>
      </c>
    </row>
    <row r="4392">
      <c r="A4392" s="194" t="inlineStr">
        <is>
          <t>2026-02-07</t>
        </is>
      </c>
      <c r="B4392" s="194" t="inlineStr">
        <is>
          <t>KRW</t>
        </is>
      </c>
      <c r="C4392" s="194" t="inlineStr">
        <is>
          <t>KOREAN WON</t>
        </is>
      </c>
      <c r="D4392" s="195" t="n">
        <v>15.24</v>
      </c>
      <c r="E4392" s="195" t="n">
        <v>16.94</v>
      </c>
      <c r="F4392" s="195" t="n">
        <v>18.38</v>
      </c>
      <c r="G4392" s="195" t="n">
        <v>17.66</v>
      </c>
    </row>
    <row r="4393">
      <c r="A4393" s="196" t="inlineStr">
        <is>
          <t>2026-02-07</t>
        </is>
      </c>
      <c r="B4393" s="196" t="inlineStr">
        <is>
          <t>KWD</t>
        </is>
      </c>
      <c r="C4393" s="196" t="inlineStr">
        <is>
          <t>KUWAITI DINAR</t>
        </is>
      </c>
      <c r="D4393" s="184" t="n"/>
      <c r="E4393" s="184" t="n">
        <v>84427.34</v>
      </c>
      <c r="F4393" s="184" t="n">
        <v>88521.22</v>
      </c>
      <c r="G4393" s="184" t="n">
        <v>86474.28</v>
      </c>
    </row>
    <row r="4394">
      <c r="A4394" s="194" t="inlineStr">
        <is>
          <t>2026-02-07</t>
        </is>
      </c>
      <c r="B4394" s="194" t="inlineStr">
        <is>
          <t>MYR</t>
        </is>
      </c>
      <c r="C4394" s="194" t="inlineStr">
        <is>
          <t>MALAYSIAN RINGGIT</t>
        </is>
      </c>
      <c r="D4394" s="195" t="n"/>
      <c r="E4394" s="195" t="n">
        <v>6483.15</v>
      </c>
      <c r="F4394" s="195" t="n">
        <v>6624.32</v>
      </c>
      <c r="G4394" s="195" t="n">
        <v>6553.74</v>
      </c>
    </row>
    <row r="4395">
      <c r="A4395" s="196" t="inlineStr">
        <is>
          <t>2026-02-07</t>
        </is>
      </c>
      <c r="B4395" s="196" t="inlineStr">
        <is>
          <t>NOK</t>
        </is>
      </c>
      <c r="C4395" s="196" t="inlineStr">
        <is>
          <t>NORWEGIAN KRONER</t>
        </is>
      </c>
      <c r="D4395" s="184" t="n"/>
      <c r="E4395" s="184" t="n">
        <v>2589.91</v>
      </c>
      <c r="F4395" s="184" t="n">
        <v>2699.78</v>
      </c>
      <c r="G4395" s="184" t="n">
        <v>2644.84</v>
      </c>
    </row>
    <row r="4396">
      <c r="A4396" s="194" t="inlineStr">
        <is>
          <t>2026-02-07</t>
        </is>
      </c>
      <c r="B4396" s="194" t="inlineStr">
        <is>
          <t>RUB</t>
        </is>
      </c>
      <c r="C4396" s="194" t="inlineStr">
        <is>
          <t>RUSSIAN RUBLE</t>
        </is>
      </c>
      <c r="D4396" s="195" t="n"/>
      <c r="E4396" s="195" t="n">
        <v>321.78</v>
      </c>
      <c r="F4396" s="195" t="n">
        <v>356.2</v>
      </c>
      <c r="G4396" s="195" t="n">
        <v>338.99</v>
      </c>
    </row>
    <row r="4397">
      <c r="A4397" s="196" t="inlineStr">
        <is>
          <t>2026-02-07</t>
        </is>
      </c>
      <c r="B4397" s="196" t="inlineStr">
        <is>
          <t>SAR</t>
        </is>
      </c>
      <c r="C4397" s="196" t="inlineStr">
        <is>
          <t>SAUDI RIAL</t>
        </is>
      </c>
      <c r="D4397" s="184" t="n"/>
      <c r="E4397" s="184" t="n">
        <v>6880.27</v>
      </c>
      <c r="F4397" s="184" t="n">
        <v>7176.51</v>
      </c>
      <c r="G4397" s="184" t="n">
        <v>7028.39</v>
      </c>
    </row>
    <row r="4398">
      <c r="A4398" s="194" t="inlineStr">
        <is>
          <t>2026-02-07</t>
        </is>
      </c>
      <c r="B4398" s="194" t="inlineStr">
        <is>
          <t>SEK</t>
        </is>
      </c>
      <c r="C4398" s="194" t="inlineStr">
        <is>
          <t>SWEDISH KRONA</t>
        </is>
      </c>
      <c r="D4398" s="195" t="n"/>
      <c r="E4398" s="195" t="n">
        <v>2803.22</v>
      </c>
      <c r="F4398" s="195" t="n">
        <v>2922.14</v>
      </c>
      <c r="G4398" s="195" t="n">
        <v>2862.68</v>
      </c>
    </row>
    <row r="4399">
      <c r="A4399" s="196" t="inlineStr">
        <is>
          <t>2026-02-07</t>
        </is>
      </c>
      <c r="B4399" s="196" t="inlineStr">
        <is>
          <t>SGD</t>
        </is>
      </c>
      <c r="C4399" s="196" t="inlineStr">
        <is>
          <t>SINGAPORE DOLLAR</t>
        </is>
      </c>
      <c r="D4399" s="184" t="n">
        <v>19810.6</v>
      </c>
      <c r="E4399" s="184" t="n">
        <v>20010.71</v>
      </c>
      <c r="F4399" s="184" t="n">
        <v>20693.33</v>
      </c>
      <c r="G4399" s="184" t="n">
        <v>20352.02</v>
      </c>
    </row>
    <row r="4400">
      <c r="A4400" s="194" t="inlineStr">
        <is>
          <t>2026-02-07</t>
        </is>
      </c>
      <c r="B4400" s="194" t="inlineStr">
        <is>
          <t>THB</t>
        </is>
      </c>
      <c r="C4400" s="194" t="inlineStr">
        <is>
          <t>THAILAND BAHT</t>
        </is>
      </c>
      <c r="D4400" s="195" t="n">
        <v>718.8</v>
      </c>
      <c r="E4400" s="195" t="n">
        <v>798.67</v>
      </c>
      <c r="F4400" s="195" t="n">
        <v>832.55</v>
      </c>
      <c r="G4400" s="195" t="n">
        <v>815.61</v>
      </c>
    </row>
    <row r="4401">
      <c r="A4401" s="196" t="inlineStr">
        <is>
          <t>2026-02-07</t>
        </is>
      </c>
      <c r="B4401" s="196" t="inlineStr">
        <is>
          <t>USD</t>
        </is>
      </c>
      <c r="C4401" s="196" t="inlineStr">
        <is>
          <t>US DOLLAR</t>
        </is>
      </c>
      <c r="D4401" s="184" t="n">
        <v>25730</v>
      </c>
      <c r="E4401" s="184" t="n">
        <v>25760</v>
      </c>
      <c r="F4401" s="184" t="n">
        <v>26140</v>
      </c>
      <c r="G4401" s="184" t="n">
        <v>25950</v>
      </c>
    </row>
    <row r="4402">
      <c r="A4402" s="194" t="inlineStr">
        <is>
          <t>2026-02-06</t>
        </is>
      </c>
      <c r="B4402" s="194" t="inlineStr">
        <is>
          <t>AUD</t>
        </is>
      </c>
      <c r="C4402" s="194" t="inlineStr">
        <is>
          <t>AUSTRALIAN DOLLAR</t>
        </is>
      </c>
      <c r="D4402" s="195" t="n">
        <v>17497.66</v>
      </c>
      <c r="E4402" s="195" t="n">
        <v>17674.41</v>
      </c>
      <c r="F4402" s="195" t="n">
        <v>18240.81</v>
      </c>
      <c r="G4402" s="195" t="n">
        <v>17957.61</v>
      </c>
    </row>
    <row r="4403">
      <c r="A4403" s="196" t="inlineStr">
        <is>
          <t>2026-02-06</t>
        </is>
      </c>
      <c r="B4403" s="196" t="inlineStr">
        <is>
          <t>CAD</t>
        </is>
      </c>
      <c r="C4403" s="196" t="inlineStr">
        <is>
          <t>CANADIAN DOLLAR</t>
        </is>
      </c>
      <c r="D4403" s="184" t="n">
        <v>18450.05</v>
      </c>
      <c r="E4403" s="184" t="n">
        <v>18636.42</v>
      </c>
      <c r="F4403" s="184" t="n">
        <v>19233.65</v>
      </c>
      <c r="G4403" s="184" t="n">
        <v>18935.04</v>
      </c>
    </row>
    <row r="4404">
      <c r="A4404" s="194" t="inlineStr">
        <is>
          <t>2026-02-06</t>
        </is>
      </c>
      <c r="B4404" s="194" t="inlineStr">
        <is>
          <t>CHF</t>
        </is>
      </c>
      <c r="C4404" s="194" t="inlineStr">
        <is>
          <t>SWISS FRANC</t>
        </is>
      </c>
      <c r="D4404" s="195" t="n">
        <v>32533.23</v>
      </c>
      <c r="E4404" s="195" t="n">
        <v>32861.84</v>
      </c>
      <c r="F4404" s="195" t="n">
        <v>33914.95</v>
      </c>
      <c r="G4404" s="195" t="n">
        <v>33388.39</v>
      </c>
    </row>
    <row r="4405">
      <c r="A4405" s="196" t="inlineStr">
        <is>
          <t>2026-02-06</t>
        </is>
      </c>
      <c r="B4405" s="196" t="inlineStr">
        <is>
          <t>CNY</t>
        </is>
      </c>
      <c r="C4405" s="196" t="inlineStr">
        <is>
          <t>YUAN RENMINBI</t>
        </is>
      </c>
      <c r="D4405" s="184" t="n">
        <v>3645.44</v>
      </c>
      <c r="E4405" s="184" t="n">
        <v>3682.26</v>
      </c>
      <c r="F4405" s="184" t="n">
        <v>3800.27</v>
      </c>
      <c r="G4405" s="184" t="n">
        <v>3741.27</v>
      </c>
    </row>
    <row r="4406">
      <c r="A4406" s="194" t="inlineStr">
        <is>
          <t>2026-02-06</t>
        </is>
      </c>
      <c r="B4406" s="194" t="inlineStr">
        <is>
          <t>DKK</t>
        </is>
      </c>
      <c r="C4406" s="194" t="inlineStr">
        <is>
          <t>DANISH KRONE</t>
        </is>
      </c>
      <c r="D4406" s="195" t="n"/>
      <c r="E4406" s="195" t="n">
        <v>4018.03</v>
      </c>
      <c r="F4406" s="195" t="n">
        <v>4171.76</v>
      </c>
      <c r="G4406" s="195" t="n">
        <v>4094.9</v>
      </c>
    </row>
    <row r="4407">
      <c r="A4407" s="196" t="inlineStr">
        <is>
          <t>2026-02-06</t>
        </is>
      </c>
      <c r="B4407" s="196" t="inlineStr">
        <is>
          <t>EUR</t>
        </is>
      </c>
      <c r="C4407" s="196" t="inlineStr">
        <is>
          <t>EURO</t>
        </is>
      </c>
      <c r="D4407" s="184" t="n">
        <v>29781.43</v>
      </c>
      <c r="E4407" s="184" t="n">
        <v>30082.25</v>
      </c>
      <c r="F4407" s="184" t="n">
        <v>31352.15</v>
      </c>
      <c r="G4407" s="184" t="n">
        <v>30717.2</v>
      </c>
    </row>
    <row r="4408">
      <c r="A4408" s="194" t="inlineStr">
        <is>
          <t>2026-02-06</t>
        </is>
      </c>
      <c r="B4408" s="194" t="inlineStr">
        <is>
          <t>GBP</t>
        </is>
      </c>
      <c r="C4408" s="194" t="inlineStr">
        <is>
          <t>POUND STERLING</t>
        </is>
      </c>
      <c r="D4408" s="195" t="n">
        <v>34196.3</v>
      </c>
      <c r="E4408" s="195" t="n">
        <v>34541.72</v>
      </c>
      <c r="F4408" s="195" t="n">
        <v>35648.66</v>
      </c>
      <c r="G4408" s="195" t="n">
        <v>35095.19</v>
      </c>
    </row>
    <row r="4409">
      <c r="A4409" s="196" t="inlineStr">
        <is>
          <t>2026-02-06</t>
        </is>
      </c>
      <c r="B4409" s="196" t="inlineStr">
        <is>
          <t>HKD</t>
        </is>
      </c>
      <c r="C4409" s="196" t="inlineStr">
        <is>
          <t>HONGKONG DOLLAR</t>
        </is>
      </c>
      <c r="D4409" s="184" t="n">
        <v>3227.87</v>
      </c>
      <c r="E4409" s="184" t="n">
        <v>3260.48</v>
      </c>
      <c r="F4409" s="184" t="n">
        <v>3385.22</v>
      </c>
      <c r="G4409" s="184" t="n">
        <v>3322.85</v>
      </c>
    </row>
    <row r="4410">
      <c r="A4410" s="194" t="inlineStr">
        <is>
          <t>2026-02-06</t>
        </is>
      </c>
      <c r="B4410" s="194" t="inlineStr">
        <is>
          <t>INR</t>
        </is>
      </c>
      <c r="C4410" s="194" t="inlineStr">
        <is>
          <t>INDIAN RUPEE</t>
        </is>
      </c>
      <c r="D4410" s="195" t="n"/>
      <c r="E4410" s="195" t="n">
        <v>285.72</v>
      </c>
      <c r="F4410" s="195" t="n">
        <v>298.02</v>
      </c>
      <c r="G4410" s="195" t="n">
        <v>291.87</v>
      </c>
    </row>
    <row r="4411">
      <c r="A4411" s="196" t="inlineStr">
        <is>
          <t>2026-02-06</t>
        </is>
      </c>
      <c r="B4411" s="196" t="inlineStr">
        <is>
          <t>JPY</t>
        </is>
      </c>
      <c r="C4411" s="196" t="inlineStr">
        <is>
          <t>YEN</t>
        </is>
      </c>
      <c r="D4411" s="184" t="n">
        <v>159.83</v>
      </c>
      <c r="E4411" s="184" t="n">
        <v>161.44</v>
      </c>
      <c r="F4411" s="184" t="n">
        <v>169.98</v>
      </c>
      <c r="G4411" s="184" t="n">
        <v>165.71</v>
      </c>
    </row>
    <row r="4412">
      <c r="A4412" s="194" t="inlineStr">
        <is>
          <t>2026-02-06</t>
        </is>
      </c>
      <c r="B4412" s="194" t="inlineStr">
        <is>
          <t>KRW</t>
        </is>
      </c>
      <c r="C4412" s="194" t="inlineStr">
        <is>
          <t>KOREAN WON</t>
        </is>
      </c>
      <c r="D4412" s="195" t="n">
        <v>15.24</v>
      </c>
      <c r="E4412" s="195" t="n">
        <v>16.94</v>
      </c>
      <c r="F4412" s="195" t="n">
        <v>18.38</v>
      </c>
      <c r="G4412" s="195" t="n">
        <v>17.66</v>
      </c>
    </row>
    <row r="4413">
      <c r="A4413" s="196" t="inlineStr">
        <is>
          <t>2026-02-06</t>
        </is>
      </c>
      <c r="B4413" s="196" t="inlineStr">
        <is>
          <t>KWD</t>
        </is>
      </c>
      <c r="C4413" s="196" t="inlineStr">
        <is>
          <t>KUWAITI DINAR</t>
        </is>
      </c>
      <c r="D4413" s="184" t="n"/>
      <c r="E4413" s="184" t="n">
        <v>84427.34</v>
      </c>
      <c r="F4413" s="184" t="n">
        <v>88521.22</v>
      </c>
      <c r="G4413" s="184" t="n">
        <v>86474.28</v>
      </c>
    </row>
    <row r="4414">
      <c r="A4414" s="194" t="inlineStr">
        <is>
          <t>2026-02-06</t>
        </is>
      </c>
      <c r="B4414" s="194" t="inlineStr">
        <is>
          <t>MYR</t>
        </is>
      </c>
      <c r="C4414" s="194" t="inlineStr">
        <is>
          <t>MALAYSIAN RINGGIT</t>
        </is>
      </c>
      <c r="D4414" s="195" t="n"/>
      <c r="E4414" s="195" t="n">
        <v>6483.15</v>
      </c>
      <c r="F4414" s="195" t="n">
        <v>6624.32</v>
      </c>
      <c r="G4414" s="195" t="n">
        <v>6553.74</v>
      </c>
    </row>
    <row r="4415">
      <c r="A4415" s="196" t="inlineStr">
        <is>
          <t>2026-02-06</t>
        </is>
      </c>
      <c r="B4415" s="196" t="inlineStr">
        <is>
          <t>NOK</t>
        </is>
      </c>
      <c r="C4415" s="196" t="inlineStr">
        <is>
          <t>NORWEGIAN KRONER</t>
        </is>
      </c>
      <c r="D4415" s="184" t="n"/>
      <c r="E4415" s="184" t="n">
        <v>2589.91</v>
      </c>
      <c r="F4415" s="184" t="n">
        <v>2699.78</v>
      </c>
      <c r="G4415" s="184" t="n">
        <v>2644.84</v>
      </c>
    </row>
    <row r="4416">
      <c r="A4416" s="194" t="inlineStr">
        <is>
          <t>2026-02-06</t>
        </is>
      </c>
      <c r="B4416" s="194" t="inlineStr">
        <is>
          <t>RUB</t>
        </is>
      </c>
      <c r="C4416" s="194" t="inlineStr">
        <is>
          <t>RUSSIAN RUBLE</t>
        </is>
      </c>
      <c r="D4416" s="195" t="n"/>
      <c r="E4416" s="195" t="n">
        <v>321.78</v>
      </c>
      <c r="F4416" s="195" t="n">
        <v>356.2</v>
      </c>
      <c r="G4416" s="195" t="n">
        <v>338.99</v>
      </c>
    </row>
    <row r="4417">
      <c r="A4417" s="196" t="inlineStr">
        <is>
          <t>2026-02-06</t>
        </is>
      </c>
      <c r="B4417" s="196" t="inlineStr">
        <is>
          <t>SAR</t>
        </is>
      </c>
      <c r="C4417" s="196" t="inlineStr">
        <is>
          <t>SAUDI RIAL</t>
        </is>
      </c>
      <c r="D4417" s="184" t="n"/>
      <c r="E4417" s="184" t="n">
        <v>6880.27</v>
      </c>
      <c r="F4417" s="184" t="n">
        <v>7176.51</v>
      </c>
      <c r="G4417" s="184" t="n">
        <v>7028.39</v>
      </c>
    </row>
    <row r="4418">
      <c r="A4418" s="194" t="inlineStr">
        <is>
          <t>2026-02-06</t>
        </is>
      </c>
      <c r="B4418" s="194" t="inlineStr">
        <is>
          <t>SEK</t>
        </is>
      </c>
      <c r="C4418" s="194" t="inlineStr">
        <is>
          <t>SWEDISH KRONA</t>
        </is>
      </c>
      <c r="D4418" s="195" t="n"/>
      <c r="E4418" s="195" t="n">
        <v>2803.22</v>
      </c>
      <c r="F4418" s="195" t="n">
        <v>2922.14</v>
      </c>
      <c r="G4418" s="195" t="n">
        <v>2862.68</v>
      </c>
    </row>
    <row r="4419">
      <c r="A4419" s="196" t="inlineStr">
        <is>
          <t>2026-02-06</t>
        </is>
      </c>
      <c r="B4419" s="196" t="inlineStr">
        <is>
          <t>SGD</t>
        </is>
      </c>
      <c r="C4419" s="196" t="inlineStr">
        <is>
          <t>SINGAPORE DOLLAR</t>
        </is>
      </c>
      <c r="D4419" s="184" t="n">
        <v>19810.6</v>
      </c>
      <c r="E4419" s="184" t="n">
        <v>20010.71</v>
      </c>
      <c r="F4419" s="184" t="n">
        <v>20693.33</v>
      </c>
      <c r="G4419" s="184" t="n">
        <v>20352.02</v>
      </c>
    </row>
    <row r="4420">
      <c r="A4420" s="194" t="inlineStr">
        <is>
          <t>2026-02-06</t>
        </is>
      </c>
      <c r="B4420" s="194" t="inlineStr">
        <is>
          <t>THB</t>
        </is>
      </c>
      <c r="C4420" s="194" t="inlineStr">
        <is>
          <t>THAILAND BAHT</t>
        </is>
      </c>
      <c r="D4420" s="195" t="n">
        <v>718.8</v>
      </c>
      <c r="E4420" s="195" t="n">
        <v>798.67</v>
      </c>
      <c r="F4420" s="195" t="n">
        <v>832.55</v>
      </c>
      <c r="G4420" s="195" t="n">
        <v>815.61</v>
      </c>
    </row>
    <row r="4421">
      <c r="A4421" s="196" t="inlineStr">
        <is>
          <t>2026-02-06</t>
        </is>
      </c>
      <c r="B4421" s="196" t="inlineStr">
        <is>
          <t>USD</t>
        </is>
      </c>
      <c r="C4421" s="196" t="inlineStr">
        <is>
          <t>US DOLLAR</t>
        </is>
      </c>
      <c r="D4421" s="184" t="n">
        <v>25730</v>
      </c>
      <c r="E4421" s="184" t="n">
        <v>25760</v>
      </c>
      <c r="F4421" s="184" t="n">
        <v>26140</v>
      </c>
      <c r="G4421" s="184" t="n">
        <v>25950</v>
      </c>
    </row>
    <row r="4422">
      <c r="A4422" s="194" t="inlineStr">
        <is>
          <t>2026-02-05</t>
        </is>
      </c>
      <c r="B4422" s="194" t="inlineStr">
        <is>
          <t>AUD</t>
        </is>
      </c>
      <c r="C4422" s="194" t="inlineStr">
        <is>
          <t>AUSTRALIAN DOLLAR</t>
        </is>
      </c>
      <c r="D4422" s="195" t="n">
        <v>17622.5</v>
      </c>
      <c r="E4422" s="195" t="n">
        <v>17800.51</v>
      </c>
      <c r="F4422" s="195" t="n">
        <v>18370.93</v>
      </c>
      <c r="G4422" s="195" t="n">
        <v>18085.72</v>
      </c>
    </row>
    <row r="4423">
      <c r="A4423" s="196" t="inlineStr">
        <is>
          <t>2026-02-05</t>
        </is>
      </c>
      <c r="B4423" s="196" t="inlineStr">
        <is>
          <t>CAD</t>
        </is>
      </c>
      <c r="C4423" s="196" t="inlineStr">
        <is>
          <t>CANADIAN DOLLAR</t>
        </is>
      </c>
      <c r="D4423" s="184" t="n">
        <v>18493.96</v>
      </c>
      <c r="E4423" s="184" t="n">
        <v>18680.77</v>
      </c>
      <c r="F4423" s="184" t="n">
        <v>19279.4</v>
      </c>
      <c r="G4423" s="184" t="n">
        <v>18980.08</v>
      </c>
    </row>
    <row r="4424">
      <c r="A4424" s="194" t="inlineStr">
        <is>
          <t>2026-02-05</t>
        </is>
      </c>
      <c r="B4424" s="194" t="inlineStr">
        <is>
          <t>CHF</t>
        </is>
      </c>
      <c r="C4424" s="194" t="inlineStr">
        <is>
          <t>SWISS FRANC</t>
        </is>
      </c>
      <c r="D4424" s="195" t="n">
        <v>32545.76</v>
      </c>
      <c r="E4424" s="195" t="n">
        <v>32874.5</v>
      </c>
      <c r="F4424" s="195" t="n">
        <v>33927.98</v>
      </c>
      <c r="G4424" s="195" t="n">
        <v>33401.24</v>
      </c>
    </row>
    <row r="4425">
      <c r="A4425" s="196" t="inlineStr">
        <is>
          <t>2026-02-05</t>
        </is>
      </c>
      <c r="B4425" s="196" t="inlineStr">
        <is>
          <t>CNY</t>
        </is>
      </c>
      <c r="C4425" s="196" t="inlineStr">
        <is>
          <t>YUAN RENMINBI</t>
        </is>
      </c>
      <c r="D4425" s="184" t="n">
        <v>3643.94</v>
      </c>
      <c r="E4425" s="184" t="n">
        <v>3680.75</v>
      </c>
      <c r="F4425" s="184" t="n">
        <v>3798.7</v>
      </c>
      <c r="G4425" s="184" t="n">
        <v>3739.72</v>
      </c>
    </row>
    <row r="4426">
      <c r="A4426" s="194" t="inlineStr">
        <is>
          <t>2026-02-05</t>
        </is>
      </c>
      <c r="B4426" s="194" t="inlineStr">
        <is>
          <t>DKK</t>
        </is>
      </c>
      <c r="C4426" s="194" t="inlineStr">
        <is>
          <t>DANISH KRONE</t>
        </is>
      </c>
      <c r="D4426" s="195" t="n"/>
      <c r="E4426" s="195" t="n">
        <v>4023.73</v>
      </c>
      <c r="F4426" s="195" t="n">
        <v>4177.67</v>
      </c>
      <c r="G4426" s="195" t="n">
        <v>4100.7</v>
      </c>
    </row>
    <row r="4427">
      <c r="A4427" s="196" t="inlineStr">
        <is>
          <t>2026-02-05</t>
        </is>
      </c>
      <c r="B4427" s="196" t="inlineStr">
        <is>
          <t>EUR</t>
        </is>
      </c>
      <c r="C4427" s="196" t="inlineStr">
        <is>
          <t>EURO</t>
        </is>
      </c>
      <c r="D4427" s="184" t="n">
        <v>29824.64</v>
      </c>
      <c r="E4427" s="184" t="n">
        <v>30125.9</v>
      </c>
      <c r="F4427" s="184" t="n">
        <v>31397.61</v>
      </c>
      <c r="G4427" s="184" t="n">
        <v>30761.76</v>
      </c>
    </row>
    <row r="4428">
      <c r="A4428" s="194" t="inlineStr">
        <is>
          <t>2026-02-05</t>
        </is>
      </c>
      <c r="B4428" s="194" t="inlineStr">
        <is>
          <t>GBP</t>
        </is>
      </c>
      <c r="C4428" s="194" t="inlineStr">
        <is>
          <t>POUND STERLING</t>
        </is>
      </c>
      <c r="D4428" s="195" t="n">
        <v>34468.13</v>
      </c>
      <c r="E4428" s="195" t="n">
        <v>34816.3</v>
      </c>
      <c r="F4428" s="195" t="n">
        <v>35931.99</v>
      </c>
      <c r="G4428" s="195" t="n">
        <v>35374.15</v>
      </c>
    </row>
    <row r="4429">
      <c r="A4429" s="196" t="inlineStr">
        <is>
          <t>2026-02-05</t>
        </is>
      </c>
      <c r="B4429" s="196" t="inlineStr">
        <is>
          <t>HKD</t>
        </is>
      </c>
      <c r="C4429" s="196" t="inlineStr">
        <is>
          <t>HONGKONG DOLLAR</t>
        </is>
      </c>
      <c r="D4429" s="184" t="n">
        <v>3231.94</v>
      </c>
      <c r="E4429" s="184" t="n">
        <v>3264.58</v>
      </c>
      <c r="F4429" s="184" t="n">
        <v>3389.48</v>
      </c>
      <c r="G4429" s="184" t="n">
        <v>3327.03</v>
      </c>
    </row>
    <row r="4430">
      <c r="A4430" s="194" t="inlineStr">
        <is>
          <t>2026-02-05</t>
        </is>
      </c>
      <c r="B4430" s="194" t="inlineStr">
        <is>
          <t>INR</t>
        </is>
      </c>
      <c r="C4430" s="194" t="inlineStr">
        <is>
          <t>INDIAN RUPEE</t>
        </is>
      </c>
      <c r="D4430" s="195" t="n"/>
      <c r="E4430" s="195" t="n">
        <v>285.35</v>
      </c>
      <c r="F4430" s="195" t="n">
        <v>297.64</v>
      </c>
      <c r="G4430" s="195" t="n">
        <v>291.5</v>
      </c>
    </row>
    <row r="4431">
      <c r="A4431" s="196" t="inlineStr">
        <is>
          <t>2026-02-05</t>
        </is>
      </c>
      <c r="B4431" s="196" t="inlineStr">
        <is>
          <t>JPY</t>
        </is>
      </c>
      <c r="C4431" s="196" t="inlineStr">
        <is>
          <t>YEN</t>
        </is>
      </c>
      <c r="D4431" s="184" t="n">
        <v>159.8</v>
      </c>
      <c r="E4431" s="184" t="n">
        <v>161.41</v>
      </c>
      <c r="F4431" s="184" t="n">
        <v>169.95</v>
      </c>
      <c r="G4431" s="184" t="n">
        <v>165.68</v>
      </c>
    </row>
    <row r="4432">
      <c r="A4432" s="194" t="inlineStr">
        <is>
          <t>2026-02-05</t>
        </is>
      </c>
      <c r="B4432" s="194" t="inlineStr">
        <is>
          <t>KRW</t>
        </is>
      </c>
      <c r="C4432" s="194" t="inlineStr">
        <is>
          <t>KOREAN WON</t>
        </is>
      </c>
      <c r="D4432" s="195" t="n">
        <v>15.34</v>
      </c>
      <c r="E4432" s="195" t="n">
        <v>17.04</v>
      </c>
      <c r="F4432" s="195" t="n">
        <v>18.49</v>
      </c>
      <c r="G4432" s="195" t="n">
        <v>17.76</v>
      </c>
    </row>
    <row r="4433">
      <c r="A4433" s="196" t="inlineStr">
        <is>
          <t>2026-02-05</t>
        </is>
      </c>
      <c r="B4433" s="196" t="inlineStr">
        <is>
          <t>KWD</t>
        </is>
      </c>
      <c r="C4433" s="196" t="inlineStr">
        <is>
          <t>KUWAITI DINAR</t>
        </is>
      </c>
      <c r="D4433" s="184" t="n"/>
      <c r="E4433" s="184" t="n">
        <v>84547.78999999999</v>
      </c>
      <c r="F4433" s="184" t="n">
        <v>88647.39999999999</v>
      </c>
      <c r="G4433" s="184" t="n">
        <v>86597.60000000001</v>
      </c>
    </row>
    <row r="4434">
      <c r="A4434" s="194" t="inlineStr">
        <is>
          <t>2026-02-05</t>
        </is>
      </c>
      <c r="B4434" s="194" t="inlineStr">
        <is>
          <t>MYR</t>
        </is>
      </c>
      <c r="C4434" s="194" t="inlineStr">
        <is>
          <t>MALAYSIAN RINGGIT</t>
        </is>
      </c>
      <c r="D4434" s="195" t="n"/>
      <c r="E4434" s="195" t="n">
        <v>6507.87</v>
      </c>
      <c r="F4434" s="195" t="n">
        <v>6649.58</v>
      </c>
      <c r="G4434" s="195" t="n">
        <v>6578.72</v>
      </c>
    </row>
    <row r="4435">
      <c r="A4435" s="196" t="inlineStr">
        <is>
          <t>2026-02-05</t>
        </is>
      </c>
      <c r="B4435" s="196" t="inlineStr">
        <is>
          <t>NOK</t>
        </is>
      </c>
      <c r="C4435" s="196" t="inlineStr">
        <is>
          <t>NORWEGIAN KRONER</t>
        </is>
      </c>
      <c r="D4435" s="184" t="n"/>
      <c r="E4435" s="184" t="n">
        <v>2623.61</v>
      </c>
      <c r="F4435" s="184" t="n">
        <v>2734.91</v>
      </c>
      <c r="G4435" s="184" t="n">
        <v>2679.26</v>
      </c>
    </row>
    <row r="4436">
      <c r="A4436" s="194" t="inlineStr">
        <is>
          <t>2026-02-05</t>
        </is>
      </c>
      <c r="B4436" s="194" t="inlineStr">
        <is>
          <t>RUB</t>
        </is>
      </c>
      <c r="C4436" s="194" t="inlineStr">
        <is>
          <t>RUSSIAN RUBLE</t>
        </is>
      </c>
      <c r="D4436" s="195" t="n"/>
      <c r="E4436" s="195" t="n">
        <v>322.01</v>
      </c>
      <c r="F4436" s="195" t="n">
        <v>356.45</v>
      </c>
      <c r="G4436" s="195" t="n">
        <v>339.23</v>
      </c>
    </row>
    <row r="4437">
      <c r="A4437" s="196" t="inlineStr">
        <is>
          <t>2026-02-05</t>
        </is>
      </c>
      <c r="B4437" s="196" t="inlineStr">
        <is>
          <t>SAR</t>
        </is>
      </c>
      <c r="C4437" s="196" t="inlineStr">
        <is>
          <t>SAUDI RIAL</t>
        </is>
      </c>
      <c r="D4437" s="184" t="n"/>
      <c r="E4437" s="184" t="n">
        <v>6885.57</v>
      </c>
      <c r="F4437" s="184" t="n">
        <v>7182.04</v>
      </c>
      <c r="G4437" s="184" t="n">
        <v>7033.8</v>
      </c>
    </row>
    <row r="4438">
      <c r="A4438" s="194" t="inlineStr">
        <is>
          <t>2026-02-05</t>
        </is>
      </c>
      <c r="B4438" s="194" t="inlineStr">
        <is>
          <t>SEK</t>
        </is>
      </c>
      <c r="C4438" s="194" t="inlineStr">
        <is>
          <t>SWEDISH KRONA</t>
        </is>
      </c>
      <c r="D4438" s="195" t="n"/>
      <c r="E4438" s="195" t="n">
        <v>2827.39</v>
      </c>
      <c r="F4438" s="195" t="n">
        <v>2947.33</v>
      </c>
      <c r="G4438" s="195" t="n">
        <v>2887.36</v>
      </c>
    </row>
    <row r="4439">
      <c r="A4439" s="196" t="inlineStr">
        <is>
          <t>2026-02-05</t>
        </is>
      </c>
      <c r="B4439" s="196" t="inlineStr">
        <is>
          <t>SGD</t>
        </is>
      </c>
      <c r="C4439" s="196" t="inlineStr">
        <is>
          <t>SINGAPORE DOLLAR</t>
        </is>
      </c>
      <c r="D4439" s="184" t="n">
        <v>19847.66</v>
      </c>
      <c r="E4439" s="184" t="n">
        <v>20048.15</v>
      </c>
      <c r="F4439" s="184" t="n">
        <v>20732.03</v>
      </c>
      <c r="G4439" s="184" t="n">
        <v>20390.09</v>
      </c>
    </row>
    <row r="4440">
      <c r="A4440" s="194" t="inlineStr">
        <is>
          <t>2026-02-05</t>
        </is>
      </c>
      <c r="B4440" s="194" t="inlineStr">
        <is>
          <t>THB</t>
        </is>
      </c>
      <c r="C4440" s="194" t="inlineStr">
        <is>
          <t>THAILAND BAHT</t>
        </is>
      </c>
      <c r="D4440" s="195" t="n">
        <v>720.03</v>
      </c>
      <c r="E4440" s="195" t="n">
        <v>800.04</v>
      </c>
      <c r="F4440" s="195" t="n">
        <v>833.98</v>
      </c>
      <c r="G4440" s="195" t="n">
        <v>817.01</v>
      </c>
    </row>
    <row r="4441">
      <c r="A4441" s="196" t="inlineStr">
        <is>
          <t>2026-02-05</t>
        </is>
      </c>
      <c r="B4441" s="196" t="inlineStr">
        <is>
          <t>USD</t>
        </is>
      </c>
      <c r="C4441" s="196" t="inlineStr">
        <is>
          <t>US DOLLAR</t>
        </is>
      </c>
      <c r="D4441" s="184" t="n">
        <v>25760</v>
      </c>
      <c r="E4441" s="184" t="n">
        <v>25790</v>
      </c>
      <c r="F4441" s="184" t="n">
        <v>26150</v>
      </c>
      <c r="G4441" s="184" t="n">
        <v>25970</v>
      </c>
    </row>
    <row r="4442">
      <c r="A4442" s="194" t="inlineStr">
        <is>
          <t>2026-02-04</t>
        </is>
      </c>
      <c r="B4442" s="194" t="inlineStr">
        <is>
          <t>AUD</t>
        </is>
      </c>
      <c r="C4442" s="194" t="inlineStr">
        <is>
          <t>AUSTRALIAN DOLLAR</t>
        </is>
      </c>
      <c r="D4442" s="195" t="n">
        <v>17787.28</v>
      </c>
      <c r="E4442" s="195" t="n">
        <v>17966.95</v>
      </c>
      <c r="F4442" s="195" t="n">
        <v>18542.67</v>
      </c>
      <c r="G4442" s="195" t="n">
        <v>18254.81</v>
      </c>
    </row>
    <row r="4443">
      <c r="A4443" s="196" t="inlineStr">
        <is>
          <t>2026-02-04</t>
        </is>
      </c>
      <c r="B4443" s="196" t="inlineStr">
        <is>
          <t>CAD</t>
        </is>
      </c>
      <c r="C4443" s="196" t="inlineStr">
        <is>
          <t>CANADIAN DOLLAR</t>
        </is>
      </c>
      <c r="D4443" s="184" t="n">
        <v>18576.42</v>
      </c>
      <c r="E4443" s="184" t="n">
        <v>18764.06</v>
      </c>
      <c r="F4443" s="184" t="n">
        <v>19365.33</v>
      </c>
      <c r="G4443" s="184" t="n">
        <v>19064.7</v>
      </c>
    </row>
    <row r="4444">
      <c r="A4444" s="194" t="inlineStr">
        <is>
          <t>2026-02-04</t>
        </is>
      </c>
      <c r="B4444" s="194" t="inlineStr">
        <is>
          <t>CHF</t>
        </is>
      </c>
      <c r="C4444" s="194" t="inlineStr">
        <is>
          <t>SWISS FRANC</t>
        </is>
      </c>
      <c r="D4444" s="195" t="n">
        <v>32650.56</v>
      </c>
      <c r="E4444" s="195" t="n">
        <v>32980.36</v>
      </c>
      <c r="F4444" s="195" t="n">
        <v>34037.16</v>
      </c>
      <c r="G4444" s="195" t="n">
        <v>33508.76</v>
      </c>
    </row>
    <row r="4445">
      <c r="A4445" s="196" t="inlineStr">
        <is>
          <t>2026-02-04</t>
        </is>
      </c>
      <c r="B4445" s="196" t="inlineStr">
        <is>
          <t>CNY</t>
        </is>
      </c>
      <c r="C4445" s="196" t="inlineStr">
        <is>
          <t>YUAN RENMINBI</t>
        </is>
      </c>
      <c r="D4445" s="184" t="n">
        <v>3652.52</v>
      </c>
      <c r="E4445" s="184" t="n">
        <v>3689.42</v>
      </c>
      <c r="F4445" s="184" t="n">
        <v>3807.64</v>
      </c>
      <c r="G4445" s="184" t="n">
        <v>3748.53</v>
      </c>
    </row>
    <row r="4446">
      <c r="A4446" s="194" t="inlineStr">
        <is>
          <t>2026-02-04</t>
        </is>
      </c>
      <c r="B4446" s="194" t="inlineStr">
        <is>
          <t>DKK</t>
        </is>
      </c>
      <c r="C4446" s="194" t="inlineStr">
        <is>
          <t>DANISH KRONE</t>
        </is>
      </c>
      <c r="D4446" s="195" t="n"/>
      <c r="E4446" s="195" t="n">
        <v>4036.99</v>
      </c>
      <c r="F4446" s="195" t="n">
        <v>4191.43</v>
      </c>
      <c r="G4446" s="195" t="n">
        <v>4114.21</v>
      </c>
    </row>
    <row r="4447">
      <c r="A4447" s="196" t="inlineStr">
        <is>
          <t>2026-02-04</t>
        </is>
      </c>
      <c r="B4447" s="196" t="inlineStr">
        <is>
          <t>EUR</t>
        </is>
      </c>
      <c r="C4447" s="196" t="inlineStr">
        <is>
          <t>EURO</t>
        </is>
      </c>
      <c r="D4447" s="184" t="n">
        <v>29927.52</v>
      </c>
      <c r="E4447" s="184" t="n">
        <v>30229.82</v>
      </c>
      <c r="F4447" s="184" t="n">
        <v>31505.86</v>
      </c>
      <c r="G4447" s="184" t="n">
        <v>30867.84</v>
      </c>
    </row>
    <row r="4448">
      <c r="A4448" s="194" t="inlineStr">
        <is>
          <t>2026-02-04</t>
        </is>
      </c>
      <c r="B4448" s="194" t="inlineStr">
        <is>
          <t>GBP</t>
        </is>
      </c>
      <c r="C4448" s="194" t="inlineStr">
        <is>
          <t>POUND STERLING</t>
        </is>
      </c>
      <c r="D4448" s="195" t="n">
        <v>34685.32</v>
      </c>
      <c r="E4448" s="195" t="n">
        <v>35035.68</v>
      </c>
      <c r="F4448" s="195" t="n">
        <v>36158.34</v>
      </c>
      <c r="G4448" s="195" t="n">
        <v>35597.01</v>
      </c>
    </row>
    <row r="4449">
      <c r="A4449" s="196" t="inlineStr">
        <is>
          <t>2026-02-04</t>
        </is>
      </c>
      <c r="B4449" s="196" t="inlineStr">
        <is>
          <t>HKD</t>
        </is>
      </c>
      <c r="C4449" s="196" t="inlineStr">
        <is>
          <t>HONGKONG DOLLAR</t>
        </is>
      </c>
      <c r="D4449" s="184" t="n">
        <v>3233.48</v>
      </c>
      <c r="E4449" s="184" t="n">
        <v>3266.14</v>
      </c>
      <c r="F4449" s="184" t="n">
        <v>3391.09</v>
      </c>
      <c r="G4449" s="184" t="n">
        <v>3328.62</v>
      </c>
    </row>
    <row r="4450">
      <c r="A4450" s="194" t="inlineStr">
        <is>
          <t>2026-02-04</t>
        </is>
      </c>
      <c r="B4450" s="194" t="inlineStr">
        <is>
          <t>INR</t>
        </is>
      </c>
      <c r="C4450" s="194" t="inlineStr">
        <is>
          <t>INDIAN RUPEE</t>
        </is>
      </c>
      <c r="D4450" s="195" t="n"/>
      <c r="E4450" s="195" t="n">
        <v>285.99</v>
      </c>
      <c r="F4450" s="195" t="n">
        <v>298.31</v>
      </c>
      <c r="G4450" s="195" t="n">
        <v>292.15</v>
      </c>
    </row>
    <row r="4451">
      <c r="A4451" s="196" t="inlineStr">
        <is>
          <t>2026-02-04</t>
        </is>
      </c>
      <c r="B4451" s="196" t="inlineStr">
        <is>
          <t>JPY</t>
        </is>
      </c>
      <c r="C4451" s="196" t="inlineStr">
        <is>
          <t>YEN</t>
        </is>
      </c>
      <c r="D4451" s="184" t="n">
        <v>160.9</v>
      </c>
      <c r="E4451" s="184" t="n">
        <v>162.53</v>
      </c>
      <c r="F4451" s="184" t="n">
        <v>171.13</v>
      </c>
      <c r="G4451" s="184" t="n">
        <v>166.83</v>
      </c>
    </row>
    <row r="4452">
      <c r="A4452" s="194" t="inlineStr">
        <is>
          <t>2026-02-04</t>
        </is>
      </c>
      <c r="B4452" s="194" t="inlineStr">
        <is>
          <t>KRW</t>
        </is>
      </c>
      <c r="C4452" s="194" t="inlineStr">
        <is>
          <t>KOREAN WON</t>
        </is>
      </c>
      <c r="D4452" s="195" t="n">
        <v>15.49</v>
      </c>
      <c r="E4452" s="195" t="n">
        <v>17.21</v>
      </c>
      <c r="F4452" s="195" t="n">
        <v>18.67</v>
      </c>
      <c r="G4452" s="195" t="n">
        <v>17.94</v>
      </c>
    </row>
    <row r="4453">
      <c r="A4453" s="196" t="inlineStr">
        <is>
          <t>2026-02-04</t>
        </is>
      </c>
      <c r="B4453" s="196" t="inlineStr">
        <is>
          <t>KWD</t>
        </is>
      </c>
      <c r="C4453" s="196" t="inlineStr">
        <is>
          <t>KUWAITI DINAR</t>
        </is>
      </c>
      <c r="D4453" s="184" t="n"/>
      <c r="E4453" s="184" t="n">
        <v>84645.53</v>
      </c>
      <c r="F4453" s="184" t="n">
        <v>88749.73</v>
      </c>
      <c r="G4453" s="184" t="n">
        <v>86697.63</v>
      </c>
    </row>
    <row r="4454">
      <c r="A4454" s="194" t="inlineStr">
        <is>
          <t>2026-02-04</t>
        </is>
      </c>
      <c r="B4454" s="194" t="inlineStr">
        <is>
          <t>MYR</t>
        </is>
      </c>
      <c r="C4454" s="194" t="inlineStr">
        <is>
          <t>MALAYSIAN RINGGIT</t>
        </is>
      </c>
      <c r="D4454" s="195" t="n"/>
      <c r="E4454" s="195" t="n">
        <v>6548.57</v>
      </c>
      <c r="F4454" s="195" t="n">
        <v>6691.15</v>
      </c>
      <c r="G4454" s="195" t="n">
        <v>6619.86</v>
      </c>
    </row>
    <row r="4455">
      <c r="A4455" s="196" t="inlineStr">
        <is>
          <t>2026-02-04</t>
        </is>
      </c>
      <c r="B4455" s="196" t="inlineStr">
        <is>
          <t>NOK</t>
        </is>
      </c>
      <c r="C4455" s="196" t="inlineStr">
        <is>
          <t>NORWEGIAN KRONER</t>
        </is>
      </c>
      <c r="D4455" s="184" t="n"/>
      <c r="E4455" s="184" t="n">
        <v>2642.56</v>
      </c>
      <c r="F4455" s="184" t="n">
        <v>2754.66</v>
      </c>
      <c r="G4455" s="184" t="n">
        <v>2698.61</v>
      </c>
    </row>
    <row r="4456">
      <c r="A4456" s="194" t="inlineStr">
        <is>
          <t>2026-02-04</t>
        </is>
      </c>
      <c r="B4456" s="194" t="inlineStr">
        <is>
          <t>RUB</t>
        </is>
      </c>
      <c r="C4456" s="194" t="inlineStr">
        <is>
          <t>RUSSIAN RUBLE</t>
        </is>
      </c>
      <c r="D4456" s="195" t="n"/>
      <c r="E4456" s="195" t="n">
        <v>321.35</v>
      </c>
      <c r="F4456" s="195" t="n">
        <v>355.73</v>
      </c>
      <c r="G4456" s="195" t="n">
        <v>338.54</v>
      </c>
    </row>
    <row r="4457">
      <c r="A4457" s="196" t="inlineStr">
        <is>
          <t>2026-02-04</t>
        </is>
      </c>
      <c r="B4457" s="196" t="inlineStr">
        <is>
          <t>SAR</t>
        </is>
      </c>
      <c r="C4457" s="196" t="inlineStr">
        <is>
          <t>SAUDI RIAL</t>
        </is>
      </c>
      <c r="D4457" s="184" t="n"/>
      <c r="E4457" s="184" t="n">
        <v>6895.37</v>
      </c>
      <c r="F4457" s="184" t="n">
        <v>7192.25</v>
      </c>
      <c r="G4457" s="184" t="n">
        <v>7043.81</v>
      </c>
    </row>
    <row r="4458">
      <c r="A4458" s="194" t="inlineStr">
        <is>
          <t>2026-02-04</t>
        </is>
      </c>
      <c r="B4458" s="194" t="inlineStr">
        <is>
          <t>SEK</t>
        </is>
      </c>
      <c r="C4458" s="194" t="inlineStr">
        <is>
          <t>SWEDISH KRONA</t>
        </is>
      </c>
      <c r="D4458" s="195" t="n"/>
      <c r="E4458" s="195" t="n">
        <v>2859.55</v>
      </c>
      <c r="F4458" s="195" t="n">
        <v>2980.85</v>
      </c>
      <c r="G4458" s="195" t="n">
        <v>2920.2</v>
      </c>
    </row>
    <row r="4459">
      <c r="A4459" s="196" t="inlineStr">
        <is>
          <t>2026-02-04</t>
        </is>
      </c>
      <c r="B4459" s="196" t="inlineStr">
        <is>
          <t>SGD</t>
        </is>
      </c>
      <c r="C4459" s="196" t="inlineStr">
        <is>
          <t>SINGAPORE DOLLAR</t>
        </is>
      </c>
      <c r="D4459" s="184" t="n">
        <v>19934.76</v>
      </c>
      <c r="E4459" s="184" t="n">
        <v>20136.13</v>
      </c>
      <c r="F4459" s="184" t="n">
        <v>20822.97</v>
      </c>
      <c r="G4459" s="184" t="n">
        <v>20479.55</v>
      </c>
    </row>
    <row r="4460">
      <c r="A4460" s="194" t="inlineStr">
        <is>
          <t>2026-02-04</t>
        </is>
      </c>
      <c r="B4460" s="194" t="inlineStr">
        <is>
          <t>THB</t>
        </is>
      </c>
      <c r="C4460" s="194" t="inlineStr">
        <is>
          <t>THAILAND BAHT</t>
        </is>
      </c>
      <c r="D4460" s="195" t="n">
        <v>724.28</v>
      </c>
      <c r="E4460" s="195" t="n">
        <v>804.76</v>
      </c>
      <c r="F4460" s="195" t="n">
        <v>838.89</v>
      </c>
      <c r="G4460" s="195" t="n">
        <v>821.8200000000001</v>
      </c>
    </row>
    <row r="4461">
      <c r="A4461" s="196" t="inlineStr">
        <is>
          <t>2026-02-04</t>
        </is>
      </c>
      <c r="B4461" s="196" t="inlineStr">
        <is>
          <t>USD</t>
        </is>
      </c>
      <c r="C4461" s="196" t="inlineStr">
        <is>
          <t>US DOLLAR</t>
        </is>
      </c>
      <c r="D4461" s="184" t="n">
        <v>25790</v>
      </c>
      <c r="E4461" s="184" t="n">
        <v>25820</v>
      </c>
      <c r="F4461" s="184" t="n">
        <v>26180</v>
      </c>
      <c r="G4461" s="184" t="n">
        <v>26000</v>
      </c>
    </row>
    <row r="4462">
      <c r="A4462" s="194" t="inlineStr">
        <is>
          <t>2026-02-03</t>
        </is>
      </c>
      <c r="B4462" s="194" t="inlineStr">
        <is>
          <t>AUD</t>
        </is>
      </c>
      <c r="C4462" s="194" t="inlineStr">
        <is>
          <t>AUSTRALIAN DOLLAR</t>
        </is>
      </c>
      <c r="D4462" s="195" t="n">
        <v>17655.54</v>
      </c>
      <c r="E4462" s="195" t="n">
        <v>17833.88</v>
      </c>
      <c r="F4462" s="195" t="n">
        <v>18405.34</v>
      </c>
      <c r="G4462" s="195" t="n">
        <v>18119.61</v>
      </c>
    </row>
    <row r="4463">
      <c r="A4463" s="196" t="inlineStr">
        <is>
          <t>2026-02-03</t>
        </is>
      </c>
      <c r="B4463" s="196" t="inlineStr">
        <is>
          <t>CAD</t>
        </is>
      </c>
      <c r="C4463" s="196" t="inlineStr">
        <is>
          <t>CANADIAN DOLLAR</t>
        </is>
      </c>
      <c r="D4463" s="184" t="n">
        <v>18541.08</v>
      </c>
      <c r="E4463" s="184" t="n">
        <v>18728.37</v>
      </c>
      <c r="F4463" s="184" t="n">
        <v>19328.49</v>
      </c>
      <c r="G4463" s="184" t="n">
        <v>19028.43</v>
      </c>
    </row>
    <row r="4464">
      <c r="A4464" s="194" t="inlineStr">
        <is>
          <t>2026-02-03</t>
        </is>
      </c>
      <c r="B4464" s="194" t="inlineStr">
        <is>
          <t>CHF</t>
        </is>
      </c>
      <c r="C4464" s="194" t="inlineStr">
        <is>
          <t>SWISS FRANC</t>
        </is>
      </c>
      <c r="D4464" s="195" t="n">
        <v>32558.27</v>
      </c>
      <c r="E4464" s="195" t="n">
        <v>32887.14</v>
      </c>
      <c r="F4464" s="195" t="n">
        <v>33940.95</v>
      </c>
      <c r="G4464" s="195" t="n">
        <v>33414.04</v>
      </c>
    </row>
    <row r="4465">
      <c r="A4465" s="196" t="inlineStr">
        <is>
          <t>2026-02-03</t>
        </is>
      </c>
      <c r="B4465" s="196" t="inlineStr">
        <is>
          <t>CNY</t>
        </is>
      </c>
      <c r="C4465" s="196" t="inlineStr">
        <is>
          <t>YUAN RENMINBI</t>
        </is>
      </c>
      <c r="D4465" s="184" t="n">
        <v>3651.52</v>
      </c>
      <c r="E4465" s="184" t="n">
        <v>3688.41</v>
      </c>
      <c r="F4465" s="184" t="n">
        <v>3806.59</v>
      </c>
      <c r="G4465" s="184" t="n">
        <v>3747.5</v>
      </c>
    </row>
    <row r="4466">
      <c r="A4466" s="194" t="inlineStr">
        <is>
          <t>2026-02-03</t>
        </is>
      </c>
      <c r="B4466" s="194" t="inlineStr">
        <is>
          <t>DKK</t>
        </is>
      </c>
      <c r="C4466" s="194" t="inlineStr">
        <is>
          <t>DANISH KRONE</t>
        </is>
      </c>
      <c r="D4466" s="195" t="n"/>
      <c r="E4466" s="195" t="n">
        <v>4036.22</v>
      </c>
      <c r="F4466" s="195" t="n">
        <v>4190.63</v>
      </c>
      <c r="G4466" s="195" t="n">
        <v>4113.42</v>
      </c>
    </row>
    <row r="4467">
      <c r="A4467" s="196" t="inlineStr">
        <is>
          <t>2026-02-03</t>
        </is>
      </c>
      <c r="B4467" s="196" t="inlineStr">
        <is>
          <t>EUR</t>
        </is>
      </c>
      <c r="C4467" s="196" t="inlineStr">
        <is>
          <t>EURO</t>
        </is>
      </c>
      <c r="D4467" s="184" t="n">
        <v>29917.39</v>
      </c>
      <c r="E4467" s="184" t="n">
        <v>30219.59</v>
      </c>
      <c r="F4467" s="184" t="n">
        <v>31495.19</v>
      </c>
      <c r="G4467" s="184" t="n">
        <v>30857.39</v>
      </c>
    </row>
    <row r="4468">
      <c r="A4468" s="194" t="inlineStr">
        <is>
          <t>2026-02-03</t>
        </is>
      </c>
      <c r="B4468" s="194" t="inlineStr">
        <is>
          <t>GBP</t>
        </is>
      </c>
      <c r="C4468" s="194" t="inlineStr">
        <is>
          <t>POUND STERLING</t>
        </is>
      </c>
      <c r="D4468" s="195" t="n">
        <v>34659.99</v>
      </c>
      <c r="E4468" s="195" t="n">
        <v>35010.09</v>
      </c>
      <c r="F4468" s="195" t="n">
        <v>36131.93</v>
      </c>
      <c r="G4468" s="195" t="n">
        <v>35571.01</v>
      </c>
    </row>
    <row r="4469">
      <c r="A4469" s="196" t="inlineStr">
        <is>
          <t>2026-02-03</t>
        </is>
      </c>
      <c r="B4469" s="196" t="inlineStr">
        <is>
          <t>HKD</t>
        </is>
      </c>
      <c r="C4469" s="196" t="inlineStr">
        <is>
          <t>HONGKONG DOLLAR</t>
        </is>
      </c>
      <c r="D4469" s="184" t="n">
        <v>3234.51</v>
      </c>
      <c r="E4469" s="184" t="n">
        <v>3267.18</v>
      </c>
      <c r="F4469" s="184" t="n">
        <v>3392.17</v>
      </c>
      <c r="G4469" s="184" t="n">
        <v>3329.68</v>
      </c>
    </row>
    <row r="4470">
      <c r="A4470" s="194" t="inlineStr">
        <is>
          <t>2026-02-03</t>
        </is>
      </c>
      <c r="B4470" s="194" t="inlineStr">
        <is>
          <t>INR</t>
        </is>
      </c>
      <c r="C4470" s="194" t="inlineStr">
        <is>
          <t>INDIAN RUPEE</t>
        </is>
      </c>
      <c r="D4470" s="195" t="n"/>
      <c r="E4470" s="195" t="n">
        <v>286.2</v>
      </c>
      <c r="F4470" s="195" t="n">
        <v>298.52</v>
      </c>
      <c r="G4470" s="195" t="n">
        <v>292.36</v>
      </c>
    </row>
    <row r="4471">
      <c r="A4471" s="196" t="inlineStr">
        <is>
          <t>2026-02-03</t>
        </is>
      </c>
      <c r="B4471" s="196" t="inlineStr">
        <is>
          <t>JPY</t>
        </is>
      </c>
      <c r="C4471" s="196" t="inlineStr">
        <is>
          <t>YEN</t>
        </is>
      </c>
      <c r="D4471" s="184" t="n">
        <v>161.41</v>
      </c>
      <c r="E4471" s="184" t="n">
        <v>163.04</v>
      </c>
      <c r="F4471" s="184" t="n">
        <v>171.67</v>
      </c>
      <c r="G4471" s="184" t="n">
        <v>167.36</v>
      </c>
    </row>
    <row r="4472">
      <c r="A4472" s="194" t="inlineStr">
        <is>
          <t>2026-02-03</t>
        </is>
      </c>
      <c r="B4472" s="194" t="inlineStr">
        <is>
          <t>KRW</t>
        </is>
      </c>
      <c r="C4472" s="194" t="inlineStr">
        <is>
          <t>KOREAN WON</t>
        </is>
      </c>
      <c r="D4472" s="195" t="n">
        <v>15.52</v>
      </c>
      <c r="E4472" s="195" t="n">
        <v>17.24</v>
      </c>
      <c r="F4472" s="195" t="n">
        <v>18.71</v>
      </c>
      <c r="G4472" s="195" t="n">
        <v>17.98</v>
      </c>
    </row>
    <row r="4473">
      <c r="A4473" s="196" t="inlineStr">
        <is>
          <t>2026-02-03</t>
        </is>
      </c>
      <c r="B4473" s="196" t="inlineStr">
        <is>
          <t>KWD</t>
        </is>
      </c>
      <c r="C4473" s="196" t="inlineStr">
        <is>
          <t>KUWAITI DINAR</t>
        </is>
      </c>
      <c r="D4473" s="184" t="n"/>
      <c r="E4473" s="184" t="n">
        <v>84701</v>
      </c>
      <c r="F4473" s="184" t="n">
        <v>88807.89</v>
      </c>
      <c r="G4473" s="184" t="n">
        <v>86754.44</v>
      </c>
    </row>
    <row r="4474">
      <c r="A4474" s="194" t="inlineStr">
        <is>
          <t>2026-02-03</t>
        </is>
      </c>
      <c r="B4474" s="194" t="inlineStr">
        <is>
          <t>MYR</t>
        </is>
      </c>
      <c r="C4474" s="194" t="inlineStr">
        <is>
          <t>MALAYSIAN RINGGIT</t>
        </is>
      </c>
      <c r="D4474" s="195" t="n"/>
      <c r="E4474" s="195" t="n">
        <v>6525.31</v>
      </c>
      <c r="F4474" s="195" t="n">
        <v>6667.38</v>
      </c>
      <c r="G4474" s="195" t="n">
        <v>6596.34</v>
      </c>
    </row>
    <row r="4475">
      <c r="A4475" s="196" t="inlineStr">
        <is>
          <t>2026-02-03</t>
        </is>
      </c>
      <c r="B4475" s="196" t="inlineStr">
        <is>
          <t>NOK</t>
        </is>
      </c>
      <c r="C4475" s="196" t="inlineStr">
        <is>
          <t>NORWEGIAN KRONER</t>
        </is>
      </c>
      <c r="D4475" s="184" t="n"/>
      <c r="E4475" s="184" t="n">
        <v>2631.15</v>
      </c>
      <c r="F4475" s="184" t="n">
        <v>2742.76</v>
      </c>
      <c r="G4475" s="184" t="n">
        <v>2686.96</v>
      </c>
    </row>
    <row r="4476">
      <c r="A4476" s="194" t="inlineStr">
        <is>
          <t>2026-02-03</t>
        </is>
      </c>
      <c r="B4476" s="194" t="inlineStr">
        <is>
          <t>RUB</t>
        </is>
      </c>
      <c r="C4476" s="194" t="inlineStr">
        <is>
          <t>RUSSIAN RUBLE</t>
        </is>
      </c>
      <c r="D4476" s="195" t="n"/>
      <c r="E4476" s="195" t="n">
        <v>322.59</v>
      </c>
      <c r="F4476" s="195" t="n">
        <v>357.1</v>
      </c>
      <c r="G4476" s="195" t="n">
        <v>339.84</v>
      </c>
    </row>
    <row r="4477">
      <c r="A4477" s="196" t="inlineStr">
        <is>
          <t>2026-02-03</t>
        </is>
      </c>
      <c r="B4477" s="196" t="inlineStr">
        <is>
          <t>SAR</t>
        </is>
      </c>
      <c r="C4477" s="196" t="inlineStr">
        <is>
          <t>SAUDI RIAL</t>
        </is>
      </c>
      <c r="D4477" s="184" t="n"/>
      <c r="E4477" s="184" t="n">
        <v>6893.35</v>
      </c>
      <c r="F4477" s="184" t="n">
        <v>7190.14</v>
      </c>
      <c r="G4477" s="184" t="n">
        <v>7041.75</v>
      </c>
    </row>
    <row r="4478">
      <c r="A4478" s="194" t="inlineStr">
        <is>
          <t>2026-02-03</t>
        </is>
      </c>
      <c r="B4478" s="194" t="inlineStr">
        <is>
          <t>SEK</t>
        </is>
      </c>
      <c r="C4478" s="194" t="inlineStr">
        <is>
          <t>SWEDISH KRONA</t>
        </is>
      </c>
      <c r="D4478" s="195" t="n"/>
      <c r="E4478" s="195" t="n">
        <v>2848.42</v>
      </c>
      <c r="F4478" s="195" t="n">
        <v>2969.25</v>
      </c>
      <c r="G4478" s="195" t="n">
        <v>2908.84</v>
      </c>
    </row>
    <row r="4479">
      <c r="A4479" s="196" t="inlineStr">
        <is>
          <t>2026-02-03</t>
        </is>
      </c>
      <c r="B4479" s="196" t="inlineStr">
        <is>
          <t>SGD</t>
        </is>
      </c>
      <c r="C4479" s="196" t="inlineStr">
        <is>
          <t>SINGAPORE DOLLAR</t>
        </is>
      </c>
      <c r="D4479" s="184" t="n">
        <v>19923.78</v>
      </c>
      <c r="E4479" s="184" t="n">
        <v>20125.03</v>
      </c>
      <c r="F4479" s="184" t="n">
        <v>20811.5</v>
      </c>
      <c r="G4479" s="184" t="n">
        <v>20468.26</v>
      </c>
    </row>
    <row r="4480">
      <c r="A4480" s="194" t="inlineStr">
        <is>
          <t>2026-02-03</t>
        </is>
      </c>
      <c r="B4480" s="194" t="inlineStr">
        <is>
          <t>THB</t>
        </is>
      </c>
      <c r="C4480" s="194" t="inlineStr">
        <is>
          <t>THAILAND BAHT</t>
        </is>
      </c>
      <c r="D4480" s="195" t="n">
        <v>728.42</v>
      </c>
      <c r="E4480" s="195" t="n">
        <v>809.36</v>
      </c>
      <c r="F4480" s="195" t="n">
        <v>843.6900000000001</v>
      </c>
      <c r="G4480" s="195" t="n">
        <v>826.53</v>
      </c>
    </row>
    <row r="4481">
      <c r="A4481" s="196" t="inlineStr">
        <is>
          <t>2026-02-03</t>
        </is>
      </c>
      <c r="B4481" s="196" t="inlineStr">
        <is>
          <t>USD</t>
        </is>
      </c>
      <c r="C4481" s="196" t="inlineStr">
        <is>
          <t>US DOLLAR</t>
        </is>
      </c>
      <c r="D4481" s="184" t="n">
        <v>25790</v>
      </c>
      <c r="E4481" s="184" t="n">
        <v>25820</v>
      </c>
      <c r="F4481" s="184" t="n">
        <v>26180</v>
      </c>
      <c r="G4481" s="184" t="n">
        <v>26000</v>
      </c>
    </row>
    <row r="4482">
      <c r="A4482" s="194" t="inlineStr">
        <is>
          <t>2026-02-02</t>
        </is>
      </c>
      <c r="B4482" s="194" t="inlineStr">
        <is>
          <t>AUD</t>
        </is>
      </c>
      <c r="C4482" s="194" t="inlineStr">
        <is>
          <t>AUSTRALIAN DOLLAR</t>
        </is>
      </c>
      <c r="D4482" s="195" t="n">
        <v>17561.8</v>
      </c>
      <c r="E4482" s="195" t="n">
        <v>17739.2</v>
      </c>
      <c r="F4482" s="195" t="n">
        <v>18307.62</v>
      </c>
      <c r="G4482" s="195" t="n">
        <v>18023.41</v>
      </c>
    </row>
    <row r="4483">
      <c r="A4483" s="196" t="inlineStr">
        <is>
          <t>2026-02-02</t>
        </is>
      </c>
      <c r="B4483" s="196" t="inlineStr">
        <is>
          <t>CAD</t>
        </is>
      </c>
      <c r="C4483" s="196" t="inlineStr">
        <is>
          <t>CANADIAN DOLLAR</t>
        </is>
      </c>
      <c r="D4483" s="184" t="n">
        <v>18554.66</v>
      </c>
      <c r="E4483" s="184" t="n">
        <v>18742.08</v>
      </c>
      <c r="F4483" s="184" t="n">
        <v>19342.64</v>
      </c>
      <c r="G4483" s="184" t="n">
        <v>19042.36</v>
      </c>
    </row>
    <row r="4484">
      <c r="A4484" s="194" t="inlineStr">
        <is>
          <t>2026-02-02</t>
        </is>
      </c>
      <c r="B4484" s="194" t="inlineStr">
        <is>
          <t>CHF</t>
        </is>
      </c>
      <c r="C4484" s="194" t="inlineStr">
        <is>
          <t>SWISS FRANC</t>
        </is>
      </c>
      <c r="D4484" s="195" t="n">
        <v>32798.47</v>
      </c>
      <c r="E4484" s="195" t="n">
        <v>33129.77</v>
      </c>
      <c r="F4484" s="195" t="n">
        <v>34191.36</v>
      </c>
      <c r="G4484" s="195" t="n">
        <v>33660.56</v>
      </c>
    </row>
    <row r="4485">
      <c r="A4485" s="196" t="inlineStr">
        <is>
          <t>2026-02-02</t>
        </is>
      </c>
      <c r="B4485" s="196" t="inlineStr">
        <is>
          <t>CNY</t>
        </is>
      </c>
      <c r="C4485" s="196" t="inlineStr">
        <is>
          <t>YUAN RENMINBI</t>
        </is>
      </c>
      <c r="D4485" s="184" t="n">
        <v>3644.9</v>
      </c>
      <c r="E4485" s="184" t="n">
        <v>3681.72</v>
      </c>
      <c r="F4485" s="184" t="n">
        <v>3799.7</v>
      </c>
      <c r="G4485" s="184" t="n">
        <v>3740.71</v>
      </c>
    </row>
    <row r="4486">
      <c r="A4486" s="194" t="inlineStr">
        <is>
          <t>2026-02-02</t>
        </is>
      </c>
      <c r="B4486" s="194" t="inlineStr">
        <is>
          <t>DKK</t>
        </is>
      </c>
      <c r="C4486" s="194" t="inlineStr">
        <is>
          <t>DANISH KRONE</t>
        </is>
      </c>
      <c r="D4486" s="195" t="n"/>
      <c r="E4486" s="195" t="n">
        <v>4052.18</v>
      </c>
      <c r="F4486" s="195" t="n">
        <v>4207.2</v>
      </c>
      <c r="G4486" s="195" t="n">
        <v>4129.69</v>
      </c>
    </row>
    <row r="4487">
      <c r="A4487" s="196" t="inlineStr">
        <is>
          <t>2026-02-02</t>
        </is>
      </c>
      <c r="B4487" s="196" t="inlineStr">
        <is>
          <t>EUR</t>
        </is>
      </c>
      <c r="C4487" s="196" t="inlineStr">
        <is>
          <t>EURO</t>
        </is>
      </c>
      <c r="D4487" s="184" t="n">
        <v>30033.93</v>
      </c>
      <c r="E4487" s="184" t="n">
        <v>30337.3</v>
      </c>
      <c r="F4487" s="184" t="n">
        <v>31617.88</v>
      </c>
      <c r="G4487" s="184" t="n">
        <v>30977.59</v>
      </c>
    </row>
    <row r="4488">
      <c r="A4488" s="194" t="inlineStr">
        <is>
          <t>2026-02-02</t>
        </is>
      </c>
      <c r="B4488" s="194" t="inlineStr">
        <is>
          <t>GBP</t>
        </is>
      </c>
      <c r="C4488" s="194" t="inlineStr">
        <is>
          <t>POUND STERLING</t>
        </is>
      </c>
      <c r="D4488" s="195" t="n">
        <v>34652.39</v>
      </c>
      <c r="E4488" s="195" t="n">
        <v>35002.41</v>
      </c>
      <c r="F4488" s="195" t="n">
        <v>36124.01</v>
      </c>
      <c r="G4488" s="195" t="n">
        <v>35563.21</v>
      </c>
    </row>
    <row r="4489">
      <c r="A4489" s="196" t="inlineStr">
        <is>
          <t>2026-02-02</t>
        </is>
      </c>
      <c r="B4489" s="196" t="inlineStr">
        <is>
          <t>HKD</t>
        </is>
      </c>
      <c r="C4489" s="196" t="inlineStr">
        <is>
          <t>HONGKONG DOLLAR</t>
        </is>
      </c>
      <c r="D4489" s="184" t="n">
        <v>3235.3</v>
      </c>
      <c r="E4489" s="184" t="n">
        <v>3267.98</v>
      </c>
      <c r="F4489" s="184" t="n">
        <v>3393</v>
      </c>
      <c r="G4489" s="184" t="n">
        <v>3330.49</v>
      </c>
    </row>
    <row r="4490">
      <c r="A4490" s="194" t="inlineStr">
        <is>
          <t>2026-02-02</t>
        </is>
      </c>
      <c r="B4490" s="194" t="inlineStr">
        <is>
          <t>INR</t>
        </is>
      </c>
      <c r="C4490" s="194" t="inlineStr">
        <is>
          <t>INDIAN RUPEE</t>
        </is>
      </c>
      <c r="D4490" s="195" t="n"/>
      <c r="E4490" s="195" t="n">
        <v>282.37</v>
      </c>
      <c r="F4490" s="195" t="n">
        <v>294.52</v>
      </c>
      <c r="G4490" s="195" t="n">
        <v>288.44</v>
      </c>
    </row>
    <row r="4491">
      <c r="A4491" s="196" t="inlineStr">
        <is>
          <t>2026-02-02</t>
        </is>
      </c>
      <c r="B4491" s="196" t="inlineStr">
        <is>
          <t>JPY</t>
        </is>
      </c>
      <c r="C4491" s="196" t="inlineStr">
        <is>
          <t>YEN</t>
        </is>
      </c>
      <c r="D4491" s="184" t="n">
        <v>162.18</v>
      </c>
      <c r="E4491" s="184" t="n">
        <v>163.82</v>
      </c>
      <c r="F4491" s="184" t="n">
        <v>172.49</v>
      </c>
      <c r="G4491" s="184" t="n">
        <v>168.16</v>
      </c>
    </row>
    <row r="4492">
      <c r="A4492" s="194" t="inlineStr">
        <is>
          <t>2026-02-02</t>
        </is>
      </c>
      <c r="B4492" s="194" t="inlineStr">
        <is>
          <t>KRW</t>
        </is>
      </c>
      <c r="C4492" s="194" t="inlineStr">
        <is>
          <t>KOREAN WON</t>
        </is>
      </c>
      <c r="D4492" s="195" t="n">
        <v>15.39</v>
      </c>
      <c r="E4492" s="195" t="n">
        <v>17.1</v>
      </c>
      <c r="F4492" s="195" t="n">
        <v>18.55</v>
      </c>
      <c r="G4492" s="195" t="n">
        <v>17.83</v>
      </c>
    </row>
    <row r="4493">
      <c r="A4493" s="196" t="inlineStr">
        <is>
          <t>2026-02-02</t>
        </is>
      </c>
      <c r="B4493" s="196" t="inlineStr">
        <is>
          <t>KWD</t>
        </is>
      </c>
      <c r="C4493" s="196" t="inlineStr">
        <is>
          <t>KUWAITI DINAR</t>
        </is>
      </c>
      <c r="D4493" s="184" t="n"/>
      <c r="E4493" s="184" t="n">
        <v>84701</v>
      </c>
      <c r="F4493" s="184" t="n">
        <v>88807.89</v>
      </c>
      <c r="G4493" s="184" t="n">
        <v>86754.44</v>
      </c>
    </row>
    <row r="4494">
      <c r="A4494" s="194" t="inlineStr">
        <is>
          <t>2026-02-02</t>
        </is>
      </c>
      <c r="B4494" s="194" t="inlineStr">
        <is>
          <t>MYR</t>
        </is>
      </c>
      <c r="C4494" s="194" t="inlineStr">
        <is>
          <t>MALAYSIAN RINGGIT</t>
        </is>
      </c>
      <c r="D4494" s="195" t="n"/>
      <c r="E4494" s="195" t="n">
        <v>6530.28</v>
      </c>
      <c r="F4494" s="195" t="n">
        <v>6672.46</v>
      </c>
      <c r="G4494" s="195" t="n">
        <v>6601.37</v>
      </c>
    </row>
    <row r="4495">
      <c r="A4495" s="196" t="inlineStr">
        <is>
          <t>2026-02-02</t>
        </is>
      </c>
      <c r="B4495" s="196" t="inlineStr">
        <is>
          <t>NOK</t>
        </is>
      </c>
      <c r="C4495" s="196" t="inlineStr">
        <is>
          <t>NORWEGIAN KRONER</t>
        </is>
      </c>
      <c r="D4495" s="184" t="n"/>
      <c r="E4495" s="184" t="n">
        <v>2627.68</v>
      </c>
      <c r="F4495" s="184" t="n">
        <v>2739.14</v>
      </c>
      <c r="G4495" s="184" t="n">
        <v>2683.41</v>
      </c>
    </row>
    <row r="4496">
      <c r="A4496" s="194" t="inlineStr">
        <is>
          <t>2026-02-02</t>
        </is>
      </c>
      <c r="B4496" s="194" t="inlineStr">
        <is>
          <t>RUB</t>
        </is>
      </c>
      <c r="C4496" s="194" t="inlineStr">
        <is>
          <t>RUSSIAN RUBLE</t>
        </is>
      </c>
      <c r="D4496" s="195" t="n"/>
      <c r="E4496" s="195" t="n">
        <v>322.17</v>
      </c>
      <c r="F4496" s="195" t="n">
        <v>356.63</v>
      </c>
      <c r="G4496" s="195" t="n">
        <v>339.4</v>
      </c>
    </row>
    <row r="4497">
      <c r="A4497" s="196" t="inlineStr">
        <is>
          <t>2026-02-02</t>
        </is>
      </c>
      <c r="B4497" s="196" t="inlineStr">
        <is>
          <t>SAR</t>
        </is>
      </c>
      <c r="C4497" s="196" t="inlineStr">
        <is>
          <t>SAUDI RIAL</t>
        </is>
      </c>
      <c r="D4497" s="184" t="n"/>
      <c r="E4497" s="184" t="n">
        <v>6892.61</v>
      </c>
      <c r="F4497" s="184" t="n">
        <v>7189.37</v>
      </c>
      <c r="G4497" s="184" t="n">
        <v>7040.99</v>
      </c>
    </row>
    <row r="4498">
      <c r="A4498" s="194" t="inlineStr">
        <is>
          <t>2026-02-02</t>
        </is>
      </c>
      <c r="B4498" s="194" t="inlineStr">
        <is>
          <t>SEK</t>
        </is>
      </c>
      <c r="C4498" s="194" t="inlineStr">
        <is>
          <t>SWEDISH KRONA</t>
        </is>
      </c>
      <c r="D4498" s="195" t="n"/>
      <c r="E4498" s="195" t="n">
        <v>2854.2</v>
      </c>
      <c r="F4498" s="195" t="n">
        <v>2975.27</v>
      </c>
      <c r="G4498" s="195" t="n">
        <v>2914.73</v>
      </c>
    </row>
    <row r="4499">
      <c r="A4499" s="196" t="inlineStr">
        <is>
          <t>2026-02-02</t>
        </is>
      </c>
      <c r="B4499" s="196" t="inlineStr">
        <is>
          <t>SGD</t>
        </is>
      </c>
      <c r="C4499" s="196" t="inlineStr">
        <is>
          <t>SINGAPORE DOLLAR</t>
        </is>
      </c>
      <c r="D4499" s="184" t="n">
        <v>19898.72</v>
      </c>
      <c r="E4499" s="184" t="n">
        <v>20099.72</v>
      </c>
      <c r="F4499" s="184" t="n">
        <v>20785.32</v>
      </c>
      <c r="G4499" s="184" t="n">
        <v>20442.52</v>
      </c>
    </row>
    <row r="4500">
      <c r="A4500" s="194" t="inlineStr">
        <is>
          <t>2026-02-02</t>
        </is>
      </c>
      <c r="B4500" s="194" t="inlineStr">
        <is>
          <t>THB</t>
        </is>
      </c>
      <c r="C4500" s="194" t="inlineStr">
        <is>
          <t>THAILAND BAHT</t>
        </is>
      </c>
      <c r="D4500" s="195" t="n">
        <v>723.6</v>
      </c>
      <c r="E4500" s="195" t="n">
        <v>804</v>
      </c>
      <c r="F4500" s="195" t="n">
        <v>838.1</v>
      </c>
      <c r="G4500" s="195" t="n">
        <v>821.05</v>
      </c>
    </row>
    <row r="4501">
      <c r="A4501" s="196" t="inlineStr">
        <is>
          <t>2026-02-02</t>
        </is>
      </c>
      <c r="B4501" s="196" t="inlineStr">
        <is>
          <t>USD</t>
        </is>
      </c>
      <c r="C4501" s="196" t="inlineStr">
        <is>
          <t>US DOLLAR</t>
        </is>
      </c>
      <c r="D4501" s="184" t="n">
        <v>25790</v>
      </c>
      <c r="E4501" s="184" t="n">
        <v>25820</v>
      </c>
      <c r="F4501" s="184" t="n">
        <v>26180</v>
      </c>
      <c r="G4501" s="184" t="n">
        <v>26000</v>
      </c>
    </row>
    <row r="4502">
      <c r="A4502" s="194" t="inlineStr">
        <is>
          <t>2026-02-01</t>
        </is>
      </c>
      <c r="B4502" s="194" t="inlineStr">
        <is>
          <t>AUD</t>
        </is>
      </c>
      <c r="C4502" s="194" t="inlineStr">
        <is>
          <t>AUSTRALIAN DOLLAR</t>
        </is>
      </c>
      <c r="D4502" s="195" t="n">
        <v>17605.44</v>
      </c>
      <c r="E4502" s="195" t="n">
        <v>17783.28</v>
      </c>
      <c r="F4502" s="195" t="n">
        <v>18353.19</v>
      </c>
      <c r="G4502" s="195" t="n">
        <v>18068.24</v>
      </c>
    </row>
    <row r="4503">
      <c r="A4503" s="196" t="inlineStr">
        <is>
          <t>2026-02-01</t>
        </is>
      </c>
      <c r="B4503" s="196" t="inlineStr">
        <is>
          <t>CAD</t>
        </is>
      </c>
      <c r="C4503" s="196" t="inlineStr">
        <is>
          <t>CANADIAN DOLLAR</t>
        </is>
      </c>
      <c r="D4503" s="184" t="n">
        <v>18649.42</v>
      </c>
      <c r="E4503" s="184" t="n">
        <v>18837.79</v>
      </c>
      <c r="F4503" s="184" t="n">
        <v>19441.5</v>
      </c>
      <c r="G4503" s="184" t="n">
        <v>19139.64</v>
      </c>
    </row>
    <row r="4504">
      <c r="A4504" s="194" t="inlineStr">
        <is>
          <t>2026-02-01</t>
        </is>
      </c>
      <c r="B4504" s="194" t="inlineStr">
        <is>
          <t>CHF</t>
        </is>
      </c>
      <c r="C4504" s="194" t="inlineStr">
        <is>
          <t>SWISS FRANC</t>
        </is>
      </c>
      <c r="D4504" s="195" t="n">
        <v>32824.81</v>
      </c>
      <c r="E4504" s="195" t="n">
        <v>33156.38</v>
      </c>
      <c r="F4504" s="195" t="n">
        <v>34218.96</v>
      </c>
      <c r="G4504" s="195" t="n">
        <v>33687.67</v>
      </c>
    </row>
    <row r="4505">
      <c r="A4505" s="196" t="inlineStr">
        <is>
          <t>2026-02-01</t>
        </is>
      </c>
      <c r="B4505" s="196" t="inlineStr">
        <is>
          <t>CNY</t>
        </is>
      </c>
      <c r="C4505" s="196" t="inlineStr">
        <is>
          <t>YUAN RENMINBI</t>
        </is>
      </c>
      <c r="D4505" s="184" t="n">
        <v>3634.66</v>
      </c>
      <c r="E4505" s="184" t="n">
        <v>3671.38</v>
      </c>
      <c r="F4505" s="184" t="n">
        <v>3789.04</v>
      </c>
      <c r="G4505" s="184" t="n">
        <v>3730.21</v>
      </c>
    </row>
    <row r="4506">
      <c r="A4506" s="194" t="inlineStr">
        <is>
          <t>2026-02-01</t>
        </is>
      </c>
      <c r="B4506" s="194" t="inlineStr">
        <is>
          <t>DKK</t>
        </is>
      </c>
      <c r="C4506" s="194" t="inlineStr">
        <is>
          <t>DANISH KRONE</t>
        </is>
      </c>
      <c r="D4506" s="195" t="n"/>
      <c r="E4506" s="195" t="n">
        <v>4056.72</v>
      </c>
      <c r="F4506" s="195" t="n">
        <v>4211.93</v>
      </c>
      <c r="G4506" s="195" t="n">
        <v>4134.32</v>
      </c>
    </row>
    <row r="4507">
      <c r="A4507" s="196" t="inlineStr">
        <is>
          <t>2026-02-01</t>
        </is>
      </c>
      <c r="B4507" s="196" t="inlineStr">
        <is>
          <t>EUR</t>
        </is>
      </c>
      <c r="C4507" s="196" t="inlineStr">
        <is>
          <t>EURO</t>
        </is>
      </c>
      <c r="D4507" s="184" t="n">
        <v>30066.7</v>
      </c>
      <c r="E4507" s="184" t="n">
        <v>30370.41</v>
      </c>
      <c r="F4507" s="184" t="n">
        <v>31652.51</v>
      </c>
      <c r="G4507" s="184" t="n">
        <v>31011.46</v>
      </c>
    </row>
    <row r="4508">
      <c r="A4508" s="194" t="inlineStr">
        <is>
          <t>2026-02-01</t>
        </is>
      </c>
      <c r="B4508" s="194" t="inlineStr">
        <is>
          <t>GBP</t>
        </is>
      </c>
      <c r="C4508" s="194" t="inlineStr">
        <is>
          <t>POUND STERLING</t>
        </is>
      </c>
      <c r="D4508" s="195" t="n">
        <v>34680.3</v>
      </c>
      <c r="E4508" s="195" t="n">
        <v>35030.61</v>
      </c>
      <c r="F4508" s="195" t="n">
        <v>36153.25</v>
      </c>
      <c r="G4508" s="195" t="n">
        <v>35591.93</v>
      </c>
    </row>
    <row r="4509">
      <c r="A4509" s="196" t="inlineStr">
        <is>
          <t>2026-02-01</t>
        </is>
      </c>
      <c r="B4509" s="196" t="inlineStr">
        <is>
          <t>HKD</t>
        </is>
      </c>
      <c r="C4509" s="196" t="inlineStr">
        <is>
          <t>HONGKONG DOLLAR</t>
        </is>
      </c>
      <c r="D4509" s="184" t="n">
        <v>3227.28</v>
      </c>
      <c r="E4509" s="184" t="n">
        <v>3259.88</v>
      </c>
      <c r="F4509" s="184" t="n">
        <v>3384.61</v>
      </c>
      <c r="G4509" s="184" t="n">
        <v>3322.24</v>
      </c>
    </row>
    <row r="4510">
      <c r="A4510" s="194" t="inlineStr">
        <is>
          <t>2026-02-01</t>
        </is>
      </c>
      <c r="B4510" s="194" t="inlineStr">
        <is>
          <t>INR</t>
        </is>
      </c>
      <c r="C4510" s="194" t="inlineStr">
        <is>
          <t>INDIAN RUPEE</t>
        </is>
      </c>
      <c r="D4510" s="195" t="n"/>
      <c r="E4510" s="195" t="n">
        <v>280.28</v>
      </c>
      <c r="F4510" s="195" t="n">
        <v>292.35</v>
      </c>
      <c r="G4510" s="195" t="n">
        <v>286.32</v>
      </c>
    </row>
    <row r="4511">
      <c r="A4511" s="196" t="inlineStr">
        <is>
          <t>2026-02-01</t>
        </is>
      </c>
      <c r="B4511" s="196" t="inlineStr">
        <is>
          <t>JPY</t>
        </is>
      </c>
      <c r="C4511" s="196" t="inlineStr">
        <is>
          <t>YEN</t>
        </is>
      </c>
      <c r="D4511" s="184" t="n">
        <v>162.25</v>
      </c>
      <c r="E4511" s="184" t="n">
        <v>163.89</v>
      </c>
      <c r="F4511" s="184" t="n">
        <v>172.56</v>
      </c>
      <c r="G4511" s="184" t="n">
        <v>168.22</v>
      </c>
    </row>
    <row r="4512">
      <c r="A4512" s="194" t="inlineStr">
        <is>
          <t>2026-02-01</t>
        </is>
      </c>
      <c r="B4512" s="194" t="inlineStr">
        <is>
          <t>KRW</t>
        </is>
      </c>
      <c r="C4512" s="194" t="inlineStr">
        <is>
          <t>KOREAN WON</t>
        </is>
      </c>
      <c r="D4512" s="195" t="n">
        <v>15.51</v>
      </c>
      <c r="E4512" s="195" t="n">
        <v>17.23</v>
      </c>
      <c r="F4512" s="195" t="n">
        <v>18.7</v>
      </c>
      <c r="G4512" s="195" t="n">
        <v>17.96</v>
      </c>
    </row>
    <row r="4513">
      <c r="A4513" s="196" t="inlineStr">
        <is>
          <t>2026-02-01</t>
        </is>
      </c>
      <c r="B4513" s="196" t="inlineStr">
        <is>
          <t>KWD</t>
        </is>
      </c>
      <c r="C4513" s="196" t="inlineStr">
        <is>
          <t>KUWAITI DINAR</t>
        </is>
      </c>
      <c r="D4513" s="184" t="n"/>
      <c r="E4513" s="184" t="n">
        <v>84611.39999999999</v>
      </c>
      <c r="F4513" s="184" t="n">
        <v>88714.31</v>
      </c>
      <c r="G4513" s="184" t="n">
        <v>86662.86</v>
      </c>
    </row>
    <row r="4514">
      <c r="A4514" s="194" t="inlineStr">
        <is>
          <t>2026-02-01</t>
        </is>
      </c>
      <c r="B4514" s="194" t="inlineStr">
        <is>
          <t>MYR</t>
        </is>
      </c>
      <c r="C4514" s="194" t="inlineStr">
        <is>
          <t>MALAYSIAN RINGGIT</t>
        </is>
      </c>
      <c r="D4514" s="195" t="n"/>
      <c r="E4514" s="195" t="n">
        <v>6512.68</v>
      </c>
      <c r="F4514" s="195" t="n">
        <v>6654.51</v>
      </c>
      <c r="G4514" s="195" t="n">
        <v>6583.6</v>
      </c>
    </row>
    <row r="4515">
      <c r="A4515" s="196" t="inlineStr">
        <is>
          <t>2026-02-01</t>
        </is>
      </c>
      <c r="B4515" s="196" t="inlineStr">
        <is>
          <t>NOK</t>
        </is>
      </c>
      <c r="C4515" s="196" t="inlineStr">
        <is>
          <t>NORWEGIAN KRONER</t>
        </is>
      </c>
      <c r="D4515" s="184" t="n"/>
      <c r="E4515" s="184" t="n">
        <v>2644.69</v>
      </c>
      <c r="F4515" s="184" t="n">
        <v>2756.88</v>
      </c>
      <c r="G4515" s="184" t="n">
        <v>2700.78</v>
      </c>
    </row>
    <row r="4516">
      <c r="A4516" s="194" t="inlineStr">
        <is>
          <t>2026-02-01</t>
        </is>
      </c>
      <c r="B4516" s="194" t="inlineStr">
        <is>
          <t>RUB</t>
        </is>
      </c>
      <c r="C4516" s="194" t="inlineStr">
        <is>
          <t>RUSSIAN RUBLE</t>
        </is>
      </c>
      <c r="D4516" s="195" t="n"/>
      <c r="E4516" s="195" t="n">
        <v>327.05</v>
      </c>
      <c r="F4516" s="195" t="n">
        <v>362.04</v>
      </c>
      <c r="G4516" s="195" t="n">
        <v>344.54</v>
      </c>
    </row>
    <row r="4517">
      <c r="A4517" s="196" t="inlineStr">
        <is>
          <t>2026-02-01</t>
        </is>
      </c>
      <c r="B4517" s="196" t="inlineStr">
        <is>
          <t>SAR</t>
        </is>
      </c>
      <c r="C4517" s="196" t="inlineStr">
        <is>
          <t>SAUDI RIAL</t>
        </is>
      </c>
      <c r="D4517" s="184" t="n"/>
      <c r="E4517" s="184" t="n">
        <v>6874.04</v>
      </c>
      <c r="F4517" s="184" t="n">
        <v>7170.03</v>
      </c>
      <c r="G4517" s="184" t="n">
        <v>7022.04</v>
      </c>
    </row>
    <row r="4518">
      <c r="A4518" s="194" t="inlineStr">
        <is>
          <t>2026-02-01</t>
        </is>
      </c>
      <c r="B4518" s="194" t="inlineStr">
        <is>
          <t>SEK</t>
        </is>
      </c>
      <c r="C4518" s="194" t="inlineStr">
        <is>
          <t>SWEDISH KRONA</t>
        </is>
      </c>
      <c r="D4518" s="195" t="n"/>
      <c r="E4518" s="195" t="n">
        <v>2865.39</v>
      </c>
      <c r="F4518" s="195" t="n">
        <v>2986.95</v>
      </c>
      <c r="G4518" s="195" t="n">
        <v>2926.17</v>
      </c>
    </row>
    <row r="4519">
      <c r="A4519" s="196" t="inlineStr">
        <is>
          <t>2026-02-01</t>
        </is>
      </c>
      <c r="B4519" s="196" t="inlineStr">
        <is>
          <t>SGD</t>
        </is>
      </c>
      <c r="C4519" s="196" t="inlineStr">
        <is>
          <t>SINGAPORE DOLLAR</t>
        </is>
      </c>
      <c r="D4519" s="184" t="n">
        <v>19896.72</v>
      </c>
      <c r="E4519" s="184" t="n">
        <v>20097.7</v>
      </c>
      <c r="F4519" s="184" t="n">
        <v>20783.32</v>
      </c>
      <c r="G4519" s="184" t="n">
        <v>20440.51</v>
      </c>
    </row>
    <row r="4520">
      <c r="A4520" s="194" t="inlineStr">
        <is>
          <t>2026-02-01</t>
        </is>
      </c>
      <c r="B4520" s="194" t="inlineStr">
        <is>
          <t>THB</t>
        </is>
      </c>
      <c r="C4520" s="194" t="inlineStr">
        <is>
          <t>THAILAND BAHT</t>
        </is>
      </c>
      <c r="D4520" s="195" t="n">
        <v>726.23</v>
      </c>
      <c r="E4520" s="195" t="n">
        <v>806.92</v>
      </c>
      <c r="F4520" s="195" t="n">
        <v>841.16</v>
      </c>
      <c r="G4520" s="195" t="n">
        <v>824.04</v>
      </c>
    </row>
    <row r="4521">
      <c r="A4521" s="196" t="inlineStr">
        <is>
          <t>2026-02-01</t>
        </is>
      </c>
      <c r="B4521" s="196" t="inlineStr">
        <is>
          <t>USD</t>
        </is>
      </c>
      <c r="C4521" s="196" t="inlineStr">
        <is>
          <t>US DOLLAR</t>
        </is>
      </c>
      <c r="D4521" s="184" t="n">
        <v>25720</v>
      </c>
      <c r="E4521" s="184" t="n">
        <v>25750</v>
      </c>
      <c r="F4521" s="184" t="n">
        <v>26110</v>
      </c>
      <c r="G4521" s="184" t="n">
        <v>25930</v>
      </c>
    </row>
    <row r="4522">
      <c r="A4522" s="194" t="inlineStr">
        <is>
          <t>2026-01-31</t>
        </is>
      </c>
      <c r="B4522" s="194" t="inlineStr">
        <is>
          <t>AUD</t>
        </is>
      </c>
      <c r="C4522" s="194" t="inlineStr">
        <is>
          <t>AUSTRALIAN DOLLAR</t>
        </is>
      </c>
      <c r="D4522" s="195" t="n">
        <v>17605.44</v>
      </c>
      <c r="E4522" s="195" t="n">
        <v>17783.28</v>
      </c>
      <c r="F4522" s="195" t="n">
        <v>18353.19</v>
      </c>
      <c r="G4522" s="195" t="n">
        <v>18068.24</v>
      </c>
    </row>
    <row r="4523">
      <c r="A4523" s="196" t="inlineStr">
        <is>
          <t>2026-01-31</t>
        </is>
      </c>
      <c r="B4523" s="196" t="inlineStr">
        <is>
          <t>CAD</t>
        </is>
      </c>
      <c r="C4523" s="196" t="inlineStr">
        <is>
          <t>CANADIAN DOLLAR</t>
        </is>
      </c>
      <c r="D4523" s="184" t="n">
        <v>18649.42</v>
      </c>
      <c r="E4523" s="184" t="n">
        <v>18837.79</v>
      </c>
      <c r="F4523" s="184" t="n">
        <v>19441.5</v>
      </c>
      <c r="G4523" s="184" t="n">
        <v>19139.64</v>
      </c>
    </row>
    <row r="4524">
      <c r="A4524" s="194" t="inlineStr">
        <is>
          <t>2026-01-31</t>
        </is>
      </c>
      <c r="B4524" s="194" t="inlineStr">
        <is>
          <t>CHF</t>
        </is>
      </c>
      <c r="C4524" s="194" t="inlineStr">
        <is>
          <t>SWISS FRANC</t>
        </is>
      </c>
      <c r="D4524" s="195" t="n">
        <v>32824.81</v>
      </c>
      <c r="E4524" s="195" t="n">
        <v>33156.38</v>
      </c>
      <c r="F4524" s="195" t="n">
        <v>34218.96</v>
      </c>
      <c r="G4524" s="195" t="n">
        <v>33687.67</v>
      </c>
    </row>
    <row r="4525">
      <c r="A4525" s="196" t="inlineStr">
        <is>
          <t>2026-01-31</t>
        </is>
      </c>
      <c r="B4525" s="196" t="inlineStr">
        <is>
          <t>CNY</t>
        </is>
      </c>
      <c r="C4525" s="196" t="inlineStr">
        <is>
          <t>YUAN RENMINBI</t>
        </is>
      </c>
      <c r="D4525" s="184" t="n">
        <v>3634.66</v>
      </c>
      <c r="E4525" s="184" t="n">
        <v>3671.38</v>
      </c>
      <c r="F4525" s="184" t="n">
        <v>3789.04</v>
      </c>
      <c r="G4525" s="184" t="n">
        <v>3730.21</v>
      </c>
    </row>
    <row r="4526">
      <c r="A4526" s="194" t="inlineStr">
        <is>
          <t>2026-01-31</t>
        </is>
      </c>
      <c r="B4526" s="194" t="inlineStr">
        <is>
          <t>DKK</t>
        </is>
      </c>
      <c r="C4526" s="194" t="inlineStr">
        <is>
          <t>DANISH KRONE</t>
        </is>
      </c>
      <c r="D4526" s="195" t="n"/>
      <c r="E4526" s="195" t="n">
        <v>4056.72</v>
      </c>
      <c r="F4526" s="195" t="n">
        <v>4211.93</v>
      </c>
      <c r="G4526" s="195" t="n">
        <v>4134.32</v>
      </c>
    </row>
    <row r="4527">
      <c r="A4527" s="196" t="inlineStr">
        <is>
          <t>2026-01-31</t>
        </is>
      </c>
      <c r="B4527" s="196" t="inlineStr">
        <is>
          <t>EUR</t>
        </is>
      </c>
      <c r="C4527" s="196" t="inlineStr">
        <is>
          <t>EURO</t>
        </is>
      </c>
      <c r="D4527" s="184" t="n">
        <v>30066.7</v>
      </c>
      <c r="E4527" s="184" t="n">
        <v>30370.41</v>
      </c>
      <c r="F4527" s="184" t="n">
        <v>31652.51</v>
      </c>
      <c r="G4527" s="184" t="n">
        <v>31011.46</v>
      </c>
    </row>
    <row r="4528">
      <c r="A4528" s="194" t="inlineStr">
        <is>
          <t>2026-01-31</t>
        </is>
      </c>
      <c r="B4528" s="194" t="inlineStr">
        <is>
          <t>GBP</t>
        </is>
      </c>
      <c r="C4528" s="194" t="inlineStr">
        <is>
          <t>POUND STERLING</t>
        </is>
      </c>
      <c r="D4528" s="195" t="n">
        <v>34680.3</v>
      </c>
      <c r="E4528" s="195" t="n">
        <v>35030.61</v>
      </c>
      <c r="F4528" s="195" t="n">
        <v>36153.25</v>
      </c>
      <c r="G4528" s="195" t="n">
        <v>35591.93</v>
      </c>
    </row>
    <row r="4529">
      <c r="A4529" s="196" t="inlineStr">
        <is>
          <t>2026-01-31</t>
        </is>
      </c>
      <c r="B4529" s="196" t="inlineStr">
        <is>
          <t>HKD</t>
        </is>
      </c>
      <c r="C4529" s="196" t="inlineStr">
        <is>
          <t>HONGKONG DOLLAR</t>
        </is>
      </c>
      <c r="D4529" s="184" t="n">
        <v>3227.28</v>
      </c>
      <c r="E4529" s="184" t="n">
        <v>3259.88</v>
      </c>
      <c r="F4529" s="184" t="n">
        <v>3384.61</v>
      </c>
      <c r="G4529" s="184" t="n">
        <v>3322.24</v>
      </c>
    </row>
    <row r="4530">
      <c r="A4530" s="194" t="inlineStr">
        <is>
          <t>2026-01-31</t>
        </is>
      </c>
      <c r="B4530" s="194" t="inlineStr">
        <is>
          <t>INR</t>
        </is>
      </c>
      <c r="C4530" s="194" t="inlineStr">
        <is>
          <t>INDIAN RUPEE</t>
        </is>
      </c>
      <c r="D4530" s="195" t="n"/>
      <c r="E4530" s="195" t="n">
        <v>280.28</v>
      </c>
      <c r="F4530" s="195" t="n">
        <v>292.35</v>
      </c>
      <c r="G4530" s="195" t="n">
        <v>286.32</v>
      </c>
    </row>
    <row r="4531">
      <c r="A4531" s="196" t="inlineStr">
        <is>
          <t>2026-01-31</t>
        </is>
      </c>
      <c r="B4531" s="196" t="inlineStr">
        <is>
          <t>JPY</t>
        </is>
      </c>
      <c r="C4531" s="196" t="inlineStr">
        <is>
          <t>YEN</t>
        </is>
      </c>
      <c r="D4531" s="184" t="n">
        <v>162.25</v>
      </c>
      <c r="E4531" s="184" t="n">
        <v>163.89</v>
      </c>
      <c r="F4531" s="184" t="n">
        <v>172.56</v>
      </c>
      <c r="G4531" s="184" t="n">
        <v>168.22</v>
      </c>
    </row>
    <row r="4532">
      <c r="A4532" s="194" t="inlineStr">
        <is>
          <t>2026-01-31</t>
        </is>
      </c>
      <c r="B4532" s="194" t="inlineStr">
        <is>
          <t>KRW</t>
        </is>
      </c>
      <c r="C4532" s="194" t="inlineStr">
        <is>
          <t>KOREAN WON</t>
        </is>
      </c>
      <c r="D4532" s="195" t="n">
        <v>15.51</v>
      </c>
      <c r="E4532" s="195" t="n">
        <v>17.23</v>
      </c>
      <c r="F4532" s="195" t="n">
        <v>18.7</v>
      </c>
      <c r="G4532" s="195" t="n">
        <v>17.96</v>
      </c>
    </row>
    <row r="4533">
      <c r="A4533" s="196" t="inlineStr">
        <is>
          <t>2026-01-31</t>
        </is>
      </c>
      <c r="B4533" s="196" t="inlineStr">
        <is>
          <t>KWD</t>
        </is>
      </c>
      <c r="C4533" s="196" t="inlineStr">
        <is>
          <t>KUWAITI DINAR</t>
        </is>
      </c>
      <c r="D4533" s="184" t="n"/>
      <c r="E4533" s="184" t="n">
        <v>84611.39999999999</v>
      </c>
      <c r="F4533" s="184" t="n">
        <v>88714.31</v>
      </c>
      <c r="G4533" s="184" t="n">
        <v>86662.86</v>
      </c>
    </row>
    <row r="4534">
      <c r="A4534" s="194" t="inlineStr">
        <is>
          <t>2026-01-31</t>
        </is>
      </c>
      <c r="B4534" s="194" t="inlineStr">
        <is>
          <t>MYR</t>
        </is>
      </c>
      <c r="C4534" s="194" t="inlineStr">
        <is>
          <t>MALAYSIAN RINGGIT</t>
        </is>
      </c>
      <c r="D4534" s="195" t="n"/>
      <c r="E4534" s="195" t="n">
        <v>6512.68</v>
      </c>
      <c r="F4534" s="195" t="n">
        <v>6654.51</v>
      </c>
      <c r="G4534" s="195" t="n">
        <v>6583.6</v>
      </c>
    </row>
    <row r="4535">
      <c r="A4535" s="196" t="inlineStr">
        <is>
          <t>2026-01-31</t>
        </is>
      </c>
      <c r="B4535" s="196" t="inlineStr">
        <is>
          <t>NOK</t>
        </is>
      </c>
      <c r="C4535" s="196" t="inlineStr">
        <is>
          <t>NORWEGIAN KRONER</t>
        </is>
      </c>
      <c r="D4535" s="184" t="n"/>
      <c r="E4535" s="184" t="n">
        <v>2644.69</v>
      </c>
      <c r="F4535" s="184" t="n">
        <v>2756.88</v>
      </c>
      <c r="G4535" s="184" t="n">
        <v>2700.78</v>
      </c>
    </row>
    <row r="4536">
      <c r="A4536" s="194" t="inlineStr">
        <is>
          <t>2026-01-31</t>
        </is>
      </c>
      <c r="B4536" s="194" t="inlineStr">
        <is>
          <t>RUB</t>
        </is>
      </c>
      <c r="C4536" s="194" t="inlineStr">
        <is>
          <t>RUSSIAN RUBLE</t>
        </is>
      </c>
      <c r="D4536" s="195" t="n"/>
      <c r="E4536" s="195" t="n">
        <v>327.05</v>
      </c>
      <c r="F4536" s="195" t="n">
        <v>362.04</v>
      </c>
      <c r="G4536" s="195" t="n">
        <v>344.54</v>
      </c>
    </row>
    <row r="4537">
      <c r="A4537" s="196" t="inlineStr">
        <is>
          <t>2026-01-31</t>
        </is>
      </c>
      <c r="B4537" s="196" t="inlineStr">
        <is>
          <t>SAR</t>
        </is>
      </c>
      <c r="C4537" s="196" t="inlineStr">
        <is>
          <t>SAUDI RIAL</t>
        </is>
      </c>
      <c r="D4537" s="184" t="n"/>
      <c r="E4537" s="184" t="n">
        <v>6874.04</v>
      </c>
      <c r="F4537" s="184" t="n">
        <v>7170.03</v>
      </c>
      <c r="G4537" s="184" t="n">
        <v>7022.04</v>
      </c>
    </row>
    <row r="4538">
      <c r="A4538" s="194" t="inlineStr">
        <is>
          <t>2026-01-31</t>
        </is>
      </c>
      <c r="B4538" s="194" t="inlineStr">
        <is>
          <t>SEK</t>
        </is>
      </c>
      <c r="C4538" s="194" t="inlineStr">
        <is>
          <t>SWEDISH KRONA</t>
        </is>
      </c>
      <c r="D4538" s="195" t="n"/>
      <c r="E4538" s="195" t="n">
        <v>2865.39</v>
      </c>
      <c r="F4538" s="195" t="n">
        <v>2986.95</v>
      </c>
      <c r="G4538" s="195" t="n">
        <v>2926.17</v>
      </c>
    </row>
    <row r="4539">
      <c r="A4539" s="196" t="inlineStr">
        <is>
          <t>2026-01-31</t>
        </is>
      </c>
      <c r="B4539" s="196" t="inlineStr">
        <is>
          <t>SGD</t>
        </is>
      </c>
      <c r="C4539" s="196" t="inlineStr">
        <is>
          <t>SINGAPORE DOLLAR</t>
        </is>
      </c>
      <c r="D4539" s="184" t="n">
        <v>19896.72</v>
      </c>
      <c r="E4539" s="184" t="n">
        <v>20097.7</v>
      </c>
      <c r="F4539" s="184" t="n">
        <v>20783.32</v>
      </c>
      <c r="G4539" s="184" t="n">
        <v>20440.51</v>
      </c>
    </row>
    <row r="4540">
      <c r="A4540" s="194" t="inlineStr">
        <is>
          <t>2026-01-31</t>
        </is>
      </c>
      <c r="B4540" s="194" t="inlineStr">
        <is>
          <t>THB</t>
        </is>
      </c>
      <c r="C4540" s="194" t="inlineStr">
        <is>
          <t>THAILAND BAHT</t>
        </is>
      </c>
      <c r="D4540" s="195" t="n">
        <v>726.23</v>
      </c>
      <c r="E4540" s="195" t="n">
        <v>806.92</v>
      </c>
      <c r="F4540" s="195" t="n">
        <v>841.16</v>
      </c>
      <c r="G4540" s="195" t="n">
        <v>824.04</v>
      </c>
    </row>
    <row r="4541">
      <c r="A4541" s="196" t="inlineStr">
        <is>
          <t>2026-01-31</t>
        </is>
      </c>
      <c r="B4541" s="196" t="inlineStr">
        <is>
          <t>USD</t>
        </is>
      </c>
      <c r="C4541" s="196" t="inlineStr">
        <is>
          <t>US DOLLAR</t>
        </is>
      </c>
      <c r="D4541" s="184" t="n">
        <v>25720</v>
      </c>
      <c r="E4541" s="184" t="n">
        <v>25750</v>
      </c>
      <c r="F4541" s="184" t="n">
        <v>26110</v>
      </c>
      <c r="G4541" s="184" t="n">
        <v>25930</v>
      </c>
    </row>
    <row r="4542">
      <c r="A4542" s="194" t="inlineStr">
        <is>
          <t>2026-01-30</t>
        </is>
      </c>
      <c r="B4542" s="194" t="inlineStr">
        <is>
          <t>AUD</t>
        </is>
      </c>
      <c r="C4542" s="194" t="inlineStr">
        <is>
          <t>AUSTRALIAN DOLLAR</t>
        </is>
      </c>
      <c r="D4542" s="195" t="n">
        <v>17605.44</v>
      </c>
      <c r="E4542" s="195" t="n">
        <v>17783.28</v>
      </c>
      <c r="F4542" s="195" t="n">
        <v>18353.19</v>
      </c>
      <c r="G4542" s="195" t="n">
        <v>18068.24</v>
      </c>
    </row>
    <row r="4543">
      <c r="A4543" s="196" t="inlineStr">
        <is>
          <t>2026-01-30</t>
        </is>
      </c>
      <c r="B4543" s="196" t="inlineStr">
        <is>
          <t>CAD</t>
        </is>
      </c>
      <c r="C4543" s="196" t="inlineStr">
        <is>
          <t>CANADIAN DOLLAR</t>
        </is>
      </c>
      <c r="D4543" s="184" t="n">
        <v>18649.42</v>
      </c>
      <c r="E4543" s="184" t="n">
        <v>18837.79</v>
      </c>
      <c r="F4543" s="184" t="n">
        <v>19441.5</v>
      </c>
      <c r="G4543" s="184" t="n">
        <v>19139.64</v>
      </c>
    </row>
    <row r="4544">
      <c r="A4544" s="194" t="inlineStr">
        <is>
          <t>2026-01-30</t>
        </is>
      </c>
      <c r="B4544" s="194" t="inlineStr">
        <is>
          <t>CHF</t>
        </is>
      </c>
      <c r="C4544" s="194" t="inlineStr">
        <is>
          <t>SWISS FRANC</t>
        </is>
      </c>
      <c r="D4544" s="195" t="n">
        <v>32824.81</v>
      </c>
      <c r="E4544" s="195" t="n">
        <v>33156.38</v>
      </c>
      <c r="F4544" s="195" t="n">
        <v>34218.96</v>
      </c>
      <c r="G4544" s="195" t="n">
        <v>33687.67</v>
      </c>
    </row>
    <row r="4545">
      <c r="A4545" s="196" t="inlineStr">
        <is>
          <t>2026-01-30</t>
        </is>
      </c>
      <c r="B4545" s="196" t="inlineStr">
        <is>
          <t>CNY</t>
        </is>
      </c>
      <c r="C4545" s="196" t="inlineStr">
        <is>
          <t>YUAN RENMINBI</t>
        </is>
      </c>
      <c r="D4545" s="184" t="n">
        <v>3634.66</v>
      </c>
      <c r="E4545" s="184" t="n">
        <v>3671.38</v>
      </c>
      <c r="F4545" s="184" t="n">
        <v>3789.04</v>
      </c>
      <c r="G4545" s="184" t="n">
        <v>3730.21</v>
      </c>
    </row>
    <row r="4546">
      <c r="A4546" s="194" t="inlineStr">
        <is>
          <t>2026-01-30</t>
        </is>
      </c>
      <c r="B4546" s="194" t="inlineStr">
        <is>
          <t>DKK</t>
        </is>
      </c>
      <c r="C4546" s="194" t="inlineStr">
        <is>
          <t>DANISH KRONE</t>
        </is>
      </c>
      <c r="D4546" s="195" t="n"/>
      <c r="E4546" s="195" t="n">
        <v>4056.72</v>
      </c>
      <c r="F4546" s="195" t="n">
        <v>4211.93</v>
      </c>
      <c r="G4546" s="195" t="n">
        <v>4134.32</v>
      </c>
    </row>
    <row r="4547">
      <c r="A4547" s="196" t="inlineStr">
        <is>
          <t>2026-01-30</t>
        </is>
      </c>
      <c r="B4547" s="196" t="inlineStr">
        <is>
          <t>EUR</t>
        </is>
      </c>
      <c r="C4547" s="196" t="inlineStr">
        <is>
          <t>EURO</t>
        </is>
      </c>
      <c r="D4547" s="184" t="n">
        <v>30066.7</v>
      </c>
      <c r="E4547" s="184" t="n">
        <v>30370.41</v>
      </c>
      <c r="F4547" s="184" t="n">
        <v>31652.51</v>
      </c>
      <c r="G4547" s="184" t="n">
        <v>31011.46</v>
      </c>
    </row>
    <row r="4548">
      <c r="A4548" s="194" t="inlineStr">
        <is>
          <t>2026-01-30</t>
        </is>
      </c>
      <c r="B4548" s="194" t="inlineStr">
        <is>
          <t>GBP</t>
        </is>
      </c>
      <c r="C4548" s="194" t="inlineStr">
        <is>
          <t>POUND STERLING</t>
        </is>
      </c>
      <c r="D4548" s="195" t="n">
        <v>34680.3</v>
      </c>
      <c r="E4548" s="195" t="n">
        <v>35030.61</v>
      </c>
      <c r="F4548" s="195" t="n">
        <v>36153.25</v>
      </c>
      <c r="G4548" s="195" t="n">
        <v>35591.93</v>
      </c>
    </row>
    <row r="4549">
      <c r="A4549" s="196" t="inlineStr">
        <is>
          <t>2026-01-30</t>
        </is>
      </c>
      <c r="B4549" s="196" t="inlineStr">
        <is>
          <t>HKD</t>
        </is>
      </c>
      <c r="C4549" s="196" t="inlineStr">
        <is>
          <t>HONGKONG DOLLAR</t>
        </is>
      </c>
      <c r="D4549" s="184" t="n">
        <v>3227.28</v>
      </c>
      <c r="E4549" s="184" t="n">
        <v>3259.88</v>
      </c>
      <c r="F4549" s="184" t="n">
        <v>3384.61</v>
      </c>
      <c r="G4549" s="184" t="n">
        <v>3322.24</v>
      </c>
    </row>
    <row r="4550">
      <c r="A4550" s="194" t="inlineStr">
        <is>
          <t>2026-01-30</t>
        </is>
      </c>
      <c r="B4550" s="194" t="inlineStr">
        <is>
          <t>INR</t>
        </is>
      </c>
      <c r="C4550" s="194" t="inlineStr">
        <is>
          <t>INDIAN RUPEE</t>
        </is>
      </c>
      <c r="D4550" s="195" t="n"/>
      <c r="E4550" s="195" t="n">
        <v>280.28</v>
      </c>
      <c r="F4550" s="195" t="n">
        <v>292.35</v>
      </c>
      <c r="G4550" s="195" t="n">
        <v>286.32</v>
      </c>
    </row>
    <row r="4551">
      <c r="A4551" s="196" t="inlineStr">
        <is>
          <t>2026-01-30</t>
        </is>
      </c>
      <c r="B4551" s="196" t="inlineStr">
        <is>
          <t>JPY</t>
        </is>
      </c>
      <c r="C4551" s="196" t="inlineStr">
        <is>
          <t>YEN</t>
        </is>
      </c>
      <c r="D4551" s="184" t="n">
        <v>162.25</v>
      </c>
      <c r="E4551" s="184" t="n">
        <v>163.89</v>
      </c>
      <c r="F4551" s="184" t="n">
        <v>172.56</v>
      </c>
      <c r="G4551" s="184" t="n">
        <v>168.22</v>
      </c>
    </row>
    <row r="4552">
      <c r="A4552" s="194" t="inlineStr">
        <is>
          <t>2026-01-30</t>
        </is>
      </c>
      <c r="B4552" s="194" t="inlineStr">
        <is>
          <t>KRW</t>
        </is>
      </c>
      <c r="C4552" s="194" t="inlineStr">
        <is>
          <t>KOREAN WON</t>
        </is>
      </c>
      <c r="D4552" s="195" t="n">
        <v>15.51</v>
      </c>
      <c r="E4552" s="195" t="n">
        <v>17.23</v>
      </c>
      <c r="F4552" s="195" t="n">
        <v>18.7</v>
      </c>
      <c r="G4552" s="195" t="n">
        <v>17.96</v>
      </c>
    </row>
    <row r="4553">
      <c r="A4553" s="196" t="inlineStr">
        <is>
          <t>2026-01-30</t>
        </is>
      </c>
      <c r="B4553" s="196" t="inlineStr">
        <is>
          <t>KWD</t>
        </is>
      </c>
      <c r="C4553" s="196" t="inlineStr">
        <is>
          <t>KUWAITI DINAR</t>
        </is>
      </c>
      <c r="D4553" s="184" t="n"/>
      <c r="E4553" s="184" t="n">
        <v>84611.39999999999</v>
      </c>
      <c r="F4553" s="184" t="n">
        <v>88714.31</v>
      </c>
      <c r="G4553" s="184" t="n">
        <v>86662.86</v>
      </c>
    </row>
    <row r="4554">
      <c r="A4554" s="194" t="inlineStr">
        <is>
          <t>2026-01-30</t>
        </is>
      </c>
      <c r="B4554" s="194" t="inlineStr">
        <is>
          <t>MYR</t>
        </is>
      </c>
      <c r="C4554" s="194" t="inlineStr">
        <is>
          <t>MALAYSIAN RINGGIT</t>
        </is>
      </c>
      <c r="D4554" s="195" t="n"/>
      <c r="E4554" s="195" t="n">
        <v>6512.68</v>
      </c>
      <c r="F4554" s="195" t="n">
        <v>6654.51</v>
      </c>
      <c r="G4554" s="195" t="n">
        <v>6583.6</v>
      </c>
    </row>
    <row r="4555">
      <c r="A4555" s="196" t="inlineStr">
        <is>
          <t>2026-01-30</t>
        </is>
      </c>
      <c r="B4555" s="196" t="inlineStr">
        <is>
          <t>NOK</t>
        </is>
      </c>
      <c r="C4555" s="196" t="inlineStr">
        <is>
          <t>NORWEGIAN KRONER</t>
        </is>
      </c>
      <c r="D4555" s="184" t="n"/>
      <c r="E4555" s="184" t="n">
        <v>2644.69</v>
      </c>
      <c r="F4555" s="184" t="n">
        <v>2756.88</v>
      </c>
      <c r="G4555" s="184" t="n">
        <v>2700.78</v>
      </c>
    </row>
    <row r="4556">
      <c r="A4556" s="194" t="inlineStr">
        <is>
          <t>2026-01-30</t>
        </is>
      </c>
      <c r="B4556" s="194" t="inlineStr">
        <is>
          <t>RUB</t>
        </is>
      </c>
      <c r="C4556" s="194" t="inlineStr">
        <is>
          <t>RUSSIAN RUBLE</t>
        </is>
      </c>
      <c r="D4556" s="195" t="n"/>
      <c r="E4556" s="195" t="n">
        <v>327.05</v>
      </c>
      <c r="F4556" s="195" t="n">
        <v>362.04</v>
      </c>
      <c r="G4556" s="195" t="n">
        <v>344.54</v>
      </c>
    </row>
    <row r="4557">
      <c r="A4557" s="196" t="inlineStr">
        <is>
          <t>2026-01-30</t>
        </is>
      </c>
      <c r="B4557" s="196" t="inlineStr">
        <is>
          <t>SAR</t>
        </is>
      </c>
      <c r="C4557" s="196" t="inlineStr">
        <is>
          <t>SAUDI RIAL</t>
        </is>
      </c>
      <c r="D4557" s="184" t="n"/>
      <c r="E4557" s="184" t="n">
        <v>6874.04</v>
      </c>
      <c r="F4557" s="184" t="n">
        <v>7170.03</v>
      </c>
      <c r="G4557" s="184" t="n">
        <v>7022.04</v>
      </c>
    </row>
    <row r="4558">
      <c r="A4558" s="194" t="inlineStr">
        <is>
          <t>2026-01-30</t>
        </is>
      </c>
      <c r="B4558" s="194" t="inlineStr">
        <is>
          <t>SEK</t>
        </is>
      </c>
      <c r="C4558" s="194" t="inlineStr">
        <is>
          <t>SWEDISH KRONA</t>
        </is>
      </c>
      <c r="D4558" s="195" t="n"/>
      <c r="E4558" s="195" t="n">
        <v>2865.39</v>
      </c>
      <c r="F4558" s="195" t="n">
        <v>2986.95</v>
      </c>
      <c r="G4558" s="195" t="n">
        <v>2926.17</v>
      </c>
    </row>
    <row r="4559">
      <c r="A4559" s="196" t="inlineStr">
        <is>
          <t>2026-01-30</t>
        </is>
      </c>
      <c r="B4559" s="196" t="inlineStr">
        <is>
          <t>SGD</t>
        </is>
      </c>
      <c r="C4559" s="196" t="inlineStr">
        <is>
          <t>SINGAPORE DOLLAR</t>
        </is>
      </c>
      <c r="D4559" s="184" t="n">
        <v>19896.72</v>
      </c>
      <c r="E4559" s="184" t="n">
        <v>20097.7</v>
      </c>
      <c r="F4559" s="184" t="n">
        <v>20783.32</v>
      </c>
      <c r="G4559" s="184" t="n">
        <v>20440.51</v>
      </c>
    </row>
    <row r="4560">
      <c r="A4560" s="194" t="inlineStr">
        <is>
          <t>2026-01-30</t>
        </is>
      </c>
      <c r="B4560" s="194" t="inlineStr">
        <is>
          <t>THB</t>
        </is>
      </c>
      <c r="C4560" s="194" t="inlineStr">
        <is>
          <t>THAILAND BAHT</t>
        </is>
      </c>
      <c r="D4560" s="195" t="n">
        <v>726.23</v>
      </c>
      <c r="E4560" s="195" t="n">
        <v>806.92</v>
      </c>
      <c r="F4560" s="195" t="n">
        <v>841.16</v>
      </c>
      <c r="G4560" s="195" t="n">
        <v>824.04</v>
      </c>
    </row>
    <row r="4561">
      <c r="A4561" s="196" t="inlineStr">
        <is>
          <t>2026-01-30</t>
        </is>
      </c>
      <c r="B4561" s="196" t="inlineStr">
        <is>
          <t>USD</t>
        </is>
      </c>
      <c r="C4561" s="196" t="inlineStr">
        <is>
          <t>US DOLLAR</t>
        </is>
      </c>
      <c r="D4561" s="184" t="n">
        <v>25720</v>
      </c>
      <c r="E4561" s="184" t="n">
        <v>25750</v>
      </c>
      <c r="F4561" s="184" t="n">
        <v>26110</v>
      </c>
      <c r="G4561" s="184" t="n">
        <v>25930</v>
      </c>
    </row>
    <row r="4562">
      <c r="A4562" s="194" t="inlineStr">
        <is>
          <t>2026-01-29</t>
        </is>
      </c>
      <c r="B4562" s="194" t="inlineStr">
        <is>
          <t>AUD</t>
        </is>
      </c>
      <c r="C4562" s="194" t="inlineStr">
        <is>
          <t>AUSTRALIAN DOLLAR</t>
        </is>
      </c>
      <c r="D4562" s="195" t="n">
        <v>17907.46</v>
      </c>
      <c r="E4562" s="195" t="n">
        <v>18088.34</v>
      </c>
      <c r="F4562" s="195" t="n">
        <v>18667.93</v>
      </c>
      <c r="G4562" s="195" t="n">
        <v>18378.14</v>
      </c>
    </row>
    <row r="4563">
      <c r="A4563" s="196" t="inlineStr">
        <is>
          <t>2026-01-29</t>
        </is>
      </c>
      <c r="B4563" s="196" t="inlineStr">
        <is>
          <t>CAD</t>
        </is>
      </c>
      <c r="C4563" s="196" t="inlineStr">
        <is>
          <t>CANADIAN DOLLAR</t>
        </is>
      </c>
      <c r="D4563" s="184" t="n">
        <v>18751.56</v>
      </c>
      <c r="E4563" s="184" t="n">
        <v>18940.97</v>
      </c>
      <c r="F4563" s="184" t="n">
        <v>19547.88</v>
      </c>
      <c r="G4563" s="184" t="n">
        <v>19244.43</v>
      </c>
    </row>
    <row r="4564">
      <c r="A4564" s="194" t="inlineStr">
        <is>
          <t>2026-01-29</t>
        </is>
      </c>
      <c r="B4564" s="194" t="inlineStr">
        <is>
          <t>CHF</t>
        </is>
      </c>
      <c r="C4564" s="194" t="inlineStr">
        <is>
          <t>SWISS FRANC</t>
        </is>
      </c>
      <c r="D4564" s="195" t="n">
        <v>33067.68</v>
      </c>
      <c r="E4564" s="195" t="n">
        <v>33401.7</v>
      </c>
      <c r="F4564" s="195" t="n">
        <v>34471.96</v>
      </c>
      <c r="G4564" s="195" t="n">
        <v>33936.83</v>
      </c>
    </row>
    <row r="4565">
      <c r="A4565" s="196" t="inlineStr">
        <is>
          <t>2026-01-29</t>
        </is>
      </c>
      <c r="B4565" s="196" t="inlineStr">
        <is>
          <t>CNY</t>
        </is>
      </c>
      <c r="C4565" s="196" t="inlineStr">
        <is>
          <t>YUAN RENMINBI</t>
        </is>
      </c>
      <c r="D4565" s="184" t="n">
        <v>3650.97</v>
      </c>
      <c r="E4565" s="184" t="n">
        <v>3687.84</v>
      </c>
      <c r="F4565" s="184" t="n">
        <v>3806.01</v>
      </c>
      <c r="G4565" s="184" t="n">
        <v>3746.92</v>
      </c>
    </row>
    <row r="4566">
      <c r="A4566" s="194" t="inlineStr">
        <is>
          <t>2026-01-29</t>
        </is>
      </c>
      <c r="B4566" s="194" t="inlineStr">
        <is>
          <t>DKK</t>
        </is>
      </c>
      <c r="C4566" s="194" t="inlineStr">
        <is>
          <t>DANISH KRONE</t>
        </is>
      </c>
      <c r="D4566" s="195" t="n"/>
      <c r="E4566" s="195" t="n">
        <v>4093.71</v>
      </c>
      <c r="F4566" s="195" t="n">
        <v>4250.32</v>
      </c>
      <c r="G4566" s="195" t="n">
        <v>4172.01</v>
      </c>
    </row>
    <row r="4567">
      <c r="A4567" s="196" t="inlineStr">
        <is>
          <t>2026-01-29</t>
        </is>
      </c>
      <c r="B4567" s="196" t="inlineStr">
        <is>
          <t>EUR</t>
        </is>
      </c>
      <c r="C4567" s="196" t="inlineStr">
        <is>
          <t>EURO</t>
        </is>
      </c>
      <c r="D4567" s="184" t="n">
        <v>30341.01</v>
      </c>
      <c r="E4567" s="184" t="n">
        <v>30647.49</v>
      </c>
      <c r="F4567" s="184" t="n">
        <v>31941.12</v>
      </c>
      <c r="G4567" s="184" t="n">
        <v>31294.3</v>
      </c>
    </row>
    <row r="4568">
      <c r="A4568" s="194" t="inlineStr">
        <is>
          <t>2026-01-29</t>
        </is>
      </c>
      <c r="B4568" s="194" t="inlineStr">
        <is>
          <t>GBP</t>
        </is>
      </c>
      <c r="C4568" s="194" t="inlineStr">
        <is>
          <t>POUND STERLING</t>
        </is>
      </c>
      <c r="D4568" s="195" t="n">
        <v>35056.84</v>
      </c>
      <c r="E4568" s="195" t="n">
        <v>35410.95</v>
      </c>
      <c r="F4568" s="195" t="n">
        <v>36545.59</v>
      </c>
      <c r="G4568" s="195" t="n">
        <v>35978.27</v>
      </c>
    </row>
    <row r="4569">
      <c r="A4569" s="196" t="inlineStr">
        <is>
          <t>2026-01-29</t>
        </is>
      </c>
      <c r="B4569" s="196" t="inlineStr">
        <is>
          <t>HKD</t>
        </is>
      </c>
      <c r="C4569" s="196" t="inlineStr">
        <is>
          <t>HONGKONG DOLLAR</t>
        </is>
      </c>
      <c r="D4569" s="184" t="n">
        <v>3239.45</v>
      </c>
      <c r="E4569" s="184" t="n">
        <v>3272.17</v>
      </c>
      <c r="F4569" s="184" t="n">
        <v>3397.35</v>
      </c>
      <c r="G4569" s="184" t="n">
        <v>3334.76</v>
      </c>
    </row>
    <row r="4570">
      <c r="A4570" s="194" t="inlineStr">
        <is>
          <t>2026-01-29</t>
        </is>
      </c>
      <c r="B4570" s="194" t="inlineStr">
        <is>
          <t>INR</t>
        </is>
      </c>
      <c r="C4570" s="194" t="inlineStr">
        <is>
          <t>INDIAN RUPEE</t>
        </is>
      </c>
      <c r="D4570" s="195" t="n"/>
      <c r="E4570" s="195" t="n">
        <v>281.41</v>
      </c>
      <c r="F4570" s="195" t="n">
        <v>293.52</v>
      </c>
      <c r="G4570" s="195" t="n">
        <v>287.47</v>
      </c>
    </row>
    <row r="4571">
      <c r="A4571" s="196" t="inlineStr">
        <is>
          <t>2026-01-29</t>
        </is>
      </c>
      <c r="B4571" s="196" t="inlineStr">
        <is>
          <t>JPY</t>
        </is>
      </c>
      <c r="C4571" s="196" t="inlineStr">
        <is>
          <t>YEN</t>
        </is>
      </c>
      <c r="D4571" s="184" t="n">
        <v>163.7</v>
      </c>
      <c r="E4571" s="184" t="n">
        <v>165.36</v>
      </c>
      <c r="F4571" s="184" t="n">
        <v>174.1</v>
      </c>
      <c r="G4571" s="184" t="n">
        <v>169.73</v>
      </c>
    </row>
    <row r="4572">
      <c r="A4572" s="194" t="inlineStr">
        <is>
          <t>2026-01-29</t>
        </is>
      </c>
      <c r="B4572" s="194" t="inlineStr">
        <is>
          <t>KRW</t>
        </is>
      </c>
      <c r="C4572" s="194" t="inlineStr">
        <is>
          <t>KOREAN WON</t>
        </is>
      </c>
      <c r="D4572" s="195" t="n">
        <v>15.72</v>
      </c>
      <c r="E4572" s="195" t="n">
        <v>17.47</v>
      </c>
      <c r="F4572" s="195" t="n">
        <v>18.95</v>
      </c>
      <c r="G4572" s="195" t="n">
        <v>18.21</v>
      </c>
    </row>
    <row r="4573">
      <c r="A4573" s="196" t="inlineStr">
        <is>
          <t>2026-01-29</t>
        </is>
      </c>
      <c r="B4573" s="196" t="inlineStr">
        <is>
          <t>KWD</t>
        </is>
      </c>
      <c r="C4573" s="196" t="inlineStr">
        <is>
          <t>KUWAITI DINAR</t>
        </is>
      </c>
      <c r="D4573" s="184" t="n"/>
      <c r="E4573" s="184" t="n">
        <v>84905.31</v>
      </c>
      <c r="F4573" s="184" t="n">
        <v>89021.99000000001</v>
      </c>
      <c r="G4573" s="184" t="n">
        <v>86963.64999999999</v>
      </c>
    </row>
    <row r="4574">
      <c r="A4574" s="194" t="inlineStr">
        <is>
          <t>2026-01-29</t>
        </is>
      </c>
      <c r="B4574" s="194" t="inlineStr">
        <is>
          <t>MYR</t>
        </is>
      </c>
      <c r="C4574" s="194" t="inlineStr">
        <is>
          <t>MALAYSIAN RINGGIT</t>
        </is>
      </c>
      <c r="D4574" s="195" t="n"/>
      <c r="E4574" s="195" t="n">
        <v>6555.28</v>
      </c>
      <c r="F4574" s="195" t="n">
        <v>6698</v>
      </c>
      <c r="G4574" s="195" t="n">
        <v>6626.64</v>
      </c>
    </row>
    <row r="4575">
      <c r="A4575" s="196" t="inlineStr">
        <is>
          <t>2026-01-29</t>
        </is>
      </c>
      <c r="B4575" s="196" t="inlineStr">
        <is>
          <t>NOK</t>
        </is>
      </c>
      <c r="C4575" s="196" t="inlineStr">
        <is>
          <t>NORWEGIAN KRONER</t>
        </is>
      </c>
      <c r="D4575" s="184" t="n"/>
      <c r="E4575" s="184" t="n">
        <v>2661.72</v>
      </c>
      <c r="F4575" s="184" t="n">
        <v>2774.62</v>
      </c>
      <c r="G4575" s="184" t="n">
        <v>2718.17</v>
      </c>
    </row>
    <row r="4576">
      <c r="A4576" s="194" t="inlineStr">
        <is>
          <t>2026-01-29</t>
        </is>
      </c>
      <c r="B4576" s="194" t="inlineStr">
        <is>
          <t>RUB</t>
        </is>
      </c>
      <c r="C4576" s="194" t="inlineStr">
        <is>
          <t>RUSSIAN RUBLE</t>
        </is>
      </c>
      <c r="D4576" s="195" t="n"/>
      <c r="E4576" s="195" t="n">
        <v>325.17</v>
      </c>
      <c r="F4576" s="195" t="n">
        <v>359.95</v>
      </c>
      <c r="G4576" s="195" t="n">
        <v>342.56</v>
      </c>
    </row>
    <row r="4577">
      <c r="A4577" s="196" t="inlineStr">
        <is>
          <t>2026-01-29</t>
        </is>
      </c>
      <c r="B4577" s="196" t="inlineStr">
        <is>
          <t>SAR</t>
        </is>
      </c>
      <c r="C4577" s="196" t="inlineStr">
        <is>
          <t>SAUDI RIAL</t>
        </is>
      </c>
      <c r="D4577" s="184" t="n"/>
      <c r="E4577" s="184" t="n">
        <v>6897.74</v>
      </c>
      <c r="F4577" s="184" t="n">
        <v>7194.7</v>
      </c>
      <c r="G4577" s="184" t="n">
        <v>7046.22</v>
      </c>
    </row>
    <row r="4578">
      <c r="A4578" s="194" t="inlineStr">
        <is>
          <t>2026-01-29</t>
        </is>
      </c>
      <c r="B4578" s="194" t="inlineStr">
        <is>
          <t>SEK</t>
        </is>
      </c>
      <c r="C4578" s="194" t="inlineStr">
        <is>
          <t>SWEDISH KRONA</t>
        </is>
      </c>
      <c r="D4578" s="195" t="n"/>
      <c r="E4578" s="195" t="n">
        <v>2887.69</v>
      </c>
      <c r="F4578" s="195" t="n">
        <v>3010.18</v>
      </c>
      <c r="G4578" s="195" t="n">
        <v>2948.94</v>
      </c>
    </row>
    <row r="4579">
      <c r="A4579" s="196" t="inlineStr">
        <is>
          <t>2026-01-29</t>
        </is>
      </c>
      <c r="B4579" s="196" t="inlineStr">
        <is>
          <t>SGD</t>
        </is>
      </c>
      <c r="C4579" s="196" t="inlineStr">
        <is>
          <t>SINGAPORE DOLLAR</t>
        </is>
      </c>
      <c r="D4579" s="184" t="n">
        <v>20055.93</v>
      </c>
      <c r="E4579" s="184" t="n">
        <v>20258.51</v>
      </c>
      <c r="F4579" s="184" t="n">
        <v>20949.5</v>
      </c>
      <c r="G4579" s="184" t="n">
        <v>20604</v>
      </c>
    </row>
    <row r="4580">
      <c r="A4580" s="194" t="inlineStr">
        <is>
          <t>2026-01-29</t>
        </is>
      </c>
      <c r="B4580" s="194" t="inlineStr">
        <is>
          <t>THB</t>
        </is>
      </c>
      <c r="C4580" s="194" t="inlineStr">
        <is>
          <t>THAILAND BAHT</t>
        </is>
      </c>
      <c r="D4580" s="195" t="n">
        <v>736.24</v>
      </c>
      <c r="E4580" s="195" t="n">
        <v>818.04</v>
      </c>
      <c r="F4580" s="195" t="n">
        <v>852.74</v>
      </c>
      <c r="G4580" s="195" t="n">
        <v>835.39</v>
      </c>
    </row>
    <row r="4581">
      <c r="A4581" s="196" t="inlineStr">
        <is>
          <t>2026-01-29</t>
        </is>
      </c>
      <c r="B4581" s="196" t="inlineStr">
        <is>
          <t>USD</t>
        </is>
      </c>
      <c r="C4581" s="196" t="inlineStr">
        <is>
          <t>US DOLLAR</t>
        </is>
      </c>
      <c r="D4581" s="184" t="n">
        <v>25810</v>
      </c>
      <c r="E4581" s="184" t="n">
        <v>25840</v>
      </c>
      <c r="F4581" s="184" t="n">
        <v>26200</v>
      </c>
      <c r="G4581" s="184" t="n">
        <v>26020</v>
      </c>
    </row>
    <row r="4582">
      <c r="A4582" s="194" t="inlineStr">
        <is>
          <t>2026-01-28</t>
        </is>
      </c>
      <c r="B4582" s="194" t="inlineStr">
        <is>
          <t>AUD</t>
        </is>
      </c>
      <c r="C4582" s="194" t="inlineStr">
        <is>
          <t>AUSTRALIAN DOLLAR</t>
        </is>
      </c>
      <c r="D4582" s="195" t="n">
        <v>17801.39</v>
      </c>
      <c r="E4582" s="195" t="n">
        <v>17981.2</v>
      </c>
      <c r="F4582" s="195" t="n">
        <v>18557.3</v>
      </c>
      <c r="G4582" s="195" t="n">
        <v>18269.25</v>
      </c>
    </row>
    <row r="4583">
      <c r="A4583" s="196" t="inlineStr">
        <is>
          <t>2026-01-28</t>
        </is>
      </c>
      <c r="B4583" s="196" t="inlineStr">
        <is>
          <t>CAD</t>
        </is>
      </c>
      <c r="C4583" s="196" t="inlineStr">
        <is>
          <t>CANADIAN DOLLAR</t>
        </is>
      </c>
      <c r="D4583" s="184" t="n">
        <v>18725.6</v>
      </c>
      <c r="E4583" s="184" t="n">
        <v>18914.75</v>
      </c>
      <c r="F4583" s="184" t="n">
        <v>19520.75</v>
      </c>
      <c r="G4583" s="184" t="n">
        <v>19217.75</v>
      </c>
    </row>
    <row r="4584">
      <c r="A4584" s="194" t="inlineStr">
        <is>
          <t>2026-01-28</t>
        </is>
      </c>
      <c r="B4584" s="194" t="inlineStr">
        <is>
          <t>CHF</t>
        </is>
      </c>
      <c r="C4584" s="194" t="inlineStr">
        <is>
          <t>SWISS FRANC</t>
        </is>
      </c>
      <c r="D4584" s="195" t="n">
        <v>33256.74</v>
      </c>
      <c r="E4584" s="195" t="n">
        <v>33592.67</v>
      </c>
      <c r="F4584" s="195" t="n">
        <v>34668.93</v>
      </c>
      <c r="G4584" s="195" t="n">
        <v>34130.8</v>
      </c>
    </row>
    <row r="4585">
      <c r="A4585" s="196" t="inlineStr">
        <is>
          <t>2026-01-28</t>
        </is>
      </c>
      <c r="B4585" s="196" t="inlineStr">
        <is>
          <t>CNY</t>
        </is>
      </c>
      <c r="C4585" s="196" t="inlineStr">
        <is>
          <t>YUAN RENMINBI</t>
        </is>
      </c>
      <c r="D4585" s="184" t="n">
        <v>3660.02</v>
      </c>
      <c r="E4585" s="184" t="n">
        <v>3696.99</v>
      </c>
      <c r="F4585" s="184" t="n">
        <v>3815.44</v>
      </c>
      <c r="G4585" s="184" t="n">
        <v>3756.22</v>
      </c>
    </row>
    <row r="4586">
      <c r="A4586" s="194" t="inlineStr">
        <is>
          <t>2026-01-28</t>
        </is>
      </c>
      <c r="B4586" s="194" t="inlineStr">
        <is>
          <t>DKK</t>
        </is>
      </c>
      <c r="C4586" s="194" t="inlineStr">
        <is>
          <t>DANISH KRONE</t>
        </is>
      </c>
      <c r="D4586" s="195" t="n"/>
      <c r="E4586" s="195" t="n">
        <v>4113.78</v>
      </c>
      <c r="F4586" s="195" t="n">
        <v>4271.13</v>
      </c>
      <c r="G4586" s="195" t="n">
        <v>4192.46</v>
      </c>
    </row>
    <row r="4587">
      <c r="A4587" s="196" t="inlineStr">
        <is>
          <t>2026-01-28</t>
        </is>
      </c>
      <c r="B4587" s="196" t="inlineStr">
        <is>
          <t>EUR</t>
        </is>
      </c>
      <c r="C4587" s="196" t="inlineStr">
        <is>
          <t>EURO</t>
        </is>
      </c>
      <c r="D4587" s="184" t="n">
        <v>30492.35</v>
      </c>
      <c r="E4587" s="184" t="n">
        <v>30800.35</v>
      </c>
      <c r="F4587" s="184" t="n">
        <v>32100.32</v>
      </c>
      <c r="G4587" s="184" t="n">
        <v>31450.34</v>
      </c>
    </row>
    <row r="4588">
      <c r="A4588" s="194" t="inlineStr">
        <is>
          <t>2026-01-28</t>
        </is>
      </c>
      <c r="B4588" s="194" t="inlineStr">
        <is>
          <t>GBP</t>
        </is>
      </c>
      <c r="C4588" s="194" t="inlineStr">
        <is>
          <t>POUND STERLING</t>
        </is>
      </c>
      <c r="D4588" s="195" t="n">
        <v>35084.37</v>
      </c>
      <c r="E4588" s="195" t="n">
        <v>35438.76</v>
      </c>
      <c r="F4588" s="195" t="n">
        <v>36574.16</v>
      </c>
      <c r="G4588" s="195" t="n">
        <v>36006.46</v>
      </c>
    </row>
    <row r="4589">
      <c r="A4589" s="196" t="inlineStr">
        <is>
          <t>2026-01-28</t>
        </is>
      </c>
      <c r="B4589" s="196" t="inlineStr">
        <is>
          <t>HKD</t>
        </is>
      </c>
      <c r="C4589" s="196" t="inlineStr">
        <is>
          <t>HONGKONG DOLLAR</t>
        </is>
      </c>
      <c r="D4589" s="184" t="n">
        <v>3248.88</v>
      </c>
      <c r="E4589" s="184" t="n">
        <v>3281.7</v>
      </c>
      <c r="F4589" s="184" t="n">
        <v>3407.23</v>
      </c>
      <c r="G4589" s="184" t="n">
        <v>3344.46</v>
      </c>
    </row>
    <row r="4590">
      <c r="A4590" s="194" t="inlineStr">
        <is>
          <t>2026-01-28</t>
        </is>
      </c>
      <c r="B4590" s="194" t="inlineStr">
        <is>
          <t>INR</t>
        </is>
      </c>
      <c r="C4590" s="194" t="inlineStr">
        <is>
          <t>INDIAN RUPEE</t>
        </is>
      </c>
      <c r="D4590" s="195" t="n"/>
      <c r="E4590" s="195" t="n">
        <v>282.84</v>
      </c>
      <c r="F4590" s="195" t="n">
        <v>295.02</v>
      </c>
      <c r="G4590" s="195" t="n">
        <v>288.93</v>
      </c>
    </row>
    <row r="4591">
      <c r="A4591" s="196" t="inlineStr">
        <is>
          <t>2026-01-28</t>
        </is>
      </c>
      <c r="B4591" s="196" t="inlineStr">
        <is>
          <t>JPY</t>
        </is>
      </c>
      <c r="C4591" s="196" t="inlineStr">
        <is>
          <t>YEN</t>
        </is>
      </c>
      <c r="D4591" s="184" t="n">
        <v>165.05</v>
      </c>
      <c r="E4591" s="184" t="n">
        <v>166.72</v>
      </c>
      <c r="F4591" s="184" t="n">
        <v>175.54</v>
      </c>
      <c r="G4591" s="184" t="n">
        <v>171.13</v>
      </c>
    </row>
    <row r="4592">
      <c r="A4592" s="194" t="inlineStr">
        <is>
          <t>2026-01-28</t>
        </is>
      </c>
      <c r="B4592" s="194" t="inlineStr">
        <is>
          <t>KRW</t>
        </is>
      </c>
      <c r="C4592" s="194" t="inlineStr">
        <is>
          <t>KOREAN WON</t>
        </is>
      </c>
      <c r="D4592" s="195" t="n">
        <v>15.82</v>
      </c>
      <c r="E4592" s="195" t="n">
        <v>17.58</v>
      </c>
      <c r="F4592" s="195" t="n">
        <v>19.08</v>
      </c>
      <c r="G4592" s="195" t="n">
        <v>18.33</v>
      </c>
    </row>
    <row r="4593">
      <c r="A4593" s="196" t="inlineStr">
        <is>
          <t>2026-01-28</t>
        </is>
      </c>
      <c r="B4593" s="196" t="inlineStr">
        <is>
          <t>KWD</t>
        </is>
      </c>
      <c r="C4593" s="196" t="inlineStr">
        <is>
          <t>KUWAITI DINAR</t>
        </is>
      </c>
      <c r="D4593" s="184" t="n"/>
      <c r="E4593" s="184" t="n">
        <v>85101.24000000001</v>
      </c>
      <c r="F4593" s="184" t="n">
        <v>89227.11</v>
      </c>
      <c r="G4593" s="184" t="n">
        <v>87164.17999999999</v>
      </c>
    </row>
    <row r="4594">
      <c r="A4594" s="194" t="inlineStr">
        <is>
          <t>2026-01-28</t>
        </is>
      </c>
      <c r="B4594" s="194" t="inlineStr">
        <is>
          <t>MYR</t>
        </is>
      </c>
      <c r="C4594" s="194" t="inlineStr">
        <is>
          <t>MALAYSIAN RINGGIT</t>
        </is>
      </c>
      <c r="D4594" s="195" t="n"/>
      <c r="E4594" s="195" t="n">
        <v>6595.6</v>
      </c>
      <c r="F4594" s="195" t="n">
        <v>6739.17</v>
      </c>
      <c r="G4594" s="195" t="n">
        <v>6667.38</v>
      </c>
    </row>
    <row r="4595">
      <c r="A4595" s="196" t="inlineStr">
        <is>
          <t>2026-01-28</t>
        </is>
      </c>
      <c r="B4595" s="196" t="inlineStr">
        <is>
          <t>NOK</t>
        </is>
      </c>
      <c r="C4595" s="196" t="inlineStr">
        <is>
          <t>NORWEGIAN KRONER</t>
        </is>
      </c>
      <c r="D4595" s="184" t="n"/>
      <c r="E4595" s="184" t="n">
        <v>2667.64</v>
      </c>
      <c r="F4595" s="184" t="n">
        <v>2780.78</v>
      </c>
      <c r="G4595" s="184" t="n">
        <v>2724.21</v>
      </c>
    </row>
    <row r="4596">
      <c r="A4596" s="194" t="inlineStr">
        <is>
          <t>2026-01-28</t>
        </is>
      </c>
      <c r="B4596" s="194" t="inlineStr">
        <is>
          <t>RUB</t>
        </is>
      </c>
      <c r="C4596" s="194" t="inlineStr">
        <is>
          <t>RUSSIAN RUBLE</t>
        </is>
      </c>
      <c r="D4596" s="195" t="n"/>
      <c r="E4596" s="195" t="n">
        <v>327.43</v>
      </c>
      <c r="F4596" s="195" t="n">
        <v>362.45</v>
      </c>
      <c r="G4596" s="195" t="n">
        <v>344.94</v>
      </c>
    </row>
    <row r="4597">
      <c r="A4597" s="196" t="inlineStr">
        <is>
          <t>2026-01-28</t>
        </is>
      </c>
      <c r="B4597" s="196" t="inlineStr">
        <is>
          <t>SAR</t>
        </is>
      </c>
      <c r="C4597" s="196" t="inlineStr">
        <is>
          <t>SAUDI RIAL</t>
        </is>
      </c>
      <c r="D4597" s="184" t="n"/>
      <c r="E4597" s="184" t="n">
        <v>6914.21</v>
      </c>
      <c r="F4597" s="184" t="n">
        <v>7211.86</v>
      </c>
      <c r="G4597" s="184" t="n">
        <v>7063.04</v>
      </c>
    </row>
    <row r="4598">
      <c r="A4598" s="194" t="inlineStr">
        <is>
          <t>2026-01-28</t>
        </is>
      </c>
      <c r="B4598" s="194" t="inlineStr">
        <is>
          <t>SEK</t>
        </is>
      </c>
      <c r="C4598" s="194" t="inlineStr">
        <is>
          <t>SWEDISH KRONA</t>
        </is>
      </c>
      <c r="D4598" s="195" t="n"/>
      <c r="E4598" s="195" t="n">
        <v>2904.68</v>
      </c>
      <c r="F4598" s="195" t="n">
        <v>3027.88</v>
      </c>
      <c r="G4598" s="195" t="n">
        <v>2966.28</v>
      </c>
    </row>
    <row r="4599">
      <c r="A4599" s="196" t="inlineStr">
        <is>
          <t>2026-01-28</t>
        </is>
      </c>
      <c r="B4599" s="196" t="inlineStr">
        <is>
          <t>SGD</t>
        </is>
      </c>
      <c r="C4599" s="196" t="inlineStr">
        <is>
          <t>SINGAPORE DOLLAR</t>
        </is>
      </c>
      <c r="D4599" s="184" t="n">
        <v>20158.06</v>
      </c>
      <c r="E4599" s="184" t="n">
        <v>20361.68</v>
      </c>
      <c r="F4599" s="184" t="n">
        <v>21056.12</v>
      </c>
      <c r="G4599" s="184" t="n">
        <v>20708.9</v>
      </c>
    </row>
    <row r="4600">
      <c r="A4600" s="194" t="inlineStr">
        <is>
          <t>2026-01-28</t>
        </is>
      </c>
      <c r="B4600" s="194" t="inlineStr">
        <is>
          <t>THB</t>
        </is>
      </c>
      <c r="C4600" s="194" t="inlineStr">
        <is>
          <t>THAILAND BAHT</t>
        </is>
      </c>
      <c r="D4600" s="195" t="n">
        <v>743.1799999999999</v>
      </c>
      <c r="E4600" s="195" t="n">
        <v>825.76</v>
      </c>
      <c r="F4600" s="195" t="n">
        <v>860.78</v>
      </c>
      <c r="G4600" s="195" t="n">
        <v>843.27</v>
      </c>
    </row>
    <row r="4601">
      <c r="A4601" s="196" t="inlineStr">
        <is>
          <t>2026-01-28</t>
        </is>
      </c>
      <c r="B4601" s="196" t="inlineStr">
        <is>
          <t>USD</t>
        </is>
      </c>
      <c r="C4601" s="196" t="inlineStr">
        <is>
          <t>US DOLLAR</t>
        </is>
      </c>
      <c r="D4601" s="184" t="n">
        <v>25870</v>
      </c>
      <c r="E4601" s="184" t="n">
        <v>25900</v>
      </c>
      <c r="F4601" s="184" t="n">
        <v>26260</v>
      </c>
      <c r="G4601" s="184" t="n">
        <v>26080</v>
      </c>
    </row>
    <row r="4602">
      <c r="A4602" s="194" t="inlineStr">
        <is>
          <t>2026-01-27</t>
        </is>
      </c>
      <c r="B4602" s="194" t="inlineStr">
        <is>
          <t>AUD</t>
        </is>
      </c>
      <c r="C4602" s="194" t="inlineStr">
        <is>
          <t>AUSTRALIAN DOLLAR</t>
        </is>
      </c>
      <c r="D4602" s="195" t="n">
        <v>17632.62</v>
      </c>
      <c r="E4602" s="195" t="n">
        <v>17810.73</v>
      </c>
      <c r="F4602" s="195" t="n">
        <v>18381.28</v>
      </c>
      <c r="G4602" s="195" t="n">
        <v>18096</v>
      </c>
    </row>
    <row r="4603">
      <c r="A4603" s="196" t="inlineStr">
        <is>
          <t>2026-01-27</t>
        </is>
      </c>
      <c r="B4603" s="196" t="inlineStr">
        <is>
          <t>CAD</t>
        </is>
      </c>
      <c r="C4603" s="196" t="inlineStr">
        <is>
          <t>CANADIAN DOLLAR</t>
        </is>
      </c>
      <c r="D4603" s="184" t="n">
        <v>18589.65</v>
      </c>
      <c r="E4603" s="184" t="n">
        <v>18777.42</v>
      </c>
      <c r="F4603" s="184" t="n">
        <v>19378.94</v>
      </c>
      <c r="G4603" s="184" t="n">
        <v>19078.18</v>
      </c>
    </row>
    <row r="4604">
      <c r="A4604" s="194" t="inlineStr">
        <is>
          <t>2026-01-27</t>
        </is>
      </c>
      <c r="B4604" s="194" t="inlineStr">
        <is>
          <t>CHF</t>
        </is>
      </c>
      <c r="C4604" s="194" t="inlineStr">
        <is>
          <t>SWISS FRANC</t>
        </is>
      </c>
      <c r="D4604" s="195" t="n">
        <v>32843.3</v>
      </c>
      <c r="E4604" s="195" t="n">
        <v>33175.05</v>
      </c>
      <c r="F4604" s="195" t="n">
        <v>34237.79</v>
      </c>
      <c r="G4604" s="195" t="n">
        <v>33706.42</v>
      </c>
    </row>
    <row r="4605">
      <c r="A4605" s="196" t="inlineStr">
        <is>
          <t>2026-01-27</t>
        </is>
      </c>
      <c r="B4605" s="196" t="inlineStr">
        <is>
          <t>CNY</t>
        </is>
      </c>
      <c r="C4605" s="196" t="inlineStr">
        <is>
          <t>YUAN RENMINBI</t>
        </is>
      </c>
      <c r="D4605" s="184" t="n">
        <v>3663.31</v>
      </c>
      <c r="E4605" s="184" t="n">
        <v>3700.32</v>
      </c>
      <c r="F4605" s="184" t="n">
        <v>3818.85</v>
      </c>
      <c r="G4605" s="184" t="n">
        <v>3759.58</v>
      </c>
    </row>
    <row r="4606">
      <c r="A4606" s="194" t="inlineStr">
        <is>
          <t>2026-01-27</t>
        </is>
      </c>
      <c r="B4606" s="194" t="inlineStr">
        <is>
          <t>DKK</t>
        </is>
      </c>
      <c r="C4606" s="194" t="inlineStr">
        <is>
          <t>DANISH KRONE</t>
        </is>
      </c>
      <c r="D4606" s="195" t="n"/>
      <c r="E4606" s="195" t="n">
        <v>4085.76</v>
      </c>
      <c r="F4606" s="195" t="n">
        <v>4242.03</v>
      </c>
      <c r="G4606" s="195" t="n">
        <v>4163.9</v>
      </c>
    </row>
    <row r="4607">
      <c r="A4607" s="196" t="inlineStr">
        <is>
          <t>2026-01-27</t>
        </is>
      </c>
      <c r="B4607" s="196" t="inlineStr">
        <is>
          <t>EUR</t>
        </is>
      </c>
      <c r="C4607" s="196" t="inlineStr">
        <is>
          <t>EURO</t>
        </is>
      </c>
      <c r="D4607" s="184" t="n">
        <v>30286.32</v>
      </c>
      <c r="E4607" s="184" t="n">
        <v>30592.25</v>
      </c>
      <c r="F4607" s="184" t="n">
        <v>31883.3</v>
      </c>
      <c r="G4607" s="184" t="n">
        <v>31237.78</v>
      </c>
    </row>
    <row r="4608">
      <c r="A4608" s="194" t="inlineStr">
        <is>
          <t>2026-01-27</t>
        </is>
      </c>
      <c r="B4608" s="194" t="inlineStr">
        <is>
          <t>GBP</t>
        </is>
      </c>
      <c r="C4608" s="194" t="inlineStr">
        <is>
          <t>POUND STERLING</t>
        </is>
      </c>
      <c r="D4608" s="195" t="n">
        <v>34877.94</v>
      </c>
      <c r="E4608" s="195" t="n">
        <v>35230.24</v>
      </c>
      <c r="F4608" s="195" t="n">
        <v>36358.82</v>
      </c>
      <c r="G4608" s="195" t="n">
        <v>35794.53</v>
      </c>
    </row>
    <row r="4609">
      <c r="A4609" s="196" t="inlineStr">
        <is>
          <t>2026-01-27</t>
        </is>
      </c>
      <c r="B4609" s="196" t="inlineStr">
        <is>
          <t>HKD</t>
        </is>
      </c>
      <c r="C4609" s="196" t="inlineStr">
        <is>
          <t>HONGKONG DOLLAR</t>
        </is>
      </c>
      <c r="D4609" s="184" t="n">
        <v>3258.99</v>
      </c>
      <c r="E4609" s="184" t="n">
        <v>3291.91</v>
      </c>
      <c r="F4609" s="184" t="n">
        <v>3417.81</v>
      </c>
      <c r="G4609" s="184" t="n">
        <v>3354.86</v>
      </c>
    </row>
    <row r="4610">
      <c r="A4610" s="194" t="inlineStr">
        <is>
          <t>2026-01-27</t>
        </is>
      </c>
      <c r="B4610" s="194" t="inlineStr">
        <is>
          <t>INR</t>
        </is>
      </c>
      <c r="C4610" s="194" t="inlineStr">
        <is>
          <t>INDIAN RUPEE</t>
        </is>
      </c>
      <c r="D4610" s="195" t="n"/>
      <c r="E4610" s="195" t="n">
        <v>283.54</v>
      </c>
      <c r="F4610" s="195" t="n">
        <v>295.74</v>
      </c>
      <c r="G4610" s="195" t="n">
        <v>289.64</v>
      </c>
    </row>
    <row r="4611">
      <c r="A4611" s="196" t="inlineStr">
        <is>
          <t>2026-01-27</t>
        </is>
      </c>
      <c r="B4611" s="196" t="inlineStr">
        <is>
          <t>JPY</t>
        </is>
      </c>
      <c r="C4611" s="196" t="inlineStr">
        <is>
          <t>YEN</t>
        </is>
      </c>
      <c r="D4611" s="184" t="n">
        <v>163.63</v>
      </c>
      <c r="E4611" s="184" t="n">
        <v>165.28</v>
      </c>
      <c r="F4611" s="184" t="n">
        <v>174.02</v>
      </c>
      <c r="G4611" s="184" t="n">
        <v>169.65</v>
      </c>
    </row>
    <row r="4612">
      <c r="A4612" s="194" t="inlineStr">
        <is>
          <t>2026-01-27</t>
        </is>
      </c>
      <c r="B4612" s="194" t="inlineStr">
        <is>
          <t>KRW</t>
        </is>
      </c>
      <c r="C4612" s="194" t="inlineStr">
        <is>
          <t>KOREAN WON</t>
        </is>
      </c>
      <c r="D4612" s="195" t="n">
        <v>15.62</v>
      </c>
      <c r="E4612" s="195" t="n">
        <v>17.36</v>
      </c>
      <c r="F4612" s="195" t="n">
        <v>18.83</v>
      </c>
      <c r="G4612" s="195" t="n">
        <v>18.1</v>
      </c>
    </row>
    <row r="4613">
      <c r="A4613" s="196" t="inlineStr">
        <is>
          <t>2026-01-27</t>
        </is>
      </c>
      <c r="B4613" s="196" t="inlineStr">
        <is>
          <t>KWD</t>
        </is>
      </c>
      <c r="C4613" s="196" t="inlineStr">
        <is>
          <t>KUWAITI DINAR</t>
        </is>
      </c>
      <c r="D4613" s="184" t="n"/>
      <c r="E4613" s="184" t="n">
        <v>85245.89999999999</v>
      </c>
      <c r="F4613" s="184" t="n">
        <v>89378.42</v>
      </c>
      <c r="G4613" s="184" t="n">
        <v>87312.16</v>
      </c>
    </row>
    <row r="4614">
      <c r="A4614" s="194" t="inlineStr">
        <is>
          <t>2026-01-27</t>
        </is>
      </c>
      <c r="B4614" s="194" t="inlineStr">
        <is>
          <t>MYR</t>
        </is>
      </c>
      <c r="C4614" s="194" t="inlineStr">
        <is>
          <t>MALAYSIAN RINGGIT</t>
        </is>
      </c>
      <c r="D4614" s="195" t="n"/>
      <c r="E4614" s="195" t="n">
        <v>6533.15</v>
      </c>
      <c r="F4614" s="195" t="n">
        <v>6675.34</v>
      </c>
      <c r="G4614" s="195" t="n">
        <v>6604.24</v>
      </c>
    </row>
    <row r="4615">
      <c r="A4615" s="196" t="inlineStr">
        <is>
          <t>2026-01-27</t>
        </is>
      </c>
      <c r="B4615" s="196" t="inlineStr">
        <is>
          <t>NOK</t>
        </is>
      </c>
      <c r="C4615" s="196" t="inlineStr">
        <is>
          <t>NORWEGIAN KRONER</t>
        </is>
      </c>
      <c r="D4615" s="184" t="n"/>
      <c r="E4615" s="184" t="n">
        <v>2621.54</v>
      </c>
      <c r="F4615" s="184" t="n">
        <v>2732.71</v>
      </c>
      <c r="G4615" s="184" t="n">
        <v>2677.12</v>
      </c>
    </row>
    <row r="4616">
      <c r="A4616" s="194" t="inlineStr">
        <is>
          <t>2026-01-27</t>
        </is>
      </c>
      <c r="B4616" s="194" t="inlineStr">
        <is>
          <t>RUB</t>
        </is>
      </c>
      <c r="C4616" s="194" t="inlineStr">
        <is>
          <t>RUSSIAN RUBLE</t>
        </is>
      </c>
      <c r="D4616" s="195" t="n"/>
      <c r="E4616" s="195" t="n">
        <v>325.22</v>
      </c>
      <c r="F4616" s="195" t="n">
        <v>360</v>
      </c>
      <c r="G4616" s="195" t="n">
        <v>342.61</v>
      </c>
    </row>
    <row r="4617">
      <c r="A4617" s="196" t="inlineStr">
        <is>
          <t>2026-01-27</t>
        </is>
      </c>
      <c r="B4617" s="196" t="inlineStr">
        <is>
          <t>SAR</t>
        </is>
      </c>
      <c r="C4617" s="196" t="inlineStr">
        <is>
          <t>SAUDI RIAL</t>
        </is>
      </c>
      <c r="D4617" s="184" t="n"/>
      <c r="E4617" s="184" t="n">
        <v>6933.7</v>
      </c>
      <c r="F4617" s="184" t="n">
        <v>7232.16</v>
      </c>
      <c r="G4617" s="184" t="n">
        <v>7082.93</v>
      </c>
    </row>
    <row r="4618">
      <c r="A4618" s="194" t="inlineStr">
        <is>
          <t>2026-01-27</t>
        </is>
      </c>
      <c r="B4618" s="194" t="inlineStr">
        <is>
          <t>SEK</t>
        </is>
      </c>
      <c r="C4618" s="194" t="inlineStr">
        <is>
          <t>SWEDISH KRONA</t>
        </is>
      </c>
      <c r="D4618" s="195" t="n"/>
      <c r="E4618" s="195" t="n">
        <v>2868.52</v>
      </c>
      <c r="F4618" s="195" t="n">
        <v>2990.18</v>
      </c>
      <c r="G4618" s="195" t="n">
        <v>2929.35</v>
      </c>
    </row>
    <row r="4619">
      <c r="A4619" s="196" t="inlineStr">
        <is>
          <t>2026-01-27</t>
        </is>
      </c>
      <c r="B4619" s="196" t="inlineStr">
        <is>
          <t>SGD</t>
        </is>
      </c>
      <c r="C4619" s="196" t="inlineStr">
        <is>
          <t>SINGAPORE DOLLAR</t>
        </is>
      </c>
      <c r="D4619" s="184" t="n">
        <v>20071.99</v>
      </c>
      <c r="E4619" s="184" t="n">
        <v>20274.74</v>
      </c>
      <c r="F4619" s="184" t="n">
        <v>20966.12</v>
      </c>
      <c r="G4619" s="184" t="n">
        <v>20620.43</v>
      </c>
    </row>
    <row r="4620">
      <c r="A4620" s="194" t="inlineStr">
        <is>
          <t>2026-01-27</t>
        </is>
      </c>
      <c r="B4620" s="194" t="inlineStr">
        <is>
          <t>THB</t>
        </is>
      </c>
      <c r="C4620" s="194" t="inlineStr">
        <is>
          <t>THAILAND BAHT</t>
        </is>
      </c>
      <c r="D4620" s="195" t="n">
        <v>738.97</v>
      </c>
      <c r="E4620" s="195" t="n">
        <v>821.08</v>
      </c>
      <c r="F4620" s="195" t="n">
        <v>855.9</v>
      </c>
      <c r="G4620" s="195" t="n">
        <v>838.49</v>
      </c>
    </row>
    <row r="4621">
      <c r="A4621" s="196" t="inlineStr">
        <is>
          <t>2026-01-27</t>
        </is>
      </c>
      <c r="B4621" s="196" t="inlineStr">
        <is>
          <t>USD</t>
        </is>
      </c>
      <c r="C4621" s="196" t="inlineStr">
        <is>
          <t>US DOLLAR</t>
        </is>
      </c>
      <c r="D4621" s="184" t="n">
        <v>25940</v>
      </c>
      <c r="E4621" s="184" t="n">
        <v>25970</v>
      </c>
      <c r="F4621" s="184" t="n">
        <v>26330</v>
      </c>
      <c r="G4621" s="184" t="n">
        <v>26150</v>
      </c>
    </row>
    <row r="4622">
      <c r="A4622" s="194" t="inlineStr">
        <is>
          <t>2026-01-26</t>
        </is>
      </c>
      <c r="B4622" s="194" t="inlineStr">
        <is>
          <t>AUD</t>
        </is>
      </c>
      <c r="C4622" s="194" t="inlineStr">
        <is>
          <t>AUSTRALIAN DOLLAR</t>
        </is>
      </c>
      <c r="D4622" s="195" t="n">
        <v>17646.86</v>
      </c>
      <c r="E4622" s="195" t="n">
        <v>17825.11</v>
      </c>
      <c r="F4622" s="195" t="n">
        <v>18396.08</v>
      </c>
      <c r="G4622" s="195" t="n">
        <v>18110.6</v>
      </c>
    </row>
    <row r="4623">
      <c r="A4623" s="196" t="inlineStr">
        <is>
          <t>2026-01-26</t>
        </is>
      </c>
      <c r="B4623" s="196" t="inlineStr">
        <is>
          <t>CAD</t>
        </is>
      </c>
      <c r="C4623" s="196" t="inlineStr">
        <is>
          <t>CANADIAN DOLLAR</t>
        </is>
      </c>
      <c r="D4623" s="184" t="n">
        <v>18654.84</v>
      </c>
      <c r="E4623" s="184" t="n">
        <v>18843.27</v>
      </c>
      <c r="F4623" s="184" t="n">
        <v>19446.86</v>
      </c>
      <c r="G4623" s="184" t="n">
        <v>19145.07</v>
      </c>
    </row>
    <row r="4624">
      <c r="A4624" s="194" t="inlineStr">
        <is>
          <t>2026-01-26</t>
        </is>
      </c>
      <c r="B4624" s="194" t="inlineStr">
        <is>
          <t>CHF</t>
        </is>
      </c>
      <c r="C4624" s="194" t="inlineStr">
        <is>
          <t>SWISS FRANC</t>
        </is>
      </c>
      <c r="D4624" s="195" t="n">
        <v>32855.48</v>
      </c>
      <c r="E4624" s="195" t="n">
        <v>33187.35</v>
      </c>
      <c r="F4624" s="195" t="n">
        <v>34250.4</v>
      </c>
      <c r="G4624" s="195" t="n">
        <v>33718.88</v>
      </c>
    </row>
    <row r="4625">
      <c r="A4625" s="196" t="inlineStr">
        <is>
          <t>2026-01-26</t>
        </is>
      </c>
      <c r="B4625" s="196" t="inlineStr">
        <is>
          <t>CNY</t>
        </is>
      </c>
      <c r="C4625" s="196" t="inlineStr">
        <is>
          <t>YUAN RENMINBI</t>
        </is>
      </c>
      <c r="D4625" s="184" t="n">
        <v>3669.87</v>
      </c>
      <c r="E4625" s="184" t="n">
        <v>3706.94</v>
      </c>
      <c r="F4625" s="184" t="n">
        <v>3825.68</v>
      </c>
      <c r="G4625" s="184" t="n">
        <v>3766.31</v>
      </c>
    </row>
    <row r="4626">
      <c r="A4626" s="194" t="inlineStr">
        <is>
          <t>2026-01-26</t>
        </is>
      </c>
      <c r="B4626" s="194" t="inlineStr">
        <is>
          <t>DKK</t>
        </is>
      </c>
      <c r="C4626" s="194" t="inlineStr">
        <is>
          <t>DANISH KRONE</t>
        </is>
      </c>
      <c r="D4626" s="195" t="n"/>
      <c r="E4626" s="195" t="n">
        <v>4083.57</v>
      </c>
      <c r="F4626" s="195" t="n">
        <v>4239.74</v>
      </c>
      <c r="G4626" s="195" t="n">
        <v>4161.66</v>
      </c>
    </row>
    <row r="4627">
      <c r="A4627" s="196" t="inlineStr">
        <is>
          <t>2026-01-26</t>
        </is>
      </c>
      <c r="B4627" s="196" t="inlineStr">
        <is>
          <t>EUR</t>
        </is>
      </c>
      <c r="C4627" s="196" t="inlineStr">
        <is>
          <t>EURO</t>
        </is>
      </c>
      <c r="D4627" s="184" t="n">
        <v>30268.89</v>
      </c>
      <c r="E4627" s="184" t="n">
        <v>30574.63</v>
      </c>
      <c r="F4627" s="184" t="n">
        <v>31864.87</v>
      </c>
      <c r="G4627" s="184" t="n">
        <v>31219.75</v>
      </c>
    </row>
    <row r="4628">
      <c r="A4628" s="194" t="inlineStr">
        <is>
          <t>2026-01-26</t>
        </is>
      </c>
      <c r="B4628" s="194" t="inlineStr">
        <is>
          <t>GBP</t>
        </is>
      </c>
      <c r="C4628" s="194" t="inlineStr">
        <is>
          <t>POUND STERLING</t>
        </is>
      </c>
      <c r="D4628" s="195" t="n">
        <v>34852.22</v>
      </c>
      <c r="E4628" s="195" t="n">
        <v>35204.26</v>
      </c>
      <c r="F4628" s="195" t="n">
        <v>36331.92</v>
      </c>
      <c r="G4628" s="195" t="n">
        <v>35768.09</v>
      </c>
    </row>
    <row r="4629">
      <c r="A4629" s="196" t="inlineStr">
        <is>
          <t>2026-01-26</t>
        </is>
      </c>
      <c r="B4629" s="196" t="inlineStr">
        <is>
          <t>HKD</t>
        </is>
      </c>
      <c r="C4629" s="196" t="inlineStr">
        <is>
          <t>HONGKONG DOLLAR</t>
        </is>
      </c>
      <c r="D4629" s="184" t="n">
        <v>3265.65</v>
      </c>
      <c r="E4629" s="184" t="n">
        <v>3298.64</v>
      </c>
      <c r="F4629" s="184" t="n">
        <v>3424.79</v>
      </c>
      <c r="G4629" s="184" t="n">
        <v>3361.72</v>
      </c>
    </row>
    <row r="4630">
      <c r="A4630" s="194" t="inlineStr">
        <is>
          <t>2026-01-26</t>
        </is>
      </c>
      <c r="B4630" s="194" t="inlineStr">
        <is>
          <t>INR</t>
        </is>
      </c>
      <c r="C4630" s="194" t="inlineStr">
        <is>
          <t>INDIAN RUPEE</t>
        </is>
      </c>
      <c r="D4630" s="195" t="n"/>
      <c r="E4630" s="195" t="n">
        <v>284.2</v>
      </c>
      <c r="F4630" s="195" t="n">
        <v>296.43</v>
      </c>
      <c r="G4630" s="195" t="n">
        <v>290.32</v>
      </c>
    </row>
    <row r="4631">
      <c r="A4631" s="196" t="inlineStr">
        <is>
          <t>2026-01-26</t>
        </is>
      </c>
      <c r="B4631" s="196" t="inlineStr">
        <is>
          <t>JPY</t>
        </is>
      </c>
      <c r="C4631" s="196" t="inlineStr">
        <is>
          <t>YEN</t>
        </is>
      </c>
      <c r="D4631" s="184" t="n">
        <v>163.92</v>
      </c>
      <c r="E4631" s="184" t="n">
        <v>165.58</v>
      </c>
      <c r="F4631" s="184" t="n">
        <v>174.33</v>
      </c>
      <c r="G4631" s="184" t="n">
        <v>169.96</v>
      </c>
    </row>
    <row r="4632">
      <c r="A4632" s="194" t="inlineStr">
        <is>
          <t>2026-01-26</t>
        </is>
      </c>
      <c r="B4632" s="194" t="inlineStr">
        <is>
          <t>KRW</t>
        </is>
      </c>
      <c r="C4632" s="194" t="inlineStr">
        <is>
          <t>KOREAN WON</t>
        </is>
      </c>
      <c r="D4632" s="195" t="n">
        <v>15.71</v>
      </c>
      <c r="E4632" s="195" t="n">
        <v>17.45</v>
      </c>
      <c r="F4632" s="195" t="n">
        <v>18.94</v>
      </c>
      <c r="G4632" s="195" t="n">
        <v>18.2</v>
      </c>
    </row>
    <row r="4633">
      <c r="A4633" s="196" t="inlineStr">
        <is>
          <t>2026-01-26</t>
        </is>
      </c>
      <c r="B4633" s="196" t="inlineStr">
        <is>
          <t>KWD</t>
        </is>
      </c>
      <c r="C4633" s="196" t="inlineStr">
        <is>
          <t>KUWAITI DINAR</t>
        </is>
      </c>
      <c r="D4633" s="184" t="n"/>
      <c r="E4633" s="184" t="n">
        <v>85320.45</v>
      </c>
      <c r="F4633" s="184" t="n">
        <v>89456.37</v>
      </c>
      <c r="G4633" s="184" t="n">
        <v>87388.41</v>
      </c>
    </row>
    <row r="4634">
      <c r="A4634" s="194" t="inlineStr">
        <is>
          <t>2026-01-26</t>
        </is>
      </c>
      <c r="B4634" s="194" t="inlineStr">
        <is>
          <t>MYR</t>
        </is>
      </c>
      <c r="C4634" s="194" t="inlineStr">
        <is>
          <t>MALAYSIAN RINGGIT</t>
        </is>
      </c>
      <c r="D4634" s="195" t="n"/>
      <c r="E4634" s="195" t="n">
        <v>6528.32</v>
      </c>
      <c r="F4634" s="195" t="n">
        <v>6670.38</v>
      </c>
      <c r="G4634" s="195" t="n">
        <v>6599.35</v>
      </c>
    </row>
    <row r="4635">
      <c r="A4635" s="196" t="inlineStr">
        <is>
          <t>2026-01-26</t>
        </is>
      </c>
      <c r="B4635" s="196" t="inlineStr">
        <is>
          <t>NOK</t>
        </is>
      </c>
      <c r="C4635" s="196" t="inlineStr">
        <is>
          <t>NORWEGIAN KRONER</t>
        </is>
      </c>
      <c r="D4635" s="184" t="n"/>
      <c r="E4635" s="184" t="n">
        <v>2636.83</v>
      </c>
      <c r="F4635" s="184" t="n">
        <v>2748.65</v>
      </c>
      <c r="G4635" s="184" t="n">
        <v>2692.74</v>
      </c>
    </row>
    <row r="4636">
      <c r="A4636" s="194" t="inlineStr">
        <is>
          <t>2026-01-26</t>
        </is>
      </c>
      <c r="B4636" s="194" t="inlineStr">
        <is>
          <t>RUB</t>
        </is>
      </c>
      <c r="C4636" s="194" t="inlineStr">
        <is>
          <t>RUSSIAN RUBLE</t>
        </is>
      </c>
      <c r="D4636" s="195" t="n"/>
      <c r="E4636" s="195" t="n">
        <v>330.14</v>
      </c>
      <c r="F4636" s="195" t="n">
        <v>365.45</v>
      </c>
      <c r="G4636" s="195" t="n">
        <v>347.79</v>
      </c>
    </row>
    <row r="4637">
      <c r="A4637" s="196" t="inlineStr">
        <is>
          <t>2026-01-26</t>
        </is>
      </c>
      <c r="B4637" s="196" t="inlineStr">
        <is>
          <t>SAR</t>
        </is>
      </c>
      <c r="C4637" s="196" t="inlineStr">
        <is>
          <t>SAUDI RIAL</t>
        </is>
      </c>
      <c r="D4637" s="184" t="n"/>
      <c r="E4637" s="184" t="n">
        <v>6944.5</v>
      </c>
      <c r="F4637" s="184" t="n">
        <v>7243.41</v>
      </c>
      <c r="G4637" s="184" t="n">
        <v>7093.96</v>
      </c>
    </row>
    <row r="4638">
      <c r="A4638" s="194" t="inlineStr">
        <is>
          <t>2026-01-26</t>
        </is>
      </c>
      <c r="B4638" s="194" t="inlineStr">
        <is>
          <t>SEK</t>
        </is>
      </c>
      <c r="C4638" s="194" t="inlineStr">
        <is>
          <t>SWEDISH KRONA</t>
        </is>
      </c>
      <c r="D4638" s="195" t="n"/>
      <c r="E4638" s="195" t="n">
        <v>2882.44</v>
      </c>
      <c r="F4638" s="195" t="n">
        <v>3004.67</v>
      </c>
      <c r="G4638" s="195" t="n">
        <v>2943.56</v>
      </c>
    </row>
    <row r="4639">
      <c r="A4639" s="196" t="inlineStr">
        <is>
          <t>2026-01-26</t>
        </is>
      </c>
      <c r="B4639" s="196" t="inlineStr">
        <is>
          <t>SGD</t>
        </is>
      </c>
      <c r="C4639" s="196" t="inlineStr">
        <is>
          <t>SINGAPORE DOLLAR</t>
        </is>
      </c>
      <c r="D4639" s="184" t="n">
        <v>20091.63</v>
      </c>
      <c r="E4639" s="184" t="n">
        <v>20294.57</v>
      </c>
      <c r="F4639" s="184" t="n">
        <v>20986.59</v>
      </c>
      <c r="G4639" s="184" t="n">
        <v>20640.58</v>
      </c>
    </row>
    <row r="4640">
      <c r="A4640" s="194" t="inlineStr">
        <is>
          <t>2026-01-26</t>
        </is>
      </c>
      <c r="B4640" s="194" t="inlineStr">
        <is>
          <t>THB</t>
        </is>
      </c>
      <c r="C4640" s="194" t="inlineStr">
        <is>
          <t>THAILAND BAHT</t>
        </is>
      </c>
      <c r="D4640" s="195" t="n">
        <v>742.72</v>
      </c>
      <c r="E4640" s="195" t="n">
        <v>825.24</v>
      </c>
      <c r="F4640" s="195" t="n">
        <v>860.24</v>
      </c>
      <c r="G4640" s="195" t="n">
        <v>842.74</v>
      </c>
    </row>
    <row r="4641">
      <c r="A4641" s="196" t="inlineStr">
        <is>
          <t>2026-01-26</t>
        </is>
      </c>
      <c r="B4641" s="196" t="inlineStr">
        <is>
          <t>USD</t>
        </is>
      </c>
      <c r="C4641" s="196" t="inlineStr">
        <is>
          <t>US DOLLAR</t>
        </is>
      </c>
      <c r="D4641" s="184" t="n">
        <v>25978</v>
      </c>
      <c r="E4641" s="184" t="n">
        <v>26008</v>
      </c>
      <c r="F4641" s="184" t="n">
        <v>26368</v>
      </c>
      <c r="G4641" s="184" t="n">
        <v>26188</v>
      </c>
    </row>
    <row r="4642">
      <c r="A4642" s="194" t="inlineStr">
        <is>
          <t>2026-01-25</t>
        </is>
      </c>
      <c r="B4642" s="194" t="inlineStr">
        <is>
          <t>AUD</t>
        </is>
      </c>
      <c r="C4642" s="194" t="inlineStr">
        <is>
          <t>AUSTRALIAN DOLLAR</t>
        </is>
      </c>
      <c r="D4642" s="195" t="n">
        <v>17501.59</v>
      </c>
      <c r="E4642" s="195" t="n">
        <v>17678.38</v>
      </c>
      <c r="F4642" s="195" t="n">
        <v>18244.59</v>
      </c>
      <c r="G4642" s="195" t="n">
        <v>17961.48</v>
      </c>
    </row>
    <row r="4643">
      <c r="A4643" s="196" t="inlineStr">
        <is>
          <t>2026-01-25</t>
        </is>
      </c>
      <c r="B4643" s="196" t="inlineStr">
        <is>
          <t>CAD</t>
        </is>
      </c>
      <c r="C4643" s="196" t="inlineStr">
        <is>
          <t>CANADIAN DOLLAR</t>
        </is>
      </c>
      <c r="D4643" s="184" t="n">
        <v>18549.49</v>
      </c>
      <c r="E4643" s="184" t="n">
        <v>18736.86</v>
      </c>
      <c r="F4643" s="184" t="n">
        <v>19336.98</v>
      </c>
      <c r="G4643" s="184" t="n">
        <v>19036.92</v>
      </c>
    </row>
    <row r="4644">
      <c r="A4644" s="194" t="inlineStr">
        <is>
          <t>2026-01-25</t>
        </is>
      </c>
      <c r="B4644" s="194" t="inlineStr">
        <is>
          <t>CHF</t>
        </is>
      </c>
      <c r="C4644" s="194" t="inlineStr">
        <is>
          <t>SWISS FRANC</t>
        </is>
      </c>
      <c r="D4644" s="195" t="n">
        <v>32372.39</v>
      </c>
      <c r="E4644" s="195" t="n">
        <v>32699.38</v>
      </c>
      <c r="F4644" s="195" t="n">
        <v>33746.71</v>
      </c>
      <c r="G4644" s="195" t="n">
        <v>33223.04</v>
      </c>
    </row>
    <row r="4645">
      <c r="A4645" s="196" t="inlineStr">
        <is>
          <t>2026-01-25</t>
        </is>
      </c>
      <c r="B4645" s="196" t="inlineStr">
        <is>
          <t>CNY</t>
        </is>
      </c>
      <c r="C4645" s="196" t="inlineStr">
        <is>
          <t>YUAN RENMINBI</t>
        </is>
      </c>
      <c r="D4645" s="184" t="n">
        <v>3672.87</v>
      </c>
      <c r="E4645" s="184" t="n">
        <v>3709.97</v>
      </c>
      <c r="F4645" s="184" t="n">
        <v>3828.79</v>
      </c>
      <c r="G4645" s="184" t="n">
        <v>3769.38</v>
      </c>
    </row>
    <row r="4646">
      <c r="A4646" s="194" t="inlineStr">
        <is>
          <t>2026-01-25</t>
        </is>
      </c>
      <c r="B4646" s="194" t="inlineStr">
        <is>
          <t>DKK</t>
        </is>
      </c>
      <c r="C4646" s="194" t="inlineStr">
        <is>
          <t>DANISH KRONE</t>
        </is>
      </c>
      <c r="D4646" s="195" t="n"/>
      <c r="E4646" s="195" t="n">
        <v>4049.81</v>
      </c>
      <c r="F4646" s="195" t="n">
        <v>4204.68</v>
      </c>
      <c r="G4646" s="195" t="n">
        <v>4127.24</v>
      </c>
    </row>
    <row r="4647">
      <c r="A4647" s="196" t="inlineStr">
        <is>
          <t>2026-01-25</t>
        </is>
      </c>
      <c r="B4647" s="196" t="inlineStr">
        <is>
          <t>EUR</t>
        </is>
      </c>
      <c r="C4647" s="196" t="inlineStr">
        <is>
          <t>EURO</t>
        </is>
      </c>
      <c r="D4647" s="184" t="n">
        <v>30022.45</v>
      </c>
      <c r="E4647" s="184" t="n">
        <v>30325.71</v>
      </c>
      <c r="F4647" s="184" t="n">
        <v>31605.35</v>
      </c>
      <c r="G4647" s="184" t="n">
        <v>30965.53</v>
      </c>
    </row>
    <row r="4648">
      <c r="A4648" s="194" t="inlineStr">
        <is>
          <t>2026-01-25</t>
        </is>
      </c>
      <c r="B4648" s="194" t="inlineStr">
        <is>
          <t>GBP</t>
        </is>
      </c>
      <c r="C4648" s="194" t="inlineStr">
        <is>
          <t>POUND STERLING</t>
        </is>
      </c>
      <c r="D4648" s="195" t="n">
        <v>34502.04</v>
      </c>
      <c r="E4648" s="195" t="n">
        <v>34850.55</v>
      </c>
      <c r="F4648" s="195" t="n">
        <v>35966.77</v>
      </c>
      <c r="G4648" s="195" t="n">
        <v>35408.66</v>
      </c>
    </row>
    <row r="4649">
      <c r="A4649" s="196" t="inlineStr">
        <is>
          <t>2026-01-25</t>
        </is>
      </c>
      <c r="B4649" s="196" t="inlineStr">
        <is>
          <t>HKD</t>
        </is>
      </c>
      <c r="C4649" s="196" t="inlineStr">
        <is>
          <t>HONGKONG DOLLAR</t>
        </is>
      </c>
      <c r="D4649" s="184" t="n">
        <v>3270.21</v>
      </c>
      <c r="E4649" s="184" t="n">
        <v>3303.24</v>
      </c>
      <c r="F4649" s="184" t="n">
        <v>3429.56</v>
      </c>
      <c r="G4649" s="184" t="n">
        <v>3366.4</v>
      </c>
    </row>
    <row r="4650">
      <c r="A4650" s="194" t="inlineStr">
        <is>
          <t>2026-01-25</t>
        </is>
      </c>
      <c r="B4650" s="194" t="inlineStr">
        <is>
          <t>INR</t>
        </is>
      </c>
      <c r="C4650" s="194" t="inlineStr">
        <is>
          <t>INDIAN RUPEE</t>
        </is>
      </c>
      <c r="D4650" s="195" t="n"/>
      <c r="E4650" s="195" t="n">
        <v>283.86</v>
      </c>
      <c r="F4650" s="195" t="n">
        <v>296.07</v>
      </c>
      <c r="G4650" s="195" t="n">
        <v>289.97</v>
      </c>
    </row>
    <row r="4651">
      <c r="A4651" s="196" t="inlineStr">
        <is>
          <t>2026-01-25</t>
        </is>
      </c>
      <c r="B4651" s="196" t="inlineStr">
        <is>
          <t>JPY</t>
        </is>
      </c>
      <c r="C4651" s="196" t="inlineStr">
        <is>
          <t>YEN</t>
        </is>
      </c>
      <c r="D4651" s="184" t="n">
        <v>160.03</v>
      </c>
      <c r="E4651" s="184" t="n">
        <v>161.65</v>
      </c>
      <c r="F4651" s="184" t="n">
        <v>170.19</v>
      </c>
      <c r="G4651" s="184" t="n">
        <v>165.92</v>
      </c>
    </row>
    <row r="4652">
      <c r="A4652" s="194" t="inlineStr">
        <is>
          <t>2026-01-25</t>
        </is>
      </c>
      <c r="B4652" s="194" t="inlineStr">
        <is>
          <t>KRW</t>
        </is>
      </c>
      <c r="C4652" s="194" t="inlineStr">
        <is>
          <t>KOREAN WON</t>
        </is>
      </c>
      <c r="D4652" s="195" t="n">
        <v>15.46</v>
      </c>
      <c r="E4652" s="195" t="n">
        <v>17.18</v>
      </c>
      <c r="F4652" s="195" t="n">
        <v>18.64</v>
      </c>
      <c r="G4652" s="195" t="n">
        <v>17.91</v>
      </c>
    </row>
    <row r="4653">
      <c r="A4653" s="196" t="inlineStr">
        <is>
          <t>2026-01-25</t>
        </is>
      </c>
      <c r="B4653" s="196" t="inlineStr">
        <is>
          <t>KWD</t>
        </is>
      </c>
      <c r="C4653" s="196" t="inlineStr">
        <is>
          <t>KUWAITI DINAR</t>
        </is>
      </c>
      <c r="D4653" s="184" t="n"/>
      <c r="E4653" s="184" t="n">
        <v>85371.57000000001</v>
      </c>
      <c r="F4653" s="184" t="n">
        <v>89509.71000000001</v>
      </c>
      <c r="G4653" s="184" t="n">
        <v>87440.64</v>
      </c>
    </row>
    <row r="4654">
      <c r="A4654" s="194" t="inlineStr">
        <is>
          <t>2026-01-25</t>
        </is>
      </c>
      <c r="B4654" s="194" t="inlineStr">
        <is>
          <t>MYR</t>
        </is>
      </c>
      <c r="C4654" s="194" t="inlineStr">
        <is>
          <t>MALAYSIAN RINGGIT</t>
        </is>
      </c>
      <c r="D4654" s="195" t="n"/>
      <c r="E4654" s="195" t="n">
        <v>6485.24</v>
      </c>
      <c r="F4654" s="195" t="n">
        <v>6626.34</v>
      </c>
      <c r="G4654" s="195" t="n">
        <v>6555.79</v>
      </c>
    </row>
    <row r="4655">
      <c r="A4655" s="196" t="inlineStr">
        <is>
          <t>2026-01-25</t>
        </is>
      </c>
      <c r="B4655" s="196" t="inlineStr">
        <is>
          <t>NOK</t>
        </is>
      </c>
      <c r="C4655" s="196" t="inlineStr">
        <is>
          <t>NORWEGIAN KRONER</t>
        </is>
      </c>
      <c r="D4655" s="184" t="n"/>
      <c r="E4655" s="184" t="n">
        <v>2606.56</v>
      </c>
      <c r="F4655" s="184" t="n">
        <v>2717.09</v>
      </c>
      <c r="G4655" s="184" t="n">
        <v>2661.82</v>
      </c>
    </row>
    <row r="4656">
      <c r="A4656" s="194" t="inlineStr">
        <is>
          <t>2026-01-25</t>
        </is>
      </c>
      <c r="B4656" s="194" t="inlineStr">
        <is>
          <t>RUB</t>
        </is>
      </c>
      <c r="C4656" s="194" t="inlineStr">
        <is>
          <t>RUSSIAN RUBLE</t>
        </is>
      </c>
      <c r="D4656" s="195" t="n"/>
      <c r="E4656" s="195" t="n">
        <v>329.22</v>
      </c>
      <c r="F4656" s="195" t="n">
        <v>364.43</v>
      </c>
      <c r="G4656" s="195" t="n">
        <v>346.83</v>
      </c>
    </row>
    <row r="4657">
      <c r="A4657" s="196" t="inlineStr">
        <is>
          <t>2026-01-25</t>
        </is>
      </c>
      <c r="B4657" s="196" t="inlineStr">
        <is>
          <t>SAR</t>
        </is>
      </c>
      <c r="C4657" s="196" t="inlineStr">
        <is>
          <t>SAUDI RIAL</t>
        </is>
      </c>
      <c r="D4657" s="184" t="n"/>
      <c r="E4657" s="184" t="n">
        <v>6957.4</v>
      </c>
      <c r="F4657" s="184" t="n">
        <v>7256.84</v>
      </c>
      <c r="G4657" s="184" t="n">
        <v>7107.12</v>
      </c>
    </row>
    <row r="4658">
      <c r="A4658" s="194" t="inlineStr">
        <is>
          <t>2026-01-25</t>
        </is>
      </c>
      <c r="B4658" s="194" t="inlineStr">
        <is>
          <t>SEK</t>
        </is>
      </c>
      <c r="C4658" s="194" t="inlineStr">
        <is>
          <t>SWEDISH KRONA</t>
        </is>
      </c>
      <c r="D4658" s="195" t="n"/>
      <c r="E4658" s="195" t="n">
        <v>2846.69</v>
      </c>
      <c r="F4658" s="195" t="n">
        <v>2967.4</v>
      </c>
      <c r="G4658" s="195" t="n">
        <v>2907.04</v>
      </c>
    </row>
    <row r="4659">
      <c r="A4659" s="196" t="inlineStr">
        <is>
          <t>2026-01-25</t>
        </is>
      </c>
      <c r="B4659" s="196" t="inlineStr">
        <is>
          <t>SGD</t>
        </is>
      </c>
      <c r="C4659" s="196" t="inlineStr">
        <is>
          <t>SINGAPORE DOLLAR</t>
        </is>
      </c>
      <c r="D4659" s="184" t="n">
        <v>19982.02</v>
      </c>
      <c r="E4659" s="184" t="n">
        <v>20183.86</v>
      </c>
      <c r="F4659" s="184" t="n">
        <v>20872.04</v>
      </c>
      <c r="G4659" s="184" t="n">
        <v>20527.95</v>
      </c>
    </row>
    <row r="4660">
      <c r="A4660" s="194" t="inlineStr">
        <is>
          <t>2026-01-25</t>
        </is>
      </c>
      <c r="B4660" s="194" t="inlineStr">
        <is>
          <t>THB</t>
        </is>
      </c>
      <c r="C4660" s="194" t="inlineStr">
        <is>
          <t>THAILAND BAHT</t>
        </is>
      </c>
      <c r="D4660" s="195" t="n">
        <v>741.75</v>
      </c>
      <c r="E4660" s="195" t="n">
        <v>824.17</v>
      </c>
      <c r="F4660" s="195" t="n">
        <v>859.12</v>
      </c>
      <c r="G4660" s="195" t="n">
        <v>841.64</v>
      </c>
    </row>
    <row r="4661">
      <c r="A4661" s="196" t="inlineStr">
        <is>
          <t>2026-01-25</t>
        </is>
      </c>
      <c r="B4661" s="196" t="inlineStr">
        <is>
          <t>USD</t>
        </is>
      </c>
      <c r="C4661" s="196" t="inlineStr">
        <is>
          <t>US DOLLAR</t>
        </is>
      </c>
      <c r="D4661" s="184" t="n">
        <v>26031</v>
      </c>
      <c r="E4661" s="184" t="n">
        <v>26061</v>
      </c>
      <c r="F4661" s="184" t="n">
        <v>26381</v>
      </c>
      <c r="G4661" s="184" t="n">
        <v>26221</v>
      </c>
    </row>
    <row r="4662">
      <c r="A4662" s="194" t="inlineStr">
        <is>
          <t>2026-01-24</t>
        </is>
      </c>
      <c r="B4662" s="194" t="inlineStr">
        <is>
          <t>AUD</t>
        </is>
      </c>
      <c r="C4662" s="194" t="inlineStr">
        <is>
          <t>AUSTRALIAN DOLLAR</t>
        </is>
      </c>
      <c r="D4662" s="195" t="n">
        <v>17501.59</v>
      </c>
      <c r="E4662" s="195" t="n">
        <v>17678.38</v>
      </c>
      <c r="F4662" s="195" t="n">
        <v>18244.59</v>
      </c>
      <c r="G4662" s="195" t="n">
        <v>17961.48</v>
      </c>
    </row>
    <row r="4663">
      <c r="A4663" s="196" t="inlineStr">
        <is>
          <t>2026-01-24</t>
        </is>
      </c>
      <c r="B4663" s="196" t="inlineStr">
        <is>
          <t>CAD</t>
        </is>
      </c>
      <c r="C4663" s="196" t="inlineStr">
        <is>
          <t>CANADIAN DOLLAR</t>
        </is>
      </c>
      <c r="D4663" s="184" t="n">
        <v>18549.49</v>
      </c>
      <c r="E4663" s="184" t="n">
        <v>18736.86</v>
      </c>
      <c r="F4663" s="184" t="n">
        <v>19336.98</v>
      </c>
      <c r="G4663" s="184" t="n">
        <v>19036.92</v>
      </c>
    </row>
    <row r="4664">
      <c r="A4664" s="194" t="inlineStr">
        <is>
          <t>2026-01-24</t>
        </is>
      </c>
      <c r="B4664" s="194" t="inlineStr">
        <is>
          <t>CHF</t>
        </is>
      </c>
      <c r="C4664" s="194" t="inlineStr">
        <is>
          <t>SWISS FRANC</t>
        </is>
      </c>
      <c r="D4664" s="195" t="n">
        <v>32372.39</v>
      </c>
      <c r="E4664" s="195" t="n">
        <v>32699.38</v>
      </c>
      <c r="F4664" s="195" t="n">
        <v>33746.71</v>
      </c>
      <c r="G4664" s="195" t="n">
        <v>33223.04</v>
      </c>
    </row>
    <row r="4665">
      <c r="A4665" s="196" t="inlineStr">
        <is>
          <t>2026-01-24</t>
        </is>
      </c>
      <c r="B4665" s="196" t="inlineStr">
        <is>
          <t>CNY</t>
        </is>
      </c>
      <c r="C4665" s="196" t="inlineStr">
        <is>
          <t>YUAN RENMINBI</t>
        </is>
      </c>
      <c r="D4665" s="184" t="n">
        <v>3672.87</v>
      </c>
      <c r="E4665" s="184" t="n">
        <v>3709.97</v>
      </c>
      <c r="F4665" s="184" t="n">
        <v>3828.79</v>
      </c>
      <c r="G4665" s="184" t="n">
        <v>3769.38</v>
      </c>
    </row>
    <row r="4666">
      <c r="A4666" s="194" t="inlineStr">
        <is>
          <t>2026-01-24</t>
        </is>
      </c>
      <c r="B4666" s="194" t="inlineStr">
        <is>
          <t>DKK</t>
        </is>
      </c>
      <c r="C4666" s="194" t="inlineStr">
        <is>
          <t>DANISH KRONE</t>
        </is>
      </c>
      <c r="D4666" s="195" t="n"/>
      <c r="E4666" s="195" t="n">
        <v>4049.81</v>
      </c>
      <c r="F4666" s="195" t="n">
        <v>4204.68</v>
      </c>
      <c r="G4666" s="195" t="n">
        <v>4127.24</v>
      </c>
    </row>
    <row r="4667">
      <c r="A4667" s="196" t="inlineStr">
        <is>
          <t>2026-01-24</t>
        </is>
      </c>
      <c r="B4667" s="196" t="inlineStr">
        <is>
          <t>EUR</t>
        </is>
      </c>
      <c r="C4667" s="196" t="inlineStr">
        <is>
          <t>EURO</t>
        </is>
      </c>
      <c r="D4667" s="184" t="n">
        <v>30022.45</v>
      </c>
      <c r="E4667" s="184" t="n">
        <v>30325.71</v>
      </c>
      <c r="F4667" s="184" t="n">
        <v>31605.35</v>
      </c>
      <c r="G4667" s="184" t="n">
        <v>30965.53</v>
      </c>
    </row>
    <row r="4668">
      <c r="A4668" s="194" t="inlineStr">
        <is>
          <t>2026-01-24</t>
        </is>
      </c>
      <c r="B4668" s="194" t="inlineStr">
        <is>
          <t>GBP</t>
        </is>
      </c>
      <c r="C4668" s="194" t="inlineStr">
        <is>
          <t>POUND STERLING</t>
        </is>
      </c>
      <c r="D4668" s="195" t="n">
        <v>34502.04</v>
      </c>
      <c r="E4668" s="195" t="n">
        <v>34850.55</v>
      </c>
      <c r="F4668" s="195" t="n">
        <v>35966.77</v>
      </c>
      <c r="G4668" s="195" t="n">
        <v>35408.66</v>
      </c>
    </row>
    <row r="4669">
      <c r="A4669" s="196" t="inlineStr">
        <is>
          <t>2026-01-24</t>
        </is>
      </c>
      <c r="B4669" s="196" t="inlineStr">
        <is>
          <t>HKD</t>
        </is>
      </c>
      <c r="C4669" s="196" t="inlineStr">
        <is>
          <t>HONGKONG DOLLAR</t>
        </is>
      </c>
      <c r="D4669" s="184" t="n">
        <v>3270.21</v>
      </c>
      <c r="E4669" s="184" t="n">
        <v>3303.24</v>
      </c>
      <c r="F4669" s="184" t="n">
        <v>3429.56</v>
      </c>
      <c r="G4669" s="184" t="n">
        <v>3366.4</v>
      </c>
    </row>
    <row r="4670">
      <c r="A4670" s="194" t="inlineStr">
        <is>
          <t>2026-01-24</t>
        </is>
      </c>
      <c r="B4670" s="194" t="inlineStr">
        <is>
          <t>INR</t>
        </is>
      </c>
      <c r="C4670" s="194" t="inlineStr">
        <is>
          <t>INDIAN RUPEE</t>
        </is>
      </c>
      <c r="D4670" s="195" t="n"/>
      <c r="E4670" s="195" t="n">
        <v>283.86</v>
      </c>
      <c r="F4670" s="195" t="n">
        <v>296.07</v>
      </c>
      <c r="G4670" s="195" t="n">
        <v>289.97</v>
      </c>
    </row>
    <row r="4671">
      <c r="A4671" s="196" t="inlineStr">
        <is>
          <t>2026-01-24</t>
        </is>
      </c>
      <c r="B4671" s="196" t="inlineStr">
        <is>
          <t>JPY</t>
        </is>
      </c>
      <c r="C4671" s="196" t="inlineStr">
        <is>
          <t>YEN</t>
        </is>
      </c>
      <c r="D4671" s="184" t="n">
        <v>160.03</v>
      </c>
      <c r="E4671" s="184" t="n">
        <v>161.65</v>
      </c>
      <c r="F4671" s="184" t="n">
        <v>170.19</v>
      </c>
      <c r="G4671" s="184" t="n">
        <v>165.92</v>
      </c>
    </row>
    <row r="4672">
      <c r="A4672" s="194" t="inlineStr">
        <is>
          <t>2026-01-24</t>
        </is>
      </c>
      <c r="B4672" s="194" t="inlineStr">
        <is>
          <t>KRW</t>
        </is>
      </c>
      <c r="C4672" s="194" t="inlineStr">
        <is>
          <t>KOREAN WON</t>
        </is>
      </c>
      <c r="D4672" s="195" t="n">
        <v>15.46</v>
      </c>
      <c r="E4672" s="195" t="n">
        <v>17.18</v>
      </c>
      <c r="F4672" s="195" t="n">
        <v>18.64</v>
      </c>
      <c r="G4672" s="195" t="n">
        <v>17.91</v>
      </c>
    </row>
    <row r="4673">
      <c r="A4673" s="196" t="inlineStr">
        <is>
          <t>2026-01-24</t>
        </is>
      </c>
      <c r="B4673" s="196" t="inlineStr">
        <is>
          <t>KWD</t>
        </is>
      </c>
      <c r="C4673" s="196" t="inlineStr">
        <is>
          <t>KUWAITI DINAR</t>
        </is>
      </c>
      <c r="D4673" s="184" t="n"/>
      <c r="E4673" s="184" t="n">
        <v>85371.57000000001</v>
      </c>
      <c r="F4673" s="184" t="n">
        <v>89509.71000000001</v>
      </c>
      <c r="G4673" s="184" t="n">
        <v>87440.64</v>
      </c>
    </row>
    <row r="4674">
      <c r="A4674" s="194" t="inlineStr">
        <is>
          <t>2026-01-24</t>
        </is>
      </c>
      <c r="B4674" s="194" t="inlineStr">
        <is>
          <t>MYR</t>
        </is>
      </c>
      <c r="C4674" s="194" t="inlineStr">
        <is>
          <t>MALAYSIAN RINGGIT</t>
        </is>
      </c>
      <c r="D4674" s="195" t="n"/>
      <c r="E4674" s="195" t="n">
        <v>6485.24</v>
      </c>
      <c r="F4674" s="195" t="n">
        <v>6626.34</v>
      </c>
      <c r="G4674" s="195" t="n">
        <v>6555.79</v>
      </c>
    </row>
    <row r="4675">
      <c r="A4675" s="196" t="inlineStr">
        <is>
          <t>2026-01-24</t>
        </is>
      </c>
      <c r="B4675" s="196" t="inlineStr">
        <is>
          <t>NOK</t>
        </is>
      </c>
      <c r="C4675" s="196" t="inlineStr">
        <is>
          <t>NORWEGIAN KRONER</t>
        </is>
      </c>
      <c r="D4675" s="184" t="n"/>
      <c r="E4675" s="184" t="n">
        <v>2606.56</v>
      </c>
      <c r="F4675" s="184" t="n">
        <v>2717.09</v>
      </c>
      <c r="G4675" s="184" t="n">
        <v>2661.82</v>
      </c>
    </row>
    <row r="4676">
      <c r="A4676" s="194" t="inlineStr">
        <is>
          <t>2026-01-24</t>
        </is>
      </c>
      <c r="B4676" s="194" t="inlineStr">
        <is>
          <t>RUB</t>
        </is>
      </c>
      <c r="C4676" s="194" t="inlineStr">
        <is>
          <t>RUSSIAN RUBLE</t>
        </is>
      </c>
      <c r="D4676" s="195" t="n"/>
      <c r="E4676" s="195" t="n">
        <v>329.22</v>
      </c>
      <c r="F4676" s="195" t="n">
        <v>364.43</v>
      </c>
      <c r="G4676" s="195" t="n">
        <v>346.83</v>
      </c>
    </row>
    <row r="4677">
      <c r="A4677" s="196" t="inlineStr">
        <is>
          <t>2026-01-24</t>
        </is>
      </c>
      <c r="B4677" s="196" t="inlineStr">
        <is>
          <t>SAR</t>
        </is>
      </c>
      <c r="C4677" s="196" t="inlineStr">
        <is>
          <t>SAUDI RIAL</t>
        </is>
      </c>
      <c r="D4677" s="184" t="n"/>
      <c r="E4677" s="184" t="n">
        <v>6957.4</v>
      </c>
      <c r="F4677" s="184" t="n">
        <v>7256.84</v>
      </c>
      <c r="G4677" s="184" t="n">
        <v>7107.12</v>
      </c>
    </row>
    <row r="4678">
      <c r="A4678" s="194" t="inlineStr">
        <is>
          <t>2026-01-24</t>
        </is>
      </c>
      <c r="B4678" s="194" t="inlineStr">
        <is>
          <t>SEK</t>
        </is>
      </c>
      <c r="C4678" s="194" t="inlineStr">
        <is>
          <t>SWEDISH KRONA</t>
        </is>
      </c>
      <c r="D4678" s="195" t="n"/>
      <c r="E4678" s="195" t="n">
        <v>2846.69</v>
      </c>
      <c r="F4678" s="195" t="n">
        <v>2967.4</v>
      </c>
      <c r="G4678" s="195" t="n">
        <v>2907.04</v>
      </c>
    </row>
    <row r="4679">
      <c r="A4679" s="196" t="inlineStr">
        <is>
          <t>2026-01-24</t>
        </is>
      </c>
      <c r="B4679" s="196" t="inlineStr">
        <is>
          <t>SGD</t>
        </is>
      </c>
      <c r="C4679" s="196" t="inlineStr">
        <is>
          <t>SINGAPORE DOLLAR</t>
        </is>
      </c>
      <c r="D4679" s="184" t="n">
        <v>19982.02</v>
      </c>
      <c r="E4679" s="184" t="n">
        <v>20183.86</v>
      </c>
      <c r="F4679" s="184" t="n">
        <v>20872.04</v>
      </c>
      <c r="G4679" s="184" t="n">
        <v>20527.95</v>
      </c>
    </row>
    <row r="4680">
      <c r="A4680" s="194" t="inlineStr">
        <is>
          <t>2026-01-24</t>
        </is>
      </c>
      <c r="B4680" s="194" t="inlineStr">
        <is>
          <t>THB</t>
        </is>
      </c>
      <c r="C4680" s="194" t="inlineStr">
        <is>
          <t>THAILAND BAHT</t>
        </is>
      </c>
      <c r="D4680" s="195" t="n">
        <v>741.75</v>
      </c>
      <c r="E4680" s="195" t="n">
        <v>824.17</v>
      </c>
      <c r="F4680" s="195" t="n">
        <v>859.12</v>
      </c>
      <c r="G4680" s="195" t="n">
        <v>841.64</v>
      </c>
    </row>
    <row r="4681">
      <c r="A4681" s="196" t="inlineStr">
        <is>
          <t>2026-01-24</t>
        </is>
      </c>
      <c r="B4681" s="196" t="inlineStr">
        <is>
          <t>USD</t>
        </is>
      </c>
      <c r="C4681" s="196" t="inlineStr">
        <is>
          <t>US DOLLAR</t>
        </is>
      </c>
      <c r="D4681" s="184" t="n">
        <v>26031</v>
      </c>
      <c r="E4681" s="184" t="n">
        <v>26061</v>
      </c>
      <c r="F4681" s="184" t="n">
        <v>26381</v>
      </c>
      <c r="G4681" s="184" t="n">
        <v>26221</v>
      </c>
    </row>
    <row r="4682">
      <c r="A4682" s="194" t="inlineStr">
        <is>
          <t>2026-01-23</t>
        </is>
      </c>
      <c r="B4682" s="194" t="inlineStr">
        <is>
          <t>AUD</t>
        </is>
      </c>
      <c r="C4682" s="194" t="inlineStr">
        <is>
          <t>AUSTRALIAN DOLLAR</t>
        </is>
      </c>
      <c r="D4682" s="195" t="n">
        <v>17501.59</v>
      </c>
      <c r="E4682" s="195" t="n">
        <v>17678.38</v>
      </c>
      <c r="F4682" s="195" t="n">
        <v>18244.59</v>
      </c>
      <c r="G4682" s="195" t="n">
        <v>17961.48</v>
      </c>
    </row>
    <row r="4683">
      <c r="A4683" s="196" t="inlineStr">
        <is>
          <t>2026-01-23</t>
        </is>
      </c>
      <c r="B4683" s="196" t="inlineStr">
        <is>
          <t>CAD</t>
        </is>
      </c>
      <c r="C4683" s="196" t="inlineStr">
        <is>
          <t>CANADIAN DOLLAR</t>
        </is>
      </c>
      <c r="D4683" s="184" t="n">
        <v>18549.49</v>
      </c>
      <c r="E4683" s="184" t="n">
        <v>18736.86</v>
      </c>
      <c r="F4683" s="184" t="n">
        <v>19336.98</v>
      </c>
      <c r="G4683" s="184" t="n">
        <v>19036.92</v>
      </c>
    </row>
    <row r="4684">
      <c r="A4684" s="194" t="inlineStr">
        <is>
          <t>2026-01-23</t>
        </is>
      </c>
      <c r="B4684" s="194" t="inlineStr">
        <is>
          <t>CHF</t>
        </is>
      </c>
      <c r="C4684" s="194" t="inlineStr">
        <is>
          <t>SWISS FRANC</t>
        </is>
      </c>
      <c r="D4684" s="195" t="n">
        <v>32372.39</v>
      </c>
      <c r="E4684" s="195" t="n">
        <v>32699.38</v>
      </c>
      <c r="F4684" s="195" t="n">
        <v>33746.71</v>
      </c>
      <c r="G4684" s="195" t="n">
        <v>33223.04</v>
      </c>
    </row>
    <row r="4685">
      <c r="A4685" s="196" t="inlineStr">
        <is>
          <t>2026-01-23</t>
        </is>
      </c>
      <c r="B4685" s="196" t="inlineStr">
        <is>
          <t>CNY</t>
        </is>
      </c>
      <c r="C4685" s="196" t="inlineStr">
        <is>
          <t>YUAN RENMINBI</t>
        </is>
      </c>
      <c r="D4685" s="184" t="n">
        <v>3672.87</v>
      </c>
      <c r="E4685" s="184" t="n">
        <v>3709.97</v>
      </c>
      <c r="F4685" s="184" t="n">
        <v>3828.79</v>
      </c>
      <c r="G4685" s="184" t="n">
        <v>3769.38</v>
      </c>
    </row>
    <row r="4686">
      <c r="A4686" s="194" t="inlineStr">
        <is>
          <t>2026-01-23</t>
        </is>
      </c>
      <c r="B4686" s="194" t="inlineStr">
        <is>
          <t>DKK</t>
        </is>
      </c>
      <c r="C4686" s="194" t="inlineStr">
        <is>
          <t>DANISH KRONE</t>
        </is>
      </c>
      <c r="D4686" s="195" t="n"/>
      <c r="E4686" s="195" t="n">
        <v>4049.81</v>
      </c>
      <c r="F4686" s="195" t="n">
        <v>4204.68</v>
      </c>
      <c r="G4686" s="195" t="n">
        <v>4127.24</v>
      </c>
    </row>
    <row r="4687">
      <c r="A4687" s="196" t="inlineStr">
        <is>
          <t>2026-01-23</t>
        </is>
      </c>
      <c r="B4687" s="196" t="inlineStr">
        <is>
          <t>EUR</t>
        </is>
      </c>
      <c r="C4687" s="196" t="inlineStr">
        <is>
          <t>EURO</t>
        </is>
      </c>
      <c r="D4687" s="184" t="n">
        <v>30022.45</v>
      </c>
      <c r="E4687" s="184" t="n">
        <v>30325.71</v>
      </c>
      <c r="F4687" s="184" t="n">
        <v>31605.35</v>
      </c>
      <c r="G4687" s="184" t="n">
        <v>30965.53</v>
      </c>
    </row>
    <row r="4688">
      <c r="A4688" s="194" t="inlineStr">
        <is>
          <t>2026-01-23</t>
        </is>
      </c>
      <c r="B4688" s="194" t="inlineStr">
        <is>
          <t>GBP</t>
        </is>
      </c>
      <c r="C4688" s="194" t="inlineStr">
        <is>
          <t>POUND STERLING</t>
        </is>
      </c>
      <c r="D4688" s="195" t="n">
        <v>34502.04</v>
      </c>
      <c r="E4688" s="195" t="n">
        <v>34850.55</v>
      </c>
      <c r="F4688" s="195" t="n">
        <v>35966.77</v>
      </c>
      <c r="G4688" s="195" t="n">
        <v>35408.66</v>
      </c>
    </row>
    <row r="4689">
      <c r="A4689" s="196" t="inlineStr">
        <is>
          <t>2026-01-23</t>
        </is>
      </c>
      <c r="B4689" s="196" t="inlineStr">
        <is>
          <t>HKD</t>
        </is>
      </c>
      <c r="C4689" s="196" t="inlineStr">
        <is>
          <t>HONGKONG DOLLAR</t>
        </is>
      </c>
      <c r="D4689" s="184" t="n">
        <v>3270.21</v>
      </c>
      <c r="E4689" s="184" t="n">
        <v>3303.24</v>
      </c>
      <c r="F4689" s="184" t="n">
        <v>3429.56</v>
      </c>
      <c r="G4689" s="184" t="n">
        <v>3366.4</v>
      </c>
    </row>
    <row r="4690">
      <c r="A4690" s="194" t="inlineStr">
        <is>
          <t>2026-01-23</t>
        </is>
      </c>
      <c r="B4690" s="194" t="inlineStr">
        <is>
          <t>INR</t>
        </is>
      </c>
      <c r="C4690" s="194" t="inlineStr">
        <is>
          <t>INDIAN RUPEE</t>
        </is>
      </c>
      <c r="D4690" s="195" t="n"/>
      <c r="E4690" s="195" t="n">
        <v>283.86</v>
      </c>
      <c r="F4690" s="195" t="n">
        <v>296.07</v>
      </c>
      <c r="G4690" s="195" t="n">
        <v>289.97</v>
      </c>
    </row>
    <row r="4691">
      <c r="A4691" s="196" t="inlineStr">
        <is>
          <t>2026-01-23</t>
        </is>
      </c>
      <c r="B4691" s="196" t="inlineStr">
        <is>
          <t>JPY</t>
        </is>
      </c>
      <c r="C4691" s="196" t="inlineStr">
        <is>
          <t>YEN</t>
        </is>
      </c>
      <c r="D4691" s="184" t="n">
        <v>160.03</v>
      </c>
      <c r="E4691" s="184" t="n">
        <v>161.65</v>
      </c>
      <c r="F4691" s="184" t="n">
        <v>170.19</v>
      </c>
      <c r="G4691" s="184" t="n">
        <v>165.92</v>
      </c>
    </row>
    <row r="4692">
      <c r="A4692" s="194" t="inlineStr">
        <is>
          <t>2026-01-23</t>
        </is>
      </c>
      <c r="B4692" s="194" t="inlineStr">
        <is>
          <t>KRW</t>
        </is>
      </c>
      <c r="C4692" s="194" t="inlineStr">
        <is>
          <t>KOREAN WON</t>
        </is>
      </c>
      <c r="D4692" s="195" t="n">
        <v>15.46</v>
      </c>
      <c r="E4692" s="195" t="n">
        <v>17.18</v>
      </c>
      <c r="F4692" s="195" t="n">
        <v>18.64</v>
      </c>
      <c r="G4692" s="195" t="n">
        <v>17.91</v>
      </c>
    </row>
    <row r="4693">
      <c r="A4693" s="196" t="inlineStr">
        <is>
          <t>2026-01-23</t>
        </is>
      </c>
      <c r="B4693" s="196" t="inlineStr">
        <is>
          <t>KWD</t>
        </is>
      </c>
      <c r="C4693" s="196" t="inlineStr">
        <is>
          <t>KUWAITI DINAR</t>
        </is>
      </c>
      <c r="D4693" s="184" t="n"/>
      <c r="E4693" s="184" t="n">
        <v>85371.57000000001</v>
      </c>
      <c r="F4693" s="184" t="n">
        <v>89509.71000000001</v>
      </c>
      <c r="G4693" s="184" t="n">
        <v>87440.64</v>
      </c>
    </row>
    <row r="4694">
      <c r="A4694" s="194" t="inlineStr">
        <is>
          <t>2026-01-23</t>
        </is>
      </c>
      <c r="B4694" s="194" t="inlineStr">
        <is>
          <t>MYR</t>
        </is>
      </c>
      <c r="C4694" s="194" t="inlineStr">
        <is>
          <t>MALAYSIAN RINGGIT</t>
        </is>
      </c>
      <c r="D4694" s="195" t="n"/>
      <c r="E4694" s="195" t="n">
        <v>6485.24</v>
      </c>
      <c r="F4694" s="195" t="n">
        <v>6626.34</v>
      </c>
      <c r="G4694" s="195" t="n">
        <v>6555.79</v>
      </c>
    </row>
    <row r="4695">
      <c r="A4695" s="196" t="inlineStr">
        <is>
          <t>2026-01-23</t>
        </is>
      </c>
      <c r="B4695" s="196" t="inlineStr">
        <is>
          <t>NOK</t>
        </is>
      </c>
      <c r="C4695" s="196" t="inlineStr">
        <is>
          <t>NORWEGIAN KRONER</t>
        </is>
      </c>
      <c r="D4695" s="184" t="n"/>
      <c r="E4695" s="184" t="n">
        <v>2606.56</v>
      </c>
      <c r="F4695" s="184" t="n">
        <v>2717.09</v>
      </c>
      <c r="G4695" s="184" t="n">
        <v>2661.82</v>
      </c>
    </row>
    <row r="4696">
      <c r="A4696" s="194" t="inlineStr">
        <is>
          <t>2026-01-23</t>
        </is>
      </c>
      <c r="B4696" s="194" t="inlineStr">
        <is>
          <t>RUB</t>
        </is>
      </c>
      <c r="C4696" s="194" t="inlineStr">
        <is>
          <t>RUSSIAN RUBLE</t>
        </is>
      </c>
      <c r="D4696" s="195" t="n"/>
      <c r="E4696" s="195" t="n">
        <v>329.22</v>
      </c>
      <c r="F4696" s="195" t="n">
        <v>364.43</v>
      </c>
      <c r="G4696" s="195" t="n">
        <v>346.83</v>
      </c>
    </row>
    <row r="4697">
      <c r="A4697" s="196" t="inlineStr">
        <is>
          <t>2026-01-23</t>
        </is>
      </c>
      <c r="B4697" s="196" t="inlineStr">
        <is>
          <t>SAR</t>
        </is>
      </c>
      <c r="C4697" s="196" t="inlineStr">
        <is>
          <t>SAUDI RIAL</t>
        </is>
      </c>
      <c r="D4697" s="184" t="n"/>
      <c r="E4697" s="184" t="n">
        <v>6957.4</v>
      </c>
      <c r="F4697" s="184" t="n">
        <v>7256.84</v>
      </c>
      <c r="G4697" s="184" t="n">
        <v>7107.12</v>
      </c>
    </row>
    <row r="4698">
      <c r="A4698" s="194" t="inlineStr">
        <is>
          <t>2026-01-23</t>
        </is>
      </c>
      <c r="B4698" s="194" t="inlineStr">
        <is>
          <t>SEK</t>
        </is>
      </c>
      <c r="C4698" s="194" t="inlineStr">
        <is>
          <t>SWEDISH KRONA</t>
        </is>
      </c>
      <c r="D4698" s="195" t="n"/>
      <c r="E4698" s="195" t="n">
        <v>2846.69</v>
      </c>
      <c r="F4698" s="195" t="n">
        <v>2967.4</v>
      </c>
      <c r="G4698" s="195" t="n">
        <v>2907.04</v>
      </c>
    </row>
    <row r="4699">
      <c r="A4699" s="196" t="inlineStr">
        <is>
          <t>2026-01-23</t>
        </is>
      </c>
      <c r="B4699" s="196" t="inlineStr">
        <is>
          <t>SGD</t>
        </is>
      </c>
      <c r="C4699" s="196" t="inlineStr">
        <is>
          <t>SINGAPORE DOLLAR</t>
        </is>
      </c>
      <c r="D4699" s="184" t="n">
        <v>19982.02</v>
      </c>
      <c r="E4699" s="184" t="n">
        <v>20183.86</v>
      </c>
      <c r="F4699" s="184" t="n">
        <v>20872.04</v>
      </c>
      <c r="G4699" s="184" t="n">
        <v>20527.95</v>
      </c>
    </row>
    <row r="4700">
      <c r="A4700" s="194" t="inlineStr">
        <is>
          <t>2026-01-23</t>
        </is>
      </c>
      <c r="B4700" s="194" t="inlineStr">
        <is>
          <t>THB</t>
        </is>
      </c>
      <c r="C4700" s="194" t="inlineStr">
        <is>
          <t>THAILAND BAHT</t>
        </is>
      </c>
      <c r="D4700" s="195" t="n">
        <v>741.75</v>
      </c>
      <c r="E4700" s="195" t="n">
        <v>824.17</v>
      </c>
      <c r="F4700" s="195" t="n">
        <v>859.12</v>
      </c>
      <c r="G4700" s="195" t="n">
        <v>841.64</v>
      </c>
    </row>
    <row r="4701">
      <c r="A4701" s="196" t="inlineStr">
        <is>
          <t>2026-01-23</t>
        </is>
      </c>
      <c r="B4701" s="196" t="inlineStr">
        <is>
          <t>USD</t>
        </is>
      </c>
      <c r="C4701" s="196" t="inlineStr">
        <is>
          <t>US DOLLAR</t>
        </is>
      </c>
      <c r="D4701" s="184" t="n">
        <v>26031</v>
      </c>
      <c r="E4701" s="184" t="n">
        <v>26061</v>
      </c>
      <c r="F4701" s="184" t="n">
        <v>26381</v>
      </c>
      <c r="G4701" s="184" t="n">
        <v>26221</v>
      </c>
    </row>
    <row r="4702">
      <c r="A4702" s="194" t="inlineStr">
        <is>
          <t>2026-01-22</t>
        </is>
      </c>
      <c r="B4702" s="194" t="inlineStr">
        <is>
          <t>AUD</t>
        </is>
      </c>
      <c r="C4702" s="194" t="inlineStr">
        <is>
          <t>AUSTRALIAN DOLLAR</t>
        </is>
      </c>
      <c r="D4702" s="195" t="n">
        <v>17375.71</v>
      </c>
      <c r="E4702" s="195" t="n">
        <v>17551.22</v>
      </c>
      <c r="F4702" s="195" t="n">
        <v>18113.34</v>
      </c>
      <c r="G4702" s="195" t="n">
        <v>17832.28</v>
      </c>
    </row>
    <row r="4703">
      <c r="A4703" s="196" t="inlineStr">
        <is>
          <t>2026-01-22</t>
        </is>
      </c>
      <c r="B4703" s="196" t="inlineStr">
        <is>
          <t>CAD</t>
        </is>
      </c>
      <c r="C4703" s="196" t="inlineStr">
        <is>
          <t>CANADIAN DOLLAR</t>
        </is>
      </c>
      <c r="D4703" s="184" t="n">
        <v>18518.33</v>
      </c>
      <c r="E4703" s="184" t="n">
        <v>18705.39</v>
      </c>
      <c r="F4703" s="184" t="n">
        <v>19304.47</v>
      </c>
      <c r="G4703" s="184" t="n">
        <v>19004.93</v>
      </c>
    </row>
    <row r="4704">
      <c r="A4704" s="194" t="inlineStr">
        <is>
          <t>2026-01-22</t>
        </is>
      </c>
      <c r="B4704" s="194" t="inlineStr">
        <is>
          <t>CHF</t>
        </is>
      </c>
      <c r="C4704" s="194" t="inlineStr">
        <is>
          <t>SWISS FRANC</t>
        </is>
      </c>
      <c r="D4704" s="195" t="n">
        <v>32201.54</v>
      </c>
      <c r="E4704" s="195" t="n">
        <v>32526.81</v>
      </c>
      <c r="F4704" s="195" t="n">
        <v>33568.55</v>
      </c>
      <c r="G4704" s="195" t="n">
        <v>33047.68</v>
      </c>
    </row>
    <row r="4705">
      <c r="A4705" s="196" t="inlineStr">
        <is>
          <t>2026-01-22</t>
        </is>
      </c>
      <c r="B4705" s="196" t="inlineStr">
        <is>
          <t>CNY</t>
        </is>
      </c>
      <c r="C4705" s="196" t="inlineStr">
        <is>
          <t>YUAN RENMINBI</t>
        </is>
      </c>
      <c r="D4705" s="184" t="n">
        <v>3676.7</v>
      </c>
      <c r="E4705" s="184" t="n">
        <v>3713.84</v>
      </c>
      <c r="F4705" s="184" t="n">
        <v>3832.78</v>
      </c>
      <c r="G4705" s="184" t="n">
        <v>3773.31</v>
      </c>
    </row>
    <row r="4706">
      <c r="A4706" s="194" t="inlineStr">
        <is>
          <t>2026-01-22</t>
        </is>
      </c>
      <c r="B4706" s="194" t="inlineStr">
        <is>
          <t>DKK</t>
        </is>
      </c>
      <c r="C4706" s="194" t="inlineStr">
        <is>
          <t>DANISH KRONE</t>
        </is>
      </c>
      <c r="D4706" s="195" t="n"/>
      <c r="E4706" s="195" t="n">
        <v>4034.21</v>
      </c>
      <c r="F4706" s="195" t="n">
        <v>4188.47</v>
      </c>
      <c r="G4706" s="195" t="n">
        <v>4111.34</v>
      </c>
    </row>
    <row r="4707">
      <c r="A4707" s="196" t="inlineStr">
        <is>
          <t>2026-01-22</t>
        </is>
      </c>
      <c r="B4707" s="196" t="inlineStr">
        <is>
          <t>EUR</t>
        </is>
      </c>
      <c r="C4707" s="196" t="inlineStr">
        <is>
          <t>EURO</t>
        </is>
      </c>
      <c r="D4707" s="184" t="n">
        <v>29913.46</v>
      </c>
      <c r="E4707" s="184" t="n">
        <v>30215.61</v>
      </c>
      <c r="F4707" s="184" t="n">
        <v>31490.56</v>
      </c>
      <c r="G4707" s="184" t="n">
        <v>30853.08</v>
      </c>
    </row>
    <row r="4708">
      <c r="A4708" s="194" t="inlineStr">
        <is>
          <t>2026-01-22</t>
        </is>
      </c>
      <c r="B4708" s="194" t="inlineStr">
        <is>
          <t>GBP</t>
        </is>
      </c>
      <c r="C4708" s="194" t="inlineStr">
        <is>
          <t>POUND STERLING</t>
        </is>
      </c>
      <c r="D4708" s="195" t="n">
        <v>34364.9</v>
      </c>
      <c r="E4708" s="195" t="n">
        <v>34712.02</v>
      </c>
      <c r="F4708" s="195" t="n">
        <v>35823.74</v>
      </c>
      <c r="G4708" s="195" t="n">
        <v>35267.88</v>
      </c>
    </row>
    <row r="4709">
      <c r="A4709" s="196" t="inlineStr">
        <is>
          <t>2026-01-22</t>
        </is>
      </c>
      <c r="B4709" s="196" t="inlineStr">
        <is>
          <t>HKD</t>
        </is>
      </c>
      <c r="C4709" s="196" t="inlineStr">
        <is>
          <t>HONGKONG DOLLAR</t>
        </is>
      </c>
      <c r="D4709" s="184" t="n">
        <v>3274.96</v>
      </c>
      <c r="E4709" s="184" t="n">
        <v>3308.04</v>
      </c>
      <c r="F4709" s="184" t="n">
        <v>3434.54</v>
      </c>
      <c r="G4709" s="184" t="n">
        <v>3371.29</v>
      </c>
    </row>
    <row r="4710">
      <c r="A4710" s="194" t="inlineStr">
        <is>
          <t>2026-01-22</t>
        </is>
      </c>
      <c r="B4710" s="194" t="inlineStr">
        <is>
          <t>INR</t>
        </is>
      </c>
      <c r="C4710" s="194" t="inlineStr">
        <is>
          <t>INDIAN RUPEE</t>
        </is>
      </c>
      <c r="D4710" s="195" t="n"/>
      <c r="E4710" s="195" t="n">
        <v>285.14</v>
      </c>
      <c r="F4710" s="195" t="n">
        <v>297.41</v>
      </c>
      <c r="G4710" s="195" t="n">
        <v>291.27</v>
      </c>
    </row>
    <row r="4711">
      <c r="A4711" s="196" t="inlineStr">
        <is>
          <t>2026-01-22</t>
        </is>
      </c>
      <c r="B4711" s="196" t="inlineStr">
        <is>
          <t>JPY</t>
        </is>
      </c>
      <c r="C4711" s="196" t="inlineStr">
        <is>
          <t>YEN</t>
        </is>
      </c>
      <c r="D4711" s="184" t="n">
        <v>160.23</v>
      </c>
      <c r="E4711" s="184" t="n">
        <v>161.85</v>
      </c>
      <c r="F4711" s="184" t="n">
        <v>170.41</v>
      </c>
      <c r="G4711" s="184" t="n">
        <v>166.13</v>
      </c>
    </row>
    <row r="4712">
      <c r="A4712" s="194" t="inlineStr">
        <is>
          <t>2026-01-22</t>
        </is>
      </c>
      <c r="B4712" s="194" t="inlineStr">
        <is>
          <t>KRW</t>
        </is>
      </c>
      <c r="C4712" s="194" t="inlineStr">
        <is>
          <t>KOREAN WON</t>
        </is>
      </c>
      <c r="D4712" s="195" t="n">
        <v>15.5</v>
      </c>
      <c r="E4712" s="195" t="n">
        <v>17.22</v>
      </c>
      <c r="F4712" s="195" t="n">
        <v>18.68</v>
      </c>
      <c r="G4712" s="195" t="n">
        <v>17.95</v>
      </c>
    </row>
    <row r="4713">
      <c r="A4713" s="196" t="inlineStr">
        <is>
          <t>2026-01-22</t>
        </is>
      </c>
      <c r="B4713" s="196" t="inlineStr">
        <is>
          <t>KWD</t>
        </is>
      </c>
      <c r="C4713" s="196" t="inlineStr">
        <is>
          <t>KUWAITI DINAR</t>
        </is>
      </c>
      <c r="D4713" s="184" t="n"/>
      <c r="E4713" s="184" t="n">
        <v>85497.23</v>
      </c>
      <c r="F4713" s="184" t="n">
        <v>89641.3</v>
      </c>
      <c r="G4713" s="184" t="n">
        <v>87569.25999999999</v>
      </c>
    </row>
    <row r="4714">
      <c r="A4714" s="194" t="inlineStr">
        <is>
          <t>2026-01-22</t>
        </is>
      </c>
      <c r="B4714" s="194" t="inlineStr">
        <is>
          <t>MYR</t>
        </is>
      </c>
      <c r="C4714" s="194" t="inlineStr">
        <is>
          <t>MALAYSIAN RINGGIT</t>
        </is>
      </c>
      <c r="D4714" s="195" t="n"/>
      <c r="E4714" s="195" t="n">
        <v>6428.42</v>
      </c>
      <c r="F4714" s="195" t="n">
        <v>6568.28</v>
      </c>
      <c r="G4714" s="195" t="n">
        <v>6498.35</v>
      </c>
    </row>
    <row r="4715">
      <c r="A4715" s="196" t="inlineStr">
        <is>
          <t>2026-01-22</t>
        </is>
      </c>
      <c r="B4715" s="196" t="inlineStr">
        <is>
          <t>NOK</t>
        </is>
      </c>
      <c r="C4715" s="196" t="inlineStr">
        <is>
          <t>NORWEGIAN KRONER</t>
        </is>
      </c>
      <c r="D4715" s="184" t="n"/>
      <c r="E4715" s="184" t="n">
        <v>2583.74</v>
      </c>
      <c r="F4715" s="184" t="n">
        <v>2693.29</v>
      </c>
      <c r="G4715" s="184" t="n">
        <v>2638.52</v>
      </c>
    </row>
    <row r="4716">
      <c r="A4716" s="194" t="inlineStr">
        <is>
          <t>2026-01-22</t>
        </is>
      </c>
      <c r="B4716" s="194" t="inlineStr">
        <is>
          <t>RUB</t>
        </is>
      </c>
      <c r="C4716" s="194" t="inlineStr">
        <is>
          <t>RUSSIAN RUBLE</t>
        </is>
      </c>
      <c r="D4716" s="195" t="n"/>
      <c r="E4716" s="195" t="n">
        <v>324.69</v>
      </c>
      <c r="F4716" s="195" t="n">
        <v>359.42</v>
      </c>
      <c r="G4716" s="195" t="n">
        <v>342.06</v>
      </c>
    </row>
    <row r="4717">
      <c r="A4717" s="196" t="inlineStr">
        <is>
          <t>2026-01-22</t>
        </is>
      </c>
      <c r="B4717" s="196" t="inlineStr">
        <is>
          <t>SAR</t>
        </is>
      </c>
      <c r="C4717" s="196" t="inlineStr">
        <is>
          <t>SAUDI RIAL</t>
        </is>
      </c>
      <c r="D4717" s="184" t="n"/>
      <c r="E4717" s="184" t="n">
        <v>6965.36</v>
      </c>
      <c r="F4717" s="184" t="n">
        <v>7265.13</v>
      </c>
      <c r="G4717" s="184" t="n">
        <v>7115.24</v>
      </c>
    </row>
    <row r="4718">
      <c r="A4718" s="194" t="inlineStr">
        <is>
          <t>2026-01-22</t>
        </is>
      </c>
      <c r="B4718" s="194" t="inlineStr">
        <is>
          <t>SEK</t>
        </is>
      </c>
      <c r="C4718" s="194" t="inlineStr">
        <is>
          <t>SWEDISH KRONA</t>
        </is>
      </c>
      <c r="D4718" s="195" t="n"/>
      <c r="E4718" s="195" t="n">
        <v>2827.37</v>
      </c>
      <c r="F4718" s="195" t="n">
        <v>2947.26</v>
      </c>
      <c r="G4718" s="195" t="n">
        <v>2887.32</v>
      </c>
    </row>
    <row r="4719">
      <c r="A4719" s="196" t="inlineStr">
        <is>
          <t>2026-01-22</t>
        </is>
      </c>
      <c r="B4719" s="196" t="inlineStr">
        <is>
          <t>SGD</t>
        </is>
      </c>
      <c r="C4719" s="196" t="inlineStr">
        <is>
          <t>SINGAPORE DOLLAR</t>
        </is>
      </c>
      <c r="D4719" s="184" t="n">
        <v>19922.31</v>
      </c>
      <c r="E4719" s="184" t="n">
        <v>20123.54</v>
      </c>
      <c r="F4719" s="184" t="n">
        <v>20809.63</v>
      </c>
      <c r="G4719" s="184" t="n">
        <v>20466.58</v>
      </c>
    </row>
    <row r="4720">
      <c r="A4720" s="194" t="inlineStr">
        <is>
          <t>2026-01-22</t>
        </is>
      </c>
      <c r="B4720" s="194" t="inlineStr">
        <is>
          <t>THB</t>
        </is>
      </c>
      <c r="C4720" s="194" t="inlineStr">
        <is>
          <t>THAILAND BAHT</t>
        </is>
      </c>
      <c r="D4720" s="195" t="n">
        <v>740.23</v>
      </c>
      <c r="E4720" s="195" t="n">
        <v>822.48</v>
      </c>
      <c r="F4720" s="195" t="n">
        <v>857.35</v>
      </c>
      <c r="G4720" s="195" t="n">
        <v>839.92</v>
      </c>
    </row>
    <row r="4721">
      <c r="A4721" s="196" t="inlineStr">
        <is>
          <t>2026-01-22</t>
        </is>
      </c>
      <c r="B4721" s="196" t="inlineStr">
        <is>
          <t>USD</t>
        </is>
      </c>
      <c r="C4721" s="196" t="inlineStr">
        <is>
          <t>US DOLLAR</t>
        </is>
      </c>
      <c r="D4721" s="184" t="n">
        <v>26051</v>
      </c>
      <c r="E4721" s="184" t="n">
        <v>26081</v>
      </c>
      <c r="F4721" s="184" t="n">
        <v>26381</v>
      </c>
      <c r="G4721" s="184" t="n">
        <v>26231</v>
      </c>
    </row>
    <row r="4722">
      <c r="A4722" s="194" t="inlineStr">
        <is>
          <t>2026-01-21</t>
        </is>
      </c>
      <c r="B4722" s="194" t="inlineStr">
        <is>
          <t>AUD</t>
        </is>
      </c>
      <c r="C4722" s="194" t="inlineStr">
        <is>
          <t>AUSTRALIAN DOLLAR</t>
        </is>
      </c>
      <c r="D4722" s="195" t="n">
        <v>17227.24</v>
      </c>
      <c r="E4722" s="195" t="n">
        <v>17401.26</v>
      </c>
      <c r="F4722" s="195" t="n">
        <v>17958.57</v>
      </c>
      <c r="G4722" s="195" t="n">
        <v>17679.92</v>
      </c>
    </row>
    <row r="4723">
      <c r="A4723" s="196" t="inlineStr">
        <is>
          <t>2026-01-21</t>
        </is>
      </c>
      <c r="B4723" s="196" t="inlineStr">
        <is>
          <t>CAD</t>
        </is>
      </c>
      <c r="C4723" s="196" t="inlineStr">
        <is>
          <t>CANADIAN DOLLAR</t>
        </is>
      </c>
      <c r="D4723" s="184" t="n">
        <v>18500.94</v>
      </c>
      <c r="E4723" s="184" t="n">
        <v>18687.82</v>
      </c>
      <c r="F4723" s="184" t="n">
        <v>19286.33</v>
      </c>
      <c r="G4723" s="184" t="n">
        <v>18987.08</v>
      </c>
    </row>
    <row r="4724">
      <c r="A4724" s="194" t="inlineStr">
        <is>
          <t>2026-01-21</t>
        </is>
      </c>
      <c r="B4724" s="194" t="inlineStr">
        <is>
          <t>CHF</t>
        </is>
      </c>
      <c r="C4724" s="194" t="inlineStr">
        <is>
          <t>SWISS FRANC</t>
        </is>
      </c>
      <c r="D4724" s="195" t="n">
        <v>32397.13</v>
      </c>
      <c r="E4724" s="195" t="n">
        <v>32724.37</v>
      </c>
      <c r="F4724" s="195" t="n">
        <v>33772.43</v>
      </c>
      <c r="G4724" s="195" t="n">
        <v>33248.4</v>
      </c>
    </row>
    <row r="4725">
      <c r="A4725" s="196" t="inlineStr">
        <is>
          <t>2026-01-21</t>
        </is>
      </c>
      <c r="B4725" s="196" t="inlineStr">
        <is>
          <t>CNY</t>
        </is>
      </c>
      <c r="C4725" s="196" t="inlineStr">
        <is>
          <t>YUAN RENMINBI</t>
        </is>
      </c>
      <c r="D4725" s="184" t="n">
        <v>3678.71</v>
      </c>
      <c r="E4725" s="184" t="n">
        <v>3715.87</v>
      </c>
      <c r="F4725" s="184" t="n">
        <v>3834.88</v>
      </c>
      <c r="G4725" s="184" t="n">
        <v>3775.38</v>
      </c>
    </row>
    <row r="4726">
      <c r="A4726" s="194" t="inlineStr">
        <is>
          <t>2026-01-21</t>
        </is>
      </c>
      <c r="B4726" s="194" t="inlineStr">
        <is>
          <t>DKK</t>
        </is>
      </c>
      <c r="C4726" s="194" t="inlineStr">
        <is>
          <t>DANISH KRONE</t>
        </is>
      </c>
      <c r="D4726" s="195" t="n"/>
      <c r="E4726" s="195" t="n">
        <v>4044.9</v>
      </c>
      <c r="F4726" s="195" t="n">
        <v>4199.58</v>
      </c>
      <c r="G4726" s="195" t="n">
        <v>4122.24</v>
      </c>
    </row>
    <row r="4727">
      <c r="A4727" s="196" t="inlineStr">
        <is>
          <t>2026-01-21</t>
        </is>
      </c>
      <c r="B4727" s="196" t="inlineStr">
        <is>
          <t>EUR</t>
        </is>
      </c>
      <c r="C4727" s="196" t="inlineStr">
        <is>
          <t>EURO</t>
        </is>
      </c>
      <c r="D4727" s="184" t="n">
        <v>29992.81</v>
      </c>
      <c r="E4727" s="184" t="n">
        <v>30295.77</v>
      </c>
      <c r="F4727" s="184" t="n">
        <v>31574.09</v>
      </c>
      <c r="G4727" s="184" t="n">
        <v>30934.93</v>
      </c>
    </row>
    <row r="4728">
      <c r="A4728" s="194" t="inlineStr">
        <is>
          <t>2026-01-21</t>
        </is>
      </c>
      <c r="B4728" s="194" t="inlineStr">
        <is>
          <t>GBP</t>
        </is>
      </c>
      <c r="C4728" s="194" t="inlineStr">
        <is>
          <t>POUND STERLING</t>
        </is>
      </c>
      <c r="D4728" s="195" t="n">
        <v>34377.69</v>
      </c>
      <c r="E4728" s="195" t="n">
        <v>34724.94</v>
      </c>
      <c r="F4728" s="195" t="n">
        <v>35837.08</v>
      </c>
      <c r="G4728" s="195" t="n">
        <v>35281.01</v>
      </c>
    </row>
    <row r="4729">
      <c r="A4729" s="196" t="inlineStr">
        <is>
          <t>2026-01-21</t>
        </is>
      </c>
      <c r="B4729" s="196" t="inlineStr">
        <is>
          <t>HKD</t>
        </is>
      </c>
      <c r="C4729" s="196" t="inlineStr">
        <is>
          <t>HONGKONG DOLLAR</t>
        </is>
      </c>
      <c r="D4729" s="184" t="n">
        <v>3273.32</v>
      </c>
      <c r="E4729" s="184" t="n">
        <v>3306.39</v>
      </c>
      <c r="F4729" s="184" t="n">
        <v>3432.82</v>
      </c>
      <c r="G4729" s="184" t="n">
        <v>3369.6</v>
      </c>
    </row>
    <row r="4730">
      <c r="A4730" s="194" t="inlineStr">
        <is>
          <t>2026-01-21</t>
        </is>
      </c>
      <c r="B4730" s="194" t="inlineStr">
        <is>
          <t>INR</t>
        </is>
      </c>
      <c r="C4730" s="194" t="inlineStr">
        <is>
          <t>INDIAN RUPEE</t>
        </is>
      </c>
      <c r="D4730" s="195" t="n"/>
      <c r="E4730" s="195" t="n">
        <v>286.86</v>
      </c>
      <c r="F4730" s="195" t="n">
        <v>299.21</v>
      </c>
      <c r="G4730" s="195" t="n">
        <v>293.03</v>
      </c>
    </row>
    <row r="4731">
      <c r="A4731" s="196" t="inlineStr">
        <is>
          <t>2026-01-21</t>
        </is>
      </c>
      <c r="B4731" s="196" t="inlineStr">
        <is>
          <t>JPY</t>
        </is>
      </c>
      <c r="C4731" s="196" t="inlineStr">
        <is>
          <t>YEN</t>
        </is>
      </c>
      <c r="D4731" s="184" t="n">
        <v>160.24</v>
      </c>
      <c r="E4731" s="184" t="n">
        <v>161.86</v>
      </c>
      <c r="F4731" s="184" t="n">
        <v>170.42</v>
      </c>
      <c r="G4731" s="184" t="n">
        <v>166.14</v>
      </c>
    </row>
    <row r="4732">
      <c r="A4732" s="194" t="inlineStr">
        <is>
          <t>2026-01-21</t>
        </is>
      </c>
      <c r="B4732" s="194" t="inlineStr">
        <is>
          <t>KRW</t>
        </is>
      </c>
      <c r="C4732" s="194" t="inlineStr">
        <is>
          <t>KOREAN WON</t>
        </is>
      </c>
      <c r="D4732" s="195" t="n">
        <v>15.35</v>
      </c>
      <c r="E4732" s="195" t="n">
        <v>17.05</v>
      </c>
      <c r="F4732" s="195" t="n">
        <v>18.5</v>
      </c>
      <c r="G4732" s="195" t="n">
        <v>17.77</v>
      </c>
    </row>
    <row r="4733">
      <c r="A4733" s="196" t="inlineStr">
        <is>
          <t>2026-01-21</t>
        </is>
      </c>
      <c r="B4733" s="196" t="inlineStr">
        <is>
          <t>KWD</t>
        </is>
      </c>
      <c r="C4733" s="196" t="inlineStr">
        <is>
          <t>KUWAITI DINAR</t>
        </is>
      </c>
      <c r="D4733" s="184" t="n"/>
      <c r="E4733" s="184" t="n">
        <v>85469.25</v>
      </c>
      <c r="F4733" s="184" t="n">
        <v>89611.97</v>
      </c>
      <c r="G4733" s="184" t="n">
        <v>87540.61</v>
      </c>
    </row>
    <row r="4734">
      <c r="A4734" s="194" t="inlineStr">
        <is>
          <t>2026-01-21</t>
        </is>
      </c>
      <c r="B4734" s="194" t="inlineStr">
        <is>
          <t>MYR</t>
        </is>
      </c>
      <c r="C4734" s="194" t="inlineStr">
        <is>
          <t>MALAYSIAN RINGGIT</t>
        </is>
      </c>
      <c r="D4734" s="195" t="n"/>
      <c r="E4734" s="195" t="n">
        <v>6412.56</v>
      </c>
      <c r="F4734" s="195" t="n">
        <v>6552.07</v>
      </c>
      <c r="G4734" s="195" t="n">
        <v>6482.32</v>
      </c>
    </row>
    <row r="4735">
      <c r="A4735" s="196" t="inlineStr">
        <is>
          <t>2026-01-21</t>
        </is>
      </c>
      <c r="B4735" s="196" t="inlineStr">
        <is>
          <t>NOK</t>
        </is>
      </c>
      <c r="C4735" s="196" t="inlineStr">
        <is>
          <t>NORWEGIAN KRONER</t>
        </is>
      </c>
      <c r="D4735" s="184" t="n"/>
      <c r="E4735" s="184" t="n">
        <v>2575</v>
      </c>
      <c r="F4735" s="184" t="n">
        <v>2684.18</v>
      </c>
      <c r="G4735" s="184" t="n">
        <v>2629.59</v>
      </c>
    </row>
    <row r="4736">
      <c r="A4736" s="194" t="inlineStr">
        <is>
          <t>2026-01-21</t>
        </is>
      </c>
      <c r="B4736" s="194" t="inlineStr">
        <is>
          <t>RUB</t>
        </is>
      </c>
      <c r="C4736" s="194" t="inlineStr">
        <is>
          <t>RUSSIAN RUBLE</t>
        </is>
      </c>
      <c r="D4736" s="195" t="n"/>
      <c r="E4736" s="195" t="n">
        <v>320.33</v>
      </c>
      <c r="F4736" s="195" t="n">
        <v>354.58</v>
      </c>
      <c r="G4736" s="195" t="n">
        <v>337.46</v>
      </c>
    </row>
    <row r="4737">
      <c r="A4737" s="196" t="inlineStr">
        <is>
          <t>2026-01-21</t>
        </is>
      </c>
      <c r="B4737" s="196" t="inlineStr">
        <is>
          <t>SAR</t>
        </is>
      </c>
      <c r="C4737" s="196" t="inlineStr">
        <is>
          <t>SAUDI RIAL</t>
        </is>
      </c>
      <c r="D4737" s="184" t="n"/>
      <c r="E4737" s="184" t="n">
        <v>6965.36</v>
      </c>
      <c r="F4737" s="184" t="n">
        <v>7265.13</v>
      </c>
      <c r="G4737" s="184" t="n">
        <v>7115.24</v>
      </c>
    </row>
    <row r="4738">
      <c r="A4738" s="194" t="inlineStr">
        <is>
          <t>2026-01-21</t>
        </is>
      </c>
      <c r="B4738" s="194" t="inlineStr">
        <is>
          <t>SEK</t>
        </is>
      </c>
      <c r="C4738" s="194" t="inlineStr">
        <is>
          <t>SWEDISH KRONA</t>
        </is>
      </c>
      <c r="D4738" s="195" t="n"/>
      <c r="E4738" s="195" t="n">
        <v>2819.19</v>
      </c>
      <c r="F4738" s="195" t="n">
        <v>2938.73</v>
      </c>
      <c r="G4738" s="195" t="n">
        <v>2878.96</v>
      </c>
    </row>
    <row r="4739">
      <c r="A4739" s="196" t="inlineStr">
        <is>
          <t>2026-01-21</t>
        </is>
      </c>
      <c r="B4739" s="196" t="inlineStr">
        <is>
          <t>SGD</t>
        </is>
      </c>
      <c r="C4739" s="196" t="inlineStr">
        <is>
          <t>SINGAPORE DOLLAR</t>
        </is>
      </c>
      <c r="D4739" s="184" t="n">
        <v>19919.2</v>
      </c>
      <c r="E4739" s="184" t="n">
        <v>20120.41</v>
      </c>
      <c r="F4739" s="184" t="n">
        <v>20806.39</v>
      </c>
      <c r="G4739" s="184" t="n">
        <v>20463.4</v>
      </c>
    </row>
    <row r="4740">
      <c r="A4740" s="194" t="inlineStr">
        <is>
          <t>2026-01-21</t>
        </is>
      </c>
      <c r="B4740" s="194" t="inlineStr">
        <is>
          <t>THB</t>
        </is>
      </c>
      <c r="C4740" s="194" t="inlineStr">
        <is>
          <t>THAILAND BAHT</t>
        </is>
      </c>
      <c r="D4740" s="195" t="n">
        <v>747.64</v>
      </c>
      <c r="E4740" s="195" t="n">
        <v>830.71</v>
      </c>
      <c r="F4740" s="195" t="n">
        <v>865.9299999999999</v>
      </c>
      <c r="G4740" s="195" t="n">
        <v>848.3200000000001</v>
      </c>
    </row>
    <row r="4741">
      <c r="A4741" s="196" t="inlineStr">
        <is>
          <t>2026-01-21</t>
        </is>
      </c>
      <c r="B4741" s="196" t="inlineStr">
        <is>
          <t>USD</t>
        </is>
      </c>
      <c r="C4741" s="196" t="inlineStr">
        <is>
          <t>US DOLLAR</t>
        </is>
      </c>
      <c r="D4741" s="184" t="n">
        <v>26050</v>
      </c>
      <c r="E4741" s="184" t="n">
        <v>26080</v>
      </c>
      <c r="F4741" s="184" t="n">
        <v>26380</v>
      </c>
      <c r="G4741" s="184" t="n">
        <v>26230</v>
      </c>
    </row>
    <row r="4742">
      <c r="A4742" s="194" t="inlineStr">
        <is>
          <t>2026-01-20</t>
        </is>
      </c>
      <c r="B4742" s="194" t="inlineStr">
        <is>
          <t>AUD</t>
        </is>
      </c>
      <c r="C4742" s="194" t="inlineStr">
        <is>
          <t>AUSTRALIAN DOLLAR</t>
        </is>
      </c>
      <c r="D4742" s="195" t="n">
        <v>17218.84</v>
      </c>
      <c r="E4742" s="195" t="n">
        <v>17392.77</v>
      </c>
      <c r="F4742" s="195" t="n">
        <v>17949.82</v>
      </c>
      <c r="G4742" s="195" t="n">
        <v>17671.29</v>
      </c>
    </row>
    <row r="4743">
      <c r="A4743" s="196" t="inlineStr">
        <is>
          <t>2026-01-20</t>
        </is>
      </c>
      <c r="B4743" s="196" t="inlineStr">
        <is>
          <t>CAD</t>
        </is>
      </c>
      <c r="C4743" s="196" t="inlineStr">
        <is>
          <t>CANADIAN DOLLAR</t>
        </is>
      </c>
      <c r="D4743" s="184" t="n">
        <v>18516.15</v>
      </c>
      <c r="E4743" s="184" t="n">
        <v>18703.18</v>
      </c>
      <c r="F4743" s="184" t="n">
        <v>19302.19</v>
      </c>
      <c r="G4743" s="184" t="n">
        <v>19002.68</v>
      </c>
    </row>
    <row r="4744">
      <c r="A4744" s="194" t="inlineStr">
        <is>
          <t>2026-01-20</t>
        </is>
      </c>
      <c r="B4744" s="194" t="inlineStr">
        <is>
          <t>CHF</t>
        </is>
      </c>
      <c r="C4744" s="194" t="inlineStr">
        <is>
          <t>SWISS FRANC</t>
        </is>
      </c>
      <c r="D4744" s="195" t="n">
        <v>32395.05</v>
      </c>
      <c r="E4744" s="195" t="n">
        <v>32722.28</v>
      </c>
      <c r="F4744" s="195" t="n">
        <v>33770.28</v>
      </c>
      <c r="G4744" s="195" t="n">
        <v>33246.28</v>
      </c>
    </row>
    <row r="4745">
      <c r="A4745" s="196" t="inlineStr">
        <is>
          <t>2026-01-20</t>
        </is>
      </c>
      <c r="B4745" s="196" t="inlineStr">
        <is>
          <t>CNY</t>
        </is>
      </c>
      <c r="C4745" s="196" t="inlineStr">
        <is>
          <t>YUAN RENMINBI</t>
        </is>
      </c>
      <c r="D4745" s="184" t="n">
        <v>3678.43</v>
      </c>
      <c r="E4745" s="184" t="n">
        <v>3715.59</v>
      </c>
      <c r="F4745" s="184" t="n">
        <v>3834.59</v>
      </c>
      <c r="G4745" s="184" t="n">
        <v>3775.09</v>
      </c>
    </row>
    <row r="4746">
      <c r="A4746" s="194" t="inlineStr">
        <is>
          <t>2026-01-20</t>
        </is>
      </c>
      <c r="B4746" s="194" t="inlineStr">
        <is>
          <t>DKK</t>
        </is>
      </c>
      <c r="C4746" s="194" t="inlineStr">
        <is>
          <t>DANISH KRONE</t>
        </is>
      </c>
      <c r="D4746" s="195" t="n"/>
      <c r="E4746" s="195" t="n">
        <v>4047.18</v>
      </c>
      <c r="F4746" s="195" t="n">
        <v>4201.94</v>
      </c>
      <c r="G4746" s="195" t="n">
        <v>4124.56</v>
      </c>
    </row>
    <row r="4747">
      <c r="A4747" s="196" t="inlineStr">
        <is>
          <t>2026-01-20</t>
        </is>
      </c>
      <c r="B4747" s="196" t="inlineStr">
        <is>
          <t>EUR</t>
        </is>
      </c>
      <c r="C4747" s="196" t="inlineStr">
        <is>
          <t>EURO</t>
        </is>
      </c>
      <c r="D4747" s="184" t="n">
        <v>30012.69</v>
      </c>
      <c r="E4747" s="184" t="n">
        <v>30315.85</v>
      </c>
      <c r="F4747" s="184" t="n">
        <v>31595.03</v>
      </c>
      <c r="G4747" s="184" t="n">
        <v>30955.44</v>
      </c>
    </row>
    <row r="4748">
      <c r="A4748" s="194" t="inlineStr">
        <is>
          <t>2026-01-20</t>
        </is>
      </c>
      <c r="B4748" s="194" t="inlineStr">
        <is>
          <t>GBP</t>
        </is>
      </c>
      <c r="C4748" s="194" t="inlineStr">
        <is>
          <t>POUND STERLING</t>
        </is>
      </c>
      <c r="D4748" s="195" t="n">
        <v>34481.2</v>
      </c>
      <c r="E4748" s="195" t="n">
        <v>34829.49</v>
      </c>
      <c r="F4748" s="195" t="n">
        <v>35944.99</v>
      </c>
      <c r="G4748" s="195" t="n">
        <v>35387.24</v>
      </c>
    </row>
    <row r="4749">
      <c r="A4749" s="196" t="inlineStr">
        <is>
          <t>2026-01-20</t>
        </is>
      </c>
      <c r="B4749" s="196" t="inlineStr">
        <is>
          <t>HKD</t>
        </is>
      </c>
      <c r="C4749" s="196" t="inlineStr">
        <is>
          <t>HONGKONG DOLLAR</t>
        </is>
      </c>
      <c r="D4749" s="184" t="n">
        <v>3273.08</v>
      </c>
      <c r="E4749" s="184" t="n">
        <v>3306.14</v>
      </c>
      <c r="F4749" s="184" t="n">
        <v>3432.57</v>
      </c>
      <c r="G4749" s="184" t="n">
        <v>3369.36</v>
      </c>
    </row>
    <row r="4750">
      <c r="A4750" s="194" t="inlineStr">
        <is>
          <t>2026-01-20</t>
        </is>
      </c>
      <c r="B4750" s="194" t="inlineStr">
        <is>
          <t>INR</t>
        </is>
      </c>
      <c r="C4750" s="194" t="inlineStr">
        <is>
          <t>INDIAN RUPEE</t>
        </is>
      </c>
      <c r="D4750" s="195" t="n"/>
      <c r="E4750" s="195" t="n">
        <v>287.05</v>
      </c>
      <c r="F4750" s="195" t="n">
        <v>299.4</v>
      </c>
      <c r="G4750" s="195" t="n">
        <v>293.23</v>
      </c>
    </row>
    <row r="4751">
      <c r="A4751" s="196" t="inlineStr">
        <is>
          <t>2026-01-20</t>
        </is>
      </c>
      <c r="B4751" s="196" t="inlineStr">
        <is>
          <t>JPY</t>
        </is>
      </c>
      <c r="C4751" s="196" t="inlineStr">
        <is>
          <t>YEN</t>
        </is>
      </c>
      <c r="D4751" s="184" t="n">
        <v>160.73</v>
      </c>
      <c r="E4751" s="184" t="n">
        <v>162.35</v>
      </c>
      <c r="F4751" s="184" t="n">
        <v>170.94</v>
      </c>
      <c r="G4751" s="184" t="n">
        <v>166.64</v>
      </c>
    </row>
    <row r="4752">
      <c r="A4752" s="194" t="inlineStr">
        <is>
          <t>2026-01-20</t>
        </is>
      </c>
      <c r="B4752" s="194" t="inlineStr">
        <is>
          <t>KRW</t>
        </is>
      </c>
      <c r="C4752" s="194" t="inlineStr">
        <is>
          <t>KOREAN WON</t>
        </is>
      </c>
      <c r="D4752" s="195" t="n">
        <v>15.36</v>
      </c>
      <c r="E4752" s="195" t="n">
        <v>17.07</v>
      </c>
      <c r="F4752" s="195" t="n">
        <v>18.52</v>
      </c>
      <c r="G4752" s="195" t="n">
        <v>17.8</v>
      </c>
    </row>
    <row r="4753">
      <c r="A4753" s="196" t="inlineStr">
        <is>
          <t>2026-01-20</t>
        </is>
      </c>
      <c r="B4753" s="196" t="inlineStr">
        <is>
          <t>KWD</t>
        </is>
      </c>
      <c r="C4753" s="196" t="inlineStr">
        <is>
          <t>KUWAITI DINAR</t>
        </is>
      </c>
      <c r="D4753" s="184" t="n"/>
      <c r="E4753" s="184" t="n">
        <v>85452.97</v>
      </c>
      <c r="F4753" s="184" t="n">
        <v>89594.92</v>
      </c>
      <c r="G4753" s="184" t="n">
        <v>87523.94</v>
      </c>
    </row>
    <row r="4754">
      <c r="A4754" s="194" t="inlineStr">
        <is>
          <t>2026-01-20</t>
        </is>
      </c>
      <c r="B4754" s="194" t="inlineStr">
        <is>
          <t>MYR</t>
        </is>
      </c>
      <c r="C4754" s="194" t="inlineStr">
        <is>
          <t>MALAYSIAN RINGGIT</t>
        </is>
      </c>
      <c r="D4754" s="195" t="n"/>
      <c r="E4754" s="195" t="n">
        <v>6412.92</v>
      </c>
      <c r="F4754" s="195" t="n">
        <v>6552.44</v>
      </c>
      <c r="G4754" s="195" t="n">
        <v>6482.68</v>
      </c>
    </row>
    <row r="4755">
      <c r="A4755" s="196" t="inlineStr">
        <is>
          <t>2026-01-20</t>
        </is>
      </c>
      <c r="B4755" s="196" t="inlineStr">
        <is>
          <t>NOK</t>
        </is>
      </c>
      <c r="C4755" s="196" t="inlineStr">
        <is>
          <t>NORWEGIAN KRONER</t>
        </is>
      </c>
      <c r="D4755" s="184" t="n"/>
      <c r="E4755" s="184" t="n">
        <v>2568.9</v>
      </c>
      <c r="F4755" s="184" t="n">
        <v>2677.83</v>
      </c>
      <c r="G4755" s="184" t="n">
        <v>2623.36</v>
      </c>
    </row>
    <row r="4756">
      <c r="A4756" s="194" t="inlineStr">
        <is>
          <t>2026-01-20</t>
        </is>
      </c>
      <c r="B4756" s="194" t="inlineStr">
        <is>
          <t>RUB</t>
        </is>
      </c>
      <c r="C4756" s="194" t="inlineStr">
        <is>
          <t>RUSSIAN RUBLE</t>
        </is>
      </c>
      <c r="D4756" s="195" t="n"/>
      <c r="E4756" s="195" t="n">
        <v>321.28</v>
      </c>
      <c r="F4756" s="195" t="n">
        <v>355.64</v>
      </c>
      <c r="G4756" s="195" t="n">
        <v>338.46</v>
      </c>
    </row>
    <row r="4757">
      <c r="A4757" s="196" t="inlineStr">
        <is>
          <t>2026-01-20</t>
        </is>
      </c>
      <c r="B4757" s="196" t="inlineStr">
        <is>
          <t>SAR</t>
        </is>
      </c>
      <c r="C4757" s="196" t="inlineStr">
        <is>
          <t>SAUDI RIAL</t>
        </is>
      </c>
      <c r="D4757" s="184" t="n"/>
      <c r="E4757" s="184" t="n">
        <v>6964.03</v>
      </c>
      <c r="F4757" s="184" t="n">
        <v>7263.75</v>
      </c>
      <c r="G4757" s="184" t="n">
        <v>7113.89</v>
      </c>
    </row>
    <row r="4758">
      <c r="A4758" s="194" t="inlineStr">
        <is>
          <t>2026-01-20</t>
        </is>
      </c>
      <c r="B4758" s="194" t="inlineStr">
        <is>
          <t>SEK</t>
        </is>
      </c>
      <c r="C4758" s="194" t="inlineStr">
        <is>
          <t>SWEDISH KRONA</t>
        </is>
      </c>
      <c r="D4758" s="195" t="n"/>
      <c r="E4758" s="195" t="n">
        <v>2812.96</v>
      </c>
      <c r="F4758" s="195" t="n">
        <v>2932.23</v>
      </c>
      <c r="G4758" s="195" t="n">
        <v>2872.6</v>
      </c>
    </row>
    <row r="4759">
      <c r="A4759" s="196" t="inlineStr">
        <is>
          <t>2026-01-20</t>
        </is>
      </c>
      <c r="B4759" s="196" t="inlineStr">
        <is>
          <t>SGD</t>
        </is>
      </c>
      <c r="C4759" s="196" t="inlineStr">
        <is>
          <t>SINGAPORE DOLLAR</t>
        </is>
      </c>
      <c r="D4759" s="184" t="n">
        <v>19944.92</v>
      </c>
      <c r="E4759" s="184" t="n">
        <v>20146.38</v>
      </c>
      <c r="F4759" s="184" t="n">
        <v>20833.25</v>
      </c>
      <c r="G4759" s="184" t="n">
        <v>20489.82</v>
      </c>
    </row>
    <row r="4760">
      <c r="A4760" s="194" t="inlineStr">
        <is>
          <t>2026-01-20</t>
        </is>
      </c>
      <c r="B4760" s="194" t="inlineStr">
        <is>
          <t>THB</t>
        </is>
      </c>
      <c r="C4760" s="194" t="inlineStr">
        <is>
          <t>THAILAND BAHT</t>
        </is>
      </c>
      <c r="D4760" s="195" t="n">
        <v>745.33</v>
      </c>
      <c r="E4760" s="195" t="n">
        <v>828.14</v>
      </c>
      <c r="F4760" s="195" t="n">
        <v>863.26</v>
      </c>
      <c r="G4760" s="195" t="n">
        <v>845.7</v>
      </c>
    </row>
    <row r="4761">
      <c r="A4761" s="196" t="inlineStr">
        <is>
          <t>2026-01-20</t>
        </is>
      </c>
      <c r="B4761" s="196" t="inlineStr">
        <is>
          <t>USD</t>
        </is>
      </c>
      <c r="C4761" s="196" t="inlineStr">
        <is>
          <t>US DOLLAR</t>
        </is>
      </c>
      <c r="D4761" s="184" t="n">
        <v>26056</v>
      </c>
      <c r="E4761" s="184" t="n">
        <v>26086</v>
      </c>
      <c r="F4761" s="184" t="n">
        <v>26386</v>
      </c>
      <c r="G4761" s="184" t="n">
        <v>26236</v>
      </c>
    </row>
    <row r="4762">
      <c r="A4762" s="194" t="inlineStr">
        <is>
          <t>2026-01-19</t>
        </is>
      </c>
      <c r="B4762" s="194" t="inlineStr">
        <is>
          <t>AUD</t>
        </is>
      </c>
      <c r="C4762" s="194" t="inlineStr">
        <is>
          <t>AUSTRALIAN DOLLAR</t>
        </is>
      </c>
      <c r="D4762" s="195" t="n">
        <v>17106.93</v>
      </c>
      <c r="E4762" s="195" t="n">
        <v>17279.73</v>
      </c>
      <c r="F4762" s="195" t="n">
        <v>17833.15</v>
      </c>
      <c r="G4762" s="195" t="n">
        <v>17556.44</v>
      </c>
    </row>
    <row r="4763">
      <c r="A4763" s="196" t="inlineStr">
        <is>
          <t>2026-01-19</t>
        </is>
      </c>
      <c r="B4763" s="196" t="inlineStr">
        <is>
          <t>CAD</t>
        </is>
      </c>
      <c r="C4763" s="196" t="inlineStr">
        <is>
          <t>CANADIAN DOLLAR</t>
        </is>
      </c>
      <c r="D4763" s="184" t="n">
        <v>18422.4</v>
      </c>
      <c r="E4763" s="184" t="n">
        <v>18608.48</v>
      </c>
      <c r="F4763" s="184" t="n">
        <v>19204.46</v>
      </c>
      <c r="G4763" s="184" t="n">
        <v>18906.47</v>
      </c>
    </row>
    <row r="4764">
      <c r="A4764" s="194" t="inlineStr">
        <is>
          <t>2026-01-19</t>
        </is>
      </c>
      <c r="B4764" s="194" t="inlineStr">
        <is>
          <t>CHF</t>
        </is>
      </c>
      <c r="C4764" s="194" t="inlineStr">
        <is>
          <t>SWISS FRANC</t>
        </is>
      </c>
      <c r="D4764" s="195" t="n">
        <v>32052.39</v>
      </c>
      <c r="E4764" s="195" t="n">
        <v>32376.15</v>
      </c>
      <c r="F4764" s="195" t="n">
        <v>33413.06</v>
      </c>
      <c r="G4764" s="195" t="n">
        <v>32894.6</v>
      </c>
    </row>
    <row r="4765">
      <c r="A4765" s="196" t="inlineStr">
        <is>
          <t>2026-01-19</t>
        </is>
      </c>
      <c r="B4765" s="196" t="inlineStr">
        <is>
          <t>CNY</t>
        </is>
      </c>
      <c r="C4765" s="196" t="inlineStr">
        <is>
          <t>YUAN RENMINBI</t>
        </is>
      </c>
      <c r="D4765" s="184" t="n">
        <v>3676.49</v>
      </c>
      <c r="E4765" s="184" t="n">
        <v>3713.63</v>
      </c>
      <c r="F4765" s="184" t="n">
        <v>3832.56</v>
      </c>
      <c r="G4765" s="184" t="n">
        <v>3773.1</v>
      </c>
    </row>
    <row r="4766">
      <c r="A4766" s="194" t="inlineStr">
        <is>
          <t>2026-01-19</t>
        </is>
      </c>
      <c r="B4766" s="194" t="inlineStr">
        <is>
          <t>DKK</t>
        </is>
      </c>
      <c r="C4766" s="194" t="inlineStr">
        <is>
          <t>DANISH KRONE</t>
        </is>
      </c>
      <c r="D4766" s="195" t="n"/>
      <c r="E4766" s="195" t="n">
        <v>4009.49</v>
      </c>
      <c r="F4766" s="195" t="n">
        <v>4162.81</v>
      </c>
      <c r="G4766" s="195" t="n">
        <v>4086.15</v>
      </c>
    </row>
    <row r="4767">
      <c r="A4767" s="196" t="inlineStr">
        <is>
          <t>2026-01-19</t>
        </is>
      </c>
      <c r="B4767" s="196" t="inlineStr">
        <is>
          <t>EUR</t>
        </is>
      </c>
      <c r="C4767" s="196" t="inlineStr">
        <is>
          <t>EURO</t>
        </is>
      </c>
      <c r="D4767" s="184" t="n">
        <v>29734.27</v>
      </c>
      <c r="E4767" s="184" t="n">
        <v>30034.62</v>
      </c>
      <c r="F4767" s="184" t="n">
        <v>31301.93</v>
      </c>
      <c r="G4767" s="184" t="n">
        <v>30668.28</v>
      </c>
    </row>
    <row r="4768">
      <c r="A4768" s="194" t="inlineStr">
        <is>
          <t>2026-01-19</t>
        </is>
      </c>
      <c r="B4768" s="194" t="inlineStr">
        <is>
          <t>GBP</t>
        </is>
      </c>
      <c r="C4768" s="194" t="inlineStr">
        <is>
          <t>POUND STERLING</t>
        </is>
      </c>
      <c r="D4768" s="195" t="n">
        <v>34265.06</v>
      </c>
      <c r="E4768" s="195" t="n">
        <v>34611.18</v>
      </c>
      <c r="F4768" s="195" t="n">
        <v>35719.67</v>
      </c>
      <c r="G4768" s="195" t="n">
        <v>35165.43</v>
      </c>
    </row>
    <row r="4769">
      <c r="A4769" s="196" t="inlineStr">
        <is>
          <t>2026-01-19</t>
        </is>
      </c>
      <c r="B4769" s="196" t="inlineStr">
        <is>
          <t>HKD</t>
        </is>
      </c>
      <c r="C4769" s="196" t="inlineStr">
        <is>
          <t>HONGKONG DOLLAR</t>
        </is>
      </c>
      <c r="D4769" s="184" t="n">
        <v>3274.88</v>
      </c>
      <c r="E4769" s="184" t="n">
        <v>3307.96</v>
      </c>
      <c r="F4769" s="184" t="n">
        <v>3434.45</v>
      </c>
      <c r="G4769" s="184" t="n">
        <v>3371.2</v>
      </c>
    </row>
    <row r="4770">
      <c r="A4770" s="194" t="inlineStr">
        <is>
          <t>2026-01-19</t>
        </is>
      </c>
      <c r="B4770" s="194" t="inlineStr">
        <is>
          <t>INR</t>
        </is>
      </c>
      <c r="C4770" s="194" t="inlineStr">
        <is>
          <t>INDIAN RUPEE</t>
        </is>
      </c>
      <c r="D4770" s="195" t="n"/>
      <c r="E4770" s="195" t="n">
        <v>287.94</v>
      </c>
      <c r="F4770" s="195" t="n">
        <v>300.34</v>
      </c>
      <c r="G4770" s="195" t="n">
        <v>294.14</v>
      </c>
    </row>
    <row r="4771">
      <c r="A4771" s="196" t="inlineStr">
        <is>
          <t>2026-01-19</t>
        </is>
      </c>
      <c r="B4771" s="196" t="inlineStr">
        <is>
          <t>JPY</t>
        </is>
      </c>
      <c r="C4771" s="196" t="inlineStr">
        <is>
          <t>YEN</t>
        </is>
      </c>
      <c r="D4771" s="184" t="n">
        <v>161.16</v>
      </c>
      <c r="E4771" s="184" t="n">
        <v>162.79</v>
      </c>
      <c r="F4771" s="184" t="n">
        <v>171.4</v>
      </c>
      <c r="G4771" s="184" t="n">
        <v>167.1</v>
      </c>
    </row>
    <row r="4772">
      <c r="A4772" s="194" t="inlineStr">
        <is>
          <t>2026-01-19</t>
        </is>
      </c>
      <c r="B4772" s="194" t="inlineStr">
        <is>
          <t>KRW</t>
        </is>
      </c>
      <c r="C4772" s="194" t="inlineStr">
        <is>
          <t>KOREAN WON</t>
        </is>
      </c>
      <c r="D4772" s="195" t="n">
        <v>15.43</v>
      </c>
      <c r="E4772" s="195" t="n">
        <v>17.15</v>
      </c>
      <c r="F4772" s="195" t="n">
        <v>18.6</v>
      </c>
      <c r="G4772" s="195" t="n">
        <v>17.88</v>
      </c>
    </row>
    <row r="4773">
      <c r="A4773" s="196" t="inlineStr">
        <is>
          <t>2026-01-19</t>
        </is>
      </c>
      <c r="B4773" s="196" t="inlineStr">
        <is>
          <t>KWD</t>
        </is>
      </c>
      <c r="C4773" s="196" t="inlineStr">
        <is>
          <t>KUWAITI DINAR</t>
        </is>
      </c>
      <c r="D4773" s="184" t="n"/>
      <c r="E4773" s="184" t="n">
        <v>85413.35000000001</v>
      </c>
      <c r="F4773" s="184" t="n">
        <v>89553.36</v>
      </c>
      <c r="G4773" s="184" t="n">
        <v>87483.36</v>
      </c>
    </row>
    <row r="4774">
      <c r="A4774" s="194" t="inlineStr">
        <is>
          <t>2026-01-19</t>
        </is>
      </c>
      <c r="B4774" s="194" t="inlineStr">
        <is>
          <t>MYR</t>
        </is>
      </c>
      <c r="C4774" s="194" t="inlineStr">
        <is>
          <t>MALAYSIAN RINGGIT</t>
        </is>
      </c>
      <c r="D4774" s="195" t="n"/>
      <c r="E4774" s="195" t="n">
        <v>6409.4</v>
      </c>
      <c r="F4774" s="195" t="n">
        <v>6548.84</v>
      </c>
      <c r="G4774" s="195" t="n">
        <v>6479.12</v>
      </c>
    </row>
    <row r="4775">
      <c r="A4775" s="196" t="inlineStr">
        <is>
          <t>2026-01-19</t>
        </is>
      </c>
      <c r="B4775" s="196" t="inlineStr">
        <is>
          <t>NOK</t>
        </is>
      </c>
      <c r="C4775" s="196" t="inlineStr">
        <is>
          <t>NORWEGIAN KRONER</t>
        </is>
      </c>
      <c r="D4775" s="184" t="n"/>
      <c r="E4775" s="184" t="n">
        <v>2553.08</v>
      </c>
      <c r="F4775" s="184" t="n">
        <v>2661.34</v>
      </c>
      <c r="G4775" s="184" t="n">
        <v>2607.21</v>
      </c>
    </row>
    <row r="4776">
      <c r="A4776" s="194" t="inlineStr">
        <is>
          <t>2026-01-19</t>
        </is>
      </c>
      <c r="B4776" s="194" t="inlineStr">
        <is>
          <t>RUB</t>
        </is>
      </c>
      <c r="C4776" s="194" t="inlineStr">
        <is>
          <t>RUSSIAN RUBLE</t>
        </is>
      </c>
      <c r="D4776" s="195" t="n"/>
      <c r="E4776" s="195" t="n">
        <v>320.53</v>
      </c>
      <c r="F4776" s="195" t="n">
        <v>354.81</v>
      </c>
      <c r="G4776" s="195" t="n">
        <v>337.67</v>
      </c>
    </row>
    <row r="4777">
      <c r="A4777" s="196" t="inlineStr">
        <is>
          <t>2026-01-19</t>
        </is>
      </c>
      <c r="B4777" s="196" t="inlineStr">
        <is>
          <t>SAR</t>
        </is>
      </c>
      <c r="C4777" s="196" t="inlineStr">
        <is>
          <t>SAUDI RIAL</t>
        </is>
      </c>
      <c r="D4777" s="184" t="n"/>
      <c r="E4777" s="184" t="n">
        <v>6967.22</v>
      </c>
      <c r="F4777" s="184" t="n">
        <v>7267.07</v>
      </c>
      <c r="G4777" s="184" t="n">
        <v>7117.14</v>
      </c>
    </row>
    <row r="4778">
      <c r="A4778" s="194" t="inlineStr">
        <is>
          <t>2026-01-19</t>
        </is>
      </c>
      <c r="B4778" s="194" t="inlineStr">
        <is>
          <t>SEK</t>
        </is>
      </c>
      <c r="C4778" s="194" t="inlineStr">
        <is>
          <t>SWEDISH KRONA</t>
        </is>
      </c>
      <c r="D4778" s="195" t="n"/>
      <c r="E4778" s="195" t="n">
        <v>2793.22</v>
      </c>
      <c r="F4778" s="195" t="n">
        <v>2911.65</v>
      </c>
      <c r="G4778" s="195" t="n">
        <v>2852.44</v>
      </c>
    </row>
    <row r="4779">
      <c r="A4779" s="196" t="inlineStr">
        <is>
          <t>2026-01-19</t>
        </is>
      </c>
      <c r="B4779" s="196" t="inlineStr">
        <is>
          <t>SGD</t>
        </is>
      </c>
      <c r="C4779" s="196" t="inlineStr">
        <is>
          <t>SINGAPORE DOLLAR</t>
        </is>
      </c>
      <c r="D4779" s="184" t="n">
        <v>19882.04</v>
      </c>
      <c r="E4779" s="184" t="n">
        <v>20082.87</v>
      </c>
      <c r="F4779" s="184" t="n">
        <v>20767.57</v>
      </c>
      <c r="G4779" s="184" t="n">
        <v>20425.22</v>
      </c>
    </row>
    <row r="4780">
      <c r="A4780" s="194" t="inlineStr">
        <is>
          <t>2026-01-19</t>
        </is>
      </c>
      <c r="B4780" s="194" t="inlineStr">
        <is>
          <t>THB</t>
        </is>
      </c>
      <c r="C4780" s="194" t="inlineStr">
        <is>
          <t>THAILAND BAHT</t>
        </is>
      </c>
      <c r="D4780" s="195" t="n">
        <v>740.7</v>
      </c>
      <c r="E4780" s="195" t="n">
        <v>823</v>
      </c>
      <c r="F4780" s="195" t="n">
        <v>857.9</v>
      </c>
      <c r="G4780" s="195" t="n">
        <v>840.45</v>
      </c>
    </row>
    <row r="4781">
      <c r="A4781" s="196" t="inlineStr">
        <is>
          <t>2026-01-19</t>
        </is>
      </c>
      <c r="B4781" s="196" t="inlineStr">
        <is>
          <t>USD</t>
        </is>
      </c>
      <c r="C4781" s="196" t="inlineStr">
        <is>
          <t>US DOLLAR</t>
        </is>
      </c>
      <c r="D4781" s="184" t="n">
        <v>26058</v>
      </c>
      <c r="E4781" s="184" t="n">
        <v>26088</v>
      </c>
      <c r="F4781" s="184" t="n">
        <v>26388</v>
      </c>
      <c r="G4781" s="184" t="n">
        <v>26238</v>
      </c>
    </row>
    <row r="4782">
      <c r="A4782" s="194" t="inlineStr">
        <is>
          <t>2026-01-18</t>
        </is>
      </c>
      <c r="B4782" s="194" t="inlineStr">
        <is>
          <t>AUD</t>
        </is>
      </c>
      <c r="C4782" s="194" t="inlineStr">
        <is>
          <t>AUSTRALIAN DOLLAR</t>
        </is>
      </c>
      <c r="D4782" s="195" t="n">
        <v>17142.77</v>
      </c>
      <c r="E4782" s="195" t="n">
        <v>17315.93</v>
      </c>
      <c r="F4782" s="195" t="n">
        <v>17870.51</v>
      </c>
      <c r="G4782" s="195" t="n">
        <v>17593.22</v>
      </c>
    </row>
    <row r="4783">
      <c r="A4783" s="196" t="inlineStr">
        <is>
          <t>2026-01-18</t>
        </is>
      </c>
      <c r="B4783" s="196" t="inlineStr">
        <is>
          <t>CAD</t>
        </is>
      </c>
      <c r="C4783" s="196" t="inlineStr">
        <is>
          <t>CANADIAN DOLLAR</t>
        </is>
      </c>
      <c r="D4783" s="184" t="n">
        <v>18426.38</v>
      </c>
      <c r="E4783" s="184" t="n">
        <v>18612.5</v>
      </c>
      <c r="F4783" s="184" t="n">
        <v>19208.6</v>
      </c>
      <c r="G4783" s="184" t="n">
        <v>18910.55</v>
      </c>
    </row>
    <row r="4784">
      <c r="A4784" s="194" t="inlineStr">
        <is>
          <t>2026-01-18</t>
        </is>
      </c>
      <c r="B4784" s="194" t="inlineStr">
        <is>
          <t>CHF</t>
        </is>
      </c>
      <c r="C4784" s="194" t="inlineStr">
        <is>
          <t>SWISS FRANC</t>
        </is>
      </c>
      <c r="D4784" s="195" t="n">
        <v>31856.97</v>
      </c>
      <c r="E4784" s="195" t="n">
        <v>32178.76</v>
      </c>
      <c r="F4784" s="195" t="n">
        <v>33209.35</v>
      </c>
      <c r="G4784" s="195" t="n">
        <v>32694.06</v>
      </c>
    </row>
    <row r="4785">
      <c r="A4785" s="196" t="inlineStr">
        <is>
          <t>2026-01-18</t>
        </is>
      </c>
      <c r="B4785" s="196" t="inlineStr">
        <is>
          <t>CNY</t>
        </is>
      </c>
      <c r="C4785" s="196" t="inlineStr">
        <is>
          <t>YUAN RENMINBI</t>
        </is>
      </c>
      <c r="D4785" s="184" t="n">
        <v>3675.49</v>
      </c>
      <c r="E4785" s="184" t="n">
        <v>3712.61</v>
      </c>
      <c r="F4785" s="184" t="n">
        <v>3831.52</v>
      </c>
      <c r="G4785" s="184" t="n">
        <v>3772.06</v>
      </c>
    </row>
    <row r="4786">
      <c r="A4786" s="194" t="inlineStr">
        <is>
          <t>2026-01-18</t>
        </is>
      </c>
      <c r="B4786" s="194" t="inlineStr">
        <is>
          <t>DKK</t>
        </is>
      </c>
      <c r="C4786" s="194" t="inlineStr">
        <is>
          <t>DANISH KRONE</t>
        </is>
      </c>
      <c r="D4786" s="195" t="n"/>
      <c r="E4786" s="195" t="n">
        <v>4005.32</v>
      </c>
      <c r="F4786" s="195" t="n">
        <v>4158.48</v>
      </c>
      <c r="G4786" s="195" t="n">
        <v>4081.9</v>
      </c>
    </row>
    <row r="4787">
      <c r="A4787" s="196" t="inlineStr">
        <is>
          <t>2026-01-18</t>
        </is>
      </c>
      <c r="B4787" s="196" t="inlineStr">
        <is>
          <t>EUR</t>
        </is>
      </c>
      <c r="C4787" s="196" t="inlineStr">
        <is>
          <t>EURO</t>
        </is>
      </c>
      <c r="D4787" s="184" t="n">
        <v>29703.56</v>
      </c>
      <c r="E4787" s="184" t="n">
        <v>30003.59</v>
      </c>
      <c r="F4787" s="184" t="n">
        <v>31269.59</v>
      </c>
      <c r="G4787" s="184" t="n">
        <v>30636.59</v>
      </c>
    </row>
    <row r="4788">
      <c r="A4788" s="194" t="inlineStr">
        <is>
          <t>2026-01-18</t>
        </is>
      </c>
      <c r="B4788" s="194" t="inlineStr">
        <is>
          <t>GBP</t>
        </is>
      </c>
      <c r="C4788" s="194" t="inlineStr">
        <is>
          <t>POUND STERLING</t>
        </is>
      </c>
      <c r="D4788" s="195" t="n">
        <v>34224.11</v>
      </c>
      <c r="E4788" s="195" t="n">
        <v>34569.81</v>
      </c>
      <c r="F4788" s="195" t="n">
        <v>35676.98</v>
      </c>
      <c r="G4788" s="195" t="n">
        <v>35123.4</v>
      </c>
    </row>
    <row r="4789">
      <c r="A4789" s="196" t="inlineStr">
        <is>
          <t>2026-01-18</t>
        </is>
      </c>
      <c r="B4789" s="196" t="inlineStr">
        <is>
          <t>HKD</t>
        </is>
      </c>
      <c r="C4789" s="196" t="inlineStr">
        <is>
          <t>HONGKONG DOLLAR</t>
        </is>
      </c>
      <c r="D4789" s="184" t="n">
        <v>3274.25</v>
      </c>
      <c r="E4789" s="184" t="n">
        <v>3307.32</v>
      </c>
      <c r="F4789" s="184" t="n">
        <v>3433.79</v>
      </c>
      <c r="G4789" s="184" t="n">
        <v>3370.56</v>
      </c>
    </row>
    <row r="4790">
      <c r="A4790" s="194" t="inlineStr">
        <is>
          <t>2026-01-18</t>
        </is>
      </c>
      <c r="B4790" s="194" t="inlineStr">
        <is>
          <t>INR</t>
        </is>
      </c>
      <c r="C4790" s="194" t="inlineStr">
        <is>
          <t>INDIAN RUPEE</t>
        </is>
      </c>
      <c r="D4790" s="195" t="n"/>
      <c r="E4790" s="195" t="n">
        <v>288.89</v>
      </c>
      <c r="F4790" s="195" t="n">
        <v>301.32</v>
      </c>
      <c r="G4790" s="195" t="n">
        <v>295.1</v>
      </c>
    </row>
    <row r="4791">
      <c r="A4791" s="196" t="inlineStr">
        <is>
          <t>2026-01-18</t>
        </is>
      </c>
      <c r="B4791" s="196" t="inlineStr">
        <is>
          <t>JPY</t>
        </is>
      </c>
      <c r="C4791" s="196" t="inlineStr">
        <is>
          <t>YEN</t>
        </is>
      </c>
      <c r="D4791" s="184" t="n">
        <v>159.78</v>
      </c>
      <c r="E4791" s="184" t="n">
        <v>161.39</v>
      </c>
      <c r="F4791" s="184" t="n">
        <v>169.93</v>
      </c>
      <c r="G4791" s="184" t="n">
        <v>165.66</v>
      </c>
    </row>
    <row r="4792">
      <c r="A4792" s="194" t="inlineStr">
        <is>
          <t>2026-01-18</t>
        </is>
      </c>
      <c r="B4792" s="194" t="inlineStr">
        <is>
          <t>KRW</t>
        </is>
      </c>
      <c r="C4792" s="194" t="inlineStr">
        <is>
          <t>KOREAN WON</t>
        </is>
      </c>
      <c r="D4792" s="195" t="n">
        <v>15.42</v>
      </c>
      <c r="E4792" s="195" t="n">
        <v>17.13</v>
      </c>
      <c r="F4792" s="195" t="n">
        <v>18.59</v>
      </c>
      <c r="G4792" s="195" t="n">
        <v>17.86</v>
      </c>
    </row>
    <row r="4793">
      <c r="A4793" s="196" t="inlineStr">
        <is>
          <t>2026-01-18</t>
        </is>
      </c>
      <c r="B4793" s="196" t="inlineStr">
        <is>
          <t>KWD</t>
        </is>
      </c>
      <c r="C4793" s="196" t="inlineStr">
        <is>
          <t>KUWAITI DINAR</t>
        </is>
      </c>
      <c r="D4793" s="184" t="n"/>
      <c r="E4793" s="184" t="n">
        <v>85413.35000000001</v>
      </c>
      <c r="F4793" s="184" t="n">
        <v>89553.36</v>
      </c>
      <c r="G4793" s="184" t="n">
        <v>87483.36</v>
      </c>
    </row>
    <row r="4794">
      <c r="A4794" s="194" t="inlineStr">
        <is>
          <t>2026-01-18</t>
        </is>
      </c>
      <c r="B4794" s="194" t="inlineStr">
        <is>
          <t>MYR</t>
        </is>
      </c>
      <c r="C4794" s="194" t="inlineStr">
        <is>
          <t>MALAYSIAN RINGGIT</t>
        </is>
      </c>
      <c r="D4794" s="195" t="n"/>
      <c r="E4794" s="195" t="n">
        <v>6407.82</v>
      </c>
      <c r="F4794" s="195" t="n">
        <v>6547.23</v>
      </c>
      <c r="G4794" s="195" t="n">
        <v>6477.52</v>
      </c>
    </row>
    <row r="4795">
      <c r="A4795" s="196" t="inlineStr">
        <is>
          <t>2026-01-18</t>
        </is>
      </c>
      <c r="B4795" s="196" t="inlineStr">
        <is>
          <t>NOK</t>
        </is>
      </c>
      <c r="C4795" s="196" t="inlineStr">
        <is>
          <t>NORWEGIAN KRONER</t>
        </is>
      </c>
      <c r="D4795" s="184" t="n"/>
      <c r="E4795" s="184" t="n">
        <v>2543.59</v>
      </c>
      <c r="F4795" s="184" t="n">
        <v>2651.45</v>
      </c>
      <c r="G4795" s="184" t="n">
        <v>2597.52</v>
      </c>
    </row>
    <row r="4796">
      <c r="A4796" s="194" t="inlineStr">
        <is>
          <t>2026-01-18</t>
        </is>
      </c>
      <c r="B4796" s="194" t="inlineStr">
        <is>
          <t>RUB</t>
        </is>
      </c>
      <c r="C4796" s="194" t="inlineStr">
        <is>
          <t>RUSSIAN RUBLE</t>
        </is>
      </c>
      <c r="D4796" s="195" t="n"/>
      <c r="E4796" s="195" t="n">
        <v>319.51</v>
      </c>
      <c r="F4796" s="195" t="n">
        <v>353.68</v>
      </c>
      <c r="G4796" s="195" t="n">
        <v>336.6</v>
      </c>
    </row>
    <row r="4797">
      <c r="A4797" s="196" t="inlineStr">
        <is>
          <t>2026-01-18</t>
        </is>
      </c>
      <c r="B4797" s="196" t="inlineStr">
        <is>
          <t>SAR</t>
        </is>
      </c>
      <c r="C4797" s="196" t="inlineStr">
        <is>
          <t>SAUDI RIAL</t>
        </is>
      </c>
      <c r="D4797" s="184" t="n"/>
      <c r="E4797" s="184" t="n">
        <v>6965.17</v>
      </c>
      <c r="F4797" s="184" t="n">
        <v>7264.94</v>
      </c>
      <c r="G4797" s="184" t="n">
        <v>7115.06</v>
      </c>
    </row>
    <row r="4798">
      <c r="A4798" s="194" t="inlineStr">
        <is>
          <t>2026-01-18</t>
        </is>
      </c>
      <c r="B4798" s="194" t="inlineStr">
        <is>
          <t>SEK</t>
        </is>
      </c>
      <c r="C4798" s="194" t="inlineStr">
        <is>
          <t>SWEDISH KRONA</t>
        </is>
      </c>
      <c r="D4798" s="195" t="n"/>
      <c r="E4798" s="195" t="n">
        <v>2789.49</v>
      </c>
      <c r="F4798" s="195" t="n">
        <v>2907.77</v>
      </c>
      <c r="G4798" s="195" t="n">
        <v>2848.63</v>
      </c>
    </row>
    <row r="4799">
      <c r="A4799" s="196" t="inlineStr">
        <is>
          <t>2026-01-18</t>
        </is>
      </c>
      <c r="B4799" s="196" t="inlineStr">
        <is>
          <t>SGD</t>
        </is>
      </c>
      <c r="C4799" s="196" t="inlineStr">
        <is>
          <t>SINGAPORE DOLLAR</t>
        </is>
      </c>
      <c r="D4799" s="184" t="n">
        <v>19857.35</v>
      </c>
      <c r="E4799" s="184" t="n">
        <v>20057.93</v>
      </c>
      <c r="F4799" s="184" t="n">
        <v>20741.77</v>
      </c>
      <c r="G4799" s="184" t="n">
        <v>20399.85</v>
      </c>
    </row>
    <row r="4800">
      <c r="A4800" s="194" t="inlineStr">
        <is>
          <t>2026-01-18</t>
        </is>
      </c>
      <c r="B4800" s="194" t="inlineStr">
        <is>
          <t>THB</t>
        </is>
      </c>
      <c r="C4800" s="194" t="inlineStr">
        <is>
          <t>THAILAND BAHT</t>
        </is>
      </c>
      <c r="D4800" s="195" t="n">
        <v>737.17</v>
      </c>
      <c r="E4800" s="195" t="n">
        <v>819.0700000000001</v>
      </c>
      <c r="F4800" s="195" t="n">
        <v>853.8</v>
      </c>
      <c r="G4800" s="195" t="n">
        <v>836.4400000000001</v>
      </c>
    </row>
    <row r="4801">
      <c r="A4801" s="196" t="inlineStr">
        <is>
          <t>2026-01-18</t>
        </is>
      </c>
      <c r="B4801" s="196" t="inlineStr">
        <is>
          <t>USD</t>
        </is>
      </c>
      <c r="C4801" s="196" t="inlineStr">
        <is>
          <t>US DOLLAR</t>
        </is>
      </c>
      <c r="D4801" s="184" t="n">
        <v>26057</v>
      </c>
      <c r="E4801" s="184" t="n">
        <v>26087</v>
      </c>
      <c r="F4801" s="184" t="n">
        <v>26387</v>
      </c>
      <c r="G4801" s="184" t="n">
        <v>26237</v>
      </c>
    </row>
    <row r="4802">
      <c r="A4802" s="194" t="inlineStr">
        <is>
          <t>2026-01-17</t>
        </is>
      </c>
      <c r="B4802" s="194" t="inlineStr">
        <is>
          <t>AUD</t>
        </is>
      </c>
      <c r="C4802" s="194" t="inlineStr">
        <is>
          <t>AUSTRALIAN DOLLAR</t>
        </is>
      </c>
      <c r="D4802" s="195" t="n">
        <v>17142.77</v>
      </c>
      <c r="E4802" s="195" t="n">
        <v>17315.93</v>
      </c>
      <c r="F4802" s="195" t="n">
        <v>17870.51</v>
      </c>
      <c r="G4802" s="195" t="n">
        <v>17593.22</v>
      </c>
    </row>
    <row r="4803">
      <c r="A4803" s="196" t="inlineStr">
        <is>
          <t>2026-01-17</t>
        </is>
      </c>
      <c r="B4803" s="196" t="inlineStr">
        <is>
          <t>CAD</t>
        </is>
      </c>
      <c r="C4803" s="196" t="inlineStr">
        <is>
          <t>CANADIAN DOLLAR</t>
        </is>
      </c>
      <c r="D4803" s="184" t="n">
        <v>18426.38</v>
      </c>
      <c r="E4803" s="184" t="n">
        <v>18612.5</v>
      </c>
      <c r="F4803" s="184" t="n">
        <v>19208.6</v>
      </c>
      <c r="G4803" s="184" t="n">
        <v>18910.55</v>
      </c>
    </row>
    <row r="4804">
      <c r="A4804" s="194" t="inlineStr">
        <is>
          <t>2026-01-17</t>
        </is>
      </c>
      <c r="B4804" s="194" t="inlineStr">
        <is>
          <t>CHF</t>
        </is>
      </c>
      <c r="C4804" s="194" t="inlineStr">
        <is>
          <t>SWISS FRANC</t>
        </is>
      </c>
      <c r="D4804" s="195" t="n">
        <v>31856.97</v>
      </c>
      <c r="E4804" s="195" t="n">
        <v>32178.76</v>
      </c>
      <c r="F4804" s="195" t="n">
        <v>33209.35</v>
      </c>
      <c r="G4804" s="195" t="n">
        <v>32694.06</v>
      </c>
    </row>
    <row r="4805">
      <c r="A4805" s="196" t="inlineStr">
        <is>
          <t>2026-01-17</t>
        </is>
      </c>
      <c r="B4805" s="196" t="inlineStr">
        <is>
          <t>CNY</t>
        </is>
      </c>
      <c r="C4805" s="196" t="inlineStr">
        <is>
          <t>YUAN RENMINBI</t>
        </is>
      </c>
      <c r="D4805" s="184" t="n">
        <v>3675.49</v>
      </c>
      <c r="E4805" s="184" t="n">
        <v>3712.61</v>
      </c>
      <c r="F4805" s="184" t="n">
        <v>3831.52</v>
      </c>
      <c r="G4805" s="184" t="n">
        <v>3772.06</v>
      </c>
    </row>
    <row r="4806">
      <c r="A4806" s="194" t="inlineStr">
        <is>
          <t>2026-01-17</t>
        </is>
      </c>
      <c r="B4806" s="194" t="inlineStr">
        <is>
          <t>DKK</t>
        </is>
      </c>
      <c r="C4806" s="194" t="inlineStr">
        <is>
          <t>DANISH KRONE</t>
        </is>
      </c>
      <c r="D4806" s="195" t="n"/>
      <c r="E4806" s="195" t="n">
        <v>4005.32</v>
      </c>
      <c r="F4806" s="195" t="n">
        <v>4158.48</v>
      </c>
      <c r="G4806" s="195" t="n">
        <v>4081.9</v>
      </c>
    </row>
    <row r="4807">
      <c r="A4807" s="196" t="inlineStr">
        <is>
          <t>2026-01-17</t>
        </is>
      </c>
      <c r="B4807" s="196" t="inlineStr">
        <is>
          <t>EUR</t>
        </is>
      </c>
      <c r="C4807" s="196" t="inlineStr">
        <is>
          <t>EURO</t>
        </is>
      </c>
      <c r="D4807" s="184" t="n">
        <v>29703.56</v>
      </c>
      <c r="E4807" s="184" t="n">
        <v>30003.59</v>
      </c>
      <c r="F4807" s="184" t="n">
        <v>31269.59</v>
      </c>
      <c r="G4807" s="184" t="n">
        <v>30636.59</v>
      </c>
    </row>
    <row r="4808">
      <c r="A4808" s="194" t="inlineStr">
        <is>
          <t>2026-01-17</t>
        </is>
      </c>
      <c r="B4808" s="194" t="inlineStr">
        <is>
          <t>GBP</t>
        </is>
      </c>
      <c r="C4808" s="194" t="inlineStr">
        <is>
          <t>POUND STERLING</t>
        </is>
      </c>
      <c r="D4808" s="195" t="n">
        <v>34224.11</v>
      </c>
      <c r="E4808" s="195" t="n">
        <v>34569.81</v>
      </c>
      <c r="F4808" s="195" t="n">
        <v>35676.98</v>
      </c>
      <c r="G4808" s="195" t="n">
        <v>35123.4</v>
      </c>
    </row>
    <row r="4809">
      <c r="A4809" s="196" t="inlineStr">
        <is>
          <t>2026-01-17</t>
        </is>
      </c>
      <c r="B4809" s="196" t="inlineStr">
        <is>
          <t>HKD</t>
        </is>
      </c>
      <c r="C4809" s="196" t="inlineStr">
        <is>
          <t>HONGKONG DOLLAR</t>
        </is>
      </c>
      <c r="D4809" s="184" t="n">
        <v>3274.25</v>
      </c>
      <c r="E4809" s="184" t="n">
        <v>3307.32</v>
      </c>
      <c r="F4809" s="184" t="n">
        <v>3433.79</v>
      </c>
      <c r="G4809" s="184" t="n">
        <v>3370.56</v>
      </c>
    </row>
    <row r="4810">
      <c r="A4810" s="194" t="inlineStr">
        <is>
          <t>2026-01-17</t>
        </is>
      </c>
      <c r="B4810" s="194" t="inlineStr">
        <is>
          <t>INR</t>
        </is>
      </c>
      <c r="C4810" s="194" t="inlineStr">
        <is>
          <t>INDIAN RUPEE</t>
        </is>
      </c>
      <c r="D4810" s="195" t="n"/>
      <c r="E4810" s="195" t="n">
        <v>288.89</v>
      </c>
      <c r="F4810" s="195" t="n">
        <v>301.32</v>
      </c>
      <c r="G4810" s="195" t="n">
        <v>295.1</v>
      </c>
    </row>
    <row r="4811">
      <c r="A4811" s="196" t="inlineStr">
        <is>
          <t>2026-01-17</t>
        </is>
      </c>
      <c r="B4811" s="196" t="inlineStr">
        <is>
          <t>JPY</t>
        </is>
      </c>
      <c r="C4811" s="196" t="inlineStr">
        <is>
          <t>YEN</t>
        </is>
      </c>
      <c r="D4811" s="184" t="n">
        <v>159.78</v>
      </c>
      <c r="E4811" s="184" t="n">
        <v>161.39</v>
      </c>
      <c r="F4811" s="184" t="n">
        <v>169.93</v>
      </c>
      <c r="G4811" s="184" t="n">
        <v>165.66</v>
      </c>
    </row>
    <row r="4812">
      <c r="A4812" s="194" t="inlineStr">
        <is>
          <t>2026-01-17</t>
        </is>
      </c>
      <c r="B4812" s="194" t="inlineStr">
        <is>
          <t>KRW</t>
        </is>
      </c>
      <c r="C4812" s="194" t="inlineStr">
        <is>
          <t>KOREAN WON</t>
        </is>
      </c>
      <c r="D4812" s="195" t="n">
        <v>15.42</v>
      </c>
      <c r="E4812" s="195" t="n">
        <v>17.13</v>
      </c>
      <c r="F4812" s="195" t="n">
        <v>18.59</v>
      </c>
      <c r="G4812" s="195" t="n">
        <v>17.86</v>
      </c>
    </row>
    <row r="4813">
      <c r="A4813" s="196" t="inlineStr">
        <is>
          <t>2026-01-17</t>
        </is>
      </c>
      <c r="B4813" s="196" t="inlineStr">
        <is>
          <t>KWD</t>
        </is>
      </c>
      <c r="C4813" s="196" t="inlineStr">
        <is>
          <t>KUWAITI DINAR</t>
        </is>
      </c>
      <c r="D4813" s="184" t="n"/>
      <c r="E4813" s="184" t="n">
        <v>85413.35000000001</v>
      </c>
      <c r="F4813" s="184" t="n">
        <v>89553.36</v>
      </c>
      <c r="G4813" s="184" t="n">
        <v>87483.36</v>
      </c>
    </row>
    <row r="4814">
      <c r="A4814" s="194" t="inlineStr">
        <is>
          <t>2026-01-17</t>
        </is>
      </c>
      <c r="B4814" s="194" t="inlineStr">
        <is>
          <t>MYR</t>
        </is>
      </c>
      <c r="C4814" s="194" t="inlineStr">
        <is>
          <t>MALAYSIAN RINGGIT</t>
        </is>
      </c>
      <c r="D4814" s="195" t="n"/>
      <c r="E4814" s="195" t="n">
        <v>6407.82</v>
      </c>
      <c r="F4814" s="195" t="n">
        <v>6547.23</v>
      </c>
      <c r="G4814" s="195" t="n">
        <v>6477.52</v>
      </c>
    </row>
    <row r="4815">
      <c r="A4815" s="196" t="inlineStr">
        <is>
          <t>2026-01-17</t>
        </is>
      </c>
      <c r="B4815" s="196" t="inlineStr">
        <is>
          <t>NOK</t>
        </is>
      </c>
      <c r="C4815" s="196" t="inlineStr">
        <is>
          <t>NORWEGIAN KRONER</t>
        </is>
      </c>
      <c r="D4815" s="184" t="n"/>
      <c r="E4815" s="184" t="n">
        <v>2543.59</v>
      </c>
      <c r="F4815" s="184" t="n">
        <v>2651.45</v>
      </c>
      <c r="G4815" s="184" t="n">
        <v>2597.52</v>
      </c>
    </row>
    <row r="4816">
      <c r="A4816" s="194" t="inlineStr">
        <is>
          <t>2026-01-17</t>
        </is>
      </c>
      <c r="B4816" s="194" t="inlineStr">
        <is>
          <t>RUB</t>
        </is>
      </c>
      <c r="C4816" s="194" t="inlineStr">
        <is>
          <t>RUSSIAN RUBLE</t>
        </is>
      </c>
      <c r="D4816" s="195" t="n"/>
      <c r="E4816" s="195" t="n">
        <v>319.51</v>
      </c>
      <c r="F4816" s="195" t="n">
        <v>353.68</v>
      </c>
      <c r="G4816" s="195" t="n">
        <v>336.6</v>
      </c>
    </row>
    <row r="4817">
      <c r="A4817" s="196" t="inlineStr">
        <is>
          <t>2026-01-17</t>
        </is>
      </c>
      <c r="B4817" s="196" t="inlineStr">
        <is>
          <t>SAR</t>
        </is>
      </c>
      <c r="C4817" s="196" t="inlineStr">
        <is>
          <t>SAUDI RIAL</t>
        </is>
      </c>
      <c r="D4817" s="184" t="n"/>
      <c r="E4817" s="184" t="n">
        <v>6965.17</v>
      </c>
      <c r="F4817" s="184" t="n">
        <v>7264.94</v>
      </c>
      <c r="G4817" s="184" t="n">
        <v>7115.06</v>
      </c>
    </row>
    <row r="4818">
      <c r="A4818" s="194" t="inlineStr">
        <is>
          <t>2026-01-17</t>
        </is>
      </c>
      <c r="B4818" s="194" t="inlineStr">
        <is>
          <t>SEK</t>
        </is>
      </c>
      <c r="C4818" s="194" t="inlineStr">
        <is>
          <t>SWEDISH KRONA</t>
        </is>
      </c>
      <c r="D4818" s="195" t="n"/>
      <c r="E4818" s="195" t="n">
        <v>2789.49</v>
      </c>
      <c r="F4818" s="195" t="n">
        <v>2907.77</v>
      </c>
      <c r="G4818" s="195" t="n">
        <v>2848.63</v>
      </c>
    </row>
    <row r="4819">
      <c r="A4819" s="196" t="inlineStr">
        <is>
          <t>2026-01-17</t>
        </is>
      </c>
      <c r="B4819" s="196" t="inlineStr">
        <is>
          <t>SGD</t>
        </is>
      </c>
      <c r="C4819" s="196" t="inlineStr">
        <is>
          <t>SINGAPORE DOLLAR</t>
        </is>
      </c>
      <c r="D4819" s="184" t="n">
        <v>19857.35</v>
      </c>
      <c r="E4819" s="184" t="n">
        <v>20057.93</v>
      </c>
      <c r="F4819" s="184" t="n">
        <v>20741.77</v>
      </c>
      <c r="G4819" s="184" t="n">
        <v>20399.85</v>
      </c>
    </row>
    <row r="4820">
      <c r="A4820" s="194" t="inlineStr">
        <is>
          <t>2026-01-17</t>
        </is>
      </c>
      <c r="B4820" s="194" t="inlineStr">
        <is>
          <t>THB</t>
        </is>
      </c>
      <c r="C4820" s="194" t="inlineStr">
        <is>
          <t>THAILAND BAHT</t>
        </is>
      </c>
      <c r="D4820" s="195" t="n">
        <v>737.17</v>
      </c>
      <c r="E4820" s="195" t="n">
        <v>819.0700000000001</v>
      </c>
      <c r="F4820" s="195" t="n">
        <v>853.8</v>
      </c>
      <c r="G4820" s="195" t="n">
        <v>836.4400000000001</v>
      </c>
    </row>
    <row r="4821">
      <c r="A4821" s="196" t="inlineStr">
        <is>
          <t>2026-01-17</t>
        </is>
      </c>
      <c r="B4821" s="196" t="inlineStr">
        <is>
          <t>USD</t>
        </is>
      </c>
      <c r="C4821" s="196" t="inlineStr">
        <is>
          <t>US DOLLAR</t>
        </is>
      </c>
      <c r="D4821" s="184" t="n">
        <v>26057</v>
      </c>
      <c r="E4821" s="184" t="n">
        <v>26087</v>
      </c>
      <c r="F4821" s="184" t="n">
        <v>26387</v>
      </c>
      <c r="G4821" s="184" t="n">
        <v>26237</v>
      </c>
    </row>
    <row r="4822">
      <c r="A4822" s="194" t="inlineStr">
        <is>
          <t>2026-01-16</t>
        </is>
      </c>
      <c r="B4822" s="194" t="inlineStr">
        <is>
          <t>AUD</t>
        </is>
      </c>
      <c r="C4822" s="194" t="inlineStr">
        <is>
          <t>AUSTRALIAN DOLLAR</t>
        </is>
      </c>
      <c r="D4822" s="195" t="n">
        <v>17142.77</v>
      </c>
      <c r="E4822" s="195" t="n">
        <v>17315.93</v>
      </c>
      <c r="F4822" s="195" t="n">
        <v>17870.51</v>
      </c>
      <c r="G4822" s="195" t="n">
        <v>17593.22</v>
      </c>
    </row>
    <row r="4823">
      <c r="A4823" s="196" t="inlineStr">
        <is>
          <t>2026-01-16</t>
        </is>
      </c>
      <c r="B4823" s="196" t="inlineStr">
        <is>
          <t>CAD</t>
        </is>
      </c>
      <c r="C4823" s="196" t="inlineStr">
        <is>
          <t>CANADIAN DOLLAR</t>
        </is>
      </c>
      <c r="D4823" s="184" t="n">
        <v>18426.38</v>
      </c>
      <c r="E4823" s="184" t="n">
        <v>18612.5</v>
      </c>
      <c r="F4823" s="184" t="n">
        <v>19208.6</v>
      </c>
      <c r="G4823" s="184" t="n">
        <v>18910.55</v>
      </c>
    </row>
    <row r="4824">
      <c r="A4824" s="194" t="inlineStr">
        <is>
          <t>2026-01-16</t>
        </is>
      </c>
      <c r="B4824" s="194" t="inlineStr">
        <is>
          <t>CHF</t>
        </is>
      </c>
      <c r="C4824" s="194" t="inlineStr">
        <is>
          <t>SWISS FRANC</t>
        </is>
      </c>
      <c r="D4824" s="195" t="n">
        <v>31856.97</v>
      </c>
      <c r="E4824" s="195" t="n">
        <v>32178.76</v>
      </c>
      <c r="F4824" s="195" t="n">
        <v>33209.35</v>
      </c>
      <c r="G4824" s="195" t="n">
        <v>32694.06</v>
      </c>
    </row>
    <row r="4825">
      <c r="A4825" s="196" t="inlineStr">
        <is>
          <t>2026-01-16</t>
        </is>
      </c>
      <c r="B4825" s="196" t="inlineStr">
        <is>
          <t>CNY</t>
        </is>
      </c>
      <c r="C4825" s="196" t="inlineStr">
        <is>
          <t>YUAN RENMINBI</t>
        </is>
      </c>
      <c r="D4825" s="184" t="n">
        <v>3675.49</v>
      </c>
      <c r="E4825" s="184" t="n">
        <v>3712.61</v>
      </c>
      <c r="F4825" s="184" t="n">
        <v>3831.52</v>
      </c>
      <c r="G4825" s="184" t="n">
        <v>3772.06</v>
      </c>
    </row>
    <row r="4826">
      <c r="A4826" s="194" t="inlineStr">
        <is>
          <t>2026-01-16</t>
        </is>
      </c>
      <c r="B4826" s="194" t="inlineStr">
        <is>
          <t>DKK</t>
        </is>
      </c>
      <c r="C4826" s="194" t="inlineStr">
        <is>
          <t>DANISH KRONE</t>
        </is>
      </c>
      <c r="D4826" s="195" t="n"/>
      <c r="E4826" s="195" t="n">
        <v>4005.32</v>
      </c>
      <c r="F4826" s="195" t="n">
        <v>4158.48</v>
      </c>
      <c r="G4826" s="195" t="n">
        <v>4081.9</v>
      </c>
    </row>
    <row r="4827">
      <c r="A4827" s="196" t="inlineStr">
        <is>
          <t>2026-01-16</t>
        </is>
      </c>
      <c r="B4827" s="196" t="inlineStr">
        <is>
          <t>EUR</t>
        </is>
      </c>
      <c r="C4827" s="196" t="inlineStr">
        <is>
          <t>EURO</t>
        </is>
      </c>
      <c r="D4827" s="184" t="n">
        <v>29703.56</v>
      </c>
      <c r="E4827" s="184" t="n">
        <v>30003.59</v>
      </c>
      <c r="F4827" s="184" t="n">
        <v>31269.59</v>
      </c>
      <c r="G4827" s="184" t="n">
        <v>30636.59</v>
      </c>
    </row>
    <row r="4828">
      <c r="A4828" s="194" t="inlineStr">
        <is>
          <t>2026-01-16</t>
        </is>
      </c>
      <c r="B4828" s="194" t="inlineStr">
        <is>
          <t>GBP</t>
        </is>
      </c>
      <c r="C4828" s="194" t="inlineStr">
        <is>
          <t>POUND STERLING</t>
        </is>
      </c>
      <c r="D4828" s="195" t="n">
        <v>34224.11</v>
      </c>
      <c r="E4828" s="195" t="n">
        <v>34569.81</v>
      </c>
      <c r="F4828" s="195" t="n">
        <v>35676.98</v>
      </c>
      <c r="G4828" s="195" t="n">
        <v>35123.4</v>
      </c>
    </row>
    <row r="4829">
      <c r="A4829" s="196" t="inlineStr">
        <is>
          <t>2026-01-16</t>
        </is>
      </c>
      <c r="B4829" s="196" t="inlineStr">
        <is>
          <t>HKD</t>
        </is>
      </c>
      <c r="C4829" s="196" t="inlineStr">
        <is>
          <t>HONGKONG DOLLAR</t>
        </is>
      </c>
      <c r="D4829" s="184" t="n">
        <v>3274.25</v>
      </c>
      <c r="E4829" s="184" t="n">
        <v>3307.32</v>
      </c>
      <c r="F4829" s="184" t="n">
        <v>3433.79</v>
      </c>
      <c r="G4829" s="184" t="n">
        <v>3370.56</v>
      </c>
    </row>
    <row r="4830">
      <c r="A4830" s="194" t="inlineStr">
        <is>
          <t>2026-01-16</t>
        </is>
      </c>
      <c r="B4830" s="194" t="inlineStr">
        <is>
          <t>INR</t>
        </is>
      </c>
      <c r="C4830" s="194" t="inlineStr">
        <is>
          <t>INDIAN RUPEE</t>
        </is>
      </c>
      <c r="D4830" s="195" t="n"/>
      <c r="E4830" s="195" t="n">
        <v>288.89</v>
      </c>
      <c r="F4830" s="195" t="n">
        <v>301.32</v>
      </c>
      <c r="G4830" s="195" t="n">
        <v>295.1</v>
      </c>
    </row>
    <row r="4831">
      <c r="A4831" s="196" t="inlineStr">
        <is>
          <t>2026-01-16</t>
        </is>
      </c>
      <c r="B4831" s="196" t="inlineStr">
        <is>
          <t>JPY</t>
        </is>
      </c>
      <c r="C4831" s="196" t="inlineStr">
        <is>
          <t>YEN</t>
        </is>
      </c>
      <c r="D4831" s="184" t="n">
        <v>159.78</v>
      </c>
      <c r="E4831" s="184" t="n">
        <v>161.39</v>
      </c>
      <c r="F4831" s="184" t="n">
        <v>169.93</v>
      </c>
      <c r="G4831" s="184" t="n">
        <v>165.66</v>
      </c>
    </row>
    <row r="4832">
      <c r="A4832" s="194" t="inlineStr">
        <is>
          <t>2026-01-16</t>
        </is>
      </c>
      <c r="B4832" s="194" t="inlineStr">
        <is>
          <t>KRW</t>
        </is>
      </c>
      <c r="C4832" s="194" t="inlineStr">
        <is>
          <t>KOREAN WON</t>
        </is>
      </c>
      <c r="D4832" s="195" t="n">
        <v>15.42</v>
      </c>
      <c r="E4832" s="195" t="n">
        <v>17.13</v>
      </c>
      <c r="F4832" s="195" t="n">
        <v>18.59</v>
      </c>
      <c r="G4832" s="195" t="n">
        <v>17.86</v>
      </c>
    </row>
    <row r="4833">
      <c r="A4833" s="196" t="inlineStr">
        <is>
          <t>2026-01-16</t>
        </is>
      </c>
      <c r="B4833" s="196" t="inlineStr">
        <is>
          <t>KWD</t>
        </is>
      </c>
      <c r="C4833" s="196" t="inlineStr">
        <is>
          <t>KUWAITI DINAR</t>
        </is>
      </c>
      <c r="D4833" s="184" t="n"/>
      <c r="E4833" s="184" t="n">
        <v>85413.35000000001</v>
      </c>
      <c r="F4833" s="184" t="n">
        <v>89553.36</v>
      </c>
      <c r="G4833" s="184" t="n">
        <v>87483.36</v>
      </c>
    </row>
    <row r="4834">
      <c r="A4834" s="194" t="inlineStr">
        <is>
          <t>2026-01-16</t>
        </is>
      </c>
      <c r="B4834" s="194" t="inlineStr">
        <is>
          <t>MYR</t>
        </is>
      </c>
      <c r="C4834" s="194" t="inlineStr">
        <is>
          <t>MALAYSIAN RINGGIT</t>
        </is>
      </c>
      <c r="D4834" s="195" t="n"/>
      <c r="E4834" s="195" t="n">
        <v>6407.82</v>
      </c>
      <c r="F4834" s="195" t="n">
        <v>6547.23</v>
      </c>
      <c r="G4834" s="195" t="n">
        <v>6477.52</v>
      </c>
    </row>
    <row r="4835">
      <c r="A4835" s="196" t="inlineStr">
        <is>
          <t>2026-01-16</t>
        </is>
      </c>
      <c r="B4835" s="196" t="inlineStr">
        <is>
          <t>NOK</t>
        </is>
      </c>
      <c r="C4835" s="196" t="inlineStr">
        <is>
          <t>NORWEGIAN KRONER</t>
        </is>
      </c>
      <c r="D4835" s="184" t="n"/>
      <c r="E4835" s="184" t="n">
        <v>2543.59</v>
      </c>
      <c r="F4835" s="184" t="n">
        <v>2651.45</v>
      </c>
      <c r="G4835" s="184" t="n">
        <v>2597.52</v>
      </c>
    </row>
    <row r="4836">
      <c r="A4836" s="194" t="inlineStr">
        <is>
          <t>2026-01-16</t>
        </is>
      </c>
      <c r="B4836" s="194" t="inlineStr">
        <is>
          <t>RUB</t>
        </is>
      </c>
      <c r="C4836" s="194" t="inlineStr">
        <is>
          <t>RUSSIAN RUBLE</t>
        </is>
      </c>
      <c r="D4836" s="195" t="n"/>
      <c r="E4836" s="195" t="n">
        <v>319.51</v>
      </c>
      <c r="F4836" s="195" t="n">
        <v>353.68</v>
      </c>
      <c r="G4836" s="195" t="n">
        <v>336.6</v>
      </c>
    </row>
    <row r="4837">
      <c r="A4837" s="196" t="inlineStr">
        <is>
          <t>2026-01-16</t>
        </is>
      </c>
      <c r="B4837" s="196" t="inlineStr">
        <is>
          <t>SAR</t>
        </is>
      </c>
      <c r="C4837" s="196" t="inlineStr">
        <is>
          <t>SAUDI RIAL</t>
        </is>
      </c>
      <c r="D4837" s="184" t="n"/>
      <c r="E4837" s="184" t="n">
        <v>6965.17</v>
      </c>
      <c r="F4837" s="184" t="n">
        <v>7264.94</v>
      </c>
      <c r="G4837" s="184" t="n">
        <v>7115.06</v>
      </c>
    </row>
    <row r="4838">
      <c r="A4838" s="194" t="inlineStr">
        <is>
          <t>2026-01-16</t>
        </is>
      </c>
      <c r="B4838" s="194" t="inlineStr">
        <is>
          <t>SEK</t>
        </is>
      </c>
      <c r="C4838" s="194" t="inlineStr">
        <is>
          <t>SWEDISH KRONA</t>
        </is>
      </c>
      <c r="D4838" s="195" t="n"/>
      <c r="E4838" s="195" t="n">
        <v>2789.49</v>
      </c>
      <c r="F4838" s="195" t="n">
        <v>2907.77</v>
      </c>
      <c r="G4838" s="195" t="n">
        <v>2848.63</v>
      </c>
    </row>
    <row r="4839">
      <c r="A4839" s="196" t="inlineStr">
        <is>
          <t>2026-01-16</t>
        </is>
      </c>
      <c r="B4839" s="196" t="inlineStr">
        <is>
          <t>SGD</t>
        </is>
      </c>
      <c r="C4839" s="196" t="inlineStr">
        <is>
          <t>SINGAPORE DOLLAR</t>
        </is>
      </c>
      <c r="D4839" s="184" t="n">
        <v>19857.35</v>
      </c>
      <c r="E4839" s="184" t="n">
        <v>20057.93</v>
      </c>
      <c r="F4839" s="184" t="n">
        <v>20741.77</v>
      </c>
      <c r="G4839" s="184" t="n">
        <v>20399.85</v>
      </c>
    </row>
    <row r="4840">
      <c r="A4840" s="194" t="inlineStr">
        <is>
          <t>2026-01-16</t>
        </is>
      </c>
      <c r="B4840" s="194" t="inlineStr">
        <is>
          <t>THB</t>
        </is>
      </c>
      <c r="C4840" s="194" t="inlineStr">
        <is>
          <t>THAILAND BAHT</t>
        </is>
      </c>
      <c r="D4840" s="195" t="n">
        <v>737.17</v>
      </c>
      <c r="E4840" s="195" t="n">
        <v>819.0700000000001</v>
      </c>
      <c r="F4840" s="195" t="n">
        <v>853.8</v>
      </c>
      <c r="G4840" s="195" t="n">
        <v>836.4400000000001</v>
      </c>
    </row>
    <row r="4841">
      <c r="A4841" s="196" t="inlineStr">
        <is>
          <t>2026-01-16</t>
        </is>
      </c>
      <c r="B4841" s="196" t="inlineStr">
        <is>
          <t>USD</t>
        </is>
      </c>
      <c r="C4841" s="196" t="inlineStr">
        <is>
          <t>US DOLLAR</t>
        </is>
      </c>
      <c r="D4841" s="184" t="n">
        <v>26057</v>
      </c>
      <c r="E4841" s="184" t="n">
        <v>26087</v>
      </c>
      <c r="F4841" s="184" t="n">
        <v>26387</v>
      </c>
      <c r="G4841" s="184" t="n">
        <v>26237</v>
      </c>
    </row>
    <row r="4842">
      <c r="A4842" s="194" t="inlineStr">
        <is>
          <t>2026-01-15</t>
        </is>
      </c>
      <c r="B4842" s="194" t="inlineStr">
        <is>
          <t>AUD</t>
        </is>
      </c>
      <c r="C4842" s="194" t="inlineStr">
        <is>
          <t>AUSTRALIAN DOLLAR</t>
        </is>
      </c>
      <c r="D4842" s="195" t="n">
        <v>17113.45</v>
      </c>
      <c r="E4842" s="195" t="n">
        <v>17286.31</v>
      </c>
      <c r="F4842" s="195" t="n">
        <v>17839.93</v>
      </c>
      <c r="G4842" s="195" t="n">
        <v>17563.12</v>
      </c>
    </row>
    <row r="4843">
      <c r="A4843" s="196" t="inlineStr">
        <is>
          <t>2026-01-15</t>
        </is>
      </c>
      <c r="B4843" s="196" t="inlineStr">
        <is>
          <t>CAD</t>
        </is>
      </c>
      <c r="C4843" s="196" t="inlineStr">
        <is>
          <t>CANADIAN DOLLAR</t>
        </is>
      </c>
      <c r="D4843" s="184" t="n">
        <v>18444.01</v>
      </c>
      <c r="E4843" s="184" t="n">
        <v>18630.32</v>
      </c>
      <c r="F4843" s="184" t="n">
        <v>19226.98</v>
      </c>
      <c r="G4843" s="184" t="n">
        <v>18928.65</v>
      </c>
    </row>
    <row r="4844">
      <c r="A4844" s="194" t="inlineStr">
        <is>
          <t>2026-01-15</t>
        </is>
      </c>
      <c r="B4844" s="194" t="inlineStr">
        <is>
          <t>CHF</t>
        </is>
      </c>
      <c r="C4844" s="194" t="inlineStr">
        <is>
          <t>SWISS FRANC</t>
        </is>
      </c>
      <c r="D4844" s="195" t="n">
        <v>32032.52</v>
      </c>
      <c r="E4844" s="195" t="n">
        <v>32356.08</v>
      </c>
      <c r="F4844" s="195" t="n">
        <v>33392.33</v>
      </c>
      <c r="G4844" s="195" t="n">
        <v>32874.2</v>
      </c>
    </row>
    <row r="4845">
      <c r="A4845" s="196" t="inlineStr">
        <is>
          <t>2026-01-15</t>
        </is>
      </c>
      <c r="B4845" s="196" t="inlineStr">
        <is>
          <t>CNY</t>
        </is>
      </c>
      <c r="C4845" s="196" t="inlineStr">
        <is>
          <t>YUAN RENMINBI</t>
        </is>
      </c>
      <c r="D4845" s="184" t="n">
        <v>3673.2</v>
      </c>
      <c r="E4845" s="184" t="n">
        <v>3710.3</v>
      </c>
      <c r="F4845" s="184" t="n">
        <v>3829.13</v>
      </c>
      <c r="G4845" s="184" t="n">
        <v>3769.72</v>
      </c>
    </row>
    <row r="4846">
      <c r="A4846" s="194" t="inlineStr">
        <is>
          <t>2026-01-15</t>
        </is>
      </c>
      <c r="B4846" s="194" t="inlineStr">
        <is>
          <t>DKK</t>
        </is>
      </c>
      <c r="C4846" s="194" t="inlineStr">
        <is>
          <t>DANISH KRONE</t>
        </is>
      </c>
      <c r="D4846" s="195" t="n"/>
      <c r="E4846" s="195" t="n">
        <v>4017.96</v>
      </c>
      <c r="F4846" s="195" t="n">
        <v>4171.6</v>
      </c>
      <c r="G4846" s="195" t="n">
        <v>4094.78</v>
      </c>
    </row>
    <row r="4847">
      <c r="A4847" s="196" t="inlineStr">
        <is>
          <t>2026-01-15</t>
        </is>
      </c>
      <c r="B4847" s="196" t="inlineStr">
        <is>
          <t>EUR</t>
        </is>
      </c>
      <c r="C4847" s="196" t="inlineStr">
        <is>
          <t>EURO</t>
        </is>
      </c>
      <c r="D4847" s="184" t="n">
        <v>29799.38</v>
      </c>
      <c r="E4847" s="184" t="n">
        <v>30100.38</v>
      </c>
      <c r="F4847" s="184" t="n">
        <v>31370.44</v>
      </c>
      <c r="G4847" s="184" t="n">
        <v>30735.41</v>
      </c>
    </row>
    <row r="4848">
      <c r="A4848" s="194" t="inlineStr">
        <is>
          <t>2026-01-15</t>
        </is>
      </c>
      <c r="B4848" s="194" t="inlineStr">
        <is>
          <t>GBP</t>
        </is>
      </c>
      <c r="C4848" s="194" t="inlineStr">
        <is>
          <t>POUND STERLING</t>
        </is>
      </c>
      <c r="D4848" s="195" t="n">
        <v>34401.03</v>
      </c>
      <c r="E4848" s="195" t="n">
        <v>34748.52</v>
      </c>
      <c r="F4848" s="195" t="n">
        <v>35861.39</v>
      </c>
      <c r="G4848" s="195" t="n">
        <v>35304.96</v>
      </c>
    </row>
    <row r="4849">
      <c r="A4849" s="196" t="inlineStr">
        <is>
          <t>2026-01-15</t>
        </is>
      </c>
      <c r="B4849" s="196" t="inlineStr">
        <is>
          <t>HKD</t>
        </is>
      </c>
      <c r="C4849" s="196" t="inlineStr">
        <is>
          <t>HONGKONG DOLLAR</t>
        </is>
      </c>
      <c r="D4849" s="184" t="n">
        <v>3276.34</v>
      </c>
      <c r="E4849" s="184" t="n">
        <v>3309.43</v>
      </c>
      <c r="F4849" s="184" t="n">
        <v>3435.98</v>
      </c>
      <c r="G4849" s="184" t="n">
        <v>3372.7</v>
      </c>
    </row>
    <row r="4850">
      <c r="A4850" s="194" t="inlineStr">
        <is>
          <t>2026-01-15</t>
        </is>
      </c>
      <c r="B4850" s="194" t="inlineStr">
        <is>
          <t>INR</t>
        </is>
      </c>
      <c r="C4850" s="194" t="inlineStr">
        <is>
          <t>INDIAN RUPEE</t>
        </is>
      </c>
      <c r="D4850" s="195" t="n"/>
      <c r="E4850" s="195" t="n">
        <v>289.38</v>
      </c>
      <c r="F4850" s="195" t="n">
        <v>301.84</v>
      </c>
      <c r="G4850" s="195" t="n">
        <v>295.61</v>
      </c>
    </row>
    <row r="4851">
      <c r="A4851" s="196" t="inlineStr">
        <is>
          <t>2026-01-15</t>
        </is>
      </c>
      <c r="B4851" s="196" t="inlineStr">
        <is>
          <t>JPY</t>
        </is>
      </c>
      <c r="C4851" s="196" t="inlineStr">
        <is>
          <t>YEN</t>
        </is>
      </c>
      <c r="D4851" s="184" t="n">
        <v>160.16</v>
      </c>
      <c r="E4851" s="184" t="n">
        <v>161.78</v>
      </c>
      <c r="F4851" s="184" t="n">
        <v>170.34</v>
      </c>
      <c r="G4851" s="184" t="n">
        <v>166.06</v>
      </c>
    </row>
    <row r="4852">
      <c r="A4852" s="194" t="inlineStr">
        <is>
          <t>2026-01-15</t>
        </is>
      </c>
      <c r="B4852" s="194" t="inlineStr">
        <is>
          <t>KRW</t>
        </is>
      </c>
      <c r="C4852" s="194" t="inlineStr">
        <is>
          <t>KOREAN WON</t>
        </is>
      </c>
      <c r="D4852" s="195" t="n">
        <v>15.5</v>
      </c>
      <c r="E4852" s="195" t="n">
        <v>17.22</v>
      </c>
      <c r="F4852" s="195" t="n">
        <v>18.68</v>
      </c>
      <c r="G4852" s="195" t="n">
        <v>17.95</v>
      </c>
    </row>
    <row r="4853">
      <c r="A4853" s="196" t="inlineStr">
        <is>
          <t>2026-01-15</t>
        </is>
      </c>
      <c r="B4853" s="196" t="inlineStr">
        <is>
          <t>KWD</t>
        </is>
      </c>
      <c r="C4853" s="196" t="inlineStr">
        <is>
          <t>KUWAITI DINAR</t>
        </is>
      </c>
      <c r="D4853" s="184" t="n"/>
      <c r="E4853" s="184" t="n">
        <v>85445.89</v>
      </c>
      <c r="F4853" s="184" t="n">
        <v>89587.42</v>
      </c>
      <c r="G4853" s="184" t="n">
        <v>87516.66</v>
      </c>
    </row>
    <row r="4854">
      <c r="A4854" s="194" t="inlineStr">
        <is>
          <t>2026-01-15</t>
        </is>
      </c>
      <c r="B4854" s="194" t="inlineStr">
        <is>
          <t>MYR</t>
        </is>
      </c>
      <c r="C4854" s="194" t="inlineStr">
        <is>
          <t>MALAYSIAN RINGGIT</t>
        </is>
      </c>
      <c r="D4854" s="195" t="n"/>
      <c r="E4854" s="195" t="n">
        <v>6422.92</v>
      </c>
      <c r="F4854" s="195" t="n">
        <v>6562.66</v>
      </c>
      <c r="G4854" s="195" t="n">
        <v>6492.79</v>
      </c>
    </row>
    <row r="4855">
      <c r="A4855" s="196" t="inlineStr">
        <is>
          <t>2026-01-15</t>
        </is>
      </c>
      <c r="B4855" s="196" t="inlineStr">
        <is>
          <t>NOK</t>
        </is>
      </c>
      <c r="C4855" s="196" t="inlineStr">
        <is>
          <t>NORWEGIAN KRONER</t>
        </is>
      </c>
      <c r="D4855" s="184" t="n"/>
      <c r="E4855" s="184" t="n">
        <v>2559.92</v>
      </c>
      <c r="F4855" s="184" t="n">
        <v>2668.46</v>
      </c>
      <c r="G4855" s="184" t="n">
        <v>2614.19</v>
      </c>
    </row>
    <row r="4856">
      <c r="A4856" s="194" t="inlineStr">
        <is>
          <t>2026-01-15</t>
        </is>
      </c>
      <c r="B4856" s="194" t="inlineStr">
        <is>
          <t>RUB</t>
        </is>
      </c>
      <c r="C4856" s="194" t="inlineStr">
        <is>
          <t>RUSSIAN RUBLE</t>
        </is>
      </c>
      <c r="D4856" s="195" t="n"/>
      <c r="E4856" s="195" t="n">
        <v>318.61</v>
      </c>
      <c r="F4856" s="195" t="n">
        <v>352.69</v>
      </c>
      <c r="G4856" s="195" t="n">
        <v>335.65</v>
      </c>
    </row>
    <row r="4857">
      <c r="A4857" s="196" t="inlineStr">
        <is>
          <t>2026-01-15</t>
        </is>
      </c>
      <c r="B4857" s="196" t="inlineStr">
        <is>
          <t>SAR</t>
        </is>
      </c>
      <c r="C4857" s="196" t="inlineStr">
        <is>
          <t>SAUDI RIAL</t>
        </is>
      </c>
      <c r="D4857" s="184" t="n"/>
      <c r="E4857" s="184" t="n">
        <v>6967.46</v>
      </c>
      <c r="F4857" s="184" t="n">
        <v>7267.32</v>
      </c>
      <c r="G4857" s="184" t="n">
        <v>7117.39</v>
      </c>
    </row>
    <row r="4858">
      <c r="A4858" s="194" t="inlineStr">
        <is>
          <t>2026-01-15</t>
        </is>
      </c>
      <c r="B4858" s="194" t="inlineStr">
        <is>
          <t>SEK</t>
        </is>
      </c>
      <c r="C4858" s="194" t="inlineStr">
        <is>
          <t>SWEDISH KRONA</t>
        </is>
      </c>
      <c r="D4858" s="195" t="n"/>
      <c r="E4858" s="195" t="n">
        <v>2798.35</v>
      </c>
      <c r="F4858" s="195" t="n">
        <v>2917</v>
      </c>
      <c r="G4858" s="195" t="n">
        <v>2857.68</v>
      </c>
    </row>
    <row r="4859">
      <c r="A4859" s="196" t="inlineStr">
        <is>
          <t>2026-01-15</t>
        </is>
      </c>
      <c r="B4859" s="196" t="inlineStr">
        <is>
          <t>SGD</t>
        </is>
      </c>
      <c r="C4859" s="196" t="inlineStr">
        <is>
          <t>SINGAPORE DOLLAR</t>
        </is>
      </c>
      <c r="D4859" s="184" t="n">
        <v>19877.26</v>
      </c>
      <c r="E4859" s="184" t="n">
        <v>20078.04</v>
      </c>
      <c r="F4859" s="184" t="n">
        <v>20762.56</v>
      </c>
      <c r="G4859" s="184" t="n">
        <v>20420.3</v>
      </c>
    </row>
    <row r="4860">
      <c r="A4860" s="194" t="inlineStr">
        <is>
          <t>2026-01-15</t>
        </is>
      </c>
      <c r="B4860" s="194" t="inlineStr">
        <is>
          <t>THB</t>
        </is>
      </c>
      <c r="C4860" s="194" t="inlineStr">
        <is>
          <t>THAILAND BAHT</t>
        </is>
      </c>
      <c r="D4860" s="195" t="n">
        <v>736.51</v>
      </c>
      <c r="E4860" s="195" t="n">
        <v>818.34</v>
      </c>
      <c r="F4860" s="195" t="n">
        <v>853.04</v>
      </c>
      <c r="G4860" s="195" t="n">
        <v>835.6900000000001</v>
      </c>
    </row>
    <row r="4861">
      <c r="A4861" s="196" t="inlineStr">
        <is>
          <t>2026-01-15</t>
        </is>
      </c>
      <c r="B4861" s="196" t="inlineStr">
        <is>
          <t>USD</t>
        </is>
      </c>
      <c r="C4861" s="196" t="inlineStr">
        <is>
          <t>US DOLLAR</t>
        </is>
      </c>
      <c r="D4861" s="184" t="n">
        <v>26061</v>
      </c>
      <c r="E4861" s="184" t="n">
        <v>26091</v>
      </c>
      <c r="F4861" s="184" t="n">
        <v>26391</v>
      </c>
      <c r="G4861" s="184" t="n">
        <v>26241</v>
      </c>
    </row>
    <row r="4862">
      <c r="A4862" s="194" t="inlineStr">
        <is>
          <t>2026-01-14</t>
        </is>
      </c>
      <c r="B4862" s="194" t="inlineStr">
        <is>
          <t>AUD</t>
        </is>
      </c>
      <c r="C4862" s="194" t="inlineStr">
        <is>
          <t>AUSTRALIAN DOLLAR</t>
        </is>
      </c>
      <c r="D4862" s="195" t="n">
        <v>17105.77</v>
      </c>
      <c r="E4862" s="195" t="n">
        <v>17278.55</v>
      </c>
      <c r="F4862" s="195" t="n">
        <v>17831.93</v>
      </c>
      <c r="G4862" s="195" t="n">
        <v>17555.24</v>
      </c>
    </row>
    <row r="4863">
      <c r="A4863" s="196" t="inlineStr">
        <is>
          <t>2026-01-14</t>
        </is>
      </c>
      <c r="B4863" s="196" t="inlineStr">
        <is>
          <t>CAD</t>
        </is>
      </c>
      <c r="C4863" s="196" t="inlineStr">
        <is>
          <t>CANADIAN DOLLAR</t>
        </is>
      </c>
      <c r="D4863" s="184" t="n">
        <v>18436.05</v>
      </c>
      <c r="E4863" s="184" t="n">
        <v>18622.27</v>
      </c>
      <c r="F4863" s="184" t="n">
        <v>19218.68</v>
      </c>
      <c r="G4863" s="184" t="n">
        <v>18920.47</v>
      </c>
    </row>
    <row r="4864">
      <c r="A4864" s="194" t="inlineStr">
        <is>
          <t>2026-01-14</t>
        </is>
      </c>
      <c r="B4864" s="194" t="inlineStr">
        <is>
          <t>CHF</t>
        </is>
      </c>
      <c r="C4864" s="194" t="inlineStr">
        <is>
          <t>SWISS FRANC</t>
        </is>
      </c>
      <c r="D4864" s="195" t="n">
        <v>31968.55</v>
      </c>
      <c r="E4864" s="195" t="n">
        <v>32291.46</v>
      </c>
      <c r="F4864" s="195" t="n">
        <v>33325.65</v>
      </c>
      <c r="G4864" s="195" t="n">
        <v>32808.56</v>
      </c>
    </row>
    <row r="4865">
      <c r="A4865" s="196" t="inlineStr">
        <is>
          <t>2026-01-14</t>
        </is>
      </c>
      <c r="B4865" s="196" t="inlineStr">
        <is>
          <t>CNY</t>
        </is>
      </c>
      <c r="C4865" s="196" t="inlineStr">
        <is>
          <t>YUAN RENMINBI</t>
        </is>
      </c>
      <c r="D4865" s="184" t="n">
        <v>3670.83</v>
      </c>
      <c r="E4865" s="184" t="n">
        <v>3707.91</v>
      </c>
      <c r="F4865" s="184" t="n">
        <v>3826.66</v>
      </c>
      <c r="G4865" s="184" t="n">
        <v>3767.28</v>
      </c>
    </row>
    <row r="4866">
      <c r="A4866" s="194" t="inlineStr">
        <is>
          <t>2026-01-14</t>
        </is>
      </c>
      <c r="B4866" s="194" t="inlineStr">
        <is>
          <t>DKK</t>
        </is>
      </c>
      <c r="C4866" s="194" t="inlineStr">
        <is>
          <t>DANISH KRONE</t>
        </is>
      </c>
      <c r="D4866" s="195" t="n"/>
      <c r="E4866" s="195" t="n">
        <v>4019.46</v>
      </c>
      <c r="F4866" s="195" t="n">
        <v>4173.16</v>
      </c>
      <c r="G4866" s="195" t="n">
        <v>4096.31</v>
      </c>
    </row>
    <row r="4867">
      <c r="A4867" s="196" t="inlineStr">
        <is>
          <t>2026-01-14</t>
        </is>
      </c>
      <c r="B4867" s="196" t="inlineStr">
        <is>
          <t>EUR</t>
        </is>
      </c>
      <c r="C4867" s="196" t="inlineStr">
        <is>
          <t>EURO</t>
        </is>
      </c>
      <c r="D4867" s="184" t="n">
        <v>29812.18</v>
      </c>
      <c r="E4867" s="184" t="n">
        <v>30113.31</v>
      </c>
      <c r="F4867" s="184" t="n">
        <v>31383.92</v>
      </c>
      <c r="G4867" s="184" t="n">
        <v>30748.62</v>
      </c>
    </row>
    <row r="4868">
      <c r="A4868" s="194" t="inlineStr">
        <is>
          <t>2026-01-14</t>
        </is>
      </c>
      <c r="B4868" s="194" t="inlineStr">
        <is>
          <t>GBP</t>
        </is>
      </c>
      <c r="C4868" s="194" t="inlineStr">
        <is>
          <t>POUND STERLING</t>
        </is>
      </c>
      <c r="D4868" s="195" t="n">
        <v>34370.3</v>
      </c>
      <c r="E4868" s="195" t="n">
        <v>34717.48</v>
      </c>
      <c r="F4868" s="195" t="n">
        <v>35829.36</v>
      </c>
      <c r="G4868" s="195" t="n">
        <v>35273.42</v>
      </c>
    </row>
    <row r="4869">
      <c r="A4869" s="196" t="inlineStr">
        <is>
          <t>2026-01-14</t>
        </is>
      </c>
      <c r="B4869" s="196" t="inlineStr">
        <is>
          <t>HKD</t>
        </is>
      </c>
      <c r="C4869" s="196" t="inlineStr">
        <is>
          <t>HONGKONG DOLLAR</t>
        </is>
      </c>
      <c r="D4869" s="184" t="n">
        <v>3273.44</v>
      </c>
      <c r="E4869" s="184" t="n">
        <v>3306.5</v>
      </c>
      <c r="F4869" s="184" t="n">
        <v>3432.94</v>
      </c>
      <c r="G4869" s="184" t="n">
        <v>3369.72</v>
      </c>
    </row>
    <row r="4870">
      <c r="A4870" s="194" t="inlineStr">
        <is>
          <t>2026-01-14</t>
        </is>
      </c>
      <c r="B4870" s="194" t="inlineStr">
        <is>
          <t>INR</t>
        </is>
      </c>
      <c r="C4870" s="194" t="inlineStr">
        <is>
          <t>INDIAN RUPEE</t>
        </is>
      </c>
      <c r="D4870" s="195" t="n"/>
      <c r="E4870" s="195" t="n">
        <v>289.22</v>
      </c>
      <c r="F4870" s="195" t="n">
        <v>301.67</v>
      </c>
      <c r="G4870" s="195" t="n">
        <v>295.45</v>
      </c>
    </row>
    <row r="4871">
      <c r="A4871" s="196" t="inlineStr">
        <is>
          <t>2026-01-14</t>
        </is>
      </c>
      <c r="B4871" s="196" t="inlineStr">
        <is>
          <t>JPY</t>
        </is>
      </c>
      <c r="C4871" s="196" t="inlineStr">
        <is>
          <t>YEN</t>
        </is>
      </c>
      <c r="D4871" s="184" t="n">
        <v>159.35</v>
      </c>
      <c r="E4871" s="184" t="n">
        <v>160.96</v>
      </c>
      <c r="F4871" s="184" t="n">
        <v>169.47</v>
      </c>
      <c r="G4871" s="184" t="n">
        <v>165.22</v>
      </c>
    </row>
    <row r="4872">
      <c r="A4872" s="194" t="inlineStr">
        <is>
          <t>2026-01-14</t>
        </is>
      </c>
      <c r="B4872" s="194" t="inlineStr">
        <is>
          <t>KRW</t>
        </is>
      </c>
      <c r="C4872" s="194" t="inlineStr">
        <is>
          <t>KOREAN WON</t>
        </is>
      </c>
      <c r="D4872" s="195" t="n">
        <v>15.4</v>
      </c>
      <c r="E4872" s="195" t="n">
        <v>17.11</v>
      </c>
      <c r="F4872" s="195" t="n">
        <v>18.56</v>
      </c>
      <c r="G4872" s="195" t="n">
        <v>17.84</v>
      </c>
    </row>
    <row r="4873">
      <c r="A4873" s="196" t="inlineStr">
        <is>
          <t>2026-01-14</t>
        </is>
      </c>
      <c r="B4873" s="196" t="inlineStr">
        <is>
          <t>KWD</t>
        </is>
      </c>
      <c r="C4873" s="196" t="inlineStr">
        <is>
          <t>KUWAITI DINAR</t>
        </is>
      </c>
      <c r="D4873" s="184" t="n"/>
      <c r="E4873" s="184" t="n">
        <v>85445.89</v>
      </c>
      <c r="F4873" s="184" t="n">
        <v>89587.42</v>
      </c>
      <c r="G4873" s="184" t="n">
        <v>87516.66</v>
      </c>
    </row>
    <row r="4874">
      <c r="A4874" s="194" t="inlineStr">
        <is>
          <t>2026-01-14</t>
        </is>
      </c>
      <c r="B4874" s="194" t="inlineStr">
        <is>
          <t>MYR</t>
        </is>
      </c>
      <c r="C4874" s="194" t="inlineStr">
        <is>
          <t>MALAYSIAN RINGGIT</t>
        </is>
      </c>
      <c r="D4874" s="195" t="n"/>
      <c r="E4874" s="195" t="n">
        <v>6408.68</v>
      </c>
      <c r="F4874" s="195" t="n">
        <v>6548.1</v>
      </c>
      <c r="G4874" s="195" t="n">
        <v>6478.39</v>
      </c>
    </row>
    <row r="4875">
      <c r="A4875" s="196" t="inlineStr">
        <is>
          <t>2026-01-14</t>
        </is>
      </c>
      <c r="B4875" s="196" t="inlineStr">
        <is>
          <t>NOK</t>
        </is>
      </c>
      <c r="C4875" s="196" t="inlineStr">
        <is>
          <t>NORWEGIAN KRONER</t>
        </is>
      </c>
      <c r="D4875" s="184" t="n"/>
      <c r="E4875" s="184" t="n">
        <v>2552.66</v>
      </c>
      <c r="F4875" s="184" t="n">
        <v>2660.9</v>
      </c>
      <c r="G4875" s="184" t="n">
        <v>2606.78</v>
      </c>
    </row>
    <row r="4876">
      <c r="A4876" s="194" t="inlineStr">
        <is>
          <t>2026-01-14</t>
        </is>
      </c>
      <c r="B4876" s="194" t="inlineStr">
        <is>
          <t>RUB</t>
        </is>
      </c>
      <c r="C4876" s="194" t="inlineStr">
        <is>
          <t>RUSSIAN RUBLE</t>
        </is>
      </c>
      <c r="D4876" s="195" t="n"/>
      <c r="E4876" s="195" t="n">
        <v>317.6</v>
      </c>
      <c r="F4876" s="195" t="n">
        <v>351.57</v>
      </c>
      <c r="G4876" s="195" t="n">
        <v>334.58</v>
      </c>
    </row>
    <row r="4877">
      <c r="A4877" s="196" t="inlineStr">
        <is>
          <t>2026-01-14</t>
        </is>
      </c>
      <c r="B4877" s="196" t="inlineStr">
        <is>
          <t>SAR</t>
        </is>
      </c>
      <c r="C4877" s="196" t="inlineStr">
        <is>
          <t>SAUDI RIAL</t>
        </is>
      </c>
      <c r="D4877" s="184" t="n"/>
      <c r="E4877" s="184" t="n">
        <v>6967.64</v>
      </c>
      <c r="F4877" s="184" t="n">
        <v>7267.51</v>
      </c>
      <c r="G4877" s="184" t="n">
        <v>7117.58</v>
      </c>
    </row>
    <row r="4878">
      <c r="A4878" s="194" t="inlineStr">
        <is>
          <t>2026-01-14</t>
        </is>
      </c>
      <c r="B4878" s="194" t="inlineStr">
        <is>
          <t>SEK</t>
        </is>
      </c>
      <c r="C4878" s="194" t="inlineStr">
        <is>
          <t>SWEDISH KRONA</t>
        </is>
      </c>
      <c r="D4878" s="195" t="n"/>
      <c r="E4878" s="195" t="n">
        <v>2790.95</v>
      </c>
      <c r="F4878" s="195" t="n">
        <v>2909.29</v>
      </c>
      <c r="G4878" s="195" t="n">
        <v>2850.12</v>
      </c>
    </row>
    <row r="4879">
      <c r="A4879" s="196" t="inlineStr">
        <is>
          <t>2026-01-14</t>
        </is>
      </c>
      <c r="B4879" s="196" t="inlineStr">
        <is>
          <t>SGD</t>
        </is>
      </c>
      <c r="C4879" s="196" t="inlineStr">
        <is>
          <t>SINGAPORE DOLLAR</t>
        </is>
      </c>
      <c r="D4879" s="184" t="n">
        <v>19851.04</v>
      </c>
      <c r="E4879" s="184" t="n">
        <v>20051.56</v>
      </c>
      <c r="F4879" s="184" t="n">
        <v>20735.18</v>
      </c>
      <c r="G4879" s="184" t="n">
        <v>20393.37</v>
      </c>
    </row>
    <row r="4880">
      <c r="A4880" s="194" t="inlineStr">
        <is>
          <t>2026-01-14</t>
        </is>
      </c>
      <c r="B4880" s="194" t="inlineStr">
        <is>
          <t>THB</t>
        </is>
      </c>
      <c r="C4880" s="194" t="inlineStr">
        <is>
          <t>THAILAND BAHT</t>
        </is>
      </c>
      <c r="D4880" s="195" t="n">
        <v>734.87</v>
      </c>
      <c r="E4880" s="195" t="n">
        <v>816.53</v>
      </c>
      <c r="F4880" s="195" t="n">
        <v>851.15</v>
      </c>
      <c r="G4880" s="195" t="n">
        <v>833.84</v>
      </c>
    </row>
    <row r="4881">
      <c r="A4881" s="196" t="inlineStr">
        <is>
          <t>2026-01-14</t>
        </is>
      </c>
      <c r="B4881" s="196" t="inlineStr">
        <is>
          <t>USD</t>
        </is>
      </c>
      <c r="C4881" s="196" t="inlineStr">
        <is>
          <t>US DOLLAR</t>
        </is>
      </c>
      <c r="D4881" s="184" t="n">
        <v>26061</v>
      </c>
      <c r="E4881" s="184" t="n">
        <v>26091</v>
      </c>
      <c r="F4881" s="184" t="n">
        <v>26391</v>
      </c>
      <c r="G4881" s="184" t="n">
        <v>26241</v>
      </c>
    </row>
    <row r="4882">
      <c r="A4882" s="194" t="inlineStr">
        <is>
          <t>2026-01-13</t>
        </is>
      </c>
      <c r="B4882" s="194" t="inlineStr">
        <is>
          <t>AUD</t>
        </is>
      </c>
      <c r="C4882" s="194" t="inlineStr">
        <is>
          <t>AUSTRALIAN DOLLAR</t>
        </is>
      </c>
      <c r="D4882" s="195" t="n">
        <v>17169.79</v>
      </c>
      <c r="E4882" s="195" t="n">
        <v>17343.22</v>
      </c>
      <c r="F4882" s="195" t="n">
        <v>17898.66</v>
      </c>
      <c r="G4882" s="195" t="n">
        <v>17620.94</v>
      </c>
    </row>
    <row r="4883">
      <c r="A4883" s="196" t="inlineStr">
        <is>
          <t>2026-01-13</t>
        </is>
      </c>
      <c r="B4883" s="196" t="inlineStr">
        <is>
          <t>CAD</t>
        </is>
      </c>
      <c r="C4883" s="196" t="inlineStr">
        <is>
          <t>CANADIAN DOLLAR</t>
        </is>
      </c>
      <c r="D4883" s="184" t="n">
        <v>18459.97</v>
      </c>
      <c r="E4883" s="184" t="n">
        <v>18646.43</v>
      </c>
      <c r="F4883" s="184" t="n">
        <v>19243.61</v>
      </c>
      <c r="G4883" s="184" t="n">
        <v>18945.02</v>
      </c>
    </row>
    <row r="4884">
      <c r="A4884" s="194" t="inlineStr">
        <is>
          <t>2026-01-13</t>
        </is>
      </c>
      <c r="B4884" s="194" t="inlineStr">
        <is>
          <t>CHF</t>
        </is>
      </c>
      <c r="C4884" s="194" t="inlineStr">
        <is>
          <t>SWISS FRANC</t>
        </is>
      </c>
      <c r="D4884" s="195" t="n">
        <v>32112.84</v>
      </c>
      <c r="E4884" s="195" t="n">
        <v>32437.21</v>
      </c>
      <c r="F4884" s="195" t="n">
        <v>33476.06</v>
      </c>
      <c r="G4884" s="195" t="n">
        <v>32956.63</v>
      </c>
    </row>
    <row r="4885">
      <c r="A4885" s="196" t="inlineStr">
        <is>
          <t>2026-01-13</t>
        </is>
      </c>
      <c r="B4885" s="196" t="inlineStr">
        <is>
          <t>CNY</t>
        </is>
      </c>
      <c r="C4885" s="196" t="inlineStr">
        <is>
          <t>YUAN RENMINBI</t>
        </is>
      </c>
      <c r="D4885" s="184" t="n">
        <v>3671.88</v>
      </c>
      <c r="E4885" s="184" t="n">
        <v>3708.97</v>
      </c>
      <c r="F4885" s="184" t="n">
        <v>3827.76</v>
      </c>
      <c r="G4885" s="184" t="n">
        <v>3768.36</v>
      </c>
    </row>
    <row r="4886">
      <c r="A4886" s="194" t="inlineStr">
        <is>
          <t>2026-01-13</t>
        </is>
      </c>
      <c r="B4886" s="194" t="inlineStr">
        <is>
          <t>DKK</t>
        </is>
      </c>
      <c r="C4886" s="194" t="inlineStr">
        <is>
          <t>DANISH KRONE</t>
        </is>
      </c>
      <c r="D4886" s="195" t="n"/>
      <c r="E4886" s="195" t="n">
        <v>4028.56</v>
      </c>
      <c r="F4886" s="195" t="n">
        <v>4182.61</v>
      </c>
      <c r="G4886" s="195" t="n">
        <v>4105.58</v>
      </c>
    </row>
    <row r="4887">
      <c r="A4887" s="196" t="inlineStr">
        <is>
          <t>2026-01-13</t>
        </is>
      </c>
      <c r="B4887" s="196" t="inlineStr">
        <is>
          <t>EUR</t>
        </is>
      </c>
      <c r="C4887" s="196" t="inlineStr">
        <is>
          <t>EURO</t>
        </is>
      </c>
      <c r="D4887" s="184" t="n">
        <v>29881.32</v>
      </c>
      <c r="E4887" s="184" t="n">
        <v>30183.15</v>
      </c>
      <c r="F4887" s="184" t="n">
        <v>31456.71</v>
      </c>
      <c r="G4887" s="184" t="n">
        <v>30819.93</v>
      </c>
    </row>
    <row r="4888">
      <c r="A4888" s="194" t="inlineStr">
        <is>
          <t>2026-01-13</t>
        </is>
      </c>
      <c r="B4888" s="194" t="inlineStr">
        <is>
          <t>GBP</t>
        </is>
      </c>
      <c r="C4888" s="194" t="inlineStr">
        <is>
          <t>POUND STERLING</t>
        </is>
      </c>
      <c r="D4888" s="195" t="n">
        <v>34516.27</v>
      </c>
      <c r="E4888" s="195" t="n">
        <v>34864.92</v>
      </c>
      <c r="F4888" s="195" t="n">
        <v>35981.52</v>
      </c>
      <c r="G4888" s="195" t="n">
        <v>35423.22</v>
      </c>
    </row>
    <row r="4889">
      <c r="A4889" s="196" t="inlineStr">
        <is>
          <t>2026-01-13</t>
        </is>
      </c>
      <c r="B4889" s="196" t="inlineStr">
        <is>
          <t>HKD</t>
        </is>
      </c>
      <c r="C4889" s="196" t="inlineStr">
        <is>
          <t>HONGKONG DOLLAR</t>
        </is>
      </c>
      <c r="D4889" s="184" t="n">
        <v>3274.07</v>
      </c>
      <c r="E4889" s="184" t="n">
        <v>3307.14</v>
      </c>
      <c r="F4889" s="184" t="n">
        <v>3433.6</v>
      </c>
      <c r="G4889" s="184" t="n">
        <v>3370.37</v>
      </c>
    </row>
    <row r="4890">
      <c r="A4890" s="194" t="inlineStr">
        <is>
          <t>2026-01-13</t>
        </is>
      </c>
      <c r="B4890" s="194" t="inlineStr">
        <is>
          <t>INR</t>
        </is>
      </c>
      <c r="C4890" s="194" t="inlineStr">
        <is>
          <t>INDIAN RUPEE</t>
        </is>
      </c>
      <c r="D4890" s="195" t="n"/>
      <c r="E4890" s="195" t="n">
        <v>289.63</v>
      </c>
      <c r="F4890" s="195" t="n">
        <v>302.1</v>
      </c>
      <c r="G4890" s="195" t="n">
        <v>295.86</v>
      </c>
    </row>
    <row r="4891">
      <c r="A4891" s="196" t="inlineStr">
        <is>
          <t>2026-01-13</t>
        </is>
      </c>
      <c r="B4891" s="196" t="inlineStr">
        <is>
          <t>JPY</t>
        </is>
      </c>
      <c r="C4891" s="196" t="inlineStr">
        <is>
          <t>YEN</t>
        </is>
      </c>
      <c r="D4891" s="184" t="n">
        <v>159.69</v>
      </c>
      <c r="E4891" s="184" t="n">
        <v>161.3</v>
      </c>
      <c r="F4891" s="184" t="n">
        <v>169.83</v>
      </c>
      <c r="G4891" s="184" t="n">
        <v>165.56</v>
      </c>
    </row>
    <row r="4892">
      <c r="A4892" s="194" t="inlineStr">
        <is>
          <t>2026-01-13</t>
        </is>
      </c>
      <c r="B4892" s="194" t="inlineStr">
        <is>
          <t>KRW</t>
        </is>
      </c>
      <c r="C4892" s="194" t="inlineStr">
        <is>
          <t>KOREAN WON</t>
        </is>
      </c>
      <c r="D4892" s="195" t="n">
        <v>15.43</v>
      </c>
      <c r="E4892" s="195" t="n">
        <v>17.14</v>
      </c>
      <c r="F4892" s="195" t="n">
        <v>18.6</v>
      </c>
      <c r="G4892" s="195" t="n">
        <v>17.87</v>
      </c>
    </row>
    <row r="4893">
      <c r="A4893" s="196" t="inlineStr">
        <is>
          <t>2026-01-13</t>
        </is>
      </c>
      <c r="B4893" s="196" t="inlineStr">
        <is>
          <t>KWD</t>
        </is>
      </c>
      <c r="C4893" s="196" t="inlineStr">
        <is>
          <t>KUWAITI DINAR</t>
        </is>
      </c>
      <c r="D4893" s="184" t="n"/>
      <c r="E4893" s="184" t="n">
        <v>85445.89</v>
      </c>
      <c r="F4893" s="184" t="n">
        <v>89587.42</v>
      </c>
      <c r="G4893" s="184" t="n">
        <v>87516.66</v>
      </c>
    </row>
    <row r="4894">
      <c r="A4894" s="194" t="inlineStr">
        <is>
          <t>2026-01-13</t>
        </is>
      </c>
      <c r="B4894" s="194" t="inlineStr">
        <is>
          <t>MYR</t>
        </is>
      </c>
      <c r="C4894" s="194" t="inlineStr">
        <is>
          <t>MALAYSIAN RINGGIT</t>
        </is>
      </c>
      <c r="D4894" s="195" t="n"/>
      <c r="E4894" s="195" t="n">
        <v>6411.84</v>
      </c>
      <c r="F4894" s="195" t="n">
        <v>6551.33</v>
      </c>
      <c r="G4894" s="195" t="n">
        <v>6481.58</v>
      </c>
    </row>
    <row r="4895">
      <c r="A4895" s="196" t="inlineStr">
        <is>
          <t>2026-01-13</t>
        </is>
      </c>
      <c r="B4895" s="196" t="inlineStr">
        <is>
          <t>NOK</t>
        </is>
      </c>
      <c r="C4895" s="196" t="inlineStr">
        <is>
          <t>NORWEGIAN KRONER</t>
        </is>
      </c>
      <c r="D4895" s="184" t="n"/>
      <c r="E4895" s="184" t="n">
        <v>2555.52</v>
      </c>
      <c r="F4895" s="184" t="n">
        <v>2663.88</v>
      </c>
      <c r="G4895" s="184" t="n">
        <v>2609.7</v>
      </c>
    </row>
    <row r="4896">
      <c r="A4896" s="194" t="inlineStr">
        <is>
          <t>2026-01-13</t>
        </is>
      </c>
      <c r="B4896" s="194" t="inlineStr">
        <is>
          <t>RUB</t>
        </is>
      </c>
      <c r="C4896" s="194" t="inlineStr">
        <is>
          <t>RUSSIAN RUBLE</t>
        </is>
      </c>
      <c r="D4896" s="195" t="n"/>
      <c r="E4896" s="195" t="n">
        <v>316.98</v>
      </c>
      <c r="F4896" s="195" t="n">
        <v>350.88</v>
      </c>
      <c r="G4896" s="195" t="n">
        <v>333.93</v>
      </c>
    </row>
    <row r="4897">
      <c r="A4897" s="196" t="inlineStr">
        <is>
          <t>2026-01-13</t>
        </is>
      </c>
      <c r="B4897" s="196" t="inlineStr">
        <is>
          <t>SAR</t>
        </is>
      </c>
      <c r="C4897" s="196" t="inlineStr">
        <is>
          <t>SAUDI RIAL</t>
        </is>
      </c>
      <c r="D4897" s="184" t="n"/>
      <c r="E4897" s="184" t="n">
        <v>6967.64</v>
      </c>
      <c r="F4897" s="184" t="n">
        <v>7267.51</v>
      </c>
      <c r="G4897" s="184" t="n">
        <v>7117.58</v>
      </c>
    </row>
    <row r="4898">
      <c r="A4898" s="194" t="inlineStr">
        <is>
          <t>2026-01-13</t>
        </is>
      </c>
      <c r="B4898" s="194" t="inlineStr">
        <is>
          <t>SEK</t>
        </is>
      </c>
      <c r="C4898" s="194" t="inlineStr">
        <is>
          <t>SWEDISH KRONA</t>
        </is>
      </c>
      <c r="D4898" s="195" t="n"/>
      <c r="E4898" s="195" t="n">
        <v>2806.28</v>
      </c>
      <c r="F4898" s="195" t="n">
        <v>2925.27</v>
      </c>
      <c r="G4898" s="195" t="n">
        <v>2865.78</v>
      </c>
    </row>
    <row r="4899">
      <c r="A4899" s="196" t="inlineStr">
        <is>
          <t>2026-01-13</t>
        </is>
      </c>
      <c r="B4899" s="196" t="inlineStr">
        <is>
          <t>SGD</t>
        </is>
      </c>
      <c r="C4899" s="196" t="inlineStr">
        <is>
          <t>SINGAPORE DOLLAR</t>
        </is>
      </c>
      <c r="D4899" s="184" t="n">
        <v>19888.07</v>
      </c>
      <c r="E4899" s="184" t="n">
        <v>20088.96</v>
      </c>
      <c r="F4899" s="184" t="n">
        <v>20773.86</v>
      </c>
      <c r="G4899" s="184" t="n">
        <v>20431.41</v>
      </c>
    </row>
    <row r="4900">
      <c r="A4900" s="194" t="inlineStr">
        <is>
          <t>2026-01-13</t>
        </is>
      </c>
      <c r="B4900" s="194" t="inlineStr">
        <is>
          <t>THB</t>
        </is>
      </c>
      <c r="C4900" s="194" t="inlineStr">
        <is>
          <t>THAILAND BAHT</t>
        </is>
      </c>
      <c r="D4900" s="195" t="n">
        <v>736.74</v>
      </c>
      <c r="E4900" s="195" t="n">
        <v>818.6</v>
      </c>
      <c r="F4900" s="195" t="n">
        <v>853.3099999999999</v>
      </c>
      <c r="G4900" s="195" t="n">
        <v>835.96</v>
      </c>
    </row>
    <row r="4901">
      <c r="A4901" s="196" t="inlineStr">
        <is>
          <t>2026-01-13</t>
        </is>
      </c>
      <c r="B4901" s="196" t="inlineStr">
        <is>
          <t>USD</t>
        </is>
      </c>
      <c r="C4901" s="196" t="inlineStr">
        <is>
          <t>US DOLLAR</t>
        </is>
      </c>
      <c r="D4901" s="184" t="n">
        <v>26055</v>
      </c>
      <c r="E4901" s="184" t="n">
        <v>26085</v>
      </c>
      <c r="F4901" s="184" t="n">
        <v>26385</v>
      </c>
      <c r="G4901" s="184" t="n">
        <v>26235</v>
      </c>
    </row>
    <row r="4902">
      <c r="A4902" s="194" t="inlineStr">
        <is>
          <t>2026-01-12</t>
        </is>
      </c>
      <c r="B4902" s="194" t="inlineStr">
        <is>
          <t>AUD</t>
        </is>
      </c>
      <c r="C4902" s="194" t="inlineStr">
        <is>
          <t>AUSTRALIAN DOLLAR</t>
        </is>
      </c>
      <c r="D4902" s="195" t="n">
        <v>17153.01</v>
      </c>
      <c r="E4902" s="195" t="n">
        <v>17326.27</v>
      </c>
      <c r="F4902" s="195" t="n">
        <v>17881.18</v>
      </c>
      <c r="G4902" s="195" t="n">
        <v>17603.72</v>
      </c>
    </row>
    <row r="4903">
      <c r="A4903" s="196" t="inlineStr">
        <is>
          <t>2026-01-12</t>
        </is>
      </c>
      <c r="B4903" s="196" t="inlineStr">
        <is>
          <t>CAD</t>
        </is>
      </c>
      <c r="C4903" s="196" t="inlineStr">
        <is>
          <t>CANADIAN DOLLAR</t>
        </is>
      </c>
      <c r="D4903" s="184" t="n">
        <v>18433.01</v>
      </c>
      <c r="E4903" s="184" t="n">
        <v>18619.2</v>
      </c>
      <c r="F4903" s="184" t="n">
        <v>19215.52</v>
      </c>
      <c r="G4903" s="184" t="n">
        <v>18917.36</v>
      </c>
    </row>
    <row r="4904">
      <c r="A4904" s="194" t="inlineStr">
        <is>
          <t>2026-01-12</t>
        </is>
      </c>
      <c r="B4904" s="194" t="inlineStr">
        <is>
          <t>CHF</t>
        </is>
      </c>
      <c r="C4904" s="194" t="inlineStr">
        <is>
          <t>SWISS FRANC</t>
        </is>
      </c>
      <c r="D4904" s="195" t="n">
        <v>32080.5</v>
      </c>
      <c r="E4904" s="195" t="n">
        <v>32404.55</v>
      </c>
      <c r="F4904" s="195" t="n">
        <v>33442.37</v>
      </c>
      <c r="G4904" s="195" t="n">
        <v>32923.46</v>
      </c>
    </row>
    <row r="4905">
      <c r="A4905" s="196" t="inlineStr">
        <is>
          <t>2026-01-12</t>
        </is>
      </c>
      <c r="B4905" s="196" t="inlineStr">
        <is>
          <t>CNY</t>
        </is>
      </c>
      <c r="C4905" s="196" t="inlineStr">
        <is>
          <t>YUAN RENMINBI</t>
        </is>
      </c>
      <c r="D4905" s="184" t="n">
        <v>3669.59</v>
      </c>
      <c r="E4905" s="184" t="n">
        <v>3706.65</v>
      </c>
      <c r="F4905" s="184" t="n">
        <v>3825.37</v>
      </c>
      <c r="G4905" s="184" t="n">
        <v>3766.01</v>
      </c>
    </row>
    <row r="4906">
      <c r="A4906" s="194" t="inlineStr">
        <is>
          <t>2026-01-12</t>
        </is>
      </c>
      <c r="B4906" s="194" t="inlineStr">
        <is>
          <t>DKK</t>
        </is>
      </c>
      <c r="C4906" s="194" t="inlineStr">
        <is>
          <t>DANISH KRONE</t>
        </is>
      </c>
      <c r="D4906" s="195" t="n"/>
      <c r="E4906" s="195" t="n">
        <v>4023.95</v>
      </c>
      <c r="F4906" s="195" t="n">
        <v>4177.82</v>
      </c>
      <c r="G4906" s="195" t="n">
        <v>4100.88</v>
      </c>
    </row>
    <row r="4907">
      <c r="A4907" s="196" t="inlineStr">
        <is>
          <t>2026-01-12</t>
        </is>
      </c>
      <c r="B4907" s="196" t="inlineStr">
        <is>
          <t>EUR</t>
        </is>
      </c>
      <c r="C4907" s="196" t="inlineStr">
        <is>
          <t>EURO</t>
        </is>
      </c>
      <c r="D4907" s="184" t="n">
        <v>29841.78</v>
      </c>
      <c r="E4907" s="184" t="n">
        <v>30143.22</v>
      </c>
      <c r="F4907" s="184" t="n">
        <v>31415.1</v>
      </c>
      <c r="G4907" s="184" t="n">
        <v>30779.16</v>
      </c>
    </row>
    <row r="4908">
      <c r="A4908" s="194" t="inlineStr">
        <is>
          <t>2026-01-12</t>
        </is>
      </c>
      <c r="B4908" s="194" t="inlineStr">
        <is>
          <t>GBP</t>
        </is>
      </c>
      <c r="C4908" s="194" t="inlineStr">
        <is>
          <t>POUND STERLING</t>
        </is>
      </c>
      <c r="D4908" s="195" t="n">
        <v>34375.13</v>
      </c>
      <c r="E4908" s="195" t="n">
        <v>34722.36</v>
      </c>
      <c r="F4908" s="195" t="n">
        <v>35834.41</v>
      </c>
      <c r="G4908" s="195" t="n">
        <v>35278.38</v>
      </c>
    </row>
    <row r="4909">
      <c r="A4909" s="196" t="inlineStr">
        <is>
          <t>2026-01-12</t>
        </is>
      </c>
      <c r="B4909" s="196" t="inlineStr">
        <is>
          <t>HKD</t>
        </is>
      </c>
      <c r="C4909" s="196" t="inlineStr">
        <is>
          <t>HONGKONG DOLLAR</t>
        </is>
      </c>
      <c r="D4909" s="184" t="n">
        <v>3275.3</v>
      </c>
      <c r="E4909" s="184" t="n">
        <v>3308.38</v>
      </c>
      <c r="F4909" s="184" t="n">
        <v>3434.89</v>
      </c>
      <c r="G4909" s="184" t="n">
        <v>3371.64</v>
      </c>
    </row>
    <row r="4910">
      <c r="A4910" s="194" t="inlineStr">
        <is>
          <t>2026-01-12</t>
        </is>
      </c>
      <c r="B4910" s="194" t="inlineStr">
        <is>
          <t>INR</t>
        </is>
      </c>
      <c r="C4910" s="194" t="inlineStr">
        <is>
          <t>INDIAN RUPEE</t>
        </is>
      </c>
      <c r="D4910" s="195" t="n"/>
      <c r="E4910" s="195" t="n">
        <v>289.42</v>
      </c>
      <c r="F4910" s="195" t="n">
        <v>301.88</v>
      </c>
      <c r="G4910" s="195" t="n">
        <v>295.65</v>
      </c>
    </row>
    <row r="4911">
      <c r="A4911" s="196" t="inlineStr">
        <is>
          <t>2026-01-12</t>
        </is>
      </c>
      <c r="B4911" s="196" t="inlineStr">
        <is>
          <t>JPY</t>
        </is>
      </c>
      <c r="C4911" s="196" t="inlineStr">
        <is>
          <t>YEN</t>
        </is>
      </c>
      <c r="D4911" s="184" t="n">
        <v>160.84</v>
      </c>
      <c r="E4911" s="184" t="n">
        <v>162.47</v>
      </c>
      <c r="F4911" s="184" t="n">
        <v>171.06</v>
      </c>
      <c r="G4911" s="184" t="n">
        <v>166.76</v>
      </c>
    </row>
    <row r="4912">
      <c r="A4912" s="194" t="inlineStr">
        <is>
          <t>2026-01-12</t>
        </is>
      </c>
      <c r="B4912" s="194" t="inlineStr">
        <is>
          <t>KRW</t>
        </is>
      </c>
      <c r="C4912" s="194" t="inlineStr">
        <is>
          <t>KOREAN WON</t>
        </is>
      </c>
      <c r="D4912" s="195" t="n">
        <v>15.57</v>
      </c>
      <c r="E4912" s="195" t="n">
        <v>17.31</v>
      </c>
      <c r="F4912" s="195" t="n">
        <v>18.78</v>
      </c>
      <c r="G4912" s="195" t="n">
        <v>18.05</v>
      </c>
    </row>
    <row r="4913">
      <c r="A4913" s="196" t="inlineStr">
        <is>
          <t>2026-01-12</t>
        </is>
      </c>
      <c r="B4913" s="196" t="inlineStr">
        <is>
          <t>KWD</t>
        </is>
      </c>
      <c r="C4913" s="196" t="inlineStr">
        <is>
          <t>KUWAITI DINAR</t>
        </is>
      </c>
      <c r="D4913" s="184" t="n"/>
      <c r="E4913" s="184" t="n">
        <v>85413.35000000001</v>
      </c>
      <c r="F4913" s="184" t="n">
        <v>89553.36</v>
      </c>
      <c r="G4913" s="184" t="n">
        <v>87483.36</v>
      </c>
    </row>
    <row r="4914">
      <c r="A4914" s="194" t="inlineStr">
        <is>
          <t>2026-01-12</t>
        </is>
      </c>
      <c r="B4914" s="194" t="inlineStr">
        <is>
          <t>MYR</t>
        </is>
      </c>
      <c r="C4914" s="194" t="inlineStr">
        <is>
          <t>MALAYSIAN RINGGIT</t>
        </is>
      </c>
      <c r="D4914" s="195" t="n"/>
      <c r="E4914" s="195" t="n">
        <v>6385.77</v>
      </c>
      <c r="F4914" s="195" t="n">
        <v>6524.71</v>
      </c>
      <c r="G4914" s="195" t="n">
        <v>6455.24</v>
      </c>
    </row>
    <row r="4915">
      <c r="A4915" s="196" t="inlineStr">
        <is>
          <t>2026-01-12</t>
        </is>
      </c>
      <c r="B4915" s="196" t="inlineStr">
        <is>
          <t>NOK</t>
        </is>
      </c>
      <c r="C4915" s="196" t="inlineStr">
        <is>
          <t>NORWEGIAN KRONER</t>
        </is>
      </c>
      <c r="D4915" s="184" t="n"/>
      <c r="E4915" s="184" t="n">
        <v>2554.57</v>
      </c>
      <c r="F4915" s="184" t="n">
        <v>2662.89</v>
      </c>
      <c r="G4915" s="184" t="n">
        <v>2608.73</v>
      </c>
    </row>
    <row r="4916">
      <c r="A4916" s="194" t="inlineStr">
        <is>
          <t>2026-01-12</t>
        </is>
      </c>
      <c r="B4916" s="194" t="inlineStr">
        <is>
          <t>RUB</t>
        </is>
      </c>
      <c r="C4916" s="194" t="inlineStr">
        <is>
          <t>RUSSIAN RUBLE</t>
        </is>
      </c>
      <c r="D4916" s="195" t="n"/>
      <c r="E4916" s="195" t="n">
        <v>316.47</v>
      </c>
      <c r="F4916" s="195" t="n">
        <v>350.32</v>
      </c>
      <c r="G4916" s="195" t="n">
        <v>333.4</v>
      </c>
    </row>
    <row r="4917">
      <c r="A4917" s="196" t="inlineStr">
        <is>
          <t>2026-01-12</t>
        </is>
      </c>
      <c r="B4917" s="196" t="inlineStr">
        <is>
          <t>SAR</t>
        </is>
      </c>
      <c r="C4917" s="196" t="inlineStr">
        <is>
          <t>SAUDI RIAL</t>
        </is>
      </c>
      <c r="D4917" s="184" t="n"/>
      <c r="E4917" s="184" t="n">
        <v>6965.17</v>
      </c>
      <c r="F4917" s="184" t="n">
        <v>7264.94</v>
      </c>
      <c r="G4917" s="184" t="n">
        <v>7115.06</v>
      </c>
    </row>
    <row r="4918">
      <c r="A4918" s="194" t="inlineStr">
        <is>
          <t>2026-01-12</t>
        </is>
      </c>
      <c r="B4918" s="194" t="inlineStr">
        <is>
          <t>SEK</t>
        </is>
      </c>
      <c r="C4918" s="194" t="inlineStr">
        <is>
          <t>SWEDISH KRONA</t>
        </is>
      </c>
      <c r="D4918" s="195" t="n"/>
      <c r="E4918" s="195" t="n">
        <v>2801.67</v>
      </c>
      <c r="F4918" s="195" t="n">
        <v>2920.47</v>
      </c>
      <c r="G4918" s="195" t="n">
        <v>2861.07</v>
      </c>
    </row>
    <row r="4919">
      <c r="A4919" s="196" t="inlineStr">
        <is>
          <t>2026-01-12</t>
        </is>
      </c>
      <c r="B4919" s="196" t="inlineStr">
        <is>
          <t>SGD</t>
        </is>
      </c>
      <c r="C4919" s="196" t="inlineStr">
        <is>
          <t>SINGAPORE DOLLAR</t>
        </is>
      </c>
      <c r="D4919" s="184" t="n">
        <v>19908.35</v>
      </c>
      <c r="E4919" s="184" t="n">
        <v>20109.44</v>
      </c>
      <c r="F4919" s="184" t="n">
        <v>20795.05</v>
      </c>
      <c r="G4919" s="184" t="n">
        <v>20452.24</v>
      </c>
    </row>
    <row r="4920">
      <c r="A4920" s="194" t="inlineStr">
        <is>
          <t>2026-01-12</t>
        </is>
      </c>
      <c r="B4920" s="194" t="inlineStr">
        <is>
          <t>THB</t>
        </is>
      </c>
      <c r="C4920" s="194" t="inlineStr">
        <is>
          <t>THAILAND BAHT</t>
        </is>
      </c>
      <c r="D4920" s="195" t="n">
        <v>741.65</v>
      </c>
      <c r="E4920" s="195" t="n">
        <v>824.0599999999999</v>
      </c>
      <c r="F4920" s="195" t="n">
        <v>859</v>
      </c>
      <c r="G4920" s="195" t="n">
        <v>841.53</v>
      </c>
    </row>
    <row r="4921">
      <c r="A4921" s="196" t="inlineStr">
        <is>
          <t>2026-01-12</t>
        </is>
      </c>
      <c r="B4921" s="196" t="inlineStr">
        <is>
          <t>USD</t>
        </is>
      </c>
      <c r="C4921" s="196" t="inlineStr">
        <is>
          <t>US DOLLAR</t>
        </is>
      </c>
      <c r="D4921" s="184" t="n">
        <v>26055</v>
      </c>
      <c r="E4921" s="184" t="n">
        <v>26085</v>
      </c>
      <c r="F4921" s="184" t="n">
        <v>26385</v>
      </c>
      <c r="G4921" s="184" t="n">
        <v>26235</v>
      </c>
    </row>
    <row r="4922">
      <c r="A4922" s="194" t="inlineStr">
        <is>
          <t>2026-01-11</t>
        </is>
      </c>
      <c r="B4922" s="194" t="inlineStr">
        <is>
          <t>AUD</t>
        </is>
      </c>
      <c r="C4922" s="194" t="inlineStr">
        <is>
          <t>AUSTRALIAN DOLLAR</t>
        </is>
      </c>
      <c r="D4922" s="195" t="n">
        <v>17109.49</v>
      </c>
      <c r="E4922" s="195" t="n">
        <v>17282.32</v>
      </c>
      <c r="F4922" s="195" t="n">
        <v>17835.82</v>
      </c>
      <c r="G4922" s="195" t="n">
        <v>17559.07</v>
      </c>
    </row>
    <row r="4923">
      <c r="A4923" s="196" t="inlineStr">
        <is>
          <t>2026-01-11</t>
        </is>
      </c>
      <c r="B4923" s="196" t="inlineStr">
        <is>
          <t>CAD</t>
        </is>
      </c>
      <c r="C4923" s="196" t="inlineStr">
        <is>
          <t>CANADIAN DOLLAR</t>
        </is>
      </c>
      <c r="D4923" s="184" t="n">
        <v>18402.54</v>
      </c>
      <c r="E4923" s="184" t="n">
        <v>18588.42</v>
      </c>
      <c r="F4923" s="184" t="n">
        <v>19183.75</v>
      </c>
      <c r="G4923" s="184" t="n">
        <v>18886.08</v>
      </c>
    </row>
    <row r="4924">
      <c r="A4924" s="194" t="inlineStr">
        <is>
          <t>2026-01-11</t>
        </is>
      </c>
      <c r="B4924" s="194" t="inlineStr">
        <is>
          <t>CHF</t>
        </is>
      </c>
      <c r="C4924" s="194" t="inlineStr">
        <is>
          <t>SWISS FRANC</t>
        </is>
      </c>
      <c r="D4924" s="195" t="n">
        <v>31960.36</v>
      </c>
      <c r="E4924" s="195" t="n">
        <v>32283.2</v>
      </c>
      <c r="F4924" s="195" t="n">
        <v>33317.13</v>
      </c>
      <c r="G4924" s="195" t="n">
        <v>32800.16</v>
      </c>
    </row>
    <row r="4925">
      <c r="A4925" s="196" t="inlineStr">
        <is>
          <t>2026-01-11</t>
        </is>
      </c>
      <c r="B4925" s="196" t="inlineStr">
        <is>
          <t>CNY</t>
        </is>
      </c>
      <c r="C4925" s="196" t="inlineStr">
        <is>
          <t>YUAN RENMINBI</t>
        </is>
      </c>
      <c r="D4925" s="184" t="n">
        <v>3669.59</v>
      </c>
      <c r="E4925" s="184" t="n">
        <v>3706.65</v>
      </c>
      <c r="F4925" s="184" t="n">
        <v>3825.37</v>
      </c>
      <c r="G4925" s="184" t="n">
        <v>3766.01</v>
      </c>
    </row>
    <row r="4926">
      <c r="A4926" s="194" t="inlineStr">
        <is>
          <t>2026-01-11</t>
        </is>
      </c>
      <c r="B4926" s="194" t="inlineStr">
        <is>
          <t>DKK</t>
        </is>
      </c>
      <c r="C4926" s="194" t="inlineStr">
        <is>
          <t>DANISH KRONE</t>
        </is>
      </c>
      <c r="D4926" s="195" t="n"/>
      <c r="E4926" s="195" t="n">
        <v>4015.68</v>
      </c>
      <c r="F4926" s="195" t="n">
        <v>4169.23</v>
      </c>
      <c r="G4926" s="195" t="n">
        <v>4092.46</v>
      </c>
    </row>
    <row r="4927">
      <c r="A4927" s="196" t="inlineStr">
        <is>
          <t>2026-01-11</t>
        </is>
      </c>
      <c r="B4927" s="196" t="inlineStr">
        <is>
          <t>EUR</t>
        </is>
      </c>
      <c r="C4927" s="196" t="inlineStr">
        <is>
          <t>EURO</t>
        </is>
      </c>
      <c r="D4927" s="184" t="n">
        <v>29788.03</v>
      </c>
      <c r="E4927" s="184" t="n">
        <v>30088.92</v>
      </c>
      <c r="F4927" s="184" t="n">
        <v>31358.51</v>
      </c>
      <c r="G4927" s="184" t="n">
        <v>30723.71</v>
      </c>
    </row>
    <row r="4928">
      <c r="A4928" s="194" t="inlineStr">
        <is>
          <t>2026-01-11</t>
        </is>
      </c>
      <c r="B4928" s="194" t="inlineStr">
        <is>
          <t>GBP</t>
        </is>
      </c>
      <c r="C4928" s="194" t="inlineStr">
        <is>
          <t>POUND STERLING</t>
        </is>
      </c>
      <c r="D4928" s="195" t="n">
        <v>34298.34</v>
      </c>
      <c r="E4928" s="195" t="n">
        <v>34644.79</v>
      </c>
      <c r="F4928" s="195" t="n">
        <v>35754.36</v>
      </c>
      <c r="G4928" s="195" t="n">
        <v>35199.57</v>
      </c>
    </row>
    <row r="4929">
      <c r="A4929" s="196" t="inlineStr">
        <is>
          <t>2026-01-11</t>
        </is>
      </c>
      <c r="B4929" s="196" t="inlineStr">
        <is>
          <t>HKD</t>
        </is>
      </c>
      <c r="C4929" s="196" t="inlineStr">
        <is>
          <t>HONGKONG DOLLAR</t>
        </is>
      </c>
      <c r="D4929" s="184" t="n">
        <v>3275.17</v>
      </c>
      <c r="E4929" s="184" t="n">
        <v>3308.25</v>
      </c>
      <c r="F4929" s="184" t="n">
        <v>3434.76</v>
      </c>
      <c r="G4929" s="184" t="n">
        <v>3371.5</v>
      </c>
    </row>
    <row r="4930">
      <c r="A4930" s="194" t="inlineStr">
        <is>
          <t>2026-01-11</t>
        </is>
      </c>
      <c r="B4930" s="194" t="inlineStr">
        <is>
          <t>INR</t>
        </is>
      </c>
      <c r="C4930" s="194" t="inlineStr">
        <is>
          <t>INDIAN RUPEE</t>
        </is>
      </c>
      <c r="D4930" s="195" t="n"/>
      <c r="E4930" s="195" t="n">
        <v>289.52</v>
      </c>
      <c r="F4930" s="195" t="n">
        <v>301.98</v>
      </c>
      <c r="G4930" s="195" t="n">
        <v>295.75</v>
      </c>
    </row>
    <row r="4931">
      <c r="A4931" s="196" t="inlineStr">
        <is>
          <t>2026-01-11</t>
        </is>
      </c>
      <c r="B4931" s="196" t="inlineStr">
        <is>
          <t>JPY</t>
        </is>
      </c>
      <c r="C4931" s="196" t="inlineStr">
        <is>
          <t>YEN</t>
        </is>
      </c>
      <c r="D4931" s="184" t="n">
        <v>160.59</v>
      </c>
      <c r="E4931" s="184" t="n">
        <v>162.21</v>
      </c>
      <c r="F4931" s="184" t="n">
        <v>170.79</v>
      </c>
      <c r="G4931" s="184" t="n">
        <v>166.5</v>
      </c>
    </row>
    <row r="4932">
      <c r="A4932" s="194" t="inlineStr">
        <is>
          <t>2026-01-11</t>
        </is>
      </c>
      <c r="B4932" s="194" t="inlineStr">
        <is>
          <t>KRW</t>
        </is>
      </c>
      <c r="C4932" s="194" t="inlineStr">
        <is>
          <t>KOREAN WON</t>
        </is>
      </c>
      <c r="D4932" s="195" t="n">
        <v>15.59</v>
      </c>
      <c r="E4932" s="195" t="n">
        <v>17.32</v>
      </c>
      <c r="F4932" s="195" t="n">
        <v>18.8</v>
      </c>
      <c r="G4932" s="195" t="n">
        <v>18.06</v>
      </c>
    </row>
    <row r="4933">
      <c r="A4933" s="196" t="inlineStr">
        <is>
          <t>2026-01-11</t>
        </is>
      </c>
      <c r="B4933" s="196" t="inlineStr">
        <is>
          <t>KWD</t>
        </is>
      </c>
      <c r="C4933" s="196" t="inlineStr">
        <is>
          <t>KUWAITI DINAR</t>
        </is>
      </c>
      <c r="D4933" s="184" t="n"/>
      <c r="E4933" s="184" t="n">
        <v>85469.25</v>
      </c>
      <c r="F4933" s="184" t="n">
        <v>89611.97</v>
      </c>
      <c r="G4933" s="184" t="n">
        <v>87540.61</v>
      </c>
    </row>
    <row r="4934">
      <c r="A4934" s="194" t="inlineStr">
        <is>
          <t>2026-01-11</t>
        </is>
      </c>
      <c r="B4934" s="194" t="inlineStr">
        <is>
          <t>MYR</t>
        </is>
      </c>
      <c r="C4934" s="194" t="inlineStr">
        <is>
          <t>MALAYSIAN RINGGIT</t>
        </is>
      </c>
      <c r="D4934" s="195" t="n"/>
      <c r="E4934" s="195" t="n">
        <v>6385.77</v>
      </c>
      <c r="F4934" s="195" t="n">
        <v>6524.71</v>
      </c>
      <c r="G4934" s="195" t="n">
        <v>6455.24</v>
      </c>
    </row>
    <row r="4935">
      <c r="A4935" s="196" t="inlineStr">
        <is>
          <t>2026-01-11</t>
        </is>
      </c>
      <c r="B4935" s="196" t="inlineStr">
        <is>
          <t>NOK</t>
        </is>
      </c>
      <c r="C4935" s="196" t="inlineStr">
        <is>
          <t>NORWEGIAN KRONER</t>
        </is>
      </c>
      <c r="D4935" s="184" t="n"/>
      <c r="E4935" s="184" t="n">
        <v>2553.79</v>
      </c>
      <c r="F4935" s="184" t="n">
        <v>2662.08</v>
      </c>
      <c r="G4935" s="184" t="n">
        <v>2607.94</v>
      </c>
    </row>
    <row r="4936">
      <c r="A4936" s="194" t="inlineStr">
        <is>
          <t>2026-01-11</t>
        </is>
      </c>
      <c r="B4936" s="194" t="inlineStr">
        <is>
          <t>RUB</t>
        </is>
      </c>
      <c r="C4936" s="194" t="inlineStr">
        <is>
          <t>RUSSIAN RUBLE</t>
        </is>
      </c>
      <c r="D4936" s="195" t="n"/>
      <c r="E4936" s="195" t="n">
        <v>316.47</v>
      </c>
      <c r="F4936" s="195" t="n">
        <v>350.32</v>
      </c>
      <c r="G4936" s="195" t="n">
        <v>333.4</v>
      </c>
    </row>
    <row r="4937">
      <c r="A4937" s="196" t="inlineStr">
        <is>
          <t>2026-01-11</t>
        </is>
      </c>
      <c r="B4937" s="196" t="inlineStr">
        <is>
          <t>SAR</t>
        </is>
      </c>
      <c r="C4937" s="196" t="inlineStr">
        <is>
          <t>SAUDI RIAL</t>
        </is>
      </c>
      <c r="D4937" s="184" t="n"/>
      <c r="E4937" s="184" t="n">
        <v>6965.17</v>
      </c>
      <c r="F4937" s="184" t="n">
        <v>7264.94</v>
      </c>
      <c r="G4937" s="184" t="n">
        <v>7115.06</v>
      </c>
    </row>
    <row r="4938">
      <c r="A4938" s="194" t="inlineStr">
        <is>
          <t>2026-01-11</t>
        </is>
      </c>
      <c r="B4938" s="194" t="inlineStr">
        <is>
          <t>SEK</t>
        </is>
      </c>
      <c r="C4938" s="194" t="inlineStr">
        <is>
          <t>SWEDISH KRONA</t>
        </is>
      </c>
      <c r="D4938" s="195" t="n"/>
      <c r="E4938" s="195" t="n">
        <v>2798.71</v>
      </c>
      <c r="F4938" s="195" t="n">
        <v>2917.39</v>
      </c>
      <c r="G4938" s="195" t="n">
        <v>2858.05</v>
      </c>
    </row>
    <row r="4939">
      <c r="A4939" s="196" t="inlineStr">
        <is>
          <t>2026-01-11</t>
        </is>
      </c>
      <c r="B4939" s="196" t="inlineStr">
        <is>
          <t>SGD</t>
        </is>
      </c>
      <c r="C4939" s="196" t="inlineStr">
        <is>
          <t>SINGAPORE DOLLAR</t>
        </is>
      </c>
      <c r="D4939" s="184" t="n">
        <v>19875.86</v>
      </c>
      <c r="E4939" s="184" t="n">
        <v>20076.63</v>
      </c>
      <c r="F4939" s="184" t="n">
        <v>20761.12</v>
      </c>
      <c r="G4939" s="184" t="n">
        <v>20418.88</v>
      </c>
    </row>
    <row r="4940">
      <c r="A4940" s="194" t="inlineStr">
        <is>
          <t>2026-01-11</t>
        </is>
      </c>
      <c r="B4940" s="194" t="inlineStr">
        <is>
          <t>THB</t>
        </is>
      </c>
      <c r="C4940" s="194" t="inlineStr">
        <is>
          <t>THAILAND BAHT</t>
        </is>
      </c>
      <c r="D4940" s="195" t="n">
        <v>739.05</v>
      </c>
      <c r="E4940" s="195" t="n">
        <v>821.16</v>
      </c>
      <c r="F4940" s="195" t="n">
        <v>855.98</v>
      </c>
      <c r="G4940" s="195" t="n">
        <v>838.5700000000001</v>
      </c>
    </row>
    <row r="4941">
      <c r="A4941" s="196" t="inlineStr">
        <is>
          <t>2026-01-11</t>
        </is>
      </c>
      <c r="B4941" s="196" t="inlineStr">
        <is>
          <t>USD</t>
        </is>
      </c>
      <c r="C4941" s="196" t="inlineStr">
        <is>
          <t>US DOLLAR</t>
        </is>
      </c>
      <c r="D4941" s="184" t="n">
        <v>26057</v>
      </c>
      <c r="E4941" s="184" t="n">
        <v>26087</v>
      </c>
      <c r="F4941" s="184" t="n">
        <v>26387</v>
      </c>
      <c r="G4941" s="184" t="n">
        <v>26237</v>
      </c>
    </row>
    <row r="4942">
      <c r="A4942" s="194" t="inlineStr">
        <is>
          <t>2026-01-10</t>
        </is>
      </c>
      <c r="B4942" s="194" t="inlineStr">
        <is>
          <t>AUD</t>
        </is>
      </c>
      <c r="C4942" s="194" t="inlineStr">
        <is>
          <t>AUSTRALIAN DOLLAR</t>
        </is>
      </c>
      <c r="D4942" s="195" t="n">
        <v>17109.49</v>
      </c>
      <c r="E4942" s="195" t="n">
        <v>17282.32</v>
      </c>
      <c r="F4942" s="195" t="n">
        <v>17835.82</v>
      </c>
      <c r="G4942" s="195" t="n">
        <v>17559.07</v>
      </c>
    </row>
    <row r="4943">
      <c r="A4943" s="196" t="inlineStr">
        <is>
          <t>2026-01-10</t>
        </is>
      </c>
      <c r="B4943" s="196" t="inlineStr">
        <is>
          <t>CAD</t>
        </is>
      </c>
      <c r="C4943" s="196" t="inlineStr">
        <is>
          <t>CANADIAN DOLLAR</t>
        </is>
      </c>
      <c r="D4943" s="184" t="n">
        <v>18402.54</v>
      </c>
      <c r="E4943" s="184" t="n">
        <v>18588.42</v>
      </c>
      <c r="F4943" s="184" t="n">
        <v>19183.75</v>
      </c>
      <c r="G4943" s="184" t="n">
        <v>18886.08</v>
      </c>
    </row>
    <row r="4944">
      <c r="A4944" s="194" t="inlineStr">
        <is>
          <t>2026-01-10</t>
        </is>
      </c>
      <c r="B4944" s="194" t="inlineStr">
        <is>
          <t>CHF</t>
        </is>
      </c>
      <c r="C4944" s="194" t="inlineStr">
        <is>
          <t>SWISS FRANC</t>
        </is>
      </c>
      <c r="D4944" s="195" t="n">
        <v>31960.36</v>
      </c>
      <c r="E4944" s="195" t="n">
        <v>32283.2</v>
      </c>
      <c r="F4944" s="195" t="n">
        <v>33317.13</v>
      </c>
      <c r="G4944" s="195" t="n">
        <v>32800.16</v>
      </c>
    </row>
    <row r="4945">
      <c r="A4945" s="196" t="inlineStr">
        <is>
          <t>2026-01-10</t>
        </is>
      </c>
      <c r="B4945" s="196" t="inlineStr">
        <is>
          <t>CNY</t>
        </is>
      </c>
      <c r="C4945" s="196" t="inlineStr">
        <is>
          <t>YUAN RENMINBI</t>
        </is>
      </c>
      <c r="D4945" s="184" t="n">
        <v>3669.59</v>
      </c>
      <c r="E4945" s="184" t="n">
        <v>3706.65</v>
      </c>
      <c r="F4945" s="184" t="n">
        <v>3825.37</v>
      </c>
      <c r="G4945" s="184" t="n">
        <v>3766.01</v>
      </c>
    </row>
    <row r="4946">
      <c r="A4946" s="194" t="inlineStr">
        <is>
          <t>2026-01-10</t>
        </is>
      </c>
      <c r="B4946" s="194" t="inlineStr">
        <is>
          <t>DKK</t>
        </is>
      </c>
      <c r="C4946" s="194" t="inlineStr">
        <is>
          <t>DANISH KRONE</t>
        </is>
      </c>
      <c r="D4946" s="195" t="n"/>
      <c r="E4946" s="195" t="n">
        <v>4015.68</v>
      </c>
      <c r="F4946" s="195" t="n">
        <v>4169.23</v>
      </c>
      <c r="G4946" s="195" t="n">
        <v>4092.46</v>
      </c>
    </row>
    <row r="4947">
      <c r="A4947" s="196" t="inlineStr">
        <is>
          <t>2026-01-10</t>
        </is>
      </c>
      <c r="B4947" s="196" t="inlineStr">
        <is>
          <t>EUR</t>
        </is>
      </c>
      <c r="C4947" s="196" t="inlineStr">
        <is>
          <t>EURO</t>
        </is>
      </c>
      <c r="D4947" s="184" t="n">
        <v>29788.03</v>
      </c>
      <c r="E4947" s="184" t="n">
        <v>30088.92</v>
      </c>
      <c r="F4947" s="184" t="n">
        <v>31358.51</v>
      </c>
      <c r="G4947" s="184" t="n">
        <v>30723.71</v>
      </c>
    </row>
    <row r="4948">
      <c r="A4948" s="194" t="inlineStr">
        <is>
          <t>2026-01-10</t>
        </is>
      </c>
      <c r="B4948" s="194" t="inlineStr">
        <is>
          <t>GBP</t>
        </is>
      </c>
      <c r="C4948" s="194" t="inlineStr">
        <is>
          <t>POUND STERLING</t>
        </is>
      </c>
      <c r="D4948" s="195" t="n">
        <v>34298.34</v>
      </c>
      <c r="E4948" s="195" t="n">
        <v>34644.79</v>
      </c>
      <c r="F4948" s="195" t="n">
        <v>35754.36</v>
      </c>
      <c r="G4948" s="195" t="n">
        <v>35199.57</v>
      </c>
    </row>
    <row r="4949">
      <c r="A4949" s="196" t="inlineStr">
        <is>
          <t>2026-01-10</t>
        </is>
      </c>
      <c r="B4949" s="196" t="inlineStr">
        <is>
          <t>HKD</t>
        </is>
      </c>
      <c r="C4949" s="196" t="inlineStr">
        <is>
          <t>HONGKONG DOLLAR</t>
        </is>
      </c>
      <c r="D4949" s="184" t="n">
        <v>3275.17</v>
      </c>
      <c r="E4949" s="184" t="n">
        <v>3308.25</v>
      </c>
      <c r="F4949" s="184" t="n">
        <v>3434.76</v>
      </c>
      <c r="G4949" s="184" t="n">
        <v>3371.5</v>
      </c>
    </row>
    <row r="4950">
      <c r="A4950" s="194" t="inlineStr">
        <is>
          <t>2026-01-10</t>
        </is>
      </c>
      <c r="B4950" s="194" t="inlineStr">
        <is>
          <t>INR</t>
        </is>
      </c>
      <c r="C4950" s="194" t="inlineStr">
        <is>
          <t>INDIAN RUPEE</t>
        </is>
      </c>
      <c r="D4950" s="195" t="n"/>
      <c r="E4950" s="195" t="n">
        <v>289.52</v>
      </c>
      <c r="F4950" s="195" t="n">
        <v>301.98</v>
      </c>
      <c r="G4950" s="195" t="n">
        <v>295.75</v>
      </c>
    </row>
    <row r="4951">
      <c r="A4951" s="196" t="inlineStr">
        <is>
          <t>2026-01-10</t>
        </is>
      </c>
      <c r="B4951" s="196" t="inlineStr">
        <is>
          <t>JPY</t>
        </is>
      </c>
      <c r="C4951" s="196" t="inlineStr">
        <is>
          <t>YEN</t>
        </is>
      </c>
      <c r="D4951" s="184" t="n">
        <v>160.59</v>
      </c>
      <c r="E4951" s="184" t="n">
        <v>162.21</v>
      </c>
      <c r="F4951" s="184" t="n">
        <v>170.79</v>
      </c>
      <c r="G4951" s="184" t="n">
        <v>166.5</v>
      </c>
    </row>
    <row r="4952">
      <c r="A4952" s="194" t="inlineStr">
        <is>
          <t>2026-01-10</t>
        </is>
      </c>
      <c r="B4952" s="194" t="inlineStr">
        <is>
          <t>KRW</t>
        </is>
      </c>
      <c r="C4952" s="194" t="inlineStr">
        <is>
          <t>KOREAN WON</t>
        </is>
      </c>
      <c r="D4952" s="195" t="n">
        <v>15.59</v>
      </c>
      <c r="E4952" s="195" t="n">
        <v>17.32</v>
      </c>
      <c r="F4952" s="195" t="n">
        <v>18.8</v>
      </c>
      <c r="G4952" s="195" t="n">
        <v>18.06</v>
      </c>
    </row>
    <row r="4953">
      <c r="A4953" s="196" t="inlineStr">
        <is>
          <t>2026-01-10</t>
        </is>
      </c>
      <c r="B4953" s="196" t="inlineStr">
        <is>
          <t>KWD</t>
        </is>
      </c>
      <c r="C4953" s="196" t="inlineStr">
        <is>
          <t>KUWAITI DINAR</t>
        </is>
      </c>
      <c r="D4953" s="184" t="n"/>
      <c r="E4953" s="184" t="n">
        <v>85469.25</v>
      </c>
      <c r="F4953" s="184" t="n">
        <v>89611.97</v>
      </c>
      <c r="G4953" s="184" t="n">
        <v>87540.61</v>
      </c>
    </row>
    <row r="4954">
      <c r="A4954" s="194" t="inlineStr">
        <is>
          <t>2026-01-10</t>
        </is>
      </c>
      <c r="B4954" s="194" t="inlineStr">
        <is>
          <t>MYR</t>
        </is>
      </c>
      <c r="C4954" s="194" t="inlineStr">
        <is>
          <t>MALAYSIAN RINGGIT</t>
        </is>
      </c>
      <c r="D4954" s="195" t="n"/>
      <c r="E4954" s="195" t="n">
        <v>6385.77</v>
      </c>
      <c r="F4954" s="195" t="n">
        <v>6524.71</v>
      </c>
      <c r="G4954" s="195" t="n">
        <v>6455.24</v>
      </c>
    </row>
    <row r="4955">
      <c r="A4955" s="196" t="inlineStr">
        <is>
          <t>2026-01-10</t>
        </is>
      </c>
      <c r="B4955" s="196" t="inlineStr">
        <is>
          <t>NOK</t>
        </is>
      </c>
      <c r="C4955" s="196" t="inlineStr">
        <is>
          <t>NORWEGIAN KRONER</t>
        </is>
      </c>
      <c r="D4955" s="184" t="n"/>
      <c r="E4955" s="184" t="n">
        <v>2553.79</v>
      </c>
      <c r="F4955" s="184" t="n">
        <v>2662.08</v>
      </c>
      <c r="G4955" s="184" t="n">
        <v>2607.94</v>
      </c>
    </row>
    <row r="4956">
      <c r="A4956" s="194" t="inlineStr">
        <is>
          <t>2026-01-10</t>
        </is>
      </c>
      <c r="B4956" s="194" t="inlineStr">
        <is>
          <t>RUB</t>
        </is>
      </c>
      <c r="C4956" s="194" t="inlineStr">
        <is>
          <t>RUSSIAN RUBLE</t>
        </is>
      </c>
      <c r="D4956" s="195" t="n"/>
      <c r="E4956" s="195" t="n">
        <v>316.47</v>
      </c>
      <c r="F4956" s="195" t="n">
        <v>350.32</v>
      </c>
      <c r="G4956" s="195" t="n">
        <v>333.4</v>
      </c>
    </row>
    <row r="4957">
      <c r="A4957" s="196" t="inlineStr">
        <is>
          <t>2026-01-10</t>
        </is>
      </c>
      <c r="B4957" s="196" t="inlineStr">
        <is>
          <t>SAR</t>
        </is>
      </c>
      <c r="C4957" s="196" t="inlineStr">
        <is>
          <t>SAUDI RIAL</t>
        </is>
      </c>
      <c r="D4957" s="184" t="n"/>
      <c r="E4957" s="184" t="n">
        <v>6965.17</v>
      </c>
      <c r="F4957" s="184" t="n">
        <v>7264.94</v>
      </c>
      <c r="G4957" s="184" t="n">
        <v>7115.06</v>
      </c>
    </row>
    <row r="4958">
      <c r="A4958" s="194" t="inlineStr">
        <is>
          <t>2026-01-10</t>
        </is>
      </c>
      <c r="B4958" s="194" t="inlineStr">
        <is>
          <t>SEK</t>
        </is>
      </c>
      <c r="C4958" s="194" t="inlineStr">
        <is>
          <t>SWEDISH KRONA</t>
        </is>
      </c>
      <c r="D4958" s="195" t="n"/>
      <c r="E4958" s="195" t="n">
        <v>2798.71</v>
      </c>
      <c r="F4958" s="195" t="n">
        <v>2917.39</v>
      </c>
      <c r="G4958" s="195" t="n">
        <v>2858.05</v>
      </c>
    </row>
    <row r="4959">
      <c r="A4959" s="196" t="inlineStr">
        <is>
          <t>2026-01-10</t>
        </is>
      </c>
      <c r="B4959" s="196" t="inlineStr">
        <is>
          <t>SGD</t>
        </is>
      </c>
      <c r="C4959" s="196" t="inlineStr">
        <is>
          <t>SINGAPORE DOLLAR</t>
        </is>
      </c>
      <c r="D4959" s="184" t="n">
        <v>19875.86</v>
      </c>
      <c r="E4959" s="184" t="n">
        <v>20076.63</v>
      </c>
      <c r="F4959" s="184" t="n">
        <v>20761.12</v>
      </c>
      <c r="G4959" s="184" t="n">
        <v>20418.88</v>
      </c>
    </row>
    <row r="4960">
      <c r="A4960" s="194" t="inlineStr">
        <is>
          <t>2026-01-10</t>
        </is>
      </c>
      <c r="B4960" s="194" t="inlineStr">
        <is>
          <t>THB</t>
        </is>
      </c>
      <c r="C4960" s="194" t="inlineStr">
        <is>
          <t>THAILAND BAHT</t>
        </is>
      </c>
      <c r="D4960" s="195" t="n">
        <v>739.05</v>
      </c>
      <c r="E4960" s="195" t="n">
        <v>821.16</v>
      </c>
      <c r="F4960" s="195" t="n">
        <v>855.98</v>
      </c>
      <c r="G4960" s="195" t="n">
        <v>838.5700000000001</v>
      </c>
    </row>
    <row r="4961">
      <c r="A4961" s="196" t="inlineStr">
        <is>
          <t>2026-01-10</t>
        </is>
      </c>
      <c r="B4961" s="196" t="inlineStr">
        <is>
          <t>USD</t>
        </is>
      </c>
      <c r="C4961" s="196" t="inlineStr">
        <is>
          <t>US DOLLAR</t>
        </is>
      </c>
      <c r="D4961" s="184" t="n">
        <v>26057</v>
      </c>
      <c r="E4961" s="184" t="n">
        <v>26087</v>
      </c>
      <c r="F4961" s="184" t="n">
        <v>26387</v>
      </c>
      <c r="G4961" s="184" t="n">
        <v>26237</v>
      </c>
    </row>
    <row r="4962">
      <c r="A4962" s="194" t="inlineStr">
        <is>
          <t>2026-01-09</t>
        </is>
      </c>
      <c r="B4962" s="194" t="inlineStr">
        <is>
          <t>AUD</t>
        </is>
      </c>
      <c r="C4962" s="194" t="inlineStr">
        <is>
          <t>AUSTRALIAN DOLLAR</t>
        </is>
      </c>
      <c r="D4962" s="195" t="n">
        <v>17137.65</v>
      </c>
      <c r="E4962" s="195" t="n">
        <v>17310.76</v>
      </c>
      <c r="F4962" s="195" t="n">
        <v>17865.17</v>
      </c>
      <c r="G4962" s="195" t="n">
        <v>17587.96</v>
      </c>
    </row>
    <row r="4963">
      <c r="A4963" s="196" t="inlineStr">
        <is>
          <t>2026-01-09</t>
        </is>
      </c>
      <c r="B4963" s="196" t="inlineStr">
        <is>
          <t>CAD</t>
        </is>
      </c>
      <c r="C4963" s="196" t="inlineStr">
        <is>
          <t>CANADIAN DOLLAR</t>
        </is>
      </c>
      <c r="D4963" s="184" t="n">
        <v>18463.58</v>
      </c>
      <c r="E4963" s="184" t="n">
        <v>18650.08</v>
      </c>
      <c r="F4963" s="184" t="n">
        <v>19247.39</v>
      </c>
      <c r="G4963" s="184" t="n">
        <v>18948.74</v>
      </c>
    </row>
    <row r="4964">
      <c r="A4964" s="194" t="inlineStr">
        <is>
          <t>2026-01-09</t>
        </is>
      </c>
      <c r="B4964" s="194" t="inlineStr">
        <is>
          <t>CHF</t>
        </is>
      </c>
      <c r="C4964" s="194" t="inlineStr">
        <is>
          <t>SWISS FRANC</t>
        </is>
      </c>
      <c r="D4964" s="195" t="n">
        <v>32044.37</v>
      </c>
      <c r="E4964" s="195" t="n">
        <v>32368.05</v>
      </c>
      <c r="F4964" s="195" t="n">
        <v>33404.7</v>
      </c>
      <c r="G4964" s="195" t="n">
        <v>32886.38</v>
      </c>
    </row>
    <row r="4965">
      <c r="A4965" s="196" t="inlineStr">
        <is>
          <t>2026-01-09</t>
        </is>
      </c>
      <c r="B4965" s="196" t="inlineStr">
        <is>
          <t>CNY</t>
        </is>
      </c>
      <c r="C4965" s="196" t="inlineStr">
        <is>
          <t>YUAN RENMINBI</t>
        </is>
      </c>
      <c r="D4965" s="184" t="n">
        <v>3666.28</v>
      </c>
      <c r="E4965" s="184" t="n">
        <v>3703.31</v>
      </c>
      <c r="F4965" s="184" t="n">
        <v>3821.92</v>
      </c>
      <c r="G4965" s="184" t="n">
        <v>3762.62</v>
      </c>
    </row>
    <row r="4966">
      <c r="A4966" s="194" t="inlineStr">
        <is>
          <t>2026-01-09</t>
        </is>
      </c>
      <c r="B4966" s="194" t="inlineStr">
        <is>
          <t>DKK</t>
        </is>
      </c>
      <c r="C4966" s="194" t="inlineStr">
        <is>
          <t>DANISH KRONE</t>
        </is>
      </c>
      <c r="D4966" s="195" t="n"/>
      <c r="E4966" s="195" t="n">
        <v>4021.81</v>
      </c>
      <c r="F4966" s="195" t="n">
        <v>4175.61</v>
      </c>
      <c r="G4966" s="195" t="n">
        <v>4098.71</v>
      </c>
    </row>
    <row r="4967">
      <c r="A4967" s="196" t="inlineStr">
        <is>
          <t>2026-01-09</t>
        </is>
      </c>
      <c r="B4967" s="196" t="inlineStr">
        <is>
          <t>EUR</t>
        </is>
      </c>
      <c r="C4967" s="196" t="inlineStr">
        <is>
          <t>EURO</t>
        </is>
      </c>
      <c r="D4967" s="184" t="n">
        <v>29828.99</v>
      </c>
      <c r="E4967" s="184" t="n">
        <v>30130.29</v>
      </c>
      <c r="F4967" s="184" t="n">
        <v>31401.63</v>
      </c>
      <c r="G4967" s="184" t="n">
        <v>30765.96</v>
      </c>
    </row>
    <row r="4968">
      <c r="A4968" s="194" t="inlineStr">
        <is>
          <t>2026-01-09</t>
        </is>
      </c>
      <c r="B4968" s="194" t="inlineStr">
        <is>
          <t>GBP</t>
        </is>
      </c>
      <c r="C4968" s="194" t="inlineStr">
        <is>
          <t>POUND STERLING</t>
        </is>
      </c>
      <c r="D4968" s="195" t="n">
        <v>34380.25</v>
      </c>
      <c r="E4968" s="195" t="n">
        <v>34727.53</v>
      </c>
      <c r="F4968" s="195" t="n">
        <v>35839.75</v>
      </c>
      <c r="G4968" s="195" t="n">
        <v>35283.64</v>
      </c>
    </row>
    <row r="4969">
      <c r="A4969" s="196" t="inlineStr">
        <is>
          <t>2026-01-09</t>
        </is>
      </c>
      <c r="B4969" s="196" t="inlineStr">
        <is>
          <t>HKD</t>
        </is>
      </c>
      <c r="C4969" s="196" t="inlineStr">
        <is>
          <t>HONGKONG DOLLAR</t>
        </is>
      </c>
      <c r="D4969" s="184" t="n">
        <v>3275.59</v>
      </c>
      <c r="E4969" s="184" t="n">
        <v>3308.68</v>
      </c>
      <c r="F4969" s="184" t="n">
        <v>3435.2</v>
      </c>
      <c r="G4969" s="184" t="n">
        <v>3371.94</v>
      </c>
    </row>
    <row r="4970">
      <c r="A4970" s="194" t="inlineStr">
        <is>
          <t>2026-01-09</t>
        </is>
      </c>
      <c r="B4970" s="194" t="inlineStr">
        <is>
          <t>INR</t>
        </is>
      </c>
      <c r="C4970" s="194" t="inlineStr">
        <is>
          <t>INDIAN RUPEE</t>
        </is>
      </c>
      <c r="D4970" s="195" t="n"/>
      <c r="E4970" s="195" t="n">
        <v>290.59</v>
      </c>
      <c r="F4970" s="195" t="n">
        <v>303.09</v>
      </c>
      <c r="G4970" s="195" t="n">
        <v>296.84</v>
      </c>
    </row>
    <row r="4971">
      <c r="A4971" s="196" t="inlineStr">
        <is>
          <t>2026-01-09</t>
        </is>
      </c>
      <c r="B4971" s="196" t="inlineStr">
        <is>
          <t>JPY</t>
        </is>
      </c>
      <c r="C4971" s="196" t="inlineStr">
        <is>
          <t>YEN</t>
        </is>
      </c>
      <c r="D4971" s="184" t="n">
        <v>161.5</v>
      </c>
      <c r="E4971" s="184" t="n">
        <v>163.13</v>
      </c>
      <c r="F4971" s="184" t="n">
        <v>171.76</v>
      </c>
      <c r="G4971" s="184" t="n">
        <v>167.44</v>
      </c>
    </row>
    <row r="4972">
      <c r="A4972" s="194" t="inlineStr">
        <is>
          <t>2026-01-09</t>
        </is>
      </c>
      <c r="B4972" s="194" t="inlineStr">
        <is>
          <t>KRW</t>
        </is>
      </c>
      <c r="C4972" s="194" t="inlineStr">
        <is>
          <t>KOREAN WON</t>
        </is>
      </c>
      <c r="D4972" s="195" t="n">
        <v>15.63</v>
      </c>
      <c r="E4972" s="195" t="n">
        <v>17.37</v>
      </c>
      <c r="F4972" s="195" t="n">
        <v>18.84</v>
      </c>
      <c r="G4972" s="195" t="n">
        <v>18.1</v>
      </c>
    </row>
    <row r="4973">
      <c r="A4973" s="196" t="inlineStr">
        <is>
          <t>2026-01-09</t>
        </is>
      </c>
      <c r="B4973" s="196" t="inlineStr">
        <is>
          <t>KWD</t>
        </is>
      </c>
      <c r="C4973" s="196" t="inlineStr">
        <is>
          <t>KUWAITI DINAR</t>
        </is>
      </c>
      <c r="D4973" s="184" t="n"/>
      <c r="E4973" s="184" t="n">
        <v>85469.25</v>
      </c>
      <c r="F4973" s="184" t="n">
        <v>89611.97</v>
      </c>
      <c r="G4973" s="184" t="n">
        <v>87540.61</v>
      </c>
    </row>
    <row r="4974">
      <c r="A4974" s="194" t="inlineStr">
        <is>
          <t>2026-01-09</t>
        </is>
      </c>
      <c r="B4974" s="194" t="inlineStr">
        <is>
          <t>MYR</t>
        </is>
      </c>
      <c r="C4974" s="194" t="inlineStr">
        <is>
          <t>MALAYSIAN RINGGIT</t>
        </is>
      </c>
      <c r="D4974" s="195" t="n"/>
      <c r="E4974" s="195" t="n">
        <v>6393.63</v>
      </c>
      <c r="F4974" s="195" t="n">
        <v>6532.73</v>
      </c>
      <c r="G4974" s="195" t="n">
        <v>6463.18</v>
      </c>
    </row>
    <row r="4975">
      <c r="A4975" s="196" t="inlineStr">
        <is>
          <t>2026-01-09</t>
        </is>
      </c>
      <c r="B4975" s="196" t="inlineStr">
        <is>
          <t>NOK</t>
        </is>
      </c>
      <c r="C4975" s="196" t="inlineStr">
        <is>
          <t>NORWEGIAN KRONER</t>
        </is>
      </c>
      <c r="D4975" s="184" t="n"/>
      <c r="E4975" s="184" t="n">
        <v>2551.11</v>
      </c>
      <c r="F4975" s="184" t="n">
        <v>2659.28</v>
      </c>
      <c r="G4975" s="184" t="n">
        <v>2605.2</v>
      </c>
    </row>
    <row r="4976">
      <c r="A4976" s="194" t="inlineStr">
        <is>
          <t>2026-01-09</t>
        </is>
      </c>
      <c r="B4976" s="194" t="inlineStr">
        <is>
          <t>RUB</t>
        </is>
      </c>
      <c r="C4976" s="194" t="inlineStr">
        <is>
          <t>RUSSIAN RUBLE</t>
        </is>
      </c>
      <c r="D4976" s="195" t="n"/>
      <c r="E4976" s="195" t="n">
        <v>312.11</v>
      </c>
      <c r="F4976" s="195" t="n">
        <v>345.49</v>
      </c>
      <c r="G4976" s="195" t="n">
        <v>328.8</v>
      </c>
    </row>
    <row r="4977">
      <c r="A4977" s="196" t="inlineStr">
        <is>
          <t>2026-01-09</t>
        </is>
      </c>
      <c r="B4977" s="196" t="inlineStr">
        <is>
          <t>SAR</t>
        </is>
      </c>
      <c r="C4977" s="196" t="inlineStr">
        <is>
          <t>SAUDI RIAL</t>
        </is>
      </c>
      <c r="D4977" s="184" t="n"/>
      <c r="E4977" s="184" t="n">
        <v>6965.36</v>
      </c>
      <c r="F4977" s="184" t="n">
        <v>7265.13</v>
      </c>
      <c r="G4977" s="184" t="n">
        <v>7115.24</v>
      </c>
    </row>
    <row r="4978">
      <c r="A4978" s="194" t="inlineStr">
        <is>
          <t>2026-01-09</t>
        </is>
      </c>
      <c r="B4978" s="194" t="inlineStr">
        <is>
          <t>SEK</t>
        </is>
      </c>
      <c r="C4978" s="194" t="inlineStr">
        <is>
          <t>SWEDISH KRONA</t>
        </is>
      </c>
      <c r="D4978" s="195" t="n"/>
      <c r="E4978" s="195" t="n">
        <v>2789.13</v>
      </c>
      <c r="F4978" s="195" t="n">
        <v>2907.39</v>
      </c>
      <c r="G4978" s="195" t="n">
        <v>2848.26</v>
      </c>
    </row>
    <row r="4979">
      <c r="A4979" s="196" t="inlineStr">
        <is>
          <t>2026-01-09</t>
        </is>
      </c>
      <c r="B4979" s="196" t="inlineStr">
        <is>
          <t>SGD</t>
        </is>
      </c>
      <c r="C4979" s="196" t="inlineStr">
        <is>
          <t>SINGAPORE DOLLAR</t>
        </is>
      </c>
      <c r="D4979" s="184" t="n">
        <v>19900.61</v>
      </c>
      <c r="E4979" s="184" t="n">
        <v>20101.62</v>
      </c>
      <c r="F4979" s="184" t="n">
        <v>20786.96</v>
      </c>
      <c r="G4979" s="184" t="n">
        <v>20444.29</v>
      </c>
    </row>
    <row r="4980">
      <c r="A4980" s="194" t="inlineStr">
        <is>
          <t>2026-01-09</t>
        </is>
      </c>
      <c r="B4980" s="194" t="inlineStr">
        <is>
          <t>THB</t>
        </is>
      </c>
      <c r="C4980" s="194" t="inlineStr">
        <is>
          <t>THAILAND BAHT</t>
        </is>
      </c>
      <c r="D4980" s="195" t="n">
        <v>736.46</v>
      </c>
      <c r="E4980" s="195" t="n">
        <v>818.29</v>
      </c>
      <c r="F4980" s="195" t="n">
        <v>852.99</v>
      </c>
      <c r="G4980" s="195" t="n">
        <v>835.64</v>
      </c>
    </row>
    <row r="4981">
      <c r="A4981" s="196" t="inlineStr">
        <is>
          <t>2026-01-09</t>
        </is>
      </c>
      <c r="B4981" s="196" t="inlineStr">
        <is>
          <t>USD</t>
        </is>
      </c>
      <c r="C4981" s="196" t="inlineStr">
        <is>
          <t>US DOLLAR</t>
        </is>
      </c>
      <c r="D4981" s="184" t="n">
        <v>26053</v>
      </c>
      <c r="E4981" s="184" t="n">
        <v>26083</v>
      </c>
      <c r="F4981" s="184" t="n">
        <v>26383</v>
      </c>
      <c r="G4981" s="184" t="n">
        <v>26233</v>
      </c>
    </row>
    <row r="4982">
      <c r="A4982" s="194" t="inlineStr">
        <is>
          <t>2026-01-08</t>
        </is>
      </c>
      <c r="B4982" s="194" t="inlineStr">
        <is>
          <t>AUD</t>
        </is>
      </c>
      <c r="C4982" s="194" t="inlineStr">
        <is>
          <t>AUSTRALIAN DOLLAR</t>
        </is>
      </c>
      <c r="D4982" s="195" t="n">
        <v>17199.09</v>
      </c>
      <c r="E4982" s="195" t="n">
        <v>17372.81</v>
      </c>
      <c r="F4982" s="195" t="n">
        <v>17929.21</v>
      </c>
      <c r="G4982" s="195" t="n">
        <v>17651.01</v>
      </c>
    </row>
    <row r="4983">
      <c r="A4983" s="196" t="inlineStr">
        <is>
          <t>2026-01-08</t>
        </is>
      </c>
      <c r="B4983" s="196" t="inlineStr">
        <is>
          <t>CAD</t>
        </is>
      </c>
      <c r="C4983" s="196" t="inlineStr">
        <is>
          <t>CANADIAN DOLLAR</t>
        </is>
      </c>
      <c r="D4983" s="184" t="n">
        <v>18476.91</v>
      </c>
      <c r="E4983" s="184" t="n">
        <v>18663.54</v>
      </c>
      <c r="F4983" s="184" t="n">
        <v>19261.28</v>
      </c>
      <c r="G4983" s="184" t="n">
        <v>18962.41</v>
      </c>
    </row>
    <row r="4984">
      <c r="A4984" s="194" t="inlineStr">
        <is>
          <t>2026-01-08</t>
        </is>
      </c>
      <c r="B4984" s="194" t="inlineStr">
        <is>
          <t>CHF</t>
        </is>
      </c>
      <c r="C4984" s="194" t="inlineStr">
        <is>
          <t>SWISS FRANC</t>
        </is>
      </c>
      <c r="D4984" s="195" t="n">
        <v>32108.66</v>
      </c>
      <c r="E4984" s="195" t="n">
        <v>32432.99</v>
      </c>
      <c r="F4984" s="195" t="n">
        <v>33471.73</v>
      </c>
      <c r="G4984" s="195" t="n">
        <v>32952.36</v>
      </c>
    </row>
    <row r="4985">
      <c r="A4985" s="196" t="inlineStr">
        <is>
          <t>2026-01-08</t>
        </is>
      </c>
      <c r="B4985" s="196" t="inlineStr">
        <is>
          <t>CNY</t>
        </is>
      </c>
      <c r="C4985" s="196" t="inlineStr">
        <is>
          <t>YUAN RENMINBI</t>
        </is>
      </c>
      <c r="D4985" s="184" t="n">
        <v>3659.47</v>
      </c>
      <c r="E4985" s="184" t="n">
        <v>3696.43</v>
      </c>
      <c r="F4985" s="184" t="n">
        <v>3814.82</v>
      </c>
      <c r="G4985" s="184" t="n">
        <v>3755.62</v>
      </c>
    </row>
    <row r="4986">
      <c r="A4986" s="194" t="inlineStr">
        <is>
          <t>2026-01-08</t>
        </is>
      </c>
      <c r="B4986" s="194" t="inlineStr">
        <is>
          <t>DKK</t>
        </is>
      </c>
      <c r="C4986" s="194" t="inlineStr">
        <is>
          <t>DANISH KRONE</t>
        </is>
      </c>
      <c r="D4986" s="195" t="n"/>
      <c r="E4986" s="195" t="n">
        <v>4029.67</v>
      </c>
      <c r="F4986" s="195" t="n">
        <v>4183.76</v>
      </c>
      <c r="G4986" s="195" t="n">
        <v>4106.72</v>
      </c>
    </row>
    <row r="4987">
      <c r="A4987" s="196" t="inlineStr">
        <is>
          <t>2026-01-08</t>
        </is>
      </c>
      <c r="B4987" s="196" t="inlineStr">
        <is>
          <t>EUR</t>
        </is>
      </c>
      <c r="C4987" s="196" t="inlineStr">
        <is>
          <t>EURO</t>
        </is>
      </c>
      <c r="D4987" s="184" t="n">
        <v>29887.86</v>
      </c>
      <c r="E4987" s="184" t="n">
        <v>30189.76</v>
      </c>
      <c r="F4987" s="184" t="n">
        <v>31463.61</v>
      </c>
      <c r="G4987" s="184" t="n">
        <v>30826.68</v>
      </c>
    </row>
    <row r="4988">
      <c r="A4988" s="194" t="inlineStr">
        <is>
          <t>2026-01-08</t>
        </is>
      </c>
      <c r="B4988" s="194" t="inlineStr">
        <is>
          <t>GBP</t>
        </is>
      </c>
      <c r="C4988" s="194" t="inlineStr">
        <is>
          <t>POUND STERLING</t>
        </is>
      </c>
      <c r="D4988" s="195" t="n">
        <v>34444.25</v>
      </c>
      <c r="E4988" s="195" t="n">
        <v>34792.17</v>
      </c>
      <c r="F4988" s="195" t="n">
        <v>35906.46</v>
      </c>
      <c r="G4988" s="195" t="n">
        <v>35349.32</v>
      </c>
    </row>
    <row r="4989">
      <c r="A4989" s="196" t="inlineStr">
        <is>
          <t>2026-01-08</t>
        </is>
      </c>
      <c r="B4989" s="196" t="inlineStr">
        <is>
          <t>HKD</t>
        </is>
      </c>
      <c r="C4989" s="196" t="inlineStr">
        <is>
          <t>HONGKONG DOLLAR</t>
        </is>
      </c>
      <c r="D4989" s="184" t="n">
        <v>3278.33</v>
      </c>
      <c r="E4989" s="184" t="n">
        <v>3311.44</v>
      </c>
      <c r="F4989" s="184" t="n">
        <v>3438.07</v>
      </c>
      <c r="G4989" s="184" t="n">
        <v>3374.76</v>
      </c>
    </row>
    <row r="4990">
      <c r="A4990" s="194" t="inlineStr">
        <is>
          <t>2026-01-08</t>
        </is>
      </c>
      <c r="B4990" s="194" t="inlineStr">
        <is>
          <t>INR</t>
        </is>
      </c>
      <c r="C4990" s="194" t="inlineStr">
        <is>
          <t>INDIAN RUPEE</t>
        </is>
      </c>
      <c r="D4990" s="195" t="n"/>
      <c r="E4990" s="195" t="n">
        <v>290.69</v>
      </c>
      <c r="F4990" s="195" t="n">
        <v>303.2</v>
      </c>
      <c r="G4990" s="195" t="n">
        <v>296.94</v>
      </c>
    </row>
    <row r="4991">
      <c r="A4991" s="196" t="inlineStr">
        <is>
          <t>2026-01-08</t>
        </is>
      </c>
      <c r="B4991" s="196" t="inlineStr">
        <is>
          <t>JPY</t>
        </is>
      </c>
      <c r="C4991" s="196" t="inlineStr">
        <is>
          <t>YEN</t>
        </is>
      </c>
      <c r="D4991" s="184" t="n">
        <v>161.71</v>
      </c>
      <c r="E4991" s="184" t="n">
        <v>163.35</v>
      </c>
      <c r="F4991" s="184" t="n">
        <v>171.99</v>
      </c>
      <c r="G4991" s="184" t="n">
        <v>167.67</v>
      </c>
    </row>
    <row r="4992">
      <c r="A4992" s="194" t="inlineStr">
        <is>
          <t>2026-01-08</t>
        </is>
      </c>
      <c r="B4992" s="194" t="inlineStr">
        <is>
          <t>KRW</t>
        </is>
      </c>
      <c r="C4992" s="194" t="inlineStr">
        <is>
          <t>KOREAN WON</t>
        </is>
      </c>
      <c r="D4992" s="195" t="n">
        <v>15.7</v>
      </c>
      <c r="E4992" s="195" t="n">
        <v>17.44</v>
      </c>
      <c r="F4992" s="195" t="n">
        <v>18.92</v>
      </c>
      <c r="G4992" s="195" t="n">
        <v>18.18</v>
      </c>
    </row>
    <row r="4993">
      <c r="A4993" s="196" t="inlineStr">
        <is>
          <t>2026-01-08</t>
        </is>
      </c>
      <c r="B4993" s="196" t="inlineStr">
        <is>
          <t>KWD</t>
        </is>
      </c>
      <c r="C4993" s="196" t="inlineStr">
        <is>
          <t>KUWAITI DINAR</t>
        </is>
      </c>
      <c r="D4993" s="184" t="n"/>
      <c r="E4993" s="184" t="n">
        <v>85525.22</v>
      </c>
      <c r="F4993" s="184" t="n">
        <v>89670.64999999999</v>
      </c>
      <c r="G4993" s="184" t="n">
        <v>87597.94</v>
      </c>
    </row>
    <row r="4994">
      <c r="A4994" s="194" t="inlineStr">
        <is>
          <t>2026-01-08</t>
        </is>
      </c>
      <c r="B4994" s="194" t="inlineStr">
        <is>
          <t>MYR</t>
        </is>
      </c>
      <c r="C4994" s="194" t="inlineStr">
        <is>
          <t>MALAYSIAN RINGGIT</t>
        </is>
      </c>
      <c r="D4994" s="195" t="n"/>
      <c r="E4994" s="195" t="n">
        <v>6406.24</v>
      </c>
      <c r="F4994" s="195" t="n">
        <v>6545.61</v>
      </c>
      <c r="G4994" s="195" t="n">
        <v>6475.92</v>
      </c>
    </row>
    <row r="4995">
      <c r="A4995" s="196" t="inlineStr">
        <is>
          <t>2026-01-08</t>
        </is>
      </c>
      <c r="B4995" s="196" t="inlineStr">
        <is>
          <t>NOK</t>
        </is>
      </c>
      <c r="C4995" s="196" t="inlineStr">
        <is>
          <t>NORWEGIAN KRONER</t>
        </is>
      </c>
      <c r="D4995" s="184" t="n"/>
      <c r="E4995" s="184" t="n">
        <v>2553.69</v>
      </c>
      <c r="F4995" s="184" t="n">
        <v>2661.97</v>
      </c>
      <c r="G4995" s="184" t="n">
        <v>2607.83</v>
      </c>
    </row>
    <row r="4996">
      <c r="A4996" s="194" t="inlineStr">
        <is>
          <t>2026-01-08</t>
        </is>
      </c>
      <c r="B4996" s="194" t="inlineStr">
        <is>
          <t>RUB</t>
        </is>
      </c>
      <c r="C4996" s="194" t="inlineStr">
        <is>
          <t>RUSSIAN RUBLE</t>
        </is>
      </c>
      <c r="D4996" s="195" t="n"/>
      <c r="E4996" s="195" t="n">
        <v>310.58</v>
      </c>
      <c r="F4996" s="195" t="n">
        <v>343.79</v>
      </c>
      <c r="G4996" s="195" t="n">
        <v>327.18</v>
      </c>
    </row>
    <row r="4997">
      <c r="A4997" s="196" t="inlineStr">
        <is>
          <t>2026-01-08</t>
        </is>
      </c>
      <c r="B4997" s="196" t="inlineStr">
        <is>
          <t>SAR</t>
        </is>
      </c>
      <c r="C4997" s="196" t="inlineStr">
        <is>
          <t>SAUDI RIAL</t>
        </is>
      </c>
      <c r="D4997" s="184" t="n"/>
      <c r="E4997" s="184" t="n">
        <v>6965.17</v>
      </c>
      <c r="F4997" s="184" t="n">
        <v>7264.94</v>
      </c>
      <c r="G4997" s="184" t="n">
        <v>7115.06</v>
      </c>
    </row>
    <row r="4998">
      <c r="A4998" s="194" t="inlineStr">
        <is>
          <t>2026-01-08</t>
        </is>
      </c>
      <c r="B4998" s="194" t="inlineStr">
        <is>
          <t>SEK</t>
        </is>
      </c>
      <c r="C4998" s="194" t="inlineStr">
        <is>
          <t>SWEDISH KRONA</t>
        </is>
      </c>
      <c r="D4998" s="195" t="n"/>
      <c r="E4998" s="195" t="n">
        <v>2802.43</v>
      </c>
      <c r="F4998" s="195" t="n">
        <v>2921.26</v>
      </c>
      <c r="G4998" s="195" t="n">
        <v>2861.84</v>
      </c>
    </row>
    <row r="4999">
      <c r="A4999" s="196" t="inlineStr">
        <is>
          <t>2026-01-08</t>
        </is>
      </c>
      <c r="B4999" s="196" t="inlineStr">
        <is>
          <t>SGD</t>
        </is>
      </c>
      <c r="C4999" s="196" t="inlineStr">
        <is>
          <t>SINGAPORE DOLLAR</t>
        </is>
      </c>
      <c r="D4999" s="184" t="n">
        <v>19940.94</v>
      </c>
      <c r="E4999" s="184" t="n">
        <v>20142.37</v>
      </c>
      <c r="F4999" s="184" t="n">
        <v>20829.09</v>
      </c>
      <c r="G4999" s="184" t="n">
        <v>20485.73</v>
      </c>
    </row>
    <row r="5000">
      <c r="A5000" s="194" t="inlineStr">
        <is>
          <t>2026-01-08</t>
        </is>
      </c>
      <c r="B5000" s="194" t="inlineStr">
        <is>
          <t>THB</t>
        </is>
      </c>
      <c r="C5000" s="194" t="inlineStr">
        <is>
          <t>THAILAND BAHT</t>
        </is>
      </c>
      <c r="D5000" s="195" t="n">
        <v>738.58</v>
      </c>
      <c r="E5000" s="195" t="n">
        <v>820.64</v>
      </c>
      <c r="F5000" s="195" t="n">
        <v>855.4400000000001</v>
      </c>
      <c r="G5000" s="195" t="n">
        <v>838.04</v>
      </c>
    </row>
    <row r="5001">
      <c r="A5001" s="196" t="inlineStr">
        <is>
          <t>2026-01-08</t>
        </is>
      </c>
      <c r="B5001" s="196" t="inlineStr">
        <is>
          <t>USD</t>
        </is>
      </c>
      <c r="C5001" s="196" t="inlineStr">
        <is>
          <t>US DOLLAR</t>
        </is>
      </c>
      <c r="D5001" s="184" t="n">
        <v>26051</v>
      </c>
      <c r="E5001" s="184" t="n">
        <v>26081</v>
      </c>
      <c r="F5001" s="184" t="n">
        <v>26381</v>
      </c>
      <c r="G5001" s="184" t="n">
        <v>26231</v>
      </c>
    </row>
    <row r="5002">
      <c r="A5002" s="194" t="inlineStr">
        <is>
          <t>2026-01-07</t>
        </is>
      </c>
      <c r="B5002" s="194" t="inlineStr">
        <is>
          <t>AUD</t>
        </is>
      </c>
      <c r="C5002" s="194" t="inlineStr">
        <is>
          <t>AUSTRALIAN DOLLAR</t>
        </is>
      </c>
      <c r="D5002" s="195" t="n">
        <v>17246.61</v>
      </c>
      <c r="E5002" s="195" t="n">
        <v>17420.82</v>
      </c>
      <c r="F5002" s="195" t="n">
        <v>17978.75</v>
      </c>
      <c r="G5002" s="195" t="n">
        <v>17699.78</v>
      </c>
    </row>
    <row r="5003">
      <c r="A5003" s="196" t="inlineStr">
        <is>
          <t>2026-01-07</t>
        </is>
      </c>
      <c r="B5003" s="196" t="inlineStr">
        <is>
          <t>CAD</t>
        </is>
      </c>
      <c r="C5003" s="196" t="inlineStr">
        <is>
          <t>CANADIAN DOLLAR</t>
        </is>
      </c>
      <c r="D5003" s="184" t="n">
        <v>18537.46</v>
      </c>
      <c r="E5003" s="184" t="n">
        <v>18724.7</v>
      </c>
      <c r="F5003" s="184" t="n">
        <v>19324.39</v>
      </c>
      <c r="G5003" s="184" t="n">
        <v>19024.54</v>
      </c>
    </row>
    <row r="5004">
      <c r="A5004" s="194" t="inlineStr">
        <is>
          <t>2026-01-07</t>
        </is>
      </c>
      <c r="B5004" s="194" t="inlineStr">
        <is>
          <t>CHF</t>
        </is>
      </c>
      <c r="C5004" s="194" t="inlineStr">
        <is>
          <t>SWISS FRANC</t>
        </is>
      </c>
      <c r="D5004" s="195" t="n">
        <v>32201.66</v>
      </c>
      <c r="E5004" s="195" t="n">
        <v>32526.93</v>
      </c>
      <c r="F5004" s="195" t="n">
        <v>33568.65</v>
      </c>
      <c r="G5004" s="195" t="n">
        <v>33047.79</v>
      </c>
    </row>
    <row r="5005">
      <c r="A5005" s="196" t="inlineStr">
        <is>
          <t>2026-01-07</t>
        </is>
      </c>
      <c r="B5005" s="196" t="inlineStr">
        <is>
          <t>CNY</t>
        </is>
      </c>
      <c r="C5005" s="196" t="inlineStr">
        <is>
          <t>YUAN RENMINBI</t>
        </is>
      </c>
      <c r="D5005" s="184" t="n">
        <v>3667.73</v>
      </c>
      <c r="E5005" s="184" t="n">
        <v>3704.77</v>
      </c>
      <c r="F5005" s="184" t="n">
        <v>3823.43</v>
      </c>
      <c r="G5005" s="184" t="n">
        <v>3764.1</v>
      </c>
    </row>
    <row r="5006">
      <c r="A5006" s="194" t="inlineStr">
        <is>
          <t>2026-01-07</t>
        </is>
      </c>
      <c r="B5006" s="194" t="inlineStr">
        <is>
          <t>DKK</t>
        </is>
      </c>
      <c r="C5006" s="194" t="inlineStr">
        <is>
          <t>DANISH KRONE</t>
        </is>
      </c>
      <c r="D5006" s="195" t="n"/>
      <c r="E5006" s="195" t="n">
        <v>4036.44</v>
      </c>
      <c r="F5006" s="195" t="n">
        <v>4190.79</v>
      </c>
      <c r="G5006" s="195" t="n">
        <v>4113.62</v>
      </c>
    </row>
    <row r="5007">
      <c r="A5007" s="196" t="inlineStr">
        <is>
          <t>2026-01-07</t>
        </is>
      </c>
      <c r="B5007" s="196" t="inlineStr">
        <is>
          <t>EUR</t>
        </is>
      </c>
      <c r="C5007" s="196" t="inlineStr">
        <is>
          <t>EURO</t>
        </is>
      </c>
      <c r="D5007" s="184" t="n">
        <v>29935.1</v>
      </c>
      <c r="E5007" s="184" t="n">
        <v>30237.47</v>
      </c>
      <c r="F5007" s="184" t="n">
        <v>31513.32</v>
      </c>
      <c r="G5007" s="184" t="n">
        <v>30875.4</v>
      </c>
    </row>
    <row r="5008">
      <c r="A5008" s="194" t="inlineStr">
        <is>
          <t>2026-01-07</t>
        </is>
      </c>
      <c r="B5008" s="194" t="inlineStr">
        <is>
          <t>GBP</t>
        </is>
      </c>
      <c r="C5008" s="194" t="inlineStr">
        <is>
          <t>POUND STERLING</t>
        </is>
      </c>
      <c r="D5008" s="195" t="n">
        <v>34572.6</v>
      </c>
      <c r="E5008" s="195" t="n">
        <v>34921.82</v>
      </c>
      <c r="F5008" s="195" t="n">
        <v>36040.24</v>
      </c>
      <c r="G5008" s="195" t="n">
        <v>35481.03</v>
      </c>
    </row>
    <row r="5009">
      <c r="A5009" s="196" t="inlineStr">
        <is>
          <t>2026-01-07</t>
        </is>
      </c>
      <c r="B5009" s="196" t="inlineStr">
        <is>
          <t>HKD</t>
        </is>
      </c>
      <c r="C5009" s="196" t="inlineStr">
        <is>
          <t>HONGKONG DOLLAR</t>
        </is>
      </c>
      <c r="D5009" s="184" t="n">
        <v>3279.45</v>
      </c>
      <c r="E5009" s="184" t="n">
        <v>3312.57</v>
      </c>
      <c r="F5009" s="184" t="n">
        <v>3439.24</v>
      </c>
      <c r="G5009" s="184" t="n">
        <v>3375.9</v>
      </c>
    </row>
    <row r="5010">
      <c r="A5010" s="194" t="inlineStr">
        <is>
          <t>2026-01-07</t>
        </is>
      </c>
      <c r="B5010" s="194" t="inlineStr">
        <is>
          <t>INR</t>
        </is>
      </c>
      <c r="C5010" s="194" t="inlineStr">
        <is>
          <t>INDIAN RUPEE</t>
        </is>
      </c>
      <c r="D5010" s="195" t="n"/>
      <c r="E5010" s="195" t="n">
        <v>289.98</v>
      </c>
      <c r="F5010" s="195" t="n">
        <v>302.46</v>
      </c>
      <c r="G5010" s="195" t="n">
        <v>296.22</v>
      </c>
    </row>
    <row r="5011">
      <c r="A5011" s="196" t="inlineStr">
        <is>
          <t>2026-01-07</t>
        </is>
      </c>
      <c r="B5011" s="196" t="inlineStr">
        <is>
          <t>JPY</t>
        </is>
      </c>
      <c r="C5011" s="196" t="inlineStr">
        <is>
          <t>YEN</t>
        </is>
      </c>
      <c r="D5011" s="184" t="n">
        <v>161.97</v>
      </c>
      <c r="E5011" s="184" t="n">
        <v>163.61</v>
      </c>
      <c r="F5011" s="184" t="n">
        <v>172.26</v>
      </c>
      <c r="G5011" s="184" t="n">
        <v>167.94</v>
      </c>
    </row>
    <row r="5012">
      <c r="A5012" s="194" t="inlineStr">
        <is>
          <t>2026-01-07</t>
        </is>
      </c>
      <c r="B5012" s="194" t="inlineStr">
        <is>
          <t>KRW</t>
        </is>
      </c>
      <c r="C5012" s="194" t="inlineStr">
        <is>
          <t>KOREAN WON</t>
        </is>
      </c>
      <c r="D5012" s="195" t="n">
        <v>15.69</v>
      </c>
      <c r="E5012" s="195" t="n">
        <v>17.43</v>
      </c>
      <c r="F5012" s="195" t="n">
        <v>18.91</v>
      </c>
      <c r="G5012" s="195" t="n">
        <v>18.17</v>
      </c>
    </row>
    <row r="5013">
      <c r="A5013" s="196" t="inlineStr">
        <is>
          <t>2026-01-07</t>
        </is>
      </c>
      <c r="B5013" s="196" t="inlineStr">
        <is>
          <t>KWD</t>
        </is>
      </c>
      <c r="C5013" s="196" t="inlineStr">
        <is>
          <t>KUWAITI DINAR</t>
        </is>
      </c>
      <c r="D5013" s="184" t="n"/>
      <c r="E5013" s="184" t="n">
        <v>85084.19</v>
      </c>
      <c r="F5013" s="184" t="n">
        <v>89208.17999999999</v>
      </c>
      <c r="G5013" s="184" t="n">
        <v>87146.17999999999</v>
      </c>
    </row>
    <row r="5014">
      <c r="A5014" s="194" t="inlineStr">
        <is>
          <t>2026-01-07</t>
        </is>
      </c>
      <c r="B5014" s="194" t="inlineStr">
        <is>
          <t>MYR</t>
        </is>
      </c>
      <c r="C5014" s="194" t="inlineStr">
        <is>
          <t>MALAYSIAN RINGGIT</t>
        </is>
      </c>
      <c r="D5014" s="195" t="n"/>
      <c r="E5014" s="195" t="n">
        <v>6422.92</v>
      </c>
      <c r="F5014" s="195" t="n">
        <v>6562.66</v>
      </c>
      <c r="G5014" s="195" t="n">
        <v>6492.79</v>
      </c>
    </row>
    <row r="5015">
      <c r="A5015" s="196" t="inlineStr">
        <is>
          <t>2026-01-07</t>
        </is>
      </c>
      <c r="B5015" s="196" t="inlineStr">
        <is>
          <t>NOK</t>
        </is>
      </c>
      <c r="C5015" s="196" t="inlineStr">
        <is>
          <t>NORWEGIAN KRONER</t>
        </is>
      </c>
      <c r="D5015" s="184" t="n"/>
      <c r="E5015" s="184" t="n">
        <v>2560.83</v>
      </c>
      <c r="F5015" s="184" t="n">
        <v>2669.42</v>
      </c>
      <c r="G5015" s="184" t="n">
        <v>2615.12</v>
      </c>
    </row>
    <row r="5016">
      <c r="A5016" s="194" t="inlineStr">
        <is>
          <t>2026-01-07</t>
        </is>
      </c>
      <c r="B5016" s="194" t="inlineStr">
        <is>
          <t>RUB</t>
        </is>
      </c>
      <c r="C5016" s="194" t="inlineStr">
        <is>
          <t>RUSSIAN RUBLE</t>
        </is>
      </c>
      <c r="D5016" s="195" t="n"/>
      <c r="E5016" s="195" t="n">
        <v>310.69</v>
      </c>
      <c r="F5016" s="195" t="n">
        <v>343.92</v>
      </c>
      <c r="G5016" s="195" t="n">
        <v>327.3</v>
      </c>
    </row>
    <row r="5017">
      <c r="A5017" s="196" t="inlineStr">
        <is>
          <t>2026-01-07</t>
        </is>
      </c>
      <c r="B5017" s="196" t="inlineStr">
        <is>
          <t>SAR</t>
        </is>
      </c>
      <c r="C5017" s="196" t="inlineStr">
        <is>
          <t>SAUDI RIAL</t>
        </is>
      </c>
      <c r="D5017" s="184" t="n"/>
      <c r="E5017" s="184" t="n">
        <v>6967.64</v>
      </c>
      <c r="F5017" s="184" t="n">
        <v>7267.51</v>
      </c>
      <c r="G5017" s="184" t="n">
        <v>7117.58</v>
      </c>
    </row>
    <row r="5018">
      <c r="A5018" s="194" t="inlineStr">
        <is>
          <t>2026-01-07</t>
        </is>
      </c>
      <c r="B5018" s="194" t="inlineStr">
        <is>
          <t>SEK</t>
        </is>
      </c>
      <c r="C5018" s="194" t="inlineStr">
        <is>
          <t>SWEDISH KRONA</t>
        </is>
      </c>
      <c r="D5018" s="195" t="n"/>
      <c r="E5018" s="195" t="n">
        <v>2798.68</v>
      </c>
      <c r="F5018" s="195" t="n">
        <v>2917.35</v>
      </c>
      <c r="G5018" s="195" t="n">
        <v>2858.02</v>
      </c>
    </row>
    <row r="5019">
      <c r="A5019" s="196" t="inlineStr">
        <is>
          <t>2026-01-07</t>
        </is>
      </c>
      <c r="B5019" s="196" t="inlineStr">
        <is>
          <t>SGD</t>
        </is>
      </c>
      <c r="C5019" s="196" t="inlineStr">
        <is>
          <t>SINGAPORE DOLLAR</t>
        </is>
      </c>
      <c r="D5019" s="184" t="n">
        <v>19995.31</v>
      </c>
      <c r="E5019" s="184" t="n">
        <v>20197.28</v>
      </c>
      <c r="F5019" s="184" t="n">
        <v>20885.87</v>
      </c>
      <c r="G5019" s="184" t="n">
        <v>20541.57</v>
      </c>
    </row>
    <row r="5020">
      <c r="A5020" s="194" t="inlineStr">
        <is>
          <t>2026-01-07</t>
        </is>
      </c>
      <c r="B5020" s="194" t="inlineStr">
        <is>
          <t>THB</t>
        </is>
      </c>
      <c r="C5020" s="194" t="inlineStr">
        <is>
          <t>THAILAND BAHT</t>
        </is>
      </c>
      <c r="D5020" s="195" t="n">
        <v>742.41</v>
      </c>
      <c r="E5020" s="195" t="n">
        <v>824.9</v>
      </c>
      <c r="F5020" s="195" t="n">
        <v>859.88</v>
      </c>
      <c r="G5020" s="195" t="n">
        <v>842.39</v>
      </c>
    </row>
    <row r="5021">
      <c r="A5021" s="196" t="inlineStr">
        <is>
          <t>2026-01-07</t>
        </is>
      </c>
      <c r="B5021" s="196" t="inlineStr">
        <is>
          <t>USD</t>
        </is>
      </c>
      <c r="C5021" s="196" t="inlineStr">
        <is>
          <t>US DOLLAR</t>
        </is>
      </c>
      <c r="D5021" s="184" t="n">
        <v>26048</v>
      </c>
      <c r="E5021" s="184" t="n">
        <v>26078</v>
      </c>
      <c r="F5021" s="184" t="n">
        <v>26378</v>
      </c>
      <c r="G5021" s="184" t="n">
        <v>26228</v>
      </c>
    </row>
    <row r="5022">
      <c r="A5022" s="194" t="inlineStr">
        <is>
          <t>2026-01-06</t>
        </is>
      </c>
      <c r="B5022" s="194" t="inlineStr">
        <is>
          <t>AUD</t>
        </is>
      </c>
      <c r="C5022" s="194" t="inlineStr">
        <is>
          <t>AUSTRALIAN DOLLAR</t>
        </is>
      </c>
      <c r="D5022" s="195" t="n">
        <v>17173.49</v>
      </c>
      <c r="E5022" s="195" t="n">
        <v>17346.96</v>
      </c>
      <c r="F5022" s="195" t="n">
        <v>17902.53</v>
      </c>
      <c r="G5022" s="195" t="n">
        <v>17624.74</v>
      </c>
    </row>
    <row r="5023">
      <c r="A5023" s="196" t="inlineStr">
        <is>
          <t>2026-01-06</t>
        </is>
      </c>
      <c r="B5023" s="196" t="inlineStr">
        <is>
          <t>CAD</t>
        </is>
      </c>
      <c r="C5023" s="196" t="inlineStr">
        <is>
          <t>CANADIAN DOLLAR</t>
        </is>
      </c>
      <c r="D5023" s="184" t="n">
        <v>18592.29</v>
      </c>
      <c r="E5023" s="184" t="n">
        <v>18780.1</v>
      </c>
      <c r="F5023" s="184" t="n">
        <v>19381.57</v>
      </c>
      <c r="G5023" s="184" t="n">
        <v>19080.84</v>
      </c>
    </row>
    <row r="5024">
      <c r="A5024" s="194" t="inlineStr">
        <is>
          <t>2026-01-06</t>
        </is>
      </c>
      <c r="B5024" s="194" t="inlineStr">
        <is>
          <t>CHF</t>
        </is>
      </c>
      <c r="C5024" s="194" t="inlineStr">
        <is>
          <t>SWISS FRANC</t>
        </is>
      </c>
      <c r="D5024" s="195" t="n">
        <v>32335.75</v>
      </c>
      <c r="E5024" s="195" t="n">
        <v>32662.38</v>
      </c>
      <c r="F5024" s="195" t="n">
        <v>33708.46</v>
      </c>
      <c r="G5024" s="195" t="n">
        <v>33185.42</v>
      </c>
    </row>
    <row r="5025">
      <c r="A5025" s="196" t="inlineStr">
        <is>
          <t>2026-01-06</t>
        </is>
      </c>
      <c r="B5025" s="196" t="inlineStr">
        <is>
          <t>CNY</t>
        </is>
      </c>
      <c r="C5025" s="196" t="inlineStr">
        <is>
          <t>YUAN RENMINBI</t>
        </is>
      </c>
      <c r="D5025" s="184" t="n">
        <v>3663.92</v>
      </c>
      <c r="E5025" s="184" t="n">
        <v>3700.93</v>
      </c>
      <c r="F5025" s="184" t="n">
        <v>3819.46</v>
      </c>
      <c r="G5025" s="184" t="n">
        <v>3760.2</v>
      </c>
    </row>
    <row r="5026">
      <c r="A5026" s="194" t="inlineStr">
        <is>
          <t>2026-01-06</t>
        </is>
      </c>
      <c r="B5026" s="194" t="inlineStr">
        <is>
          <t>DKK</t>
        </is>
      </c>
      <c r="C5026" s="194" t="inlineStr">
        <is>
          <t>DANISH KRONE</t>
        </is>
      </c>
      <c r="D5026" s="195" t="n"/>
      <c r="E5026" s="195" t="n">
        <v>4044.46</v>
      </c>
      <c r="F5026" s="195" t="n">
        <v>4199.12</v>
      </c>
      <c r="G5026" s="195" t="n">
        <v>4121.79</v>
      </c>
    </row>
    <row r="5027">
      <c r="A5027" s="196" t="inlineStr">
        <is>
          <t>2026-01-06</t>
        </is>
      </c>
      <c r="B5027" s="196" t="inlineStr">
        <is>
          <t>EUR</t>
        </is>
      </c>
      <c r="C5027" s="196" t="inlineStr">
        <is>
          <t>EURO</t>
        </is>
      </c>
      <c r="D5027" s="184" t="n">
        <v>29990.25</v>
      </c>
      <c r="E5027" s="184" t="n">
        <v>30293.18</v>
      </c>
      <c r="F5027" s="184" t="n">
        <v>31571.4</v>
      </c>
      <c r="G5027" s="184" t="n">
        <v>30932.29</v>
      </c>
    </row>
    <row r="5028">
      <c r="A5028" s="194" t="inlineStr">
        <is>
          <t>2026-01-06</t>
        </is>
      </c>
      <c r="B5028" s="194" t="inlineStr">
        <is>
          <t>GBP</t>
        </is>
      </c>
      <c r="C5028" s="194" t="inlineStr">
        <is>
          <t>POUND STERLING</t>
        </is>
      </c>
      <c r="D5028" s="195" t="n">
        <v>34649.03</v>
      </c>
      <c r="E5028" s="195" t="n">
        <v>34999.02</v>
      </c>
      <c r="F5028" s="195" t="n">
        <v>36119.94</v>
      </c>
      <c r="G5028" s="195" t="n">
        <v>35559.48</v>
      </c>
    </row>
    <row r="5029">
      <c r="A5029" s="196" t="inlineStr">
        <is>
          <t>2026-01-06</t>
        </is>
      </c>
      <c r="B5029" s="196" t="inlineStr">
        <is>
          <t>HKD</t>
        </is>
      </c>
      <c r="C5029" s="196" t="inlineStr">
        <is>
          <t>HONGKONG DOLLAR</t>
        </is>
      </c>
      <c r="D5029" s="184" t="n">
        <v>3280.1</v>
      </c>
      <c r="E5029" s="184" t="n">
        <v>3313.23</v>
      </c>
      <c r="F5029" s="184" t="n">
        <v>3439.92</v>
      </c>
      <c r="G5029" s="184" t="n">
        <v>3376.58</v>
      </c>
    </row>
    <row r="5030">
      <c r="A5030" s="194" t="inlineStr">
        <is>
          <t>2026-01-06</t>
        </is>
      </c>
      <c r="B5030" s="194" t="inlineStr">
        <is>
          <t>INR</t>
        </is>
      </c>
      <c r="C5030" s="194" t="inlineStr">
        <is>
          <t>INDIAN RUPEE</t>
        </is>
      </c>
      <c r="D5030" s="195" t="n"/>
      <c r="E5030" s="195" t="n">
        <v>289.55</v>
      </c>
      <c r="F5030" s="195" t="n">
        <v>302.01</v>
      </c>
      <c r="G5030" s="195" t="n">
        <v>295.78</v>
      </c>
    </row>
    <row r="5031">
      <c r="A5031" s="196" t="inlineStr">
        <is>
          <t>2026-01-06</t>
        </is>
      </c>
      <c r="B5031" s="196" t="inlineStr">
        <is>
          <t>JPY</t>
        </is>
      </c>
      <c r="C5031" s="196" t="inlineStr">
        <is>
          <t>YEN</t>
        </is>
      </c>
      <c r="D5031" s="184" t="n">
        <v>161.96</v>
      </c>
      <c r="E5031" s="184" t="n">
        <v>163.6</v>
      </c>
      <c r="F5031" s="184" t="n">
        <v>172.25</v>
      </c>
      <c r="G5031" s="184" t="n">
        <v>167.92</v>
      </c>
    </row>
    <row r="5032">
      <c r="A5032" s="194" t="inlineStr">
        <is>
          <t>2026-01-06</t>
        </is>
      </c>
      <c r="B5032" s="194" t="inlineStr">
        <is>
          <t>KRW</t>
        </is>
      </c>
      <c r="C5032" s="194" t="inlineStr">
        <is>
          <t>KOREAN WON</t>
        </is>
      </c>
      <c r="D5032" s="195" t="n">
        <v>15.69</v>
      </c>
      <c r="E5032" s="195" t="n">
        <v>17.43</v>
      </c>
      <c r="F5032" s="195" t="n">
        <v>18.91</v>
      </c>
      <c r="G5032" s="195" t="n">
        <v>18.17</v>
      </c>
    </row>
    <row r="5033">
      <c r="A5033" s="196" t="inlineStr">
        <is>
          <t>2026-01-06</t>
        </is>
      </c>
      <c r="B5033" s="196" t="inlineStr">
        <is>
          <t>KWD</t>
        </is>
      </c>
      <c r="C5033" s="196" t="inlineStr">
        <is>
          <t>KUWAITI DINAR</t>
        </is>
      </c>
      <c r="D5033" s="184" t="n"/>
      <c r="E5033" s="184" t="n">
        <v>85079.49000000001</v>
      </c>
      <c r="F5033" s="184" t="n">
        <v>89203.31</v>
      </c>
      <c r="G5033" s="184" t="n">
        <v>87141.39999999999</v>
      </c>
    </row>
    <row r="5034">
      <c r="A5034" s="194" t="inlineStr">
        <is>
          <t>2026-01-06</t>
        </is>
      </c>
      <c r="B5034" s="194" t="inlineStr">
        <is>
          <t>MYR</t>
        </is>
      </c>
      <c r="C5034" s="194" t="inlineStr">
        <is>
          <t>MALAYSIAN RINGGIT</t>
        </is>
      </c>
      <c r="D5034" s="195" t="n"/>
      <c r="E5034" s="195" t="n">
        <v>6401.5</v>
      </c>
      <c r="F5034" s="195" t="n">
        <v>6540.78</v>
      </c>
      <c r="G5034" s="195" t="n">
        <v>6471.14</v>
      </c>
    </row>
    <row r="5035">
      <c r="A5035" s="196" t="inlineStr">
        <is>
          <t>2026-01-06</t>
        </is>
      </c>
      <c r="B5035" s="196" t="inlineStr">
        <is>
          <t>NOK</t>
        </is>
      </c>
      <c r="C5035" s="196" t="inlineStr">
        <is>
          <t>NORWEGIAN KRONER</t>
        </is>
      </c>
      <c r="D5035" s="184" t="n"/>
      <c r="E5035" s="184" t="n">
        <v>2563.79</v>
      </c>
      <c r="F5035" s="184" t="n">
        <v>2672.5</v>
      </c>
      <c r="G5035" s="184" t="n">
        <v>2618.14</v>
      </c>
    </row>
    <row r="5036">
      <c r="A5036" s="194" t="inlineStr">
        <is>
          <t>2026-01-06</t>
        </is>
      </c>
      <c r="B5036" s="194" t="inlineStr">
        <is>
          <t>RUB</t>
        </is>
      </c>
      <c r="C5036" s="194" t="inlineStr">
        <is>
          <t>RUSSIAN RUBLE</t>
        </is>
      </c>
      <c r="D5036" s="195" t="n"/>
      <c r="E5036" s="195" t="n">
        <v>309.21</v>
      </c>
      <c r="F5036" s="195" t="n">
        <v>342.28</v>
      </c>
      <c r="G5036" s="195" t="n">
        <v>325.74</v>
      </c>
    </row>
    <row r="5037">
      <c r="A5037" s="196" t="inlineStr">
        <is>
          <t>2026-01-06</t>
        </is>
      </c>
      <c r="B5037" s="196" t="inlineStr">
        <is>
          <t>SAR</t>
        </is>
      </c>
      <c r="C5037" s="196" t="inlineStr">
        <is>
          <t>SAUDI RIAL</t>
        </is>
      </c>
      <c r="D5037" s="184" t="n"/>
      <c r="E5037" s="184" t="n">
        <v>6966.29</v>
      </c>
      <c r="F5037" s="184" t="n">
        <v>7266.1</v>
      </c>
      <c r="G5037" s="184" t="n">
        <v>7116.2</v>
      </c>
    </row>
    <row r="5038">
      <c r="A5038" s="194" t="inlineStr">
        <is>
          <t>2026-01-06</t>
        </is>
      </c>
      <c r="B5038" s="194" t="inlineStr">
        <is>
          <t>SEK</t>
        </is>
      </c>
      <c r="C5038" s="194" t="inlineStr">
        <is>
          <t>SWEDISH KRONA</t>
        </is>
      </c>
      <c r="D5038" s="195" t="n"/>
      <c r="E5038" s="195" t="n">
        <v>2805.15</v>
      </c>
      <c r="F5038" s="195" t="n">
        <v>2924.1</v>
      </c>
      <c r="G5038" s="195" t="n">
        <v>2864.62</v>
      </c>
    </row>
    <row r="5039">
      <c r="A5039" s="196" t="inlineStr">
        <is>
          <t>2026-01-06</t>
        </is>
      </c>
      <c r="B5039" s="196" t="inlineStr">
        <is>
          <t>SGD</t>
        </is>
      </c>
      <c r="C5039" s="196" t="inlineStr">
        <is>
          <t>SINGAPORE DOLLAR</t>
        </is>
      </c>
      <c r="D5039" s="184" t="n">
        <v>19937.83</v>
      </c>
      <c r="E5039" s="184" t="n">
        <v>20139.23</v>
      </c>
      <c r="F5039" s="184" t="n">
        <v>20825.85</v>
      </c>
      <c r="G5039" s="184" t="n">
        <v>20482.54</v>
      </c>
    </row>
    <row r="5040">
      <c r="A5040" s="194" t="inlineStr">
        <is>
          <t>2026-01-06</t>
        </is>
      </c>
      <c r="B5040" s="194" t="inlineStr">
        <is>
          <t>THB</t>
        </is>
      </c>
      <c r="C5040" s="194" t="inlineStr">
        <is>
          <t>THAILAND BAHT</t>
        </is>
      </c>
      <c r="D5040" s="195" t="n">
        <v>739.99</v>
      </c>
      <c r="E5040" s="195" t="n">
        <v>822.21</v>
      </c>
      <c r="F5040" s="195" t="n">
        <v>857.08</v>
      </c>
      <c r="G5040" s="195" t="n">
        <v>839.64</v>
      </c>
    </row>
    <row r="5041">
      <c r="A5041" s="196" t="inlineStr">
        <is>
          <t>2026-01-06</t>
        </is>
      </c>
      <c r="B5041" s="196" t="inlineStr">
        <is>
          <t>USD</t>
        </is>
      </c>
      <c r="C5041" s="196" t="inlineStr">
        <is>
          <t>US DOLLAR</t>
        </is>
      </c>
      <c r="D5041" s="184" t="n">
        <v>26048</v>
      </c>
      <c r="E5041" s="184" t="n">
        <v>26078</v>
      </c>
      <c r="F5041" s="184" t="n">
        <v>26378</v>
      </c>
      <c r="G5041" s="184" t="n">
        <v>26228</v>
      </c>
    </row>
    <row r="5042">
      <c r="A5042" s="194" t="inlineStr">
        <is>
          <t>2026-01-05</t>
        </is>
      </c>
      <c r="B5042" s="194" t="inlineStr">
        <is>
          <t>AUD</t>
        </is>
      </c>
      <c r="C5042" s="194" t="inlineStr">
        <is>
          <t>AUSTRALIAN DOLLAR</t>
        </is>
      </c>
      <c r="D5042" s="195" t="n">
        <v>17104.6</v>
      </c>
      <c r="E5042" s="195" t="n">
        <v>17277.37</v>
      </c>
      <c r="F5042" s="195" t="n">
        <v>17830.69</v>
      </c>
      <c r="G5042" s="195" t="n">
        <v>17554.03</v>
      </c>
    </row>
    <row r="5043">
      <c r="A5043" s="196" t="inlineStr">
        <is>
          <t>2026-01-05</t>
        </is>
      </c>
      <c r="B5043" s="196" t="inlineStr">
        <is>
          <t>CAD</t>
        </is>
      </c>
      <c r="C5043" s="196" t="inlineStr">
        <is>
          <t>CANADIAN DOLLAR</t>
        </is>
      </c>
      <c r="D5043" s="184" t="n">
        <v>18638.94</v>
      </c>
      <c r="E5043" s="184" t="n">
        <v>18827.22</v>
      </c>
      <c r="F5043" s="184" t="n">
        <v>19430.17</v>
      </c>
      <c r="G5043" s="184" t="n">
        <v>19128.7</v>
      </c>
    </row>
    <row r="5044">
      <c r="A5044" s="194" t="inlineStr">
        <is>
          <t>2026-01-05</t>
        </is>
      </c>
      <c r="B5044" s="194" t="inlineStr">
        <is>
          <t>CHF</t>
        </is>
      </c>
      <c r="C5044" s="194" t="inlineStr">
        <is>
          <t>SWISS FRANC</t>
        </is>
      </c>
      <c r="D5044" s="195" t="n">
        <v>32323.65</v>
      </c>
      <c r="E5044" s="195" t="n">
        <v>32650.15</v>
      </c>
      <c r="F5044" s="195" t="n">
        <v>33695.8</v>
      </c>
      <c r="G5044" s="195" t="n">
        <v>33172.98</v>
      </c>
    </row>
    <row r="5045">
      <c r="A5045" s="196" t="inlineStr">
        <is>
          <t>2026-01-05</t>
        </is>
      </c>
      <c r="B5045" s="196" t="inlineStr">
        <is>
          <t>CNY</t>
        </is>
      </c>
      <c r="C5045" s="196" t="inlineStr">
        <is>
          <t>YUAN RENMINBI</t>
        </is>
      </c>
      <c r="D5045" s="184" t="n">
        <v>3664.03</v>
      </c>
      <c r="E5045" s="184" t="n">
        <v>3701.04</v>
      </c>
      <c r="F5045" s="184" t="n">
        <v>3819.57</v>
      </c>
      <c r="G5045" s="184" t="n">
        <v>3760.3</v>
      </c>
    </row>
    <row r="5046">
      <c r="A5046" s="194" t="inlineStr">
        <is>
          <t>2026-01-05</t>
        </is>
      </c>
      <c r="B5046" s="194" t="inlineStr">
        <is>
          <t>DKK</t>
        </is>
      </c>
      <c r="C5046" s="194" t="inlineStr">
        <is>
          <t>DANISH KRONE</t>
        </is>
      </c>
      <c r="D5046" s="195" t="n"/>
      <c r="E5046" s="195" t="n">
        <v>4044.24</v>
      </c>
      <c r="F5046" s="195" t="n">
        <v>4198.89</v>
      </c>
      <c r="G5046" s="195" t="n">
        <v>4121.57</v>
      </c>
    </row>
    <row r="5047">
      <c r="A5047" s="196" t="inlineStr">
        <is>
          <t>2026-01-05</t>
        </is>
      </c>
      <c r="B5047" s="196" t="inlineStr">
        <is>
          <t>EUR</t>
        </is>
      </c>
      <c r="C5047" s="196" t="inlineStr">
        <is>
          <t>EURO</t>
        </is>
      </c>
      <c r="D5047" s="184" t="n">
        <v>29982.36</v>
      </c>
      <c r="E5047" s="184" t="n">
        <v>30285.21</v>
      </c>
      <c r="F5047" s="184" t="n">
        <v>31563.05</v>
      </c>
      <c r="G5047" s="184" t="n">
        <v>30924.13</v>
      </c>
    </row>
    <row r="5048">
      <c r="A5048" s="194" t="inlineStr">
        <is>
          <t>2026-01-05</t>
        </is>
      </c>
      <c r="B5048" s="194" t="inlineStr">
        <is>
          <t>GBP</t>
        </is>
      </c>
      <c r="C5048" s="194" t="inlineStr">
        <is>
          <t>POUND STERLING</t>
        </is>
      </c>
      <c r="D5048" s="195" t="n">
        <v>34419.26</v>
      </c>
      <c r="E5048" s="195" t="n">
        <v>34766.93</v>
      </c>
      <c r="F5048" s="195" t="n">
        <v>35880.37</v>
      </c>
      <c r="G5048" s="195" t="n">
        <v>35323.65</v>
      </c>
    </row>
    <row r="5049">
      <c r="A5049" s="196" t="inlineStr">
        <is>
          <t>2026-01-05</t>
        </is>
      </c>
      <c r="B5049" s="196" t="inlineStr">
        <is>
          <t>HKD</t>
        </is>
      </c>
      <c r="C5049" s="196" t="inlineStr">
        <is>
          <t>HONGKONG DOLLAR</t>
        </is>
      </c>
      <c r="D5049" s="184" t="n">
        <v>3279.27</v>
      </c>
      <c r="E5049" s="184" t="n">
        <v>3312.39</v>
      </c>
      <c r="F5049" s="184" t="n">
        <v>3439.05</v>
      </c>
      <c r="G5049" s="184" t="n">
        <v>3375.72</v>
      </c>
    </row>
    <row r="5050">
      <c r="A5050" s="194" t="inlineStr">
        <is>
          <t>2026-01-05</t>
        </is>
      </c>
      <c r="B5050" s="194" t="inlineStr">
        <is>
          <t>INR</t>
        </is>
      </c>
      <c r="C5050" s="194" t="inlineStr">
        <is>
          <t>INDIAN RUPEE</t>
        </is>
      </c>
      <c r="D5050" s="195" t="n"/>
      <c r="E5050" s="195" t="n">
        <v>290.46</v>
      </c>
      <c r="F5050" s="195" t="n">
        <v>302.96</v>
      </c>
      <c r="G5050" s="195" t="n">
        <v>296.71</v>
      </c>
    </row>
    <row r="5051">
      <c r="A5051" s="196" t="inlineStr">
        <is>
          <t>2026-01-05</t>
        </is>
      </c>
      <c r="B5051" s="196" t="inlineStr">
        <is>
          <t>JPY</t>
        </is>
      </c>
      <c r="C5051" s="196" t="inlineStr">
        <is>
          <t>YEN</t>
        </is>
      </c>
      <c r="D5051" s="184" t="n">
        <v>161.4</v>
      </c>
      <c r="E5051" s="184" t="n">
        <v>163.03</v>
      </c>
      <c r="F5051" s="184" t="n">
        <v>171.65</v>
      </c>
      <c r="G5051" s="184" t="n">
        <v>167.34</v>
      </c>
    </row>
    <row r="5052">
      <c r="A5052" s="194" t="inlineStr">
        <is>
          <t>2026-01-05</t>
        </is>
      </c>
      <c r="B5052" s="194" t="inlineStr">
        <is>
          <t>KRW</t>
        </is>
      </c>
      <c r="C5052" s="194" t="inlineStr">
        <is>
          <t>KOREAN WON</t>
        </is>
      </c>
      <c r="D5052" s="195" t="n">
        <v>15.72</v>
      </c>
      <c r="E5052" s="195" t="n">
        <v>17.46</v>
      </c>
      <c r="F5052" s="195" t="n">
        <v>18.95</v>
      </c>
      <c r="G5052" s="195" t="n">
        <v>18.2</v>
      </c>
    </row>
    <row r="5053">
      <c r="A5053" s="196" t="inlineStr">
        <is>
          <t>2026-01-05</t>
        </is>
      </c>
      <c r="B5053" s="196" t="inlineStr">
        <is>
          <t>KWD</t>
        </is>
      </c>
      <c r="C5053" s="196" t="inlineStr">
        <is>
          <t>KUWAITI DINAR</t>
        </is>
      </c>
      <c r="D5053" s="184" t="n"/>
      <c r="E5053" s="184" t="n">
        <v>85088.88</v>
      </c>
      <c r="F5053" s="184" t="n">
        <v>89213.05</v>
      </c>
      <c r="G5053" s="184" t="n">
        <v>87150.96000000001</v>
      </c>
    </row>
    <row r="5054">
      <c r="A5054" s="194" t="inlineStr">
        <is>
          <t>2026-01-05</t>
        </is>
      </c>
      <c r="B5054" s="194" t="inlineStr">
        <is>
          <t>MYR</t>
        </is>
      </c>
      <c r="C5054" s="194" t="inlineStr">
        <is>
          <t>MALAYSIAN RINGGIT</t>
        </is>
      </c>
      <c r="D5054" s="195" t="n"/>
      <c r="E5054" s="195" t="n">
        <v>6409.54</v>
      </c>
      <c r="F5054" s="195" t="n">
        <v>6548.98</v>
      </c>
      <c r="G5054" s="195" t="n">
        <v>6479.26</v>
      </c>
    </row>
    <row r="5055">
      <c r="A5055" s="196" t="inlineStr">
        <is>
          <t>2026-01-05</t>
        </is>
      </c>
      <c r="B5055" s="196" t="inlineStr">
        <is>
          <t>NOK</t>
        </is>
      </c>
      <c r="C5055" s="196" t="inlineStr">
        <is>
          <t>NORWEGIAN KRONER</t>
        </is>
      </c>
      <c r="D5055" s="184" t="n"/>
      <c r="E5055" s="184" t="n">
        <v>2557.71</v>
      </c>
      <c r="F5055" s="184" t="n">
        <v>2666.16</v>
      </c>
      <c r="G5055" s="184" t="n">
        <v>2611.94</v>
      </c>
    </row>
    <row r="5056">
      <c r="A5056" s="194" t="inlineStr">
        <is>
          <t>2026-01-05</t>
        </is>
      </c>
      <c r="B5056" s="194" t="inlineStr">
        <is>
          <t>RUB</t>
        </is>
      </c>
      <c r="C5056" s="194" t="inlineStr">
        <is>
          <t>RUSSIAN RUBLE</t>
        </is>
      </c>
      <c r="D5056" s="195" t="n"/>
      <c r="E5056" s="195" t="n">
        <v>311.59</v>
      </c>
      <c r="F5056" s="195" t="n">
        <v>344.91</v>
      </c>
      <c r="G5056" s="195" t="n">
        <v>328.25</v>
      </c>
    </row>
    <row r="5057">
      <c r="A5057" s="196" t="inlineStr">
        <is>
          <t>2026-01-05</t>
        </is>
      </c>
      <c r="B5057" s="196" t="inlineStr">
        <is>
          <t>SAR</t>
        </is>
      </c>
      <c r="C5057" s="196" t="inlineStr">
        <is>
          <t>SAUDI RIAL</t>
        </is>
      </c>
      <c r="D5057" s="184" t="n"/>
      <c r="E5057" s="184" t="n">
        <v>6969.92</v>
      </c>
      <c r="F5057" s="184" t="n">
        <v>7269.88</v>
      </c>
      <c r="G5057" s="184" t="n">
        <v>7119.9</v>
      </c>
    </row>
    <row r="5058">
      <c r="A5058" s="194" t="inlineStr">
        <is>
          <t>2026-01-05</t>
        </is>
      </c>
      <c r="B5058" s="194" t="inlineStr">
        <is>
          <t>SEK</t>
        </is>
      </c>
      <c r="C5058" s="194" t="inlineStr">
        <is>
          <t>SWEDISH KRONA</t>
        </is>
      </c>
      <c r="D5058" s="195" t="n"/>
      <c r="E5058" s="195" t="n">
        <v>2790.17</v>
      </c>
      <c r="F5058" s="195" t="n">
        <v>2908.47</v>
      </c>
      <c r="G5058" s="195" t="n">
        <v>2849.32</v>
      </c>
    </row>
    <row r="5059">
      <c r="A5059" s="196" t="inlineStr">
        <is>
          <t>2026-01-05</t>
        </is>
      </c>
      <c r="B5059" s="196" t="inlineStr">
        <is>
          <t>SGD</t>
        </is>
      </c>
      <c r="C5059" s="196" t="inlineStr">
        <is>
          <t>SINGAPORE DOLLAR</t>
        </is>
      </c>
      <c r="D5059" s="184" t="n">
        <v>19878.65</v>
      </c>
      <c r="E5059" s="184" t="n">
        <v>20079.44</v>
      </c>
      <c r="F5059" s="184" t="n">
        <v>20764</v>
      </c>
      <c r="G5059" s="184" t="n">
        <v>20421.72</v>
      </c>
    </row>
    <row r="5060">
      <c r="A5060" s="194" t="inlineStr">
        <is>
          <t>2026-01-05</t>
        </is>
      </c>
      <c r="B5060" s="194" t="inlineStr">
        <is>
          <t>THB</t>
        </is>
      </c>
      <c r="C5060" s="194" t="inlineStr">
        <is>
          <t>THAILAND BAHT</t>
        </is>
      </c>
      <c r="D5060" s="195" t="n">
        <v>736.5599999999999</v>
      </c>
      <c r="E5060" s="195" t="n">
        <v>818.4</v>
      </c>
      <c r="F5060" s="195" t="n">
        <v>853.1</v>
      </c>
      <c r="G5060" s="195" t="n">
        <v>835.75</v>
      </c>
    </row>
    <row r="5061">
      <c r="A5061" s="196" t="inlineStr">
        <is>
          <t>2026-01-05</t>
        </is>
      </c>
      <c r="B5061" s="196" t="inlineStr">
        <is>
          <t>USD</t>
        </is>
      </c>
      <c r="C5061" s="196" t="inlineStr">
        <is>
          <t>US DOLLAR</t>
        </is>
      </c>
      <c r="D5061" s="184" t="n">
        <v>26050</v>
      </c>
      <c r="E5061" s="184" t="n">
        <v>26080</v>
      </c>
      <c r="F5061" s="184" t="n">
        <v>26380</v>
      </c>
      <c r="G5061" s="184" t="n">
        <v>26230</v>
      </c>
    </row>
    <row r="5062">
      <c r="A5062" s="194" t="inlineStr">
        <is>
          <t>2026-01-04</t>
        </is>
      </c>
      <c r="B5062" s="194" t="inlineStr">
        <is>
          <t>AUD</t>
        </is>
      </c>
      <c r="C5062" s="194" t="inlineStr">
        <is>
          <t>AUSTRALIAN DOLLAR</t>
        </is>
      </c>
      <c r="D5062" s="195" t="n">
        <v>17113.45</v>
      </c>
      <c r="E5062" s="195" t="n">
        <v>17286.31</v>
      </c>
      <c r="F5062" s="195" t="n">
        <v>17853.5</v>
      </c>
      <c r="G5062" s="195" t="n">
        <v>17569.9</v>
      </c>
    </row>
    <row r="5063">
      <c r="A5063" s="196" t="inlineStr">
        <is>
          <t>2026-01-04</t>
        </is>
      </c>
      <c r="B5063" s="196" t="inlineStr">
        <is>
          <t>CAD</t>
        </is>
      </c>
      <c r="C5063" s="196" t="inlineStr">
        <is>
          <t>CANADIAN DOLLAR</t>
        </is>
      </c>
      <c r="D5063" s="184" t="n">
        <v>18697.13</v>
      </c>
      <c r="E5063" s="184" t="n">
        <v>18885.99</v>
      </c>
      <c r="F5063" s="184" t="n">
        <v>19505.67</v>
      </c>
      <c r="G5063" s="184" t="n">
        <v>19195.83</v>
      </c>
    </row>
    <row r="5064">
      <c r="A5064" s="194" t="inlineStr">
        <is>
          <t>2026-01-04</t>
        </is>
      </c>
      <c r="B5064" s="194" t="inlineStr">
        <is>
          <t>CHF</t>
        </is>
      </c>
      <c r="C5064" s="194" t="inlineStr">
        <is>
          <t>SWISS FRANC</t>
        </is>
      </c>
      <c r="D5064" s="195" t="n">
        <v>32290.98</v>
      </c>
      <c r="E5064" s="195" t="n">
        <v>32617.15</v>
      </c>
      <c r="F5064" s="195" t="n">
        <v>33687.36</v>
      </c>
      <c r="G5064" s="195" t="n">
        <v>33152.26</v>
      </c>
    </row>
    <row r="5065">
      <c r="A5065" s="196" t="inlineStr">
        <is>
          <t>2026-01-04</t>
        </is>
      </c>
      <c r="B5065" s="196" t="inlineStr">
        <is>
          <t>CNY</t>
        </is>
      </c>
      <c r="C5065" s="196" t="inlineStr">
        <is>
          <t>YUAN RENMINBI</t>
        </is>
      </c>
      <c r="D5065" s="184" t="n">
        <v>3663.11</v>
      </c>
      <c r="E5065" s="184" t="n">
        <v>3700.11</v>
      </c>
      <c r="F5065" s="184" t="n">
        <v>3821.52</v>
      </c>
      <c r="G5065" s="184" t="n">
        <v>3760.82</v>
      </c>
    </row>
    <row r="5066">
      <c r="A5066" s="194" t="inlineStr">
        <is>
          <t>2026-01-04</t>
        </is>
      </c>
      <c r="B5066" s="194" t="inlineStr">
        <is>
          <t>DKK</t>
        </is>
      </c>
      <c r="C5066" s="194" t="inlineStr">
        <is>
          <t>DANISH KRONE</t>
        </is>
      </c>
      <c r="D5066" s="195" t="n"/>
      <c r="E5066" s="195" t="n">
        <v>4053.18</v>
      </c>
      <c r="F5066" s="195" t="n">
        <v>4211.37</v>
      </c>
      <c r="G5066" s="195" t="n">
        <v>4132.27</v>
      </c>
    </row>
    <row r="5067">
      <c r="A5067" s="196" t="inlineStr">
        <is>
          <t>2026-01-04</t>
        </is>
      </c>
      <c r="B5067" s="196" t="inlineStr">
        <is>
          <t>EUR</t>
        </is>
      </c>
      <c r="C5067" s="196" t="inlineStr">
        <is>
          <t>EURO</t>
        </is>
      </c>
      <c r="D5067" s="184" t="n">
        <v>30045.21</v>
      </c>
      <c r="E5067" s="184" t="n">
        <v>30348.7</v>
      </c>
      <c r="F5067" s="184" t="n">
        <v>31653.29</v>
      </c>
      <c r="G5067" s="184" t="n">
        <v>31001</v>
      </c>
    </row>
    <row r="5068">
      <c r="A5068" s="194" t="inlineStr">
        <is>
          <t>2026-01-04</t>
        </is>
      </c>
      <c r="B5068" s="194" t="inlineStr">
        <is>
          <t>GBP</t>
        </is>
      </c>
      <c r="C5068" s="194" t="inlineStr">
        <is>
          <t>POUND STERLING</t>
        </is>
      </c>
      <c r="D5068" s="195" t="n">
        <v>34395.91</v>
      </c>
      <c r="E5068" s="195" t="n">
        <v>34743.35</v>
      </c>
      <c r="F5068" s="195" t="n">
        <v>35883.32</v>
      </c>
      <c r="G5068" s="195" t="n">
        <v>35313.34</v>
      </c>
    </row>
    <row r="5069">
      <c r="A5069" s="196" t="inlineStr">
        <is>
          <t>2026-01-04</t>
        </is>
      </c>
      <c r="B5069" s="196" t="inlineStr">
        <is>
          <t>HKD</t>
        </is>
      </c>
      <c r="C5069" s="196" t="inlineStr">
        <is>
          <t>HONGKONG DOLLAR</t>
        </is>
      </c>
      <c r="D5069" s="184" t="n">
        <v>3281.34</v>
      </c>
      <c r="E5069" s="184" t="n">
        <v>3314.49</v>
      </c>
      <c r="F5069" s="184" t="n">
        <v>3443.85</v>
      </c>
      <c r="G5069" s="184" t="n">
        <v>3379.17</v>
      </c>
    </row>
    <row r="5070">
      <c r="A5070" s="194" t="inlineStr">
        <is>
          <t>2026-01-04</t>
        </is>
      </c>
      <c r="B5070" s="194" t="inlineStr">
        <is>
          <t>INR</t>
        </is>
      </c>
      <c r="C5070" s="194" t="inlineStr">
        <is>
          <t>INDIAN RUPEE</t>
        </is>
      </c>
      <c r="D5070" s="195" t="n"/>
      <c r="E5070" s="195" t="n">
        <v>290.86</v>
      </c>
      <c r="F5070" s="195" t="n">
        <v>303.6</v>
      </c>
      <c r="G5070" s="195" t="n">
        <v>297.23</v>
      </c>
    </row>
    <row r="5071">
      <c r="A5071" s="196" t="inlineStr">
        <is>
          <t>2026-01-04</t>
        </is>
      </c>
      <c r="B5071" s="196" t="inlineStr">
        <is>
          <t>JPY</t>
        </is>
      </c>
      <c r="C5071" s="196" t="inlineStr">
        <is>
          <t>YEN</t>
        </is>
      </c>
      <c r="D5071" s="184" t="n">
        <v>161.9</v>
      </c>
      <c r="E5071" s="184" t="n">
        <v>163.54</v>
      </c>
      <c r="F5071" s="184" t="n">
        <v>172.32</v>
      </c>
      <c r="G5071" s="184" t="n">
        <v>167.93</v>
      </c>
    </row>
    <row r="5072">
      <c r="A5072" s="194" t="inlineStr">
        <is>
          <t>2026-01-04</t>
        </is>
      </c>
      <c r="B5072" s="194" t="inlineStr">
        <is>
          <t>KRW</t>
        </is>
      </c>
      <c r="C5072" s="194" t="inlineStr">
        <is>
          <t>KOREAN WON</t>
        </is>
      </c>
      <c r="D5072" s="195" t="n">
        <v>15.72</v>
      </c>
      <c r="E5072" s="195" t="n">
        <v>17.47</v>
      </c>
      <c r="F5072" s="195" t="n">
        <v>18.97</v>
      </c>
      <c r="G5072" s="195" t="n">
        <v>18.22</v>
      </c>
    </row>
    <row r="5073">
      <c r="A5073" s="196" t="inlineStr">
        <is>
          <t>2026-01-04</t>
        </is>
      </c>
      <c r="B5073" s="196" t="inlineStr">
        <is>
          <t>KWD</t>
        </is>
      </c>
      <c r="C5073" s="196" t="inlineStr">
        <is>
          <t>KUWAITI DINAR</t>
        </is>
      </c>
      <c r="D5073" s="184" t="n"/>
      <c r="E5073" s="184" t="n">
        <v>84945.88</v>
      </c>
      <c r="F5073" s="184" t="n">
        <v>89130.91</v>
      </c>
      <c r="G5073" s="184" t="n">
        <v>87038.39999999999</v>
      </c>
    </row>
    <row r="5074">
      <c r="A5074" s="194" t="inlineStr">
        <is>
          <t>2026-01-04</t>
        </is>
      </c>
      <c r="B5074" s="194" t="inlineStr">
        <is>
          <t>MYR</t>
        </is>
      </c>
      <c r="C5074" s="194" t="inlineStr">
        <is>
          <t>MALAYSIAN RINGGIT</t>
        </is>
      </c>
      <c r="D5074" s="195" t="n"/>
      <c r="E5074" s="195" t="n">
        <v>6410.26</v>
      </c>
      <c r="F5074" s="195" t="n">
        <v>6554.7</v>
      </c>
      <c r="G5074" s="195" t="n">
        <v>6482.48</v>
      </c>
    </row>
    <row r="5075">
      <c r="A5075" s="196" t="inlineStr">
        <is>
          <t>2026-01-04</t>
        </is>
      </c>
      <c r="B5075" s="196" t="inlineStr">
        <is>
          <t>NOK</t>
        </is>
      </c>
      <c r="C5075" s="196" t="inlineStr">
        <is>
          <t>NORWEGIAN KRONER</t>
        </is>
      </c>
      <c r="D5075" s="184" t="n"/>
      <c r="E5075" s="184" t="n">
        <v>2557.02</v>
      </c>
      <c r="F5075" s="184" t="n">
        <v>2667.47</v>
      </c>
      <c r="G5075" s="184" t="n">
        <v>2612.24</v>
      </c>
    </row>
    <row r="5076">
      <c r="A5076" s="194" t="inlineStr">
        <is>
          <t>2026-01-04</t>
        </is>
      </c>
      <c r="B5076" s="194" t="inlineStr">
        <is>
          <t>RUB</t>
        </is>
      </c>
      <c r="C5076" s="194" t="inlineStr">
        <is>
          <t>RUSSIAN RUBLE</t>
        </is>
      </c>
      <c r="D5076" s="195" t="n"/>
      <c r="E5076" s="195" t="n">
        <v>313.8</v>
      </c>
      <c r="F5076" s="195" t="n">
        <v>347.62</v>
      </c>
      <c r="G5076" s="195" t="n">
        <v>330.71</v>
      </c>
    </row>
    <row r="5077">
      <c r="A5077" s="196" t="inlineStr">
        <is>
          <t>2026-01-04</t>
        </is>
      </c>
      <c r="B5077" s="196" t="inlineStr">
        <is>
          <t>SAR</t>
        </is>
      </c>
      <c r="C5077" s="196" t="inlineStr">
        <is>
          <t>SAUDI RIAL</t>
        </is>
      </c>
      <c r="D5077" s="184" t="n"/>
      <c r="E5077" s="184" t="n">
        <v>6967.46</v>
      </c>
      <c r="F5077" s="184" t="n">
        <v>7272.84</v>
      </c>
      <c r="G5077" s="184" t="n">
        <v>7120.15</v>
      </c>
    </row>
    <row r="5078">
      <c r="A5078" s="194" t="inlineStr">
        <is>
          <t>2026-01-04</t>
        </is>
      </c>
      <c r="B5078" s="194" t="inlineStr">
        <is>
          <t>SEK</t>
        </is>
      </c>
      <c r="C5078" s="194" t="inlineStr">
        <is>
          <t>SWEDISH KRONA</t>
        </is>
      </c>
      <c r="D5078" s="195" t="n"/>
      <c r="E5078" s="195" t="n">
        <v>2794.58</v>
      </c>
      <c r="F5078" s="195" t="n">
        <v>2915.29</v>
      </c>
      <c r="G5078" s="195" t="n">
        <v>2854.94</v>
      </c>
    </row>
    <row r="5079">
      <c r="A5079" s="196" t="inlineStr">
        <is>
          <t>2026-01-04</t>
        </is>
      </c>
      <c r="B5079" s="196" t="inlineStr">
        <is>
          <t>SGD</t>
        </is>
      </c>
      <c r="C5079" s="196" t="inlineStr">
        <is>
          <t>SINGAPORE DOLLAR</t>
        </is>
      </c>
      <c r="D5079" s="184" t="n">
        <v>19894.26</v>
      </c>
      <c r="E5079" s="184" t="n">
        <v>20095.21</v>
      </c>
      <c r="F5079" s="184" t="n">
        <v>20796.12</v>
      </c>
      <c r="G5079" s="184" t="n">
        <v>20445.66</v>
      </c>
    </row>
    <row r="5080">
      <c r="A5080" s="194" t="inlineStr">
        <is>
          <t>2026-01-04</t>
        </is>
      </c>
      <c r="B5080" s="194" t="inlineStr">
        <is>
          <t>THB</t>
        </is>
      </c>
      <c r="C5080" s="194" t="inlineStr">
        <is>
          <t>THAILAND BAHT</t>
        </is>
      </c>
      <c r="D5080" s="195" t="n">
        <v>734.64</v>
      </c>
      <c r="E5080" s="195" t="n">
        <v>816.27</v>
      </c>
      <c r="F5080" s="195" t="n">
        <v>851.53</v>
      </c>
      <c r="G5080" s="195" t="n">
        <v>833.9</v>
      </c>
    </row>
    <row r="5081">
      <c r="A5081" s="196" t="inlineStr">
        <is>
          <t>2026-01-04</t>
        </is>
      </c>
      <c r="B5081" s="196" t="inlineStr">
        <is>
          <t>USD</t>
        </is>
      </c>
      <c r="C5081" s="196" t="inlineStr">
        <is>
          <t>US DOLLAR</t>
        </is>
      </c>
      <c r="D5081" s="184" t="n">
        <v>26047</v>
      </c>
      <c r="E5081" s="184" t="n">
        <v>26077</v>
      </c>
      <c r="F5081" s="184" t="n">
        <v>26377</v>
      </c>
      <c r="G5081" s="184" t="n">
        <v>26227</v>
      </c>
    </row>
    <row r="5082">
      <c r="A5082" s="194" t="inlineStr">
        <is>
          <t>2026-01-03</t>
        </is>
      </c>
      <c r="B5082" s="194" t="inlineStr">
        <is>
          <t>AUD</t>
        </is>
      </c>
      <c r="C5082" s="194" t="inlineStr">
        <is>
          <t>AUSTRALIAN DOLLAR</t>
        </is>
      </c>
      <c r="D5082" s="195" t="n">
        <v>17113.45</v>
      </c>
      <c r="E5082" s="195" t="n">
        <v>17286.31</v>
      </c>
      <c r="F5082" s="195" t="n">
        <v>17853.5</v>
      </c>
      <c r="G5082" s="195" t="n">
        <v>17569.9</v>
      </c>
    </row>
    <row r="5083">
      <c r="A5083" s="196" t="inlineStr">
        <is>
          <t>2026-01-03</t>
        </is>
      </c>
      <c r="B5083" s="196" t="inlineStr">
        <is>
          <t>CAD</t>
        </is>
      </c>
      <c r="C5083" s="196" t="inlineStr">
        <is>
          <t>CANADIAN DOLLAR</t>
        </is>
      </c>
      <c r="D5083" s="184" t="n">
        <v>18697.13</v>
      </c>
      <c r="E5083" s="184" t="n">
        <v>18885.99</v>
      </c>
      <c r="F5083" s="184" t="n">
        <v>19505.67</v>
      </c>
      <c r="G5083" s="184" t="n">
        <v>19195.83</v>
      </c>
    </row>
    <row r="5084">
      <c r="A5084" s="194" t="inlineStr">
        <is>
          <t>2026-01-03</t>
        </is>
      </c>
      <c r="B5084" s="194" t="inlineStr">
        <is>
          <t>CHF</t>
        </is>
      </c>
      <c r="C5084" s="194" t="inlineStr">
        <is>
          <t>SWISS FRANC</t>
        </is>
      </c>
      <c r="D5084" s="195" t="n">
        <v>32290.98</v>
      </c>
      <c r="E5084" s="195" t="n">
        <v>32617.15</v>
      </c>
      <c r="F5084" s="195" t="n">
        <v>33687.36</v>
      </c>
      <c r="G5084" s="195" t="n">
        <v>33152.26</v>
      </c>
    </row>
    <row r="5085">
      <c r="A5085" s="196" t="inlineStr">
        <is>
          <t>2026-01-03</t>
        </is>
      </c>
      <c r="B5085" s="196" t="inlineStr">
        <is>
          <t>CNY</t>
        </is>
      </c>
      <c r="C5085" s="196" t="inlineStr">
        <is>
          <t>YUAN RENMINBI</t>
        </is>
      </c>
      <c r="D5085" s="184" t="n">
        <v>3663.11</v>
      </c>
      <c r="E5085" s="184" t="n">
        <v>3700.11</v>
      </c>
      <c r="F5085" s="184" t="n">
        <v>3821.52</v>
      </c>
      <c r="G5085" s="184" t="n">
        <v>3760.82</v>
      </c>
    </row>
    <row r="5086">
      <c r="A5086" s="194" t="inlineStr">
        <is>
          <t>2026-01-03</t>
        </is>
      </c>
      <c r="B5086" s="194" t="inlineStr">
        <is>
          <t>DKK</t>
        </is>
      </c>
      <c r="C5086" s="194" t="inlineStr">
        <is>
          <t>DANISH KRONE</t>
        </is>
      </c>
      <c r="D5086" s="195" t="n"/>
      <c r="E5086" s="195" t="n">
        <v>4053.18</v>
      </c>
      <c r="F5086" s="195" t="n">
        <v>4211.37</v>
      </c>
      <c r="G5086" s="195" t="n">
        <v>4132.27</v>
      </c>
    </row>
    <row r="5087">
      <c r="A5087" s="196" t="inlineStr">
        <is>
          <t>2026-01-03</t>
        </is>
      </c>
      <c r="B5087" s="196" t="inlineStr">
        <is>
          <t>EUR</t>
        </is>
      </c>
      <c r="C5087" s="196" t="inlineStr">
        <is>
          <t>EURO</t>
        </is>
      </c>
      <c r="D5087" s="184" t="n">
        <v>30045.21</v>
      </c>
      <c r="E5087" s="184" t="n">
        <v>30348.7</v>
      </c>
      <c r="F5087" s="184" t="n">
        <v>31653.29</v>
      </c>
      <c r="G5087" s="184" t="n">
        <v>31001</v>
      </c>
    </row>
    <row r="5088">
      <c r="A5088" s="194" t="inlineStr">
        <is>
          <t>2026-01-03</t>
        </is>
      </c>
      <c r="B5088" s="194" t="inlineStr">
        <is>
          <t>GBP</t>
        </is>
      </c>
      <c r="C5088" s="194" t="inlineStr">
        <is>
          <t>POUND STERLING</t>
        </is>
      </c>
      <c r="D5088" s="195" t="n">
        <v>34395.91</v>
      </c>
      <c r="E5088" s="195" t="n">
        <v>34743.35</v>
      </c>
      <c r="F5088" s="195" t="n">
        <v>35883.32</v>
      </c>
      <c r="G5088" s="195" t="n">
        <v>35313.34</v>
      </c>
    </row>
    <row r="5089">
      <c r="A5089" s="196" t="inlineStr">
        <is>
          <t>2026-01-03</t>
        </is>
      </c>
      <c r="B5089" s="196" t="inlineStr">
        <is>
          <t>HKD</t>
        </is>
      </c>
      <c r="C5089" s="196" t="inlineStr">
        <is>
          <t>HONGKONG DOLLAR</t>
        </is>
      </c>
      <c r="D5089" s="184" t="n">
        <v>3281.34</v>
      </c>
      <c r="E5089" s="184" t="n">
        <v>3314.49</v>
      </c>
      <c r="F5089" s="184" t="n">
        <v>3443.85</v>
      </c>
      <c r="G5089" s="184" t="n">
        <v>3379.17</v>
      </c>
    </row>
    <row r="5090">
      <c r="A5090" s="194" t="inlineStr">
        <is>
          <t>2026-01-03</t>
        </is>
      </c>
      <c r="B5090" s="194" t="inlineStr">
        <is>
          <t>INR</t>
        </is>
      </c>
      <c r="C5090" s="194" t="inlineStr">
        <is>
          <t>INDIAN RUPEE</t>
        </is>
      </c>
      <c r="D5090" s="195" t="n"/>
      <c r="E5090" s="195" t="n">
        <v>290.86</v>
      </c>
      <c r="F5090" s="195" t="n">
        <v>303.6</v>
      </c>
      <c r="G5090" s="195" t="n">
        <v>297.23</v>
      </c>
    </row>
    <row r="5091">
      <c r="A5091" s="196" t="inlineStr">
        <is>
          <t>2026-01-03</t>
        </is>
      </c>
      <c r="B5091" s="196" t="inlineStr">
        <is>
          <t>JPY</t>
        </is>
      </c>
      <c r="C5091" s="196" t="inlineStr">
        <is>
          <t>YEN</t>
        </is>
      </c>
      <c r="D5091" s="184" t="n">
        <v>161.9</v>
      </c>
      <c r="E5091" s="184" t="n">
        <v>163.54</v>
      </c>
      <c r="F5091" s="184" t="n">
        <v>172.32</v>
      </c>
      <c r="G5091" s="184" t="n">
        <v>167.93</v>
      </c>
    </row>
    <row r="5092">
      <c r="A5092" s="194" t="inlineStr">
        <is>
          <t>2026-01-03</t>
        </is>
      </c>
      <c r="B5092" s="194" t="inlineStr">
        <is>
          <t>KRW</t>
        </is>
      </c>
      <c r="C5092" s="194" t="inlineStr">
        <is>
          <t>KOREAN WON</t>
        </is>
      </c>
      <c r="D5092" s="195" t="n">
        <v>15.72</v>
      </c>
      <c r="E5092" s="195" t="n">
        <v>17.47</v>
      </c>
      <c r="F5092" s="195" t="n">
        <v>18.97</v>
      </c>
      <c r="G5092" s="195" t="n">
        <v>18.22</v>
      </c>
    </row>
    <row r="5093">
      <c r="A5093" s="196" t="inlineStr">
        <is>
          <t>2026-01-03</t>
        </is>
      </c>
      <c r="B5093" s="196" t="inlineStr">
        <is>
          <t>KWD</t>
        </is>
      </c>
      <c r="C5093" s="196" t="inlineStr">
        <is>
          <t>KUWAITI DINAR</t>
        </is>
      </c>
      <c r="D5093" s="184" t="n"/>
      <c r="E5093" s="184" t="n">
        <v>84945.88</v>
      </c>
      <c r="F5093" s="184" t="n">
        <v>89130.91</v>
      </c>
      <c r="G5093" s="184" t="n">
        <v>87038.39999999999</v>
      </c>
    </row>
    <row r="5094">
      <c r="A5094" s="194" t="inlineStr">
        <is>
          <t>2026-01-03</t>
        </is>
      </c>
      <c r="B5094" s="194" t="inlineStr">
        <is>
          <t>MYR</t>
        </is>
      </c>
      <c r="C5094" s="194" t="inlineStr">
        <is>
          <t>MALAYSIAN RINGGIT</t>
        </is>
      </c>
      <c r="D5094" s="195" t="n"/>
      <c r="E5094" s="195" t="n">
        <v>6410.26</v>
      </c>
      <c r="F5094" s="195" t="n">
        <v>6554.7</v>
      </c>
      <c r="G5094" s="195" t="n">
        <v>6482.48</v>
      </c>
    </row>
    <row r="5095">
      <c r="A5095" s="196" t="inlineStr">
        <is>
          <t>2026-01-03</t>
        </is>
      </c>
      <c r="B5095" s="196" t="inlineStr">
        <is>
          <t>NOK</t>
        </is>
      </c>
      <c r="C5095" s="196" t="inlineStr">
        <is>
          <t>NORWEGIAN KRONER</t>
        </is>
      </c>
      <c r="D5095" s="184" t="n"/>
      <c r="E5095" s="184" t="n">
        <v>2557.02</v>
      </c>
      <c r="F5095" s="184" t="n">
        <v>2667.47</v>
      </c>
      <c r="G5095" s="184" t="n">
        <v>2612.24</v>
      </c>
    </row>
    <row r="5096">
      <c r="A5096" s="194" t="inlineStr">
        <is>
          <t>2026-01-03</t>
        </is>
      </c>
      <c r="B5096" s="194" t="inlineStr">
        <is>
          <t>RUB</t>
        </is>
      </c>
      <c r="C5096" s="194" t="inlineStr">
        <is>
          <t>RUSSIAN RUBLE</t>
        </is>
      </c>
      <c r="D5096" s="195" t="n"/>
      <c r="E5096" s="195" t="n">
        <v>313.8</v>
      </c>
      <c r="F5096" s="195" t="n">
        <v>347.62</v>
      </c>
      <c r="G5096" s="195" t="n">
        <v>330.71</v>
      </c>
    </row>
    <row r="5097">
      <c r="A5097" s="196" t="inlineStr">
        <is>
          <t>2026-01-03</t>
        </is>
      </c>
      <c r="B5097" s="196" t="inlineStr">
        <is>
          <t>SAR</t>
        </is>
      </c>
      <c r="C5097" s="196" t="inlineStr">
        <is>
          <t>SAUDI RIAL</t>
        </is>
      </c>
      <c r="D5097" s="184" t="n"/>
      <c r="E5097" s="184" t="n">
        <v>6967.46</v>
      </c>
      <c r="F5097" s="184" t="n">
        <v>7272.84</v>
      </c>
      <c r="G5097" s="184" t="n">
        <v>7120.15</v>
      </c>
    </row>
    <row r="5098">
      <c r="A5098" s="194" t="inlineStr">
        <is>
          <t>2026-01-03</t>
        </is>
      </c>
      <c r="B5098" s="194" t="inlineStr">
        <is>
          <t>SEK</t>
        </is>
      </c>
      <c r="C5098" s="194" t="inlineStr">
        <is>
          <t>SWEDISH KRONA</t>
        </is>
      </c>
      <c r="D5098" s="195" t="n"/>
      <c r="E5098" s="195" t="n">
        <v>2794.58</v>
      </c>
      <c r="F5098" s="195" t="n">
        <v>2915.29</v>
      </c>
      <c r="G5098" s="195" t="n">
        <v>2854.94</v>
      </c>
    </row>
    <row r="5099">
      <c r="A5099" s="196" t="inlineStr">
        <is>
          <t>2026-01-03</t>
        </is>
      </c>
      <c r="B5099" s="196" t="inlineStr">
        <is>
          <t>SGD</t>
        </is>
      </c>
      <c r="C5099" s="196" t="inlineStr">
        <is>
          <t>SINGAPORE DOLLAR</t>
        </is>
      </c>
      <c r="D5099" s="184" t="n">
        <v>19894.26</v>
      </c>
      <c r="E5099" s="184" t="n">
        <v>20095.21</v>
      </c>
      <c r="F5099" s="184" t="n">
        <v>20796.12</v>
      </c>
      <c r="G5099" s="184" t="n">
        <v>20445.66</v>
      </c>
    </row>
    <row r="5100">
      <c r="A5100" s="194" t="inlineStr">
        <is>
          <t>2026-01-03</t>
        </is>
      </c>
      <c r="B5100" s="194" t="inlineStr">
        <is>
          <t>THB</t>
        </is>
      </c>
      <c r="C5100" s="194" t="inlineStr">
        <is>
          <t>THAILAND BAHT</t>
        </is>
      </c>
      <c r="D5100" s="195" t="n">
        <v>734.64</v>
      </c>
      <c r="E5100" s="195" t="n">
        <v>816.27</v>
      </c>
      <c r="F5100" s="195" t="n">
        <v>851.53</v>
      </c>
      <c r="G5100" s="195" t="n">
        <v>833.9</v>
      </c>
    </row>
    <row r="5101">
      <c r="A5101" s="196" t="inlineStr">
        <is>
          <t>2026-01-03</t>
        </is>
      </c>
      <c r="B5101" s="196" t="inlineStr">
        <is>
          <t>USD</t>
        </is>
      </c>
      <c r="C5101" s="196" t="inlineStr">
        <is>
          <t>US DOLLAR</t>
        </is>
      </c>
      <c r="D5101" s="184" t="n">
        <v>26047</v>
      </c>
      <c r="E5101" s="184" t="n">
        <v>26077</v>
      </c>
      <c r="F5101" s="184" t="n">
        <v>26377</v>
      </c>
      <c r="G5101" s="184" t="n">
        <v>26227</v>
      </c>
    </row>
    <row r="5102">
      <c r="A5102" s="194" t="inlineStr">
        <is>
          <t>2026-01-02</t>
        </is>
      </c>
      <c r="B5102" s="194" t="inlineStr">
        <is>
          <t>AUD</t>
        </is>
      </c>
      <c r="C5102" s="194" t="inlineStr">
        <is>
          <t>AUSTRALIAN DOLLAR</t>
        </is>
      </c>
      <c r="D5102" s="195" t="n">
        <v>17113.45</v>
      </c>
      <c r="E5102" s="195" t="n">
        <v>17286.31</v>
      </c>
      <c r="F5102" s="195" t="n">
        <v>17853.5</v>
      </c>
      <c r="G5102" s="195" t="n">
        <v>17569.9</v>
      </c>
    </row>
    <row r="5103">
      <c r="A5103" s="196" t="inlineStr">
        <is>
          <t>2026-01-02</t>
        </is>
      </c>
      <c r="B5103" s="196" t="inlineStr">
        <is>
          <t>CAD</t>
        </is>
      </c>
      <c r="C5103" s="196" t="inlineStr">
        <is>
          <t>CANADIAN DOLLAR</t>
        </is>
      </c>
      <c r="D5103" s="184" t="n">
        <v>18697.13</v>
      </c>
      <c r="E5103" s="184" t="n">
        <v>18885.99</v>
      </c>
      <c r="F5103" s="184" t="n">
        <v>19505.67</v>
      </c>
      <c r="G5103" s="184" t="n">
        <v>19195.83</v>
      </c>
    </row>
    <row r="5104">
      <c r="A5104" s="194" t="inlineStr">
        <is>
          <t>2026-01-02</t>
        </is>
      </c>
      <c r="B5104" s="194" t="inlineStr">
        <is>
          <t>CHF</t>
        </is>
      </c>
      <c r="C5104" s="194" t="inlineStr">
        <is>
          <t>SWISS FRANC</t>
        </is>
      </c>
      <c r="D5104" s="195" t="n">
        <v>32290.98</v>
      </c>
      <c r="E5104" s="195" t="n">
        <v>32617.15</v>
      </c>
      <c r="F5104" s="195" t="n">
        <v>33687.36</v>
      </c>
      <c r="G5104" s="195" t="n">
        <v>33152.26</v>
      </c>
    </row>
    <row r="5105">
      <c r="A5105" s="196" t="inlineStr">
        <is>
          <t>2026-01-02</t>
        </is>
      </c>
      <c r="B5105" s="196" t="inlineStr">
        <is>
          <t>CNY</t>
        </is>
      </c>
      <c r="C5105" s="196" t="inlineStr">
        <is>
          <t>YUAN RENMINBI</t>
        </is>
      </c>
      <c r="D5105" s="184" t="n">
        <v>3663.11</v>
      </c>
      <c r="E5105" s="184" t="n">
        <v>3700.11</v>
      </c>
      <c r="F5105" s="184" t="n">
        <v>3821.52</v>
      </c>
      <c r="G5105" s="184" t="n">
        <v>3760.82</v>
      </c>
    </row>
    <row r="5106">
      <c r="A5106" s="194" t="inlineStr">
        <is>
          <t>2026-01-02</t>
        </is>
      </c>
      <c r="B5106" s="194" t="inlineStr">
        <is>
          <t>DKK</t>
        </is>
      </c>
      <c r="C5106" s="194" t="inlineStr">
        <is>
          <t>DANISH KRONE</t>
        </is>
      </c>
      <c r="D5106" s="195" t="n"/>
      <c r="E5106" s="195" t="n">
        <v>4053.18</v>
      </c>
      <c r="F5106" s="195" t="n">
        <v>4211.37</v>
      </c>
      <c r="G5106" s="195" t="n">
        <v>4132.27</v>
      </c>
    </row>
    <row r="5107">
      <c r="A5107" s="196" t="inlineStr">
        <is>
          <t>2026-01-02</t>
        </is>
      </c>
      <c r="B5107" s="196" t="inlineStr">
        <is>
          <t>EUR</t>
        </is>
      </c>
      <c r="C5107" s="196" t="inlineStr">
        <is>
          <t>EURO</t>
        </is>
      </c>
      <c r="D5107" s="184" t="n">
        <v>30045.21</v>
      </c>
      <c r="E5107" s="184" t="n">
        <v>30348.7</v>
      </c>
      <c r="F5107" s="184" t="n">
        <v>31653.29</v>
      </c>
      <c r="G5107" s="184" t="n">
        <v>31001</v>
      </c>
    </row>
    <row r="5108">
      <c r="A5108" s="194" t="inlineStr">
        <is>
          <t>2026-01-02</t>
        </is>
      </c>
      <c r="B5108" s="194" t="inlineStr">
        <is>
          <t>GBP</t>
        </is>
      </c>
      <c r="C5108" s="194" t="inlineStr">
        <is>
          <t>POUND STERLING</t>
        </is>
      </c>
      <c r="D5108" s="195" t="n">
        <v>34395.91</v>
      </c>
      <c r="E5108" s="195" t="n">
        <v>34743.35</v>
      </c>
      <c r="F5108" s="195" t="n">
        <v>35883.32</v>
      </c>
      <c r="G5108" s="195" t="n">
        <v>35313.34</v>
      </c>
    </row>
    <row r="5109">
      <c r="A5109" s="196" t="inlineStr">
        <is>
          <t>2026-01-02</t>
        </is>
      </c>
      <c r="B5109" s="196" t="inlineStr">
        <is>
          <t>HKD</t>
        </is>
      </c>
      <c r="C5109" s="196" t="inlineStr">
        <is>
          <t>HONGKONG DOLLAR</t>
        </is>
      </c>
      <c r="D5109" s="184" t="n">
        <v>3281.34</v>
      </c>
      <c r="E5109" s="184" t="n">
        <v>3314.49</v>
      </c>
      <c r="F5109" s="184" t="n">
        <v>3443.85</v>
      </c>
      <c r="G5109" s="184" t="n">
        <v>3379.17</v>
      </c>
    </row>
    <row r="5110">
      <c r="A5110" s="194" t="inlineStr">
        <is>
          <t>2026-01-02</t>
        </is>
      </c>
      <c r="B5110" s="194" t="inlineStr">
        <is>
          <t>INR</t>
        </is>
      </c>
      <c r="C5110" s="194" t="inlineStr">
        <is>
          <t>INDIAN RUPEE</t>
        </is>
      </c>
      <c r="D5110" s="195" t="n"/>
      <c r="E5110" s="195" t="n">
        <v>290.86</v>
      </c>
      <c r="F5110" s="195" t="n">
        <v>303.6</v>
      </c>
      <c r="G5110" s="195" t="n">
        <v>297.23</v>
      </c>
    </row>
    <row r="5111">
      <c r="A5111" s="196" t="inlineStr">
        <is>
          <t>2026-01-02</t>
        </is>
      </c>
      <c r="B5111" s="196" t="inlineStr">
        <is>
          <t>JPY</t>
        </is>
      </c>
      <c r="C5111" s="196" t="inlineStr">
        <is>
          <t>YEN</t>
        </is>
      </c>
      <c r="D5111" s="184" t="n">
        <v>161.9</v>
      </c>
      <c r="E5111" s="184" t="n">
        <v>163.54</v>
      </c>
      <c r="F5111" s="184" t="n">
        <v>172.32</v>
      </c>
      <c r="G5111" s="184" t="n">
        <v>167.93</v>
      </c>
    </row>
    <row r="5112">
      <c r="A5112" s="194" t="inlineStr">
        <is>
          <t>2026-01-02</t>
        </is>
      </c>
      <c r="B5112" s="194" t="inlineStr">
        <is>
          <t>KRW</t>
        </is>
      </c>
      <c r="C5112" s="194" t="inlineStr">
        <is>
          <t>KOREAN WON</t>
        </is>
      </c>
      <c r="D5112" s="195" t="n">
        <v>15.72</v>
      </c>
      <c r="E5112" s="195" t="n">
        <v>17.47</v>
      </c>
      <c r="F5112" s="195" t="n">
        <v>18.97</v>
      </c>
      <c r="G5112" s="195" t="n">
        <v>18.22</v>
      </c>
    </row>
    <row r="5113">
      <c r="A5113" s="196" t="inlineStr">
        <is>
          <t>2026-01-02</t>
        </is>
      </c>
      <c r="B5113" s="196" t="inlineStr">
        <is>
          <t>KWD</t>
        </is>
      </c>
      <c r="C5113" s="196" t="inlineStr">
        <is>
          <t>KUWAITI DINAR</t>
        </is>
      </c>
      <c r="D5113" s="184" t="n"/>
      <c r="E5113" s="184" t="n">
        <v>84945.88</v>
      </c>
      <c r="F5113" s="184" t="n">
        <v>89130.91</v>
      </c>
      <c r="G5113" s="184" t="n">
        <v>87038.39999999999</v>
      </c>
    </row>
    <row r="5114">
      <c r="A5114" s="194" t="inlineStr">
        <is>
          <t>2026-01-02</t>
        </is>
      </c>
      <c r="B5114" s="194" t="inlineStr">
        <is>
          <t>MYR</t>
        </is>
      </c>
      <c r="C5114" s="194" t="inlineStr">
        <is>
          <t>MALAYSIAN RINGGIT</t>
        </is>
      </c>
      <c r="D5114" s="195" t="n"/>
      <c r="E5114" s="195" t="n">
        <v>6410.26</v>
      </c>
      <c r="F5114" s="195" t="n">
        <v>6554.7</v>
      </c>
      <c r="G5114" s="195" t="n">
        <v>6482.48</v>
      </c>
    </row>
    <row r="5115">
      <c r="A5115" s="196" t="inlineStr">
        <is>
          <t>2026-01-02</t>
        </is>
      </c>
      <c r="B5115" s="196" t="inlineStr">
        <is>
          <t>NOK</t>
        </is>
      </c>
      <c r="C5115" s="196" t="inlineStr">
        <is>
          <t>NORWEGIAN KRONER</t>
        </is>
      </c>
      <c r="D5115" s="184" t="n"/>
      <c r="E5115" s="184" t="n">
        <v>2557.02</v>
      </c>
      <c r="F5115" s="184" t="n">
        <v>2667.47</v>
      </c>
      <c r="G5115" s="184" t="n">
        <v>2612.24</v>
      </c>
    </row>
    <row r="5116">
      <c r="A5116" s="194" t="inlineStr">
        <is>
          <t>2026-01-02</t>
        </is>
      </c>
      <c r="B5116" s="194" t="inlineStr">
        <is>
          <t>RUB</t>
        </is>
      </c>
      <c r="C5116" s="194" t="inlineStr">
        <is>
          <t>RUSSIAN RUBLE</t>
        </is>
      </c>
      <c r="D5116" s="195" t="n"/>
      <c r="E5116" s="195" t="n">
        <v>313.8</v>
      </c>
      <c r="F5116" s="195" t="n">
        <v>347.62</v>
      </c>
      <c r="G5116" s="195" t="n">
        <v>330.71</v>
      </c>
    </row>
    <row r="5117">
      <c r="A5117" s="196" t="inlineStr">
        <is>
          <t>2026-01-02</t>
        </is>
      </c>
      <c r="B5117" s="196" t="inlineStr">
        <is>
          <t>SAR</t>
        </is>
      </c>
      <c r="C5117" s="196" t="inlineStr">
        <is>
          <t>SAUDI RIAL</t>
        </is>
      </c>
      <c r="D5117" s="184" t="n"/>
      <c r="E5117" s="184" t="n">
        <v>6967.46</v>
      </c>
      <c r="F5117" s="184" t="n">
        <v>7272.84</v>
      </c>
      <c r="G5117" s="184" t="n">
        <v>7120.15</v>
      </c>
    </row>
    <row r="5118">
      <c r="A5118" s="194" t="inlineStr">
        <is>
          <t>2026-01-02</t>
        </is>
      </c>
      <c r="B5118" s="194" t="inlineStr">
        <is>
          <t>SEK</t>
        </is>
      </c>
      <c r="C5118" s="194" t="inlineStr">
        <is>
          <t>SWEDISH KRONA</t>
        </is>
      </c>
      <c r="D5118" s="195" t="n"/>
      <c r="E5118" s="195" t="n">
        <v>2794.58</v>
      </c>
      <c r="F5118" s="195" t="n">
        <v>2915.29</v>
      </c>
      <c r="G5118" s="195" t="n">
        <v>2854.94</v>
      </c>
    </row>
    <row r="5119">
      <c r="A5119" s="196" t="inlineStr">
        <is>
          <t>2026-01-02</t>
        </is>
      </c>
      <c r="B5119" s="196" t="inlineStr">
        <is>
          <t>SGD</t>
        </is>
      </c>
      <c r="C5119" s="196" t="inlineStr">
        <is>
          <t>SINGAPORE DOLLAR</t>
        </is>
      </c>
      <c r="D5119" s="184" t="n">
        <v>19894.26</v>
      </c>
      <c r="E5119" s="184" t="n">
        <v>20095.21</v>
      </c>
      <c r="F5119" s="184" t="n">
        <v>20796.12</v>
      </c>
      <c r="G5119" s="184" t="n">
        <v>20445.66</v>
      </c>
    </row>
    <row r="5120">
      <c r="A5120" s="194" t="inlineStr">
        <is>
          <t>2026-01-02</t>
        </is>
      </c>
      <c r="B5120" s="194" t="inlineStr">
        <is>
          <t>THB</t>
        </is>
      </c>
      <c r="C5120" s="194" t="inlineStr">
        <is>
          <t>THAILAND BAHT</t>
        </is>
      </c>
      <c r="D5120" s="195" t="n">
        <v>734.64</v>
      </c>
      <c r="E5120" s="195" t="n">
        <v>816.27</v>
      </c>
      <c r="F5120" s="195" t="n">
        <v>851.53</v>
      </c>
      <c r="G5120" s="195" t="n">
        <v>833.9</v>
      </c>
    </row>
    <row r="5121">
      <c r="A5121" s="196" t="inlineStr">
        <is>
          <t>2026-01-02</t>
        </is>
      </c>
      <c r="B5121" s="196" t="inlineStr">
        <is>
          <t>USD</t>
        </is>
      </c>
      <c r="C5121" s="196" t="inlineStr">
        <is>
          <t>US DOLLAR</t>
        </is>
      </c>
      <c r="D5121" s="184" t="n">
        <v>26047</v>
      </c>
      <c r="E5121" s="184" t="n">
        <v>26077</v>
      </c>
      <c r="F5121" s="184" t="n">
        <v>26377</v>
      </c>
      <c r="G5121" s="184" t="n">
        <v>26227</v>
      </c>
    </row>
    <row r="5122">
      <c r="A5122" s="194" t="inlineStr">
        <is>
          <t>2026-01-01</t>
        </is>
      </c>
      <c r="B5122" s="194" t="inlineStr">
        <is>
          <t>AUD</t>
        </is>
      </c>
      <c r="C5122" s="194" t="inlineStr">
        <is>
          <t>AUSTRALIAN DOLLAR</t>
        </is>
      </c>
      <c r="D5122" s="195" t="n">
        <v>17113.45</v>
      </c>
      <c r="E5122" s="195" t="n">
        <v>17286.31</v>
      </c>
      <c r="F5122" s="195" t="n">
        <v>17853.5</v>
      </c>
      <c r="G5122" s="195" t="n">
        <v>17569.9</v>
      </c>
    </row>
    <row r="5123">
      <c r="A5123" s="196" t="inlineStr">
        <is>
          <t>2026-01-01</t>
        </is>
      </c>
      <c r="B5123" s="196" t="inlineStr">
        <is>
          <t>CAD</t>
        </is>
      </c>
      <c r="C5123" s="196" t="inlineStr">
        <is>
          <t>CANADIAN DOLLAR</t>
        </is>
      </c>
      <c r="D5123" s="184" t="n">
        <v>18697.13</v>
      </c>
      <c r="E5123" s="184" t="n">
        <v>18885.99</v>
      </c>
      <c r="F5123" s="184" t="n">
        <v>19505.67</v>
      </c>
      <c r="G5123" s="184" t="n">
        <v>19195.83</v>
      </c>
    </row>
    <row r="5124">
      <c r="A5124" s="194" t="inlineStr">
        <is>
          <t>2026-01-01</t>
        </is>
      </c>
      <c r="B5124" s="194" t="inlineStr">
        <is>
          <t>CHF</t>
        </is>
      </c>
      <c r="C5124" s="194" t="inlineStr">
        <is>
          <t>SWISS FRANC</t>
        </is>
      </c>
      <c r="D5124" s="195" t="n">
        <v>32290.98</v>
      </c>
      <c r="E5124" s="195" t="n">
        <v>32617.15</v>
      </c>
      <c r="F5124" s="195" t="n">
        <v>33687.36</v>
      </c>
      <c r="G5124" s="195" t="n">
        <v>33152.26</v>
      </c>
    </row>
    <row r="5125">
      <c r="A5125" s="196" t="inlineStr">
        <is>
          <t>2026-01-01</t>
        </is>
      </c>
      <c r="B5125" s="196" t="inlineStr">
        <is>
          <t>CNY</t>
        </is>
      </c>
      <c r="C5125" s="196" t="inlineStr">
        <is>
          <t>YUAN RENMINBI</t>
        </is>
      </c>
      <c r="D5125" s="184" t="n">
        <v>3663.11</v>
      </c>
      <c r="E5125" s="184" t="n">
        <v>3700.11</v>
      </c>
      <c r="F5125" s="184" t="n">
        <v>3821.52</v>
      </c>
      <c r="G5125" s="184" t="n">
        <v>3760.82</v>
      </c>
    </row>
    <row r="5126">
      <c r="A5126" s="194" t="inlineStr">
        <is>
          <t>2026-01-01</t>
        </is>
      </c>
      <c r="B5126" s="194" t="inlineStr">
        <is>
          <t>DKK</t>
        </is>
      </c>
      <c r="C5126" s="194" t="inlineStr">
        <is>
          <t>DANISH KRONE</t>
        </is>
      </c>
      <c r="D5126" s="195" t="n"/>
      <c r="E5126" s="195" t="n">
        <v>4053.18</v>
      </c>
      <c r="F5126" s="195" t="n">
        <v>4211.37</v>
      </c>
      <c r="G5126" s="195" t="n">
        <v>4132.27</v>
      </c>
    </row>
    <row r="5127">
      <c r="A5127" s="196" t="inlineStr">
        <is>
          <t>2026-01-01</t>
        </is>
      </c>
      <c r="B5127" s="196" t="inlineStr">
        <is>
          <t>EUR</t>
        </is>
      </c>
      <c r="C5127" s="196" t="inlineStr">
        <is>
          <t>EURO</t>
        </is>
      </c>
      <c r="D5127" s="184" t="n">
        <v>30045.21</v>
      </c>
      <c r="E5127" s="184" t="n">
        <v>30348.7</v>
      </c>
      <c r="F5127" s="184" t="n">
        <v>31653.29</v>
      </c>
      <c r="G5127" s="184" t="n">
        <v>31001</v>
      </c>
    </row>
    <row r="5128">
      <c r="A5128" s="194" t="inlineStr">
        <is>
          <t>2026-01-01</t>
        </is>
      </c>
      <c r="B5128" s="194" t="inlineStr">
        <is>
          <t>GBP</t>
        </is>
      </c>
      <c r="C5128" s="194" t="inlineStr">
        <is>
          <t>POUND STERLING</t>
        </is>
      </c>
      <c r="D5128" s="195" t="n">
        <v>34395.91</v>
      </c>
      <c r="E5128" s="195" t="n">
        <v>34743.35</v>
      </c>
      <c r="F5128" s="195" t="n">
        <v>35883.32</v>
      </c>
      <c r="G5128" s="195" t="n">
        <v>35313.34</v>
      </c>
    </row>
    <row r="5129">
      <c r="A5129" s="196" t="inlineStr">
        <is>
          <t>2026-01-01</t>
        </is>
      </c>
      <c r="B5129" s="196" t="inlineStr">
        <is>
          <t>HKD</t>
        </is>
      </c>
      <c r="C5129" s="196" t="inlineStr">
        <is>
          <t>HONGKONG DOLLAR</t>
        </is>
      </c>
      <c r="D5129" s="184" t="n">
        <v>3281.34</v>
      </c>
      <c r="E5129" s="184" t="n">
        <v>3314.49</v>
      </c>
      <c r="F5129" s="184" t="n">
        <v>3443.85</v>
      </c>
      <c r="G5129" s="184" t="n">
        <v>3379.17</v>
      </c>
    </row>
    <row r="5130">
      <c r="A5130" s="194" t="inlineStr">
        <is>
          <t>2026-01-01</t>
        </is>
      </c>
      <c r="B5130" s="194" t="inlineStr">
        <is>
          <t>INR</t>
        </is>
      </c>
      <c r="C5130" s="194" t="inlineStr">
        <is>
          <t>INDIAN RUPEE</t>
        </is>
      </c>
      <c r="D5130" s="195" t="n"/>
      <c r="E5130" s="195" t="n">
        <v>290.86</v>
      </c>
      <c r="F5130" s="195" t="n">
        <v>303.6</v>
      </c>
      <c r="G5130" s="195" t="n">
        <v>297.23</v>
      </c>
    </row>
    <row r="5131">
      <c r="A5131" s="196" t="inlineStr">
        <is>
          <t>2026-01-01</t>
        </is>
      </c>
      <c r="B5131" s="196" t="inlineStr">
        <is>
          <t>JPY</t>
        </is>
      </c>
      <c r="C5131" s="196" t="inlineStr">
        <is>
          <t>YEN</t>
        </is>
      </c>
      <c r="D5131" s="184" t="n">
        <v>161.9</v>
      </c>
      <c r="E5131" s="184" t="n">
        <v>163.54</v>
      </c>
      <c r="F5131" s="184" t="n">
        <v>172.32</v>
      </c>
      <c r="G5131" s="184" t="n">
        <v>167.93</v>
      </c>
    </row>
    <row r="5132">
      <c r="A5132" s="194" t="inlineStr">
        <is>
          <t>2026-01-01</t>
        </is>
      </c>
      <c r="B5132" s="194" t="inlineStr">
        <is>
          <t>KRW</t>
        </is>
      </c>
      <c r="C5132" s="194" t="inlineStr">
        <is>
          <t>KOREAN WON</t>
        </is>
      </c>
      <c r="D5132" s="195" t="n">
        <v>15.72</v>
      </c>
      <c r="E5132" s="195" t="n">
        <v>17.47</v>
      </c>
      <c r="F5132" s="195" t="n">
        <v>18.97</v>
      </c>
      <c r="G5132" s="195" t="n">
        <v>18.22</v>
      </c>
    </row>
    <row r="5133">
      <c r="A5133" s="196" t="inlineStr">
        <is>
          <t>2026-01-01</t>
        </is>
      </c>
      <c r="B5133" s="196" t="inlineStr">
        <is>
          <t>KWD</t>
        </is>
      </c>
      <c r="C5133" s="196" t="inlineStr">
        <is>
          <t>KUWAITI DINAR</t>
        </is>
      </c>
      <c r="D5133" s="184" t="n"/>
      <c r="E5133" s="184" t="n">
        <v>84945.88</v>
      </c>
      <c r="F5133" s="184" t="n">
        <v>89130.91</v>
      </c>
      <c r="G5133" s="184" t="n">
        <v>87038.39999999999</v>
      </c>
    </row>
    <row r="5134">
      <c r="A5134" s="194" t="inlineStr">
        <is>
          <t>2026-01-01</t>
        </is>
      </c>
      <c r="B5134" s="194" t="inlineStr">
        <is>
          <t>MYR</t>
        </is>
      </c>
      <c r="C5134" s="194" t="inlineStr">
        <is>
          <t>MALAYSIAN RINGGIT</t>
        </is>
      </c>
      <c r="D5134" s="195" t="n"/>
      <c r="E5134" s="195" t="n">
        <v>6410.26</v>
      </c>
      <c r="F5134" s="195" t="n">
        <v>6554.7</v>
      </c>
      <c r="G5134" s="195" t="n">
        <v>6482.48</v>
      </c>
    </row>
    <row r="5135">
      <c r="A5135" s="196" t="inlineStr">
        <is>
          <t>2026-01-01</t>
        </is>
      </c>
      <c r="B5135" s="196" t="inlineStr">
        <is>
          <t>NOK</t>
        </is>
      </c>
      <c r="C5135" s="196" t="inlineStr">
        <is>
          <t>NORWEGIAN KRONER</t>
        </is>
      </c>
      <c r="D5135" s="184" t="n"/>
      <c r="E5135" s="184" t="n">
        <v>2557.02</v>
      </c>
      <c r="F5135" s="184" t="n">
        <v>2667.47</v>
      </c>
      <c r="G5135" s="184" t="n">
        <v>2612.24</v>
      </c>
    </row>
    <row r="5136">
      <c r="A5136" s="194" t="inlineStr">
        <is>
          <t>2026-01-01</t>
        </is>
      </c>
      <c r="B5136" s="194" t="inlineStr">
        <is>
          <t>RUB</t>
        </is>
      </c>
      <c r="C5136" s="194" t="inlineStr">
        <is>
          <t>RUSSIAN RUBLE</t>
        </is>
      </c>
      <c r="D5136" s="195" t="n"/>
      <c r="E5136" s="195" t="n">
        <v>313.8</v>
      </c>
      <c r="F5136" s="195" t="n">
        <v>347.62</v>
      </c>
      <c r="G5136" s="195" t="n">
        <v>330.71</v>
      </c>
    </row>
    <row r="5137">
      <c r="A5137" s="196" t="inlineStr">
        <is>
          <t>2026-01-01</t>
        </is>
      </c>
      <c r="B5137" s="196" t="inlineStr">
        <is>
          <t>SAR</t>
        </is>
      </c>
      <c r="C5137" s="196" t="inlineStr">
        <is>
          <t>SAUDI RIAL</t>
        </is>
      </c>
      <c r="D5137" s="184" t="n"/>
      <c r="E5137" s="184" t="n">
        <v>6967.46</v>
      </c>
      <c r="F5137" s="184" t="n">
        <v>7272.84</v>
      </c>
      <c r="G5137" s="184" t="n">
        <v>7120.15</v>
      </c>
    </row>
    <row r="5138">
      <c r="A5138" s="194" t="inlineStr">
        <is>
          <t>2026-01-01</t>
        </is>
      </c>
      <c r="B5138" s="194" t="inlineStr">
        <is>
          <t>SEK</t>
        </is>
      </c>
      <c r="C5138" s="194" t="inlineStr">
        <is>
          <t>SWEDISH KRONA</t>
        </is>
      </c>
      <c r="D5138" s="195" t="n"/>
      <c r="E5138" s="195" t="n">
        <v>2794.58</v>
      </c>
      <c r="F5138" s="195" t="n">
        <v>2915.29</v>
      </c>
      <c r="G5138" s="195" t="n">
        <v>2854.94</v>
      </c>
    </row>
    <row r="5139">
      <c r="A5139" s="196" t="inlineStr">
        <is>
          <t>2026-01-01</t>
        </is>
      </c>
      <c r="B5139" s="196" t="inlineStr">
        <is>
          <t>SGD</t>
        </is>
      </c>
      <c r="C5139" s="196" t="inlineStr">
        <is>
          <t>SINGAPORE DOLLAR</t>
        </is>
      </c>
      <c r="D5139" s="184" t="n">
        <v>19894.26</v>
      </c>
      <c r="E5139" s="184" t="n">
        <v>20095.21</v>
      </c>
      <c r="F5139" s="184" t="n">
        <v>20796.12</v>
      </c>
      <c r="G5139" s="184" t="n">
        <v>20445.66</v>
      </c>
    </row>
    <row r="5140">
      <c r="A5140" s="194" t="inlineStr">
        <is>
          <t>2026-01-01</t>
        </is>
      </c>
      <c r="B5140" s="194" t="inlineStr">
        <is>
          <t>THB</t>
        </is>
      </c>
      <c r="C5140" s="194" t="inlineStr">
        <is>
          <t>THAILAND BAHT</t>
        </is>
      </c>
      <c r="D5140" s="195" t="n">
        <v>734.64</v>
      </c>
      <c r="E5140" s="195" t="n">
        <v>816.27</v>
      </c>
      <c r="F5140" s="195" t="n">
        <v>851.53</v>
      </c>
      <c r="G5140" s="195" t="n">
        <v>833.9</v>
      </c>
    </row>
    <row r="5141">
      <c r="A5141" s="196" t="inlineStr">
        <is>
          <t>2026-01-01</t>
        </is>
      </c>
      <c r="B5141" s="196" t="inlineStr">
        <is>
          <t>USD</t>
        </is>
      </c>
      <c r="C5141" s="196" t="inlineStr">
        <is>
          <t>US DOLLAR</t>
        </is>
      </c>
      <c r="D5141" s="184" t="n">
        <v>26047</v>
      </c>
      <c r="E5141" s="184" t="n">
        <v>26077</v>
      </c>
      <c r="F5141" s="184" t="n">
        <v>26377</v>
      </c>
      <c r="G5141" s="184" t="n">
        <v>26227</v>
      </c>
    </row>
  </sheetData>
  <autoFilter ref="A1:G51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Cập Nhật</t>
        </is>
      </c>
      <c r="B1" t="inlineStr">
        <is>
          <t>Ngân Hàng</t>
        </is>
      </c>
      <c r="C1" t="inlineStr">
        <is>
          <t>Mua Tiền Mặt</t>
        </is>
      </c>
      <c r="D1" t="inlineStr">
        <is>
          <t>Mua Chuyển Khoản</t>
        </is>
      </c>
      <c r="E1" t="inlineStr">
        <is>
          <t>Bán</t>
        </is>
      </c>
    </row>
    <row r="2">
      <c r="A2" t="inlineStr">
        <is>
          <t>09/09/2026</t>
        </is>
      </c>
      <c r="B2" t="inlineStr">
        <is>
          <t>ACB</t>
        </is>
      </c>
      <c r="C2" t="n">
        <v>24700</v>
      </c>
      <c r="D2" t="n">
        <v>25710</v>
      </c>
      <c r="E2" t="n">
        <v>26070</v>
      </c>
    </row>
    <row r="3">
      <c r="A3" t="inlineStr">
        <is>
          <t>08/09/2026</t>
        </is>
      </c>
      <c r="B3" t="inlineStr">
        <is>
          <t>ACB</t>
        </is>
      </c>
      <c r="C3" t="n">
        <v>24700</v>
      </c>
      <c r="D3" t="n">
        <v>25790</v>
      </c>
      <c r="E3" t="n">
        <v>26150</v>
      </c>
    </row>
    <row r="4">
      <c r="A4" t="inlineStr">
        <is>
          <t>07/09/2026</t>
        </is>
      </c>
      <c r="B4" t="inlineStr">
        <is>
          <t>ACB</t>
        </is>
      </c>
      <c r="C4" t="n">
        <v>24700</v>
      </c>
      <c r="D4" t="n">
        <v>25830</v>
      </c>
      <c r="E4" t="n">
        <v>26190</v>
      </c>
    </row>
    <row r="5">
      <c r="A5" t="inlineStr">
        <is>
          <t>06/09/2026</t>
        </is>
      </c>
      <c r="B5" t="inlineStr">
        <is>
          <t>ACB</t>
        </is>
      </c>
      <c r="C5" t="n">
        <v>24700</v>
      </c>
      <c r="D5" t="n">
        <v>25860</v>
      </c>
      <c r="E5" t="n">
        <v>26220</v>
      </c>
    </row>
    <row r="6">
      <c r="A6" t="inlineStr">
        <is>
          <t>05/09/2026</t>
        </is>
      </c>
      <c r="B6" t="inlineStr">
        <is>
          <t>ACB</t>
        </is>
      </c>
      <c r="C6" t="n">
        <v>24700</v>
      </c>
      <c r="D6" t="n">
        <v>25860</v>
      </c>
      <c r="E6" t="n">
        <v>26220</v>
      </c>
    </row>
    <row r="7">
      <c r="A7" t="inlineStr">
        <is>
          <t>04/09/2026</t>
        </is>
      </c>
      <c r="B7" t="inlineStr">
        <is>
          <t>ACB</t>
        </is>
      </c>
      <c r="C7" t="n">
        <v>24700</v>
      </c>
      <c r="D7" t="n">
        <v>25860</v>
      </c>
      <c r="E7" t="n">
        <v>26220</v>
      </c>
    </row>
    <row r="8">
      <c r="A8" t="inlineStr">
        <is>
          <t>03/09/2026</t>
        </is>
      </c>
      <c r="B8" t="inlineStr">
        <is>
          <t>ACB</t>
        </is>
      </c>
      <c r="C8" t="n">
        <v>24700</v>
      </c>
      <c r="D8" t="n">
        <v>25910</v>
      </c>
      <c r="E8" t="n">
        <v>26270</v>
      </c>
    </row>
    <row r="9">
      <c r="A9" t="inlineStr">
        <is>
          <t>02/09/2026</t>
        </is>
      </c>
      <c r="B9" t="inlineStr">
        <is>
          <t>ACB</t>
        </is>
      </c>
      <c r="C9" t="n">
        <v>24600</v>
      </c>
      <c r="D9" t="n">
        <v>25890</v>
      </c>
      <c r="E9" t="n">
        <v>26250</v>
      </c>
    </row>
    <row r="10">
      <c r="A10" t="inlineStr">
        <is>
          <t>01/09/2026</t>
        </is>
      </c>
      <c r="B10" t="inlineStr">
        <is>
          <t>ACB</t>
        </is>
      </c>
      <c r="C10" t="n">
        <v>24600</v>
      </c>
      <c r="D10" t="n">
        <v>25890</v>
      </c>
      <c r="E10" t="n">
        <v>26250</v>
      </c>
    </row>
    <row r="11">
      <c r="A11" t="inlineStr">
        <is>
          <t>31/08/2026</t>
        </is>
      </c>
      <c r="B11" t="inlineStr">
        <is>
          <t>ACB</t>
        </is>
      </c>
      <c r="C11" t="n">
        <v>24600</v>
      </c>
      <c r="D11" t="n">
        <v>25890</v>
      </c>
      <c r="E11" t="n">
        <v>26250</v>
      </c>
    </row>
    <row r="12">
      <c r="A12" t="inlineStr">
        <is>
          <t>30/08/2026</t>
        </is>
      </c>
      <c r="B12" t="inlineStr">
        <is>
          <t>ACB</t>
        </is>
      </c>
      <c r="C12" t="n">
        <v>24600</v>
      </c>
      <c r="D12" t="n">
        <v>25890</v>
      </c>
      <c r="E12" t="n">
        <v>26250</v>
      </c>
    </row>
    <row r="13">
      <c r="A13" t="inlineStr">
        <is>
          <t>29/08/2026</t>
        </is>
      </c>
      <c r="B13" t="inlineStr">
        <is>
          <t>ACB</t>
        </is>
      </c>
      <c r="C13" t="n">
        <v>24600</v>
      </c>
      <c r="D13" t="n">
        <v>25890</v>
      </c>
      <c r="E13" t="n">
        <v>26250</v>
      </c>
    </row>
    <row r="14">
      <c r="A14" t="inlineStr">
        <is>
          <t>28/08/2026</t>
        </is>
      </c>
      <c r="B14" t="inlineStr">
        <is>
          <t>ACB</t>
        </is>
      </c>
      <c r="C14" t="n">
        <v>24600</v>
      </c>
      <c r="D14" t="n">
        <v>25880</v>
      </c>
      <c r="E14" t="n">
        <v>26240</v>
      </c>
    </row>
    <row r="15">
      <c r="A15" t="inlineStr">
        <is>
          <t>27/08/2026</t>
        </is>
      </c>
      <c r="B15" t="inlineStr">
        <is>
          <t>ACB</t>
        </is>
      </c>
      <c r="C15" t="n">
        <v>24600</v>
      </c>
      <c r="D15" t="n">
        <v>25900</v>
      </c>
      <c r="E15" t="n">
        <v>26260</v>
      </c>
    </row>
    <row r="16">
      <c r="A16" t="inlineStr">
        <is>
          <t>26/08/2026</t>
        </is>
      </c>
      <c r="B16" t="inlineStr">
        <is>
          <t>ACB</t>
        </is>
      </c>
      <c r="C16" t="n">
        <v>24600</v>
      </c>
      <c r="D16" t="n">
        <v>25920</v>
      </c>
      <c r="E16" t="n">
        <v>26280</v>
      </c>
    </row>
    <row r="17">
      <c r="A17" t="inlineStr">
        <is>
          <t>25/08/2026</t>
        </is>
      </c>
      <c r="B17" t="inlineStr">
        <is>
          <t>ACB</t>
        </is>
      </c>
      <c r="C17" t="n">
        <v>24600</v>
      </c>
      <c r="D17" t="n">
        <v>25930</v>
      </c>
      <c r="E17" t="n">
        <v>26290</v>
      </c>
    </row>
    <row r="18">
      <c r="A18" t="inlineStr">
        <is>
          <t>24/08/2026</t>
        </is>
      </c>
      <c r="B18" t="inlineStr">
        <is>
          <t>ACB</t>
        </is>
      </c>
      <c r="C18" t="n">
        <v>24600</v>
      </c>
      <c r="D18" t="n">
        <v>25990</v>
      </c>
      <c r="E18" t="n">
        <v>26350</v>
      </c>
    </row>
    <row r="19">
      <c r="A19" t="inlineStr">
        <is>
          <t>23/08/2026</t>
        </is>
      </c>
      <c r="B19" t="inlineStr">
        <is>
          <t>ACB</t>
        </is>
      </c>
      <c r="C19" t="n">
        <v>24600</v>
      </c>
      <c r="D19" t="n">
        <v>25940</v>
      </c>
      <c r="E19" t="n">
        <v>26300</v>
      </c>
    </row>
    <row r="20">
      <c r="A20" t="inlineStr">
        <is>
          <t>22/08/2026</t>
        </is>
      </c>
      <c r="B20" t="inlineStr">
        <is>
          <t>ACB</t>
        </is>
      </c>
      <c r="C20" t="n">
        <v>24600</v>
      </c>
      <c r="D20" t="n">
        <v>25940</v>
      </c>
      <c r="E20" t="n">
        <v>26300</v>
      </c>
    </row>
    <row r="21">
      <c r="A21" t="inlineStr">
        <is>
          <t>21/08/2026</t>
        </is>
      </c>
      <c r="B21" t="inlineStr">
        <is>
          <t>ACB</t>
        </is>
      </c>
      <c r="C21" t="n">
        <v>24600</v>
      </c>
      <c r="D21" t="n">
        <v>25940</v>
      </c>
      <c r="E21" t="n">
        <v>26300</v>
      </c>
    </row>
    <row r="22">
      <c r="A22" t="inlineStr">
        <is>
          <t>20/08/2026</t>
        </is>
      </c>
      <c r="B22" t="inlineStr">
        <is>
          <t>ACB</t>
        </is>
      </c>
      <c r="C22" t="n">
        <v>24600</v>
      </c>
      <c r="D22" t="n">
        <v>25920</v>
      </c>
      <c r="E22" t="n">
        <v>26280</v>
      </c>
    </row>
    <row r="23">
      <c r="A23" t="inlineStr">
        <is>
          <t>19/08/2026</t>
        </is>
      </c>
      <c r="B23" t="inlineStr">
        <is>
          <t>ACB</t>
        </is>
      </c>
      <c r="C23" t="n">
        <v>24600</v>
      </c>
      <c r="D23" t="n">
        <v>25990</v>
      </c>
      <c r="E23" t="n">
        <v>26350</v>
      </c>
    </row>
    <row r="24">
      <c r="A24" t="inlineStr">
        <is>
          <t>18/08/2026</t>
        </is>
      </c>
      <c r="B24" t="inlineStr">
        <is>
          <t>ACB</t>
        </is>
      </c>
      <c r="C24" t="n">
        <v>24600</v>
      </c>
      <c r="D24" t="n">
        <v>26000</v>
      </c>
      <c r="E24" t="n">
        <v>26360</v>
      </c>
    </row>
    <row r="25">
      <c r="A25" t="inlineStr">
        <is>
          <t>17/08/2026</t>
        </is>
      </c>
      <c r="B25" t="inlineStr">
        <is>
          <t>ACB</t>
        </is>
      </c>
      <c r="C25" t="n">
        <v>24600</v>
      </c>
      <c r="D25" t="n">
        <v>26020</v>
      </c>
      <c r="E25" t="n">
        <v>26380</v>
      </c>
    </row>
    <row r="26">
      <c r="A26" t="inlineStr">
        <is>
          <t>16/08/2026</t>
        </is>
      </c>
      <c r="B26" t="inlineStr">
        <is>
          <t>ACB</t>
        </is>
      </c>
      <c r="C26" t="n">
        <v>24500</v>
      </c>
      <c r="D26" t="n">
        <v>25950</v>
      </c>
      <c r="E26" t="n">
        <v>26310</v>
      </c>
    </row>
    <row r="27">
      <c r="A27" t="inlineStr">
        <is>
          <t>15/08/2026</t>
        </is>
      </c>
      <c r="B27" t="inlineStr">
        <is>
          <t>ACB</t>
        </is>
      </c>
      <c r="C27" t="n">
        <v>24500</v>
      </c>
      <c r="D27" t="n">
        <v>25950</v>
      </c>
      <c r="E27" t="n">
        <v>26310</v>
      </c>
    </row>
    <row r="28">
      <c r="A28" t="inlineStr">
        <is>
          <t>14/08/2026</t>
        </is>
      </c>
      <c r="B28" t="inlineStr">
        <is>
          <t>ACB</t>
        </is>
      </c>
      <c r="C28" t="n">
        <v>24500</v>
      </c>
      <c r="D28" t="n">
        <v>25950</v>
      </c>
      <c r="E28" t="n">
        <v>26310</v>
      </c>
    </row>
    <row r="29">
      <c r="A29" t="inlineStr">
        <is>
          <t>13/08/2026</t>
        </is>
      </c>
      <c r="B29" t="inlineStr">
        <is>
          <t>ACB</t>
        </is>
      </c>
      <c r="C29" t="n">
        <v>24500</v>
      </c>
      <c r="D29" t="n">
        <v>25890</v>
      </c>
      <c r="E29" t="n">
        <v>26250</v>
      </c>
    </row>
    <row r="30">
      <c r="A30" t="inlineStr">
        <is>
          <t>12/08/2026</t>
        </is>
      </c>
      <c r="B30" t="inlineStr">
        <is>
          <t>ACB</t>
        </is>
      </c>
      <c r="C30" t="n">
        <v>24500</v>
      </c>
      <c r="D30" t="n">
        <v>25880</v>
      </c>
      <c r="E30" t="n">
        <v>26240</v>
      </c>
    </row>
    <row r="31">
      <c r="A31" t="inlineStr">
        <is>
          <t>11/08/2026</t>
        </is>
      </c>
      <c r="B31" t="inlineStr">
        <is>
          <t>ACB</t>
        </is>
      </c>
      <c r="C31" t="n">
        <v>24500</v>
      </c>
      <c r="D31" t="n">
        <v>25940</v>
      </c>
      <c r="E31" t="n">
        <v>26300</v>
      </c>
    </row>
    <row r="32">
      <c r="A32" t="inlineStr">
        <is>
          <t>10/08/2026</t>
        </is>
      </c>
      <c r="B32" t="inlineStr">
        <is>
          <t>ACB</t>
        </is>
      </c>
      <c r="C32" t="n">
        <v>24500</v>
      </c>
      <c r="D32" t="n">
        <v>25980</v>
      </c>
      <c r="E32" t="n">
        <v>26340</v>
      </c>
    </row>
    <row r="33">
      <c r="A33" t="inlineStr">
        <is>
          <t>09/08/2026</t>
        </is>
      </c>
      <c r="B33" t="inlineStr">
        <is>
          <t>ACB</t>
        </is>
      </c>
      <c r="C33" t="n">
        <v>24500</v>
      </c>
      <c r="D33" t="n">
        <v>26010</v>
      </c>
      <c r="E33" t="n">
        <v>26370</v>
      </c>
    </row>
    <row r="34">
      <c r="A34" t="inlineStr">
        <is>
          <t>08/08/2026</t>
        </is>
      </c>
      <c r="B34" t="inlineStr">
        <is>
          <t>ACB</t>
        </is>
      </c>
      <c r="C34" t="n">
        <v>24500</v>
      </c>
      <c r="D34" t="n">
        <v>26010</v>
      </c>
      <c r="E34" t="n">
        <v>26370</v>
      </c>
    </row>
    <row r="35">
      <c r="A35" t="inlineStr">
        <is>
          <t>07/08/2026</t>
        </is>
      </c>
      <c r="B35" t="inlineStr">
        <is>
          <t>ACB</t>
        </is>
      </c>
      <c r="C35" t="n">
        <v>24500</v>
      </c>
      <c r="D35" t="n">
        <v>26010</v>
      </c>
      <c r="E35" t="n">
        <v>26370</v>
      </c>
    </row>
    <row r="36">
      <c r="A36" t="inlineStr">
        <is>
          <t>06/08/2026</t>
        </is>
      </c>
      <c r="B36" t="inlineStr">
        <is>
          <t>ACB</t>
        </is>
      </c>
      <c r="C36" t="n">
        <v>24500</v>
      </c>
      <c r="D36" t="n">
        <v>26050</v>
      </c>
      <c r="E36" t="n">
        <v>26410</v>
      </c>
    </row>
    <row r="37">
      <c r="A37" t="inlineStr">
        <is>
          <t>05/08/2026</t>
        </is>
      </c>
      <c r="B37" t="inlineStr">
        <is>
          <t>ACB</t>
        </is>
      </c>
      <c r="C37" t="n">
        <v>24500</v>
      </c>
      <c r="D37" t="n">
        <v>26070</v>
      </c>
      <c r="E37" t="n">
        <v>26430</v>
      </c>
    </row>
    <row r="38">
      <c r="A38" t="inlineStr">
        <is>
          <t>04/08/2026</t>
        </is>
      </c>
      <c r="B38" t="inlineStr">
        <is>
          <t>ACB</t>
        </is>
      </c>
      <c r="C38" t="n">
        <v>24500</v>
      </c>
      <c r="D38" t="n">
        <v>26080</v>
      </c>
      <c r="E38" t="n">
        <v>26440</v>
      </c>
    </row>
    <row r="39">
      <c r="A39" t="inlineStr">
        <is>
          <t>03/08/2026</t>
        </is>
      </c>
      <c r="B39" t="inlineStr">
        <is>
          <t>ACB</t>
        </is>
      </c>
      <c r="C39" t="n">
        <v>24500</v>
      </c>
      <c r="D39" t="n">
        <v>26090</v>
      </c>
      <c r="E39" t="n">
        <v>26450</v>
      </c>
    </row>
    <row r="40">
      <c r="A40" t="inlineStr">
        <is>
          <t>02/08/2026</t>
        </is>
      </c>
      <c r="B40" t="inlineStr">
        <is>
          <t>ACB</t>
        </is>
      </c>
      <c r="C40" t="n">
        <v>24500</v>
      </c>
      <c r="D40" t="n">
        <v>26110</v>
      </c>
      <c r="E40" t="n">
        <v>26470</v>
      </c>
    </row>
    <row r="41">
      <c r="A41" t="inlineStr">
        <is>
          <t>01/08/2026</t>
        </is>
      </c>
      <c r="B41" t="inlineStr">
        <is>
          <t>ACB</t>
        </is>
      </c>
      <c r="C41" t="n">
        <v>24500</v>
      </c>
      <c r="D41" t="n">
        <v>26110</v>
      </c>
      <c r="E41" t="n">
        <v>26470</v>
      </c>
    </row>
    <row r="42">
      <c r="A42" t="inlineStr">
        <is>
          <t>31/07/2026</t>
        </is>
      </c>
      <c r="B42" t="inlineStr">
        <is>
          <t>ACB</t>
        </is>
      </c>
      <c r="C42" t="n">
        <v>24500</v>
      </c>
      <c r="D42" t="n">
        <v>26110</v>
      </c>
      <c r="E42" t="n">
        <v>26470</v>
      </c>
    </row>
    <row r="43">
      <c r="A43" t="inlineStr">
        <is>
          <t>30/07/2026</t>
        </is>
      </c>
      <c r="B43" t="inlineStr">
        <is>
          <t>ACB</t>
        </is>
      </c>
      <c r="C43" t="n">
        <v>24200</v>
      </c>
      <c r="D43" t="n">
        <v>26100</v>
      </c>
      <c r="E43" t="n">
        <v>26460</v>
      </c>
    </row>
    <row r="44">
      <c r="A44" t="inlineStr">
        <is>
          <t>29/07/2026</t>
        </is>
      </c>
      <c r="B44" t="inlineStr">
        <is>
          <t>ACB</t>
        </is>
      </c>
      <c r="C44" t="n">
        <v>24200</v>
      </c>
      <c r="D44" t="n">
        <v>26140</v>
      </c>
      <c r="E44" t="n">
        <v>26500</v>
      </c>
    </row>
    <row r="45">
      <c r="A45" t="inlineStr">
        <is>
          <t>28/07/2026</t>
        </is>
      </c>
      <c r="B45" t="inlineStr">
        <is>
          <t>ACB</t>
        </is>
      </c>
      <c r="C45" t="n">
        <v>24200</v>
      </c>
      <c r="D45" t="n">
        <v>26150</v>
      </c>
      <c r="E45" t="n">
        <v>26510</v>
      </c>
    </row>
    <row r="46">
      <c r="A46" t="inlineStr">
        <is>
          <t>27/07/2026</t>
        </is>
      </c>
      <c r="B46" t="inlineStr">
        <is>
          <t>ACB</t>
        </is>
      </c>
      <c r="C46" t="n">
        <v>24200</v>
      </c>
      <c r="D46" t="n">
        <v>26140</v>
      </c>
      <c r="E46" t="n">
        <v>26500</v>
      </c>
    </row>
    <row r="47">
      <c r="A47" t="inlineStr">
        <is>
          <t>26/07/2026</t>
        </is>
      </c>
      <c r="B47" t="inlineStr">
        <is>
          <t>ACB</t>
        </is>
      </c>
      <c r="C47" t="n">
        <v>24200</v>
      </c>
      <c r="D47" t="n">
        <v>26140</v>
      </c>
      <c r="E47" t="n">
        <v>26500</v>
      </c>
    </row>
    <row r="48">
      <c r="A48" t="inlineStr">
        <is>
          <t>25/07/2026</t>
        </is>
      </c>
      <c r="B48" t="inlineStr">
        <is>
          <t>ACB</t>
        </is>
      </c>
      <c r="C48" t="n">
        <v>24200</v>
      </c>
      <c r="D48" t="n">
        <v>26140</v>
      </c>
      <c r="E48" t="n">
        <v>26500</v>
      </c>
    </row>
    <row r="49">
      <c r="A49" t="inlineStr">
        <is>
          <t>24/07/2026</t>
        </is>
      </c>
      <c r="B49" t="inlineStr">
        <is>
          <t>ACB</t>
        </is>
      </c>
      <c r="C49" t="n">
        <v>24200</v>
      </c>
      <c r="D49" t="n">
        <v>26140</v>
      </c>
      <c r="E49" t="n">
        <v>26500</v>
      </c>
    </row>
    <row r="50">
      <c r="A50" t="inlineStr">
        <is>
          <t>23/07/2026</t>
        </is>
      </c>
      <c r="B50" t="inlineStr">
        <is>
          <t>ACB</t>
        </is>
      </c>
      <c r="C50" t="n">
        <v>24200</v>
      </c>
      <c r="D50" t="n">
        <v>26130</v>
      </c>
      <c r="E50" t="n">
        <v>26490</v>
      </c>
    </row>
    <row r="51">
      <c r="A51" t="inlineStr">
        <is>
          <t>22/07/2026</t>
        </is>
      </c>
      <c r="B51" t="inlineStr">
        <is>
          <t>ACB</t>
        </is>
      </c>
      <c r="C51" t="n">
        <v>24200</v>
      </c>
      <c r="D51" t="n">
        <v>26130</v>
      </c>
      <c r="E51" t="n">
        <v>26490</v>
      </c>
    </row>
    <row r="52">
      <c r="A52" t="inlineStr">
        <is>
          <t>21/07/2026</t>
        </is>
      </c>
      <c r="B52" t="inlineStr">
        <is>
          <t>ACB</t>
        </is>
      </c>
      <c r="C52" t="n">
        <v>24200</v>
      </c>
      <c r="D52" t="n">
        <v>26140</v>
      </c>
      <c r="E52" t="n">
        <v>26500</v>
      </c>
    </row>
    <row r="53">
      <c r="A53" t="inlineStr">
        <is>
          <t>20/07/2026</t>
        </is>
      </c>
      <c r="B53" t="inlineStr">
        <is>
          <t>ACB</t>
        </is>
      </c>
      <c r="C53" t="n">
        <v>24200</v>
      </c>
      <c r="D53" t="n">
        <v>26110</v>
      </c>
      <c r="E53" t="n">
        <v>26470</v>
      </c>
    </row>
    <row r="54">
      <c r="A54" t="inlineStr">
        <is>
          <t>19/07/2026</t>
        </is>
      </c>
      <c r="B54" t="inlineStr">
        <is>
          <t>ACB</t>
        </is>
      </c>
      <c r="C54" t="n">
        <v>24200</v>
      </c>
      <c r="D54" t="n">
        <v>26110</v>
      </c>
      <c r="E54" t="n">
        <v>26470</v>
      </c>
    </row>
    <row r="55">
      <c r="A55" t="inlineStr">
        <is>
          <t>18/07/2026</t>
        </is>
      </c>
      <c r="B55" t="inlineStr">
        <is>
          <t>ACB</t>
        </is>
      </c>
      <c r="C55" t="n">
        <v>24200</v>
      </c>
      <c r="D55" t="n">
        <v>26110</v>
      </c>
      <c r="E55" t="n">
        <v>26470</v>
      </c>
    </row>
    <row r="56">
      <c r="A56" t="inlineStr">
        <is>
          <t>17/07/2026</t>
        </is>
      </c>
      <c r="B56" t="inlineStr">
        <is>
          <t>ACB</t>
        </is>
      </c>
      <c r="C56" t="n">
        <v>24200</v>
      </c>
      <c r="D56" t="n">
        <v>26110</v>
      </c>
      <c r="E56" t="n">
        <v>26470</v>
      </c>
    </row>
    <row r="57">
      <c r="A57" t="inlineStr">
        <is>
          <t>16/07/2026</t>
        </is>
      </c>
      <c r="B57" t="inlineStr">
        <is>
          <t>ACB</t>
        </is>
      </c>
      <c r="C57" t="n">
        <v>24200</v>
      </c>
      <c r="D57" t="n">
        <v>26070</v>
      </c>
      <c r="E57" t="n">
        <v>26430</v>
      </c>
    </row>
    <row r="58">
      <c r="A58" t="inlineStr">
        <is>
          <t>15/07/2026</t>
        </is>
      </c>
      <c r="B58" t="inlineStr">
        <is>
          <t>ACB</t>
        </is>
      </c>
      <c r="C58" t="n">
        <v>24200</v>
      </c>
      <c r="D58" t="n">
        <v>26070</v>
      </c>
      <c r="E58" t="n">
        <v>26430</v>
      </c>
    </row>
    <row r="59">
      <c r="A59" t="inlineStr">
        <is>
          <t>14/07/2026</t>
        </is>
      </c>
      <c r="B59" t="inlineStr">
        <is>
          <t>ACB</t>
        </is>
      </c>
      <c r="C59" t="n">
        <v>24200</v>
      </c>
      <c r="D59" t="n">
        <v>26080</v>
      </c>
      <c r="E59" t="n">
        <v>26440</v>
      </c>
    </row>
    <row r="60">
      <c r="A60" t="inlineStr">
        <is>
          <t>13/07/2026</t>
        </is>
      </c>
      <c r="B60" t="inlineStr">
        <is>
          <t>ACB</t>
        </is>
      </c>
      <c r="C60" t="n">
        <v>24200</v>
      </c>
      <c r="D60" t="n">
        <v>26070</v>
      </c>
      <c r="E60" t="n">
        <v>26430</v>
      </c>
    </row>
    <row r="61">
      <c r="A61" t="inlineStr">
        <is>
          <t>12/07/2026</t>
        </is>
      </c>
      <c r="B61" t="inlineStr">
        <is>
          <t>ACB</t>
        </is>
      </c>
      <c r="C61" t="n">
        <v>24200</v>
      </c>
      <c r="D61" t="n">
        <v>26070</v>
      </c>
      <c r="E61" t="n">
        <v>26430</v>
      </c>
    </row>
    <row r="62">
      <c r="A62" t="inlineStr">
        <is>
          <t>11/07/2026</t>
        </is>
      </c>
      <c r="B62" t="inlineStr">
        <is>
          <t>ACB</t>
        </is>
      </c>
      <c r="C62" t="n">
        <v>24200</v>
      </c>
      <c r="D62" t="n">
        <v>26070</v>
      </c>
      <c r="E62" t="n">
        <v>26430</v>
      </c>
    </row>
    <row r="63">
      <c r="A63" t="inlineStr">
        <is>
          <t>10/07/2026</t>
        </is>
      </c>
      <c r="B63" t="inlineStr">
        <is>
          <t>ACB</t>
        </is>
      </c>
      <c r="C63" t="n">
        <v>24200</v>
      </c>
      <c r="D63" t="n">
        <v>26070</v>
      </c>
      <c r="E63" t="n">
        <v>26430</v>
      </c>
    </row>
    <row r="64">
      <c r="A64" t="inlineStr">
        <is>
          <t>09/07/2026</t>
        </is>
      </c>
      <c r="B64" t="inlineStr">
        <is>
          <t>ACB</t>
        </is>
      </c>
      <c r="C64" t="n">
        <v>24200</v>
      </c>
      <c r="D64" t="n">
        <v>26110</v>
      </c>
      <c r="E64" t="n">
        <v>26471</v>
      </c>
    </row>
    <row r="65">
      <c r="A65" t="inlineStr">
        <is>
          <t>08/07/2026</t>
        </is>
      </c>
      <c r="B65" t="inlineStr">
        <is>
          <t>ACB</t>
        </is>
      </c>
      <c r="C65" t="n">
        <v>24200</v>
      </c>
      <c r="D65" t="n">
        <v>26110</v>
      </c>
      <c r="E65" t="n">
        <v>26466</v>
      </c>
    </row>
    <row r="66">
      <c r="A66" t="inlineStr">
        <is>
          <t>07/07/2026</t>
        </is>
      </c>
      <c r="B66" t="inlineStr">
        <is>
          <t>ACB</t>
        </is>
      </c>
      <c r="C66" t="n">
        <v>24200</v>
      </c>
      <c r="D66" t="n">
        <v>26110</v>
      </c>
      <c r="E66" t="n">
        <v>26462</v>
      </c>
    </row>
    <row r="67">
      <c r="A67" t="inlineStr">
        <is>
          <t>06/07/2026</t>
        </is>
      </c>
      <c r="B67" t="inlineStr">
        <is>
          <t>ACB</t>
        </is>
      </c>
      <c r="C67" t="n">
        <v>24200</v>
      </c>
      <c r="D67" t="n">
        <v>26110</v>
      </c>
      <c r="E67" t="n">
        <v>26462</v>
      </c>
    </row>
    <row r="68">
      <c r="A68" t="inlineStr">
        <is>
          <t>05/07/2026</t>
        </is>
      </c>
      <c r="B68" t="inlineStr">
        <is>
          <t>ACB</t>
        </is>
      </c>
      <c r="C68" t="n">
        <v>24200</v>
      </c>
      <c r="D68" t="n">
        <v>26100</v>
      </c>
      <c r="E68" t="n">
        <v>26463</v>
      </c>
    </row>
    <row r="69">
      <c r="A69" t="inlineStr">
        <is>
          <t>04/07/2026</t>
        </is>
      </c>
      <c r="B69" t="inlineStr">
        <is>
          <t>ACB</t>
        </is>
      </c>
      <c r="C69" t="n">
        <v>24200</v>
      </c>
      <c r="D69" t="n">
        <v>26100</v>
      </c>
      <c r="E69" t="n">
        <v>26463</v>
      </c>
    </row>
    <row r="70">
      <c r="A70" t="inlineStr">
        <is>
          <t>03/07/2026</t>
        </is>
      </c>
      <c r="B70" t="inlineStr">
        <is>
          <t>ACB</t>
        </is>
      </c>
      <c r="C70" t="n">
        <v>24200</v>
      </c>
      <c r="D70" t="n">
        <v>26100</v>
      </c>
      <c r="E70" t="n">
        <v>26463</v>
      </c>
    </row>
    <row r="71">
      <c r="A71" t="inlineStr">
        <is>
          <t>02/07/2026</t>
        </is>
      </c>
      <c r="B71" t="inlineStr">
        <is>
          <t>ACB</t>
        </is>
      </c>
      <c r="C71" t="n">
        <v>24200</v>
      </c>
      <c r="D71" t="n">
        <v>26110</v>
      </c>
      <c r="E71" t="n">
        <v>26465</v>
      </c>
    </row>
    <row r="72">
      <c r="A72" t="inlineStr">
        <is>
          <t>01/07/2026</t>
        </is>
      </c>
      <c r="B72" t="inlineStr">
        <is>
          <t>ACB</t>
        </is>
      </c>
      <c r="C72" t="n">
        <v>24200</v>
      </c>
      <c r="D72" t="n">
        <v>26120</v>
      </c>
      <c r="E72" t="n">
        <v>26466</v>
      </c>
    </row>
    <row r="73">
      <c r="A73" t="inlineStr">
        <is>
          <t>30/06/2026</t>
        </is>
      </c>
      <c r="B73" t="inlineStr">
        <is>
          <t>ACB</t>
        </is>
      </c>
      <c r="C73" t="n">
        <v>24200</v>
      </c>
      <c r="D73" t="n">
        <v>26120</v>
      </c>
      <c r="E73" t="n">
        <v>26466</v>
      </c>
    </row>
    <row r="74">
      <c r="A74" t="inlineStr">
        <is>
          <t>29/06/2026</t>
        </is>
      </c>
      <c r="B74" t="inlineStr">
        <is>
          <t>ACB</t>
        </is>
      </c>
      <c r="C74" t="n">
        <v>24200</v>
      </c>
      <c r="D74" t="n">
        <v>26100</v>
      </c>
      <c r="E74" t="n">
        <v>26461</v>
      </c>
    </row>
    <row r="75">
      <c r="A75" t="inlineStr">
        <is>
          <t>28/06/2026</t>
        </is>
      </c>
      <c r="B75" t="inlineStr">
        <is>
          <t>ACB</t>
        </is>
      </c>
      <c r="C75" t="n">
        <v>24200</v>
      </c>
      <c r="D75" t="n">
        <v>26110</v>
      </c>
      <c r="E75" t="n">
        <v>26454</v>
      </c>
    </row>
    <row r="76">
      <c r="A76" t="inlineStr">
        <is>
          <t>27/06/2026</t>
        </is>
      </c>
      <c r="B76" t="inlineStr">
        <is>
          <t>ACB</t>
        </is>
      </c>
      <c r="C76" t="n">
        <v>24200</v>
      </c>
      <c r="D76" t="n">
        <v>26110</v>
      </c>
      <c r="E76" t="n">
        <v>26454</v>
      </c>
    </row>
    <row r="77">
      <c r="A77" t="inlineStr">
        <is>
          <t>26/06/2026</t>
        </is>
      </c>
      <c r="B77" t="inlineStr">
        <is>
          <t>ACB</t>
        </is>
      </c>
      <c r="C77" t="n">
        <v>24200</v>
      </c>
      <c r="D77" t="n">
        <v>26110</v>
      </c>
      <c r="E77" t="n">
        <v>26454</v>
      </c>
    </row>
    <row r="78">
      <c r="A78" t="inlineStr">
        <is>
          <t>25/06/2026</t>
        </is>
      </c>
      <c r="B78" t="inlineStr">
        <is>
          <t>ACB</t>
        </is>
      </c>
      <c r="C78" t="n">
        <v>24200</v>
      </c>
      <c r="D78" t="n">
        <v>26130</v>
      </c>
      <c r="E78" t="n">
        <v>26456</v>
      </c>
    </row>
    <row r="79">
      <c r="A79" t="inlineStr">
        <is>
          <t>24/06/2026</t>
        </is>
      </c>
      <c r="B79" t="inlineStr">
        <is>
          <t>ACB</t>
        </is>
      </c>
      <c r="C79" t="n">
        <v>24200</v>
      </c>
      <c r="D79" t="n">
        <v>26150</v>
      </c>
      <c r="E79" t="n">
        <v>26451</v>
      </c>
    </row>
    <row r="80">
      <c r="A80" t="inlineStr">
        <is>
          <t>23/06/2026</t>
        </is>
      </c>
      <c r="B80" t="inlineStr">
        <is>
          <t>ACB</t>
        </is>
      </c>
      <c r="C80" t="n">
        <v>24200</v>
      </c>
      <c r="D80" t="n">
        <v>26140</v>
      </c>
      <c r="E80" t="n">
        <v>26448</v>
      </c>
    </row>
    <row r="81">
      <c r="A81" t="inlineStr">
        <is>
          <t>22/06/2026</t>
        </is>
      </c>
      <c r="B81" t="inlineStr">
        <is>
          <t>ACB</t>
        </is>
      </c>
      <c r="C81" t="n">
        <v>24200</v>
      </c>
      <c r="D81" t="n">
        <v>26130</v>
      </c>
      <c r="E81" t="n">
        <v>26442</v>
      </c>
    </row>
    <row r="82">
      <c r="A82" t="inlineStr">
        <is>
          <t>21/06/2026</t>
        </is>
      </c>
      <c r="B82" t="inlineStr">
        <is>
          <t>ACB</t>
        </is>
      </c>
      <c r="C82" t="n">
        <v>24200</v>
      </c>
      <c r="D82" t="n">
        <v>26130</v>
      </c>
      <c r="E82" t="n">
        <v>26440</v>
      </c>
    </row>
    <row r="83">
      <c r="A83" t="inlineStr">
        <is>
          <t>20/06/2026</t>
        </is>
      </c>
      <c r="B83" t="inlineStr">
        <is>
          <t>ACB</t>
        </is>
      </c>
      <c r="C83" t="n">
        <v>24200</v>
      </c>
      <c r="D83" t="n">
        <v>26130</v>
      </c>
      <c r="E83" t="n">
        <v>26440</v>
      </c>
    </row>
    <row r="84">
      <c r="A84" t="inlineStr">
        <is>
          <t>19/06/2026</t>
        </is>
      </c>
      <c r="B84" t="inlineStr">
        <is>
          <t>ACB</t>
        </is>
      </c>
      <c r="C84" t="n">
        <v>24200</v>
      </c>
      <c r="D84" t="n">
        <v>26130</v>
      </c>
      <c r="E84" t="n">
        <v>26440</v>
      </c>
    </row>
    <row r="85">
      <c r="A85" t="inlineStr">
        <is>
          <t>18/06/2026</t>
        </is>
      </c>
      <c r="B85" t="inlineStr">
        <is>
          <t>ACB</t>
        </is>
      </c>
      <c r="C85" t="n">
        <v>24200</v>
      </c>
      <c r="D85" t="n">
        <v>26130</v>
      </c>
      <c r="E85" t="n">
        <v>26431</v>
      </c>
    </row>
    <row r="86">
      <c r="A86" t="inlineStr">
        <is>
          <t>17/06/2026</t>
        </is>
      </c>
      <c r="B86" t="inlineStr">
        <is>
          <t>ACB</t>
        </is>
      </c>
      <c r="C86" t="n">
        <v>24200</v>
      </c>
      <c r="D86" t="n">
        <v>26140</v>
      </c>
      <c r="E86" t="n">
        <v>26433</v>
      </c>
    </row>
    <row r="87">
      <c r="A87" t="inlineStr">
        <is>
          <t>16/06/2026</t>
        </is>
      </c>
      <c r="B87" t="inlineStr">
        <is>
          <t>ACB</t>
        </is>
      </c>
      <c r="C87" t="n">
        <v>24200</v>
      </c>
      <c r="D87" t="n">
        <v>26110</v>
      </c>
      <c r="E87" t="n">
        <v>26423</v>
      </c>
    </row>
    <row r="88">
      <c r="A88" t="inlineStr">
        <is>
          <t>15/06/2026</t>
        </is>
      </c>
      <c r="B88" t="inlineStr">
        <is>
          <t>ACB</t>
        </is>
      </c>
      <c r="C88" t="n">
        <v>24200</v>
      </c>
      <c r="D88" t="n">
        <v>26100</v>
      </c>
      <c r="E88" t="n">
        <v>26423</v>
      </c>
    </row>
    <row r="89">
      <c r="A89" t="inlineStr">
        <is>
          <t>14/06/2026</t>
        </is>
      </c>
      <c r="B89" t="inlineStr">
        <is>
          <t>ACB</t>
        </is>
      </c>
      <c r="C89" t="n">
        <v>24200</v>
      </c>
      <c r="D89" t="n">
        <v>26120</v>
      </c>
      <c r="E89" t="n">
        <v>26412</v>
      </c>
    </row>
    <row r="90">
      <c r="A90" t="inlineStr">
        <is>
          <t>13/06/2026</t>
        </is>
      </c>
      <c r="B90" t="inlineStr">
        <is>
          <t>ACB</t>
        </is>
      </c>
      <c r="C90" t="n">
        <v>24200</v>
      </c>
      <c r="D90" t="n">
        <v>26120</v>
      </c>
      <c r="E90" t="n">
        <v>26412</v>
      </c>
    </row>
    <row r="91">
      <c r="A91" t="inlineStr">
        <is>
          <t>12/06/2026</t>
        </is>
      </c>
      <c r="B91" t="inlineStr">
        <is>
          <t>ACB</t>
        </is>
      </c>
      <c r="C91" t="n">
        <v>24200</v>
      </c>
      <c r="D91" t="n">
        <v>26120</v>
      </c>
      <c r="E91" t="n">
        <v>26412</v>
      </c>
    </row>
    <row r="92">
      <c r="A92" t="inlineStr">
        <is>
          <t>11/06/2026</t>
        </is>
      </c>
      <c r="B92" t="inlineStr">
        <is>
          <t>ACB</t>
        </is>
      </c>
      <c r="C92" t="n">
        <v>24200</v>
      </c>
      <c r="D92" t="n">
        <v>26140</v>
      </c>
      <c r="E92" t="n">
        <v>26410</v>
      </c>
    </row>
    <row r="93">
      <c r="A93" t="inlineStr">
        <is>
          <t>10/06/2026</t>
        </is>
      </c>
      <c r="B93" t="inlineStr">
        <is>
          <t>ACB</t>
        </is>
      </c>
      <c r="C93" t="n">
        <v>24200</v>
      </c>
      <c r="D93" t="n">
        <v>26130</v>
      </c>
      <c r="E93" t="n">
        <v>26410</v>
      </c>
    </row>
    <row r="94">
      <c r="A94" t="inlineStr">
        <is>
          <t>09/06/2026</t>
        </is>
      </c>
      <c r="B94" t="inlineStr">
        <is>
          <t>ACB</t>
        </is>
      </c>
      <c r="C94" t="n">
        <v>24200</v>
      </c>
      <c r="D94" t="n">
        <v>26150</v>
      </c>
      <c r="E94" t="n">
        <v>26408</v>
      </c>
    </row>
    <row r="95">
      <c r="A95" t="inlineStr">
        <is>
          <t>08/06/2026</t>
        </is>
      </c>
      <c r="B95" t="inlineStr">
        <is>
          <t>ACB</t>
        </is>
      </c>
      <c r="C95" t="n">
        <v>24200</v>
      </c>
      <c r="D95" t="n">
        <v>26160</v>
      </c>
      <c r="E95" t="n">
        <v>26407</v>
      </c>
    </row>
    <row r="96">
      <c r="A96" t="inlineStr">
        <is>
          <t>07/06/2026</t>
        </is>
      </c>
      <c r="B96" t="inlineStr">
        <is>
          <t>ACB</t>
        </is>
      </c>
      <c r="C96" t="n">
        <v>24200</v>
      </c>
      <c r="D96" t="n">
        <v>26140</v>
      </c>
      <c r="E96" t="n">
        <v>26404</v>
      </c>
    </row>
    <row r="97">
      <c r="A97" t="inlineStr">
        <is>
          <t>06/06/2026</t>
        </is>
      </c>
      <c r="B97" t="inlineStr">
        <is>
          <t>ACB</t>
        </is>
      </c>
      <c r="C97" t="n">
        <v>24200</v>
      </c>
      <c r="D97" t="n">
        <v>26140</v>
      </c>
      <c r="E97" t="n">
        <v>26404</v>
      </c>
    </row>
    <row r="98">
      <c r="A98" t="inlineStr">
        <is>
          <t>05/06/2026</t>
        </is>
      </c>
      <c r="B98" t="inlineStr">
        <is>
          <t>ACB</t>
        </is>
      </c>
      <c r="C98" t="n">
        <v>24200</v>
      </c>
      <c r="D98" t="n">
        <v>26140</v>
      </c>
      <c r="E98" t="n">
        <v>26404</v>
      </c>
    </row>
    <row r="99">
      <c r="A99" t="inlineStr">
        <is>
          <t>04/06/2026</t>
        </is>
      </c>
      <c r="B99" t="inlineStr">
        <is>
          <t>ACB</t>
        </is>
      </c>
      <c r="C99" t="n">
        <v>24200</v>
      </c>
      <c r="D99" t="n">
        <v>26150</v>
      </c>
      <c r="E99" t="n">
        <v>26402</v>
      </c>
    </row>
    <row r="100">
      <c r="A100" t="inlineStr">
        <is>
          <t>03/06/2026</t>
        </is>
      </c>
      <c r="B100" t="inlineStr">
        <is>
          <t>ACB</t>
        </is>
      </c>
      <c r="C100" t="n">
        <v>24200</v>
      </c>
      <c r="D100" t="n">
        <v>26160</v>
      </c>
      <c r="E100" t="n">
        <v>26402</v>
      </c>
    </row>
    <row r="101">
      <c r="A101" t="inlineStr">
        <is>
          <t>02/06/2026</t>
        </is>
      </c>
      <c r="B101" t="inlineStr">
        <is>
          <t>ACB</t>
        </is>
      </c>
      <c r="C101" t="n">
        <v>24200</v>
      </c>
      <c r="D101" t="n">
        <v>26150</v>
      </c>
      <c r="E101" t="n">
        <v>26398</v>
      </c>
    </row>
    <row r="102">
      <c r="A102" t="inlineStr">
        <is>
          <t>01/06/2026</t>
        </is>
      </c>
      <c r="B102" t="inlineStr">
        <is>
          <t>ACB</t>
        </is>
      </c>
      <c r="C102" t="n">
        <v>24200</v>
      </c>
      <c r="D102" t="n">
        <v>26140</v>
      </c>
      <c r="E102" t="n">
        <v>26394</v>
      </c>
    </row>
    <row r="103">
      <c r="A103" t="inlineStr">
        <is>
          <t>31/05/2026</t>
        </is>
      </c>
      <c r="B103" t="inlineStr">
        <is>
          <t>ACB</t>
        </is>
      </c>
      <c r="C103" t="n">
        <v>24200</v>
      </c>
      <c r="D103" t="n">
        <v>26110</v>
      </c>
      <c r="E103" t="n">
        <v>26395</v>
      </c>
    </row>
    <row r="104">
      <c r="A104" t="inlineStr">
        <is>
          <t>30/05/2026</t>
        </is>
      </c>
      <c r="B104" t="inlineStr">
        <is>
          <t>ACB</t>
        </is>
      </c>
      <c r="C104" t="n">
        <v>24200</v>
      </c>
      <c r="D104" t="n">
        <v>26110</v>
      </c>
      <c r="E104" t="n">
        <v>26395</v>
      </c>
    </row>
    <row r="105">
      <c r="A105" t="inlineStr">
        <is>
          <t>29/05/2026</t>
        </is>
      </c>
      <c r="B105" t="inlineStr">
        <is>
          <t>ACB</t>
        </is>
      </c>
      <c r="C105" t="n">
        <v>24200</v>
      </c>
      <c r="D105" t="n">
        <v>26120</v>
      </c>
      <c r="E105" t="n">
        <v>26395</v>
      </c>
    </row>
    <row r="106">
      <c r="A106" t="inlineStr">
        <is>
          <t>28/05/2026</t>
        </is>
      </c>
      <c r="B106" t="inlineStr">
        <is>
          <t>ACB</t>
        </is>
      </c>
      <c r="C106" t="n">
        <v>24200</v>
      </c>
      <c r="D106" t="n">
        <v>26140</v>
      </c>
      <c r="E106" t="n">
        <v>26393</v>
      </c>
    </row>
    <row r="107">
      <c r="A107" t="inlineStr">
        <is>
          <t>27/05/2026</t>
        </is>
      </c>
      <c r="B107" t="inlineStr">
        <is>
          <t>ACB</t>
        </is>
      </c>
      <c r="C107" t="n">
        <v>24200</v>
      </c>
      <c r="D107" t="n">
        <v>26150</v>
      </c>
      <c r="E107" t="n">
        <v>26393</v>
      </c>
    </row>
    <row r="108">
      <c r="A108" t="inlineStr">
        <is>
          <t>26/05/2026</t>
        </is>
      </c>
      <c r="B108" t="inlineStr">
        <is>
          <t>ACB</t>
        </is>
      </c>
      <c r="C108" t="n">
        <v>24200</v>
      </c>
      <c r="D108" t="n">
        <v>26160</v>
      </c>
      <c r="E108" t="n">
        <v>26394</v>
      </c>
    </row>
    <row r="109">
      <c r="A109" t="inlineStr">
        <is>
          <t>25/05/2026</t>
        </is>
      </c>
      <c r="B109" t="inlineStr">
        <is>
          <t>ACB</t>
        </is>
      </c>
      <c r="C109" t="n">
        <v>24200</v>
      </c>
      <c r="D109" t="n">
        <v>26170</v>
      </c>
      <c r="E109" t="n">
        <v>26392</v>
      </c>
    </row>
    <row r="110">
      <c r="A110" t="inlineStr">
        <is>
          <t>24/05/2026</t>
        </is>
      </c>
      <c r="B110" t="inlineStr">
        <is>
          <t>ACB</t>
        </is>
      </c>
      <c r="C110" t="n">
        <v>24200</v>
      </c>
      <c r="D110" t="n">
        <v>26170</v>
      </c>
      <c r="E110" t="n">
        <v>26390</v>
      </c>
    </row>
    <row r="111">
      <c r="A111" t="inlineStr">
        <is>
          <t>23/05/2026</t>
        </is>
      </c>
      <c r="B111" t="inlineStr">
        <is>
          <t>ACB</t>
        </is>
      </c>
      <c r="C111" t="n">
        <v>24200</v>
      </c>
      <c r="D111" t="n">
        <v>26170</v>
      </c>
      <c r="E111" t="n">
        <v>26390</v>
      </c>
    </row>
    <row r="112">
      <c r="A112" t="inlineStr">
        <is>
          <t>22/05/2026</t>
        </is>
      </c>
      <c r="B112" t="inlineStr">
        <is>
          <t>ACB</t>
        </is>
      </c>
      <c r="C112" t="n">
        <v>24200</v>
      </c>
      <c r="D112" t="n">
        <v>26170</v>
      </c>
      <c r="E112" t="n">
        <v>26390</v>
      </c>
    </row>
    <row r="113">
      <c r="A113" t="inlineStr">
        <is>
          <t>21/05/2026</t>
        </is>
      </c>
      <c r="B113" t="inlineStr">
        <is>
          <t>ACB</t>
        </is>
      </c>
      <c r="C113" t="n">
        <v>24200</v>
      </c>
      <c r="D113" t="n">
        <v>26180</v>
      </c>
      <c r="E113" t="n">
        <v>26391</v>
      </c>
    </row>
    <row r="114">
      <c r="A114" t="inlineStr">
        <is>
          <t>20/05/2026</t>
        </is>
      </c>
      <c r="B114" t="inlineStr">
        <is>
          <t>ACB</t>
        </is>
      </c>
      <c r="C114" t="n">
        <v>24200</v>
      </c>
      <c r="D114" t="n">
        <v>26180</v>
      </c>
      <c r="E114" t="n">
        <v>26391</v>
      </c>
    </row>
    <row r="115">
      <c r="A115" t="inlineStr">
        <is>
          <t>19/05/2026</t>
        </is>
      </c>
      <c r="B115" t="inlineStr">
        <is>
          <t>ACB</t>
        </is>
      </c>
      <c r="C115" t="n">
        <v>24200</v>
      </c>
      <c r="D115" t="n">
        <v>26170</v>
      </c>
      <c r="E115" t="n">
        <v>26389</v>
      </c>
    </row>
    <row r="116">
      <c r="A116" t="inlineStr">
        <is>
          <t>18/05/2026</t>
        </is>
      </c>
      <c r="B116" t="inlineStr">
        <is>
          <t>ACB</t>
        </is>
      </c>
      <c r="C116" t="n">
        <v>24200</v>
      </c>
      <c r="D116" t="n">
        <v>26170</v>
      </c>
      <c r="E116" t="n">
        <v>26387</v>
      </c>
    </row>
    <row r="117">
      <c r="A117" t="inlineStr">
        <is>
          <t>17/05/2026</t>
        </is>
      </c>
      <c r="B117" t="inlineStr">
        <is>
          <t>ACB</t>
        </is>
      </c>
      <c r="C117" t="n">
        <v>24200</v>
      </c>
      <c r="D117" t="n">
        <v>26170</v>
      </c>
      <c r="E117" t="n">
        <v>26387</v>
      </c>
    </row>
    <row r="118">
      <c r="A118" t="inlineStr">
        <is>
          <t>16/05/2026</t>
        </is>
      </c>
      <c r="B118" t="inlineStr">
        <is>
          <t>ACB</t>
        </is>
      </c>
      <c r="C118" t="n">
        <v>24200</v>
      </c>
      <c r="D118" t="n">
        <v>26170</v>
      </c>
      <c r="E118" t="n">
        <v>26387</v>
      </c>
    </row>
    <row r="119">
      <c r="A119" t="inlineStr">
        <is>
          <t>15/05/2026</t>
        </is>
      </c>
      <c r="B119" t="inlineStr">
        <is>
          <t>ACB</t>
        </is>
      </c>
      <c r="C119" t="n">
        <v>24200</v>
      </c>
      <c r="D119" t="n">
        <v>26170</v>
      </c>
      <c r="E119" t="n">
        <v>26387</v>
      </c>
    </row>
    <row r="120">
      <c r="A120" t="inlineStr">
        <is>
          <t>14/05/2026</t>
        </is>
      </c>
      <c r="B120" t="inlineStr">
        <is>
          <t>ACB</t>
        </is>
      </c>
      <c r="C120" t="n">
        <v>24200</v>
      </c>
      <c r="D120" t="n">
        <v>26160</v>
      </c>
      <c r="E120" t="n">
        <v>26382</v>
      </c>
    </row>
    <row r="121">
      <c r="A121" t="inlineStr">
        <is>
          <t>13/05/2026</t>
        </is>
      </c>
      <c r="B121" t="inlineStr">
        <is>
          <t>ACB</t>
        </is>
      </c>
      <c r="C121" t="n">
        <v>24200</v>
      </c>
      <c r="D121" t="n">
        <v>26170</v>
      </c>
      <c r="E121" t="n">
        <v>26379</v>
      </c>
    </row>
    <row r="122">
      <c r="A122" t="inlineStr">
        <is>
          <t>12/05/2026</t>
        </is>
      </c>
      <c r="B122" t="inlineStr">
        <is>
          <t>ACB</t>
        </is>
      </c>
      <c r="C122" t="n">
        <v>24200</v>
      </c>
      <c r="D122" t="n">
        <v>26150</v>
      </c>
      <c r="E122" t="n">
        <v>26379</v>
      </c>
    </row>
    <row r="123">
      <c r="A123" t="inlineStr">
        <is>
          <t>11/05/2026</t>
        </is>
      </c>
      <c r="B123" t="inlineStr">
        <is>
          <t>ACB</t>
        </is>
      </c>
      <c r="C123" t="n">
        <v>24200</v>
      </c>
      <c r="D123" t="n">
        <v>26140</v>
      </c>
      <c r="E123" t="n">
        <v>26373</v>
      </c>
    </row>
    <row r="124">
      <c r="A124" t="inlineStr">
        <is>
          <t>10/05/2026</t>
        </is>
      </c>
      <c r="B124" t="inlineStr">
        <is>
          <t>ACB</t>
        </is>
      </c>
      <c r="C124" t="n">
        <v>24200</v>
      </c>
      <c r="D124" t="n">
        <v>26120</v>
      </c>
      <c r="E124" t="n">
        <v>26367</v>
      </c>
    </row>
    <row r="125">
      <c r="A125" t="inlineStr">
        <is>
          <t>09/05/2026</t>
        </is>
      </c>
      <c r="B125" t="inlineStr">
        <is>
          <t>ACB</t>
        </is>
      </c>
      <c r="C125" t="n">
        <v>24200</v>
      </c>
      <c r="D125" t="n">
        <v>26120</v>
      </c>
      <c r="E125" t="n">
        <v>26367</v>
      </c>
    </row>
    <row r="126">
      <c r="A126" t="inlineStr">
        <is>
          <t>08/05/2026</t>
        </is>
      </c>
      <c r="B126" t="inlineStr">
        <is>
          <t>ACB</t>
        </is>
      </c>
      <c r="C126" t="n">
        <v>24200</v>
      </c>
      <c r="D126" t="n">
        <v>26120</v>
      </c>
      <c r="E126" t="n">
        <v>26367</v>
      </c>
    </row>
    <row r="127">
      <c r="A127" t="inlineStr">
        <is>
          <t>07/05/2026</t>
        </is>
      </c>
      <c r="B127" t="inlineStr">
        <is>
          <t>ACB</t>
        </is>
      </c>
      <c r="C127" t="n">
        <v>24200</v>
      </c>
      <c r="D127" t="n">
        <v>26130</v>
      </c>
      <c r="E127" t="n">
        <v>26368</v>
      </c>
    </row>
    <row r="128">
      <c r="A128" t="inlineStr">
        <is>
          <t>06/05/2026</t>
        </is>
      </c>
      <c r="B128" t="inlineStr">
        <is>
          <t>ACB</t>
        </is>
      </c>
      <c r="C128" t="n">
        <v>24200</v>
      </c>
      <c r="D128" t="n">
        <v>26140</v>
      </c>
      <c r="E128" t="n">
        <v>26368</v>
      </c>
    </row>
    <row r="129">
      <c r="A129" t="inlineStr">
        <is>
          <t>05/05/2026</t>
        </is>
      </c>
      <c r="B129" t="inlineStr">
        <is>
          <t>ACB</t>
        </is>
      </c>
      <c r="C129" t="n">
        <v>24200</v>
      </c>
      <c r="D129" t="n">
        <v>26140</v>
      </c>
      <c r="E129" t="n">
        <v>26366</v>
      </c>
    </row>
    <row r="130">
      <c r="A130" t="inlineStr">
        <is>
          <t>04/05/2026</t>
        </is>
      </c>
      <c r="B130" t="inlineStr">
        <is>
          <t>ACB</t>
        </is>
      </c>
      <c r="C130" t="n">
        <v>24200</v>
      </c>
      <c r="D130" t="n">
        <v>26160</v>
      </c>
      <c r="E130" t="n">
        <v>26367</v>
      </c>
    </row>
    <row r="131">
      <c r="A131" t="inlineStr">
        <is>
          <t>03/05/2026</t>
        </is>
      </c>
      <c r="B131" t="inlineStr">
        <is>
          <t>ACB</t>
        </is>
      </c>
      <c r="C131" t="n">
        <v>24200</v>
      </c>
      <c r="D131" t="n">
        <v>26160</v>
      </c>
      <c r="E131" t="n">
        <v>26368</v>
      </c>
    </row>
    <row r="132">
      <c r="A132" t="inlineStr">
        <is>
          <t>02/05/2026</t>
        </is>
      </c>
      <c r="B132" t="inlineStr">
        <is>
          <t>ACB</t>
        </is>
      </c>
      <c r="C132" t="n">
        <v>24200</v>
      </c>
      <c r="D132" t="n">
        <v>26160</v>
      </c>
      <c r="E132" t="n">
        <v>26368</v>
      </c>
    </row>
    <row r="133">
      <c r="A133" t="inlineStr">
        <is>
          <t>01/05/2026</t>
        </is>
      </c>
      <c r="B133" t="inlineStr">
        <is>
          <t>ACB</t>
        </is>
      </c>
      <c r="C133" t="n">
        <v>24200</v>
      </c>
      <c r="D133" t="n">
        <v>26160</v>
      </c>
      <c r="E133" t="n">
        <v>26368</v>
      </c>
    </row>
    <row r="134">
      <c r="A134" t="inlineStr">
        <is>
          <t>30/04/2026</t>
        </is>
      </c>
      <c r="B134" t="inlineStr">
        <is>
          <t>ACB</t>
        </is>
      </c>
      <c r="C134" t="n">
        <v>24200</v>
      </c>
      <c r="D134" t="n">
        <v>26160</v>
      </c>
      <c r="E134" t="n">
        <v>26368</v>
      </c>
    </row>
    <row r="135">
      <c r="A135" t="inlineStr">
        <is>
          <t>29/04/2026</t>
        </is>
      </c>
      <c r="B135" t="inlineStr">
        <is>
          <t>ACB</t>
        </is>
      </c>
      <c r="C135" t="n">
        <v>24200</v>
      </c>
      <c r="D135" t="n">
        <v>26160</v>
      </c>
      <c r="E135" t="n">
        <v>26368</v>
      </c>
    </row>
    <row r="136">
      <c r="A136" t="inlineStr">
        <is>
          <t>28/04/2026</t>
        </is>
      </c>
      <c r="B136" t="inlineStr">
        <is>
          <t>ACB</t>
        </is>
      </c>
      <c r="C136" t="n">
        <v>24200</v>
      </c>
      <c r="D136" t="n">
        <v>26160</v>
      </c>
      <c r="E136" t="n">
        <v>26366</v>
      </c>
    </row>
    <row r="137">
      <c r="A137" t="inlineStr">
        <is>
          <t>27/04/2026</t>
        </is>
      </c>
      <c r="B137" t="inlineStr">
        <is>
          <t>ACB</t>
        </is>
      </c>
      <c r="C137" t="n">
        <v>24200</v>
      </c>
      <c r="D137" t="n">
        <v>26170</v>
      </c>
      <c r="E137" t="n">
        <v>26368</v>
      </c>
    </row>
    <row r="138">
      <c r="A138" t="inlineStr">
        <is>
          <t>26/04/2026</t>
        </is>
      </c>
      <c r="B138" t="inlineStr">
        <is>
          <t>ACB</t>
        </is>
      </c>
      <c r="C138" t="n">
        <v>24200</v>
      </c>
      <c r="D138" t="n">
        <v>26170</v>
      </c>
      <c r="E138" t="n">
        <v>26368</v>
      </c>
    </row>
    <row r="139">
      <c r="A139" t="inlineStr">
        <is>
          <t>25/04/2026</t>
        </is>
      </c>
      <c r="B139" t="inlineStr">
        <is>
          <t>ACB</t>
        </is>
      </c>
      <c r="C139" t="n">
        <v>24200</v>
      </c>
      <c r="D139" t="n">
        <v>26170</v>
      </c>
      <c r="E139" t="n">
        <v>26368</v>
      </c>
    </row>
    <row r="140">
      <c r="A140" t="inlineStr">
        <is>
          <t>24/04/2026</t>
        </is>
      </c>
      <c r="B140" t="inlineStr">
        <is>
          <t>ACB</t>
        </is>
      </c>
      <c r="C140" t="n">
        <v>24200</v>
      </c>
      <c r="D140" t="n">
        <v>26170</v>
      </c>
      <c r="E140" t="n">
        <v>26368</v>
      </c>
    </row>
    <row r="141">
      <c r="A141" t="inlineStr">
        <is>
          <t>23/04/2026</t>
        </is>
      </c>
      <c r="B141" t="inlineStr">
        <is>
          <t>ACB</t>
        </is>
      </c>
      <c r="C141" t="n">
        <v>24200</v>
      </c>
      <c r="D141" t="n">
        <v>26140</v>
      </c>
      <c r="E141" t="n">
        <v>26360</v>
      </c>
    </row>
    <row r="142">
      <c r="A142" t="inlineStr">
        <is>
          <t>22/04/2026</t>
        </is>
      </c>
      <c r="B142" t="inlineStr">
        <is>
          <t>ACB</t>
        </is>
      </c>
      <c r="C142" t="n">
        <v>24200</v>
      </c>
      <c r="D142" t="n">
        <v>26140</v>
      </c>
      <c r="E142" t="n">
        <v>26355</v>
      </c>
    </row>
    <row r="143">
      <c r="A143" t="inlineStr">
        <is>
          <t>21/04/2026</t>
        </is>
      </c>
      <c r="B143" t="inlineStr">
        <is>
          <t>ACB</t>
        </is>
      </c>
      <c r="C143" t="n">
        <v>24200</v>
      </c>
      <c r="D143" t="n">
        <v>26140</v>
      </c>
      <c r="E143" t="n">
        <v>26357</v>
      </c>
    </row>
    <row r="144">
      <c r="A144" t="inlineStr">
        <is>
          <t>20/04/2026</t>
        </is>
      </c>
      <c r="B144" t="inlineStr">
        <is>
          <t>ACB</t>
        </is>
      </c>
      <c r="C144" t="n">
        <v>24200</v>
      </c>
      <c r="D144" t="n">
        <v>26150</v>
      </c>
      <c r="E144" t="n">
        <v>26358</v>
      </c>
    </row>
    <row r="145">
      <c r="A145" t="inlineStr">
        <is>
          <t>19/04/2026</t>
        </is>
      </c>
      <c r="B145" t="inlineStr">
        <is>
          <t>ACB</t>
        </is>
      </c>
      <c r="C145" t="n">
        <v>24200</v>
      </c>
      <c r="D145" t="n">
        <v>26150</v>
      </c>
      <c r="E145" t="n">
        <v>26357</v>
      </c>
    </row>
    <row r="146">
      <c r="A146" t="inlineStr">
        <is>
          <t>18/04/2026</t>
        </is>
      </c>
      <c r="B146" t="inlineStr">
        <is>
          <t>ACB</t>
        </is>
      </c>
      <c r="C146" t="n">
        <v>24200</v>
      </c>
      <c r="D146" t="n">
        <v>26150</v>
      </c>
      <c r="E146" t="n">
        <v>26357</v>
      </c>
    </row>
    <row r="147">
      <c r="A147" t="inlineStr">
        <is>
          <t>17/04/2026</t>
        </is>
      </c>
      <c r="B147" t="inlineStr">
        <is>
          <t>ACB</t>
        </is>
      </c>
      <c r="C147" t="n">
        <v>24200</v>
      </c>
      <c r="D147" t="n">
        <v>26150</v>
      </c>
      <c r="E147" t="n">
        <v>26357</v>
      </c>
    </row>
    <row r="148">
      <c r="A148" t="inlineStr">
        <is>
          <t>16/04/2026</t>
        </is>
      </c>
      <c r="B148" t="inlineStr">
        <is>
          <t>ACB</t>
        </is>
      </c>
      <c r="C148" t="n">
        <v>24200</v>
      </c>
      <c r="D148" t="n">
        <v>26140</v>
      </c>
      <c r="E148" t="n">
        <v>26357</v>
      </c>
    </row>
    <row r="149">
      <c r="A149" t="inlineStr">
        <is>
          <t>15/04/2026</t>
        </is>
      </c>
      <c r="B149" t="inlineStr">
        <is>
          <t>ACB</t>
        </is>
      </c>
      <c r="C149" t="n">
        <v>24200</v>
      </c>
      <c r="D149" t="n">
        <v>26140</v>
      </c>
      <c r="E149" t="n">
        <v>26358</v>
      </c>
    </row>
    <row r="150">
      <c r="A150" t="inlineStr">
        <is>
          <t>14/04/2026</t>
        </is>
      </c>
      <c r="B150" t="inlineStr">
        <is>
          <t>ACB</t>
        </is>
      </c>
      <c r="C150" t="n">
        <v>24200</v>
      </c>
      <c r="D150" t="n">
        <v>26150</v>
      </c>
      <c r="E150" t="n">
        <v>26361</v>
      </c>
    </row>
    <row r="151">
      <c r="A151" t="inlineStr">
        <is>
          <t>13/04/2026</t>
        </is>
      </c>
      <c r="B151" t="inlineStr">
        <is>
          <t>ACB</t>
        </is>
      </c>
      <c r="C151" t="n">
        <v>24200</v>
      </c>
      <c r="D151" t="n">
        <v>26160</v>
      </c>
      <c r="E151" t="n">
        <v>26361</v>
      </c>
    </row>
    <row r="152">
      <c r="A152" t="inlineStr">
        <is>
          <t>12/04/2026</t>
        </is>
      </c>
      <c r="B152" t="inlineStr">
        <is>
          <t>ACB</t>
        </is>
      </c>
      <c r="C152" t="n">
        <v>24200</v>
      </c>
      <c r="D152" t="n">
        <v>26150</v>
      </c>
      <c r="E152" t="n">
        <v>26360</v>
      </c>
    </row>
    <row r="153">
      <c r="A153" t="inlineStr">
        <is>
          <t>11/04/2026</t>
        </is>
      </c>
      <c r="B153" t="inlineStr">
        <is>
          <t>ACB</t>
        </is>
      </c>
      <c r="C153" t="n">
        <v>24200</v>
      </c>
      <c r="D153" t="n">
        <v>26150</v>
      </c>
      <c r="E153" t="n">
        <v>26360</v>
      </c>
    </row>
    <row r="154">
      <c r="A154" t="inlineStr">
        <is>
          <t>10/04/2026</t>
        </is>
      </c>
      <c r="B154" t="inlineStr">
        <is>
          <t>ACB</t>
        </is>
      </c>
      <c r="C154" t="n">
        <v>24200</v>
      </c>
      <c r="D154" t="n">
        <v>26150</v>
      </c>
      <c r="E154" t="n">
        <v>26360</v>
      </c>
    </row>
    <row r="155">
      <c r="A155" t="inlineStr">
        <is>
          <t>09/04/2026</t>
        </is>
      </c>
      <c r="B155" t="inlineStr">
        <is>
          <t>ACB</t>
        </is>
      </c>
      <c r="C155" t="n">
        <v>24200</v>
      </c>
      <c r="D155" t="n">
        <v>26140</v>
      </c>
      <c r="E155" t="n">
        <v>26357</v>
      </c>
    </row>
    <row r="156">
      <c r="A156" t="inlineStr">
        <is>
          <t>08/04/2026</t>
        </is>
      </c>
      <c r="B156" t="inlineStr">
        <is>
          <t>ACB</t>
        </is>
      </c>
      <c r="C156" t="n">
        <v>24200</v>
      </c>
      <c r="D156" t="n">
        <v>26150</v>
      </c>
      <c r="E156" t="n">
        <v>26361</v>
      </c>
    </row>
    <row r="157">
      <c r="A157" t="inlineStr">
        <is>
          <t>07/04/2026</t>
        </is>
      </c>
      <c r="B157" t="inlineStr">
        <is>
          <t>ACB</t>
        </is>
      </c>
      <c r="C157" t="n">
        <v>24200</v>
      </c>
      <c r="D157" t="n">
        <v>26160</v>
      </c>
      <c r="E157" t="n">
        <v>26363</v>
      </c>
    </row>
    <row r="158">
      <c r="A158" t="inlineStr">
        <is>
          <t>06/04/2026</t>
        </is>
      </c>
      <c r="B158" t="inlineStr">
        <is>
          <t>ACB</t>
        </is>
      </c>
      <c r="C158" t="n">
        <v>24200</v>
      </c>
      <c r="D158" t="n">
        <v>26160</v>
      </c>
      <c r="E158" t="n">
        <v>26361</v>
      </c>
    </row>
    <row r="159">
      <c r="A159" t="inlineStr">
        <is>
          <t>05/04/2026</t>
        </is>
      </c>
      <c r="B159" t="inlineStr">
        <is>
          <t>ACB</t>
        </is>
      </c>
      <c r="C159" t="n">
        <v>24200</v>
      </c>
      <c r="D159" t="n">
        <v>26150</v>
      </c>
      <c r="E159" t="n">
        <v>26362</v>
      </c>
    </row>
    <row r="160">
      <c r="A160" t="inlineStr">
        <is>
          <t>04/04/2026</t>
        </is>
      </c>
      <c r="B160" t="inlineStr">
        <is>
          <t>ACB</t>
        </is>
      </c>
      <c r="C160" t="n">
        <v>24200</v>
      </c>
      <c r="D160" t="n">
        <v>26150</v>
      </c>
      <c r="E160" t="n">
        <v>26362</v>
      </c>
    </row>
    <row r="161">
      <c r="A161" t="inlineStr">
        <is>
          <t>03/04/2026</t>
        </is>
      </c>
      <c r="B161" t="inlineStr">
        <is>
          <t>ACB</t>
        </is>
      </c>
      <c r="C161" t="n">
        <v>24200</v>
      </c>
      <c r="D161" t="n">
        <v>26150</v>
      </c>
      <c r="E161" t="n">
        <v>26362</v>
      </c>
    </row>
    <row r="162">
      <c r="A162" t="inlineStr">
        <is>
          <t>02/04/2026</t>
        </is>
      </c>
      <c r="B162" t="inlineStr">
        <is>
          <t>ACB</t>
        </is>
      </c>
      <c r="C162" t="n">
        <v>24200</v>
      </c>
      <c r="D162" t="n">
        <v>26150</v>
      </c>
      <c r="E162" t="n">
        <v>26362</v>
      </c>
    </row>
    <row r="163">
      <c r="A163" t="inlineStr">
        <is>
          <t>01/04/2026</t>
        </is>
      </c>
      <c r="B163" t="inlineStr">
        <is>
          <t>ACB</t>
        </is>
      </c>
      <c r="C163" t="n">
        <v>24200</v>
      </c>
      <c r="D163" t="n">
        <v>26150</v>
      </c>
      <c r="E163" t="n">
        <v>26360</v>
      </c>
    </row>
    <row r="164">
      <c r="A164" t="inlineStr">
        <is>
          <t>31/03/2026</t>
        </is>
      </c>
      <c r="B164" t="inlineStr">
        <is>
          <t>ACB</t>
        </is>
      </c>
      <c r="C164" t="n">
        <v>24200</v>
      </c>
      <c r="D164" t="n">
        <v>26160</v>
      </c>
      <c r="E164" t="n">
        <v>26357</v>
      </c>
    </row>
    <row r="165">
      <c r="A165" t="inlineStr">
        <is>
          <t>30/03/2026</t>
        </is>
      </c>
      <c r="B165" t="inlineStr">
        <is>
          <t>ACB</t>
        </is>
      </c>
      <c r="C165" t="n">
        <v>24200</v>
      </c>
      <c r="D165" t="n">
        <v>26160</v>
      </c>
      <c r="E165" t="n">
        <v>26355</v>
      </c>
    </row>
    <row r="166">
      <c r="A166" t="inlineStr">
        <is>
          <t>29/03/2026</t>
        </is>
      </c>
      <c r="B166" t="inlineStr">
        <is>
          <t>ACB</t>
        </is>
      </c>
      <c r="C166" t="n">
        <v>24200</v>
      </c>
      <c r="D166" t="n">
        <v>26150</v>
      </c>
      <c r="E166" t="n">
        <v>26355</v>
      </c>
    </row>
    <row r="167">
      <c r="A167" t="inlineStr">
        <is>
          <t>28/03/2026</t>
        </is>
      </c>
      <c r="B167" t="inlineStr">
        <is>
          <t>ACB</t>
        </is>
      </c>
      <c r="C167" t="n">
        <v>24200</v>
      </c>
      <c r="D167" t="n">
        <v>26150</v>
      </c>
      <c r="E167" t="n">
        <v>26355</v>
      </c>
    </row>
    <row r="168">
      <c r="A168" t="inlineStr">
        <is>
          <t>27/03/2026</t>
        </is>
      </c>
      <c r="B168" t="inlineStr">
        <is>
          <t>ACB</t>
        </is>
      </c>
      <c r="C168" t="n">
        <v>24200</v>
      </c>
      <c r="D168" t="n">
        <v>26150</v>
      </c>
      <c r="E168" t="n">
        <v>26355</v>
      </c>
    </row>
    <row r="169">
      <c r="A169" t="inlineStr">
        <is>
          <t>26/03/2026</t>
        </is>
      </c>
      <c r="B169" t="inlineStr">
        <is>
          <t>ACB</t>
        </is>
      </c>
      <c r="C169" t="n">
        <v>24200</v>
      </c>
      <c r="D169" t="n">
        <v>26160</v>
      </c>
      <c r="E169" t="n">
        <v>26357</v>
      </c>
    </row>
    <row r="170">
      <c r="A170" t="inlineStr">
        <is>
          <t>25/03/2026</t>
        </is>
      </c>
      <c r="B170" t="inlineStr">
        <is>
          <t>ACB</t>
        </is>
      </c>
      <c r="C170" t="n">
        <v>24200</v>
      </c>
      <c r="D170" t="n">
        <v>26170</v>
      </c>
      <c r="E170" t="n">
        <v>26359</v>
      </c>
    </row>
    <row r="171">
      <c r="A171" t="inlineStr">
        <is>
          <t>24/03/2026</t>
        </is>
      </c>
      <c r="B171" t="inlineStr">
        <is>
          <t>ACB</t>
        </is>
      </c>
      <c r="C171" t="n">
        <v>24200</v>
      </c>
      <c r="D171" t="n">
        <v>26170</v>
      </c>
      <c r="E171" t="n">
        <v>26364</v>
      </c>
    </row>
    <row r="172">
      <c r="A172" t="inlineStr">
        <is>
          <t>23/03/2026</t>
        </is>
      </c>
      <c r="B172" t="inlineStr">
        <is>
          <t>ACB</t>
        </is>
      </c>
      <c r="C172" t="n">
        <v>24200</v>
      </c>
      <c r="D172" t="n">
        <v>26150</v>
      </c>
      <c r="E172" t="n">
        <v>26344</v>
      </c>
    </row>
    <row r="173">
      <c r="A173" t="inlineStr">
        <is>
          <t>22/03/2026</t>
        </is>
      </c>
      <c r="B173" t="inlineStr">
        <is>
          <t>ACB</t>
        </is>
      </c>
      <c r="C173" t="n">
        <v>24200</v>
      </c>
      <c r="D173" t="n">
        <v>26110</v>
      </c>
      <c r="E173" t="n">
        <v>26339</v>
      </c>
    </row>
    <row r="174">
      <c r="A174" t="inlineStr">
        <is>
          <t>21/03/2026</t>
        </is>
      </c>
      <c r="B174" t="inlineStr">
        <is>
          <t>ACB</t>
        </is>
      </c>
      <c r="C174" t="n">
        <v>24200</v>
      </c>
      <c r="D174" t="n">
        <v>26110</v>
      </c>
      <c r="E174" t="n">
        <v>26339</v>
      </c>
    </row>
    <row r="175">
      <c r="A175" t="inlineStr">
        <is>
          <t>20/03/2026</t>
        </is>
      </c>
      <c r="B175" t="inlineStr">
        <is>
          <t>ACB</t>
        </is>
      </c>
      <c r="C175" t="n">
        <v>24200</v>
      </c>
      <c r="D175" t="n">
        <v>26110</v>
      </c>
      <c r="E175" t="n">
        <v>26339</v>
      </c>
    </row>
    <row r="176">
      <c r="A176" t="inlineStr">
        <is>
          <t>19/03/2026</t>
        </is>
      </c>
      <c r="B176" t="inlineStr">
        <is>
          <t>ACB</t>
        </is>
      </c>
      <c r="C176" t="n">
        <v>24200</v>
      </c>
      <c r="D176" t="n">
        <v>26110</v>
      </c>
      <c r="E176" t="n">
        <v>26325</v>
      </c>
    </row>
    <row r="177">
      <c r="A177" t="inlineStr">
        <is>
          <t>18/03/2026</t>
        </is>
      </c>
      <c r="B177" t="inlineStr">
        <is>
          <t>ACB</t>
        </is>
      </c>
      <c r="C177" t="n">
        <v>24200</v>
      </c>
      <c r="D177" t="n">
        <v>26120</v>
      </c>
      <c r="E177" t="n">
        <v>26320</v>
      </c>
    </row>
    <row r="178">
      <c r="A178" t="inlineStr">
        <is>
          <t>17/03/2026</t>
        </is>
      </c>
      <c r="B178" t="inlineStr">
        <is>
          <t>ACB</t>
        </is>
      </c>
      <c r="C178" t="n">
        <v>24200</v>
      </c>
      <c r="D178" t="n">
        <v>26110</v>
      </c>
      <c r="E178" t="n">
        <v>26321</v>
      </c>
    </row>
    <row r="179">
      <c r="A179" t="inlineStr">
        <is>
          <t>16/03/2026</t>
        </is>
      </c>
      <c r="B179" t="inlineStr">
        <is>
          <t>ACB</t>
        </is>
      </c>
      <c r="C179" t="n">
        <v>24200</v>
      </c>
      <c r="D179" t="n">
        <v>26110</v>
      </c>
      <c r="E179" t="n">
        <v>26321</v>
      </c>
    </row>
    <row r="180">
      <c r="A180" t="inlineStr">
        <is>
          <t>15/03/2026</t>
        </is>
      </c>
      <c r="B180" t="inlineStr">
        <is>
          <t>ACB</t>
        </is>
      </c>
      <c r="C180" t="n">
        <v>24200</v>
      </c>
      <c r="D180" t="n">
        <v>26110</v>
      </c>
      <c r="E180" t="n">
        <v>26318</v>
      </c>
    </row>
    <row r="181">
      <c r="A181" t="inlineStr">
        <is>
          <t>14/03/2026</t>
        </is>
      </c>
      <c r="B181" t="inlineStr">
        <is>
          <t>ACB</t>
        </is>
      </c>
      <c r="C181" t="n">
        <v>24200</v>
      </c>
      <c r="D181" t="n">
        <v>26110</v>
      </c>
      <c r="E181" t="n">
        <v>26318</v>
      </c>
    </row>
    <row r="182">
      <c r="A182" t="inlineStr">
        <is>
          <t>13/03/2026</t>
        </is>
      </c>
      <c r="B182" t="inlineStr">
        <is>
          <t>ACB</t>
        </is>
      </c>
      <c r="C182" t="n">
        <v>24200</v>
      </c>
      <c r="D182" t="n">
        <v>26110</v>
      </c>
      <c r="E182" t="n">
        <v>26318</v>
      </c>
    </row>
    <row r="183">
      <c r="A183" t="inlineStr">
        <is>
          <t>12/03/2026</t>
        </is>
      </c>
      <c r="B183" t="inlineStr">
        <is>
          <t>ACB</t>
        </is>
      </c>
      <c r="C183" t="n">
        <v>24200</v>
      </c>
      <c r="D183" t="n">
        <v>26090</v>
      </c>
      <c r="E183" t="n">
        <v>26314</v>
      </c>
    </row>
    <row r="184">
      <c r="A184" t="inlineStr">
        <is>
          <t>11/03/2026</t>
        </is>
      </c>
      <c r="B184" t="inlineStr">
        <is>
          <t>ACB</t>
        </is>
      </c>
      <c r="C184" t="n">
        <v>24200</v>
      </c>
      <c r="D184" t="n">
        <v>26070</v>
      </c>
      <c r="E184" t="n">
        <v>26311</v>
      </c>
    </row>
    <row r="185">
      <c r="A185" t="inlineStr">
        <is>
          <t>10/03/2026</t>
        </is>
      </c>
      <c r="B185" t="inlineStr">
        <is>
          <t>ACB</t>
        </is>
      </c>
      <c r="C185" t="n">
        <v>24200</v>
      </c>
      <c r="D185" t="n">
        <v>26050</v>
      </c>
      <c r="E185" t="n">
        <v>26315</v>
      </c>
    </row>
    <row r="186">
      <c r="A186" t="inlineStr">
        <is>
          <t>09/03/2026</t>
        </is>
      </c>
      <c r="B186" t="inlineStr">
        <is>
          <t>ACB</t>
        </is>
      </c>
      <c r="C186" t="n">
        <v>24200</v>
      </c>
      <c r="D186" t="n">
        <v>26100</v>
      </c>
      <c r="E186" t="n">
        <v>26311</v>
      </c>
    </row>
    <row r="187">
      <c r="A187" t="inlineStr">
        <is>
          <t>08/03/2026</t>
        </is>
      </c>
      <c r="B187" t="inlineStr">
        <is>
          <t>ACB</t>
        </is>
      </c>
      <c r="C187" t="n">
        <v>24200</v>
      </c>
      <c r="D187" t="n">
        <v>26050</v>
      </c>
      <c r="E187" t="n">
        <v>26309</v>
      </c>
    </row>
    <row r="188">
      <c r="A188" t="inlineStr">
        <is>
          <t>07/03/2026</t>
        </is>
      </c>
      <c r="B188" t="inlineStr">
        <is>
          <t>ACB</t>
        </is>
      </c>
      <c r="C188" t="n">
        <v>24200</v>
      </c>
      <c r="D188" t="n">
        <v>26050</v>
      </c>
      <c r="E188" t="n">
        <v>26309</v>
      </c>
    </row>
    <row r="189">
      <c r="A189" t="inlineStr">
        <is>
          <t>06/03/2026</t>
        </is>
      </c>
      <c r="B189" t="inlineStr">
        <is>
          <t>ACB</t>
        </is>
      </c>
      <c r="C189" t="n">
        <v>24200</v>
      </c>
      <c r="D189" t="n">
        <v>26050</v>
      </c>
      <c r="E189" t="n">
        <v>26309</v>
      </c>
    </row>
    <row r="190">
      <c r="A190" t="inlineStr">
        <is>
          <t>05/03/2026</t>
        </is>
      </c>
      <c r="B190" t="inlineStr">
        <is>
          <t>ACB</t>
        </is>
      </c>
      <c r="C190" t="n">
        <v>24200</v>
      </c>
      <c r="D190" t="n">
        <v>26040</v>
      </c>
      <c r="E190" t="n">
        <v>26307</v>
      </c>
    </row>
    <row r="191">
      <c r="A191" t="inlineStr">
        <is>
          <t>04/03/2026</t>
        </is>
      </c>
      <c r="B191" t="inlineStr">
        <is>
          <t>ACB</t>
        </is>
      </c>
      <c r="C191" t="n">
        <v>24200</v>
      </c>
      <c r="D191" t="n">
        <v>26040</v>
      </c>
      <c r="E191" t="n">
        <v>26304</v>
      </c>
    </row>
    <row r="192">
      <c r="A192" t="inlineStr">
        <is>
          <t>03/03/2026</t>
        </is>
      </c>
      <c r="B192" t="inlineStr">
        <is>
          <t>ACB</t>
        </is>
      </c>
      <c r="C192" t="n">
        <v>24200</v>
      </c>
      <c r="D192" t="n">
        <v>26020</v>
      </c>
      <c r="E192" t="n">
        <v>26298</v>
      </c>
    </row>
    <row r="193">
      <c r="A193" t="inlineStr">
        <is>
          <t>02/03/2026</t>
        </is>
      </c>
      <c r="B193" t="inlineStr">
        <is>
          <t>ACB</t>
        </is>
      </c>
      <c r="C193" t="n">
        <v>24200</v>
      </c>
      <c r="D193" t="n">
        <v>26010</v>
      </c>
      <c r="E193" t="n">
        <v>26289</v>
      </c>
    </row>
    <row r="194">
      <c r="A194" t="inlineStr">
        <is>
          <t>01/03/2026</t>
        </is>
      </c>
      <c r="B194" t="inlineStr">
        <is>
          <t>ACB</t>
        </is>
      </c>
      <c r="C194" t="n">
        <v>24200</v>
      </c>
      <c r="D194" t="n">
        <v>25870</v>
      </c>
      <c r="E194" t="n">
        <v>26230</v>
      </c>
    </row>
    <row r="195">
      <c r="A195" t="inlineStr">
        <is>
          <t>28/02/2026</t>
        </is>
      </c>
      <c r="B195" t="inlineStr">
        <is>
          <t>ACB</t>
        </is>
      </c>
      <c r="C195" t="n">
        <v>24200</v>
      </c>
      <c r="D195" t="n">
        <v>25870</v>
      </c>
      <c r="E195" t="n">
        <v>26230</v>
      </c>
    </row>
    <row r="196">
      <c r="A196" t="inlineStr">
        <is>
          <t>27/02/2026</t>
        </is>
      </c>
      <c r="B196" t="inlineStr">
        <is>
          <t>ACB</t>
        </is>
      </c>
      <c r="C196" t="n">
        <v>24200</v>
      </c>
      <c r="D196" t="n">
        <v>25870</v>
      </c>
      <c r="E196" t="n">
        <v>26230</v>
      </c>
    </row>
    <row r="197">
      <c r="A197" t="inlineStr">
        <is>
          <t>26/02/2026</t>
        </is>
      </c>
      <c r="B197" t="inlineStr">
        <is>
          <t>ACB</t>
        </is>
      </c>
      <c r="C197" t="n">
        <v>24200</v>
      </c>
      <c r="D197" t="n">
        <v>25880</v>
      </c>
      <c r="E197" t="n">
        <v>26240</v>
      </c>
    </row>
    <row r="198">
      <c r="A198" t="inlineStr">
        <is>
          <t>25/02/2026</t>
        </is>
      </c>
      <c r="B198" t="inlineStr">
        <is>
          <t>ACB</t>
        </is>
      </c>
      <c r="C198" t="n">
        <v>24200</v>
      </c>
      <c r="D198" t="n">
        <v>25930</v>
      </c>
      <c r="E198" t="n">
        <v>26290</v>
      </c>
    </row>
    <row r="199">
      <c r="A199" t="inlineStr">
        <is>
          <t>24/02/2026</t>
        </is>
      </c>
      <c r="B199" t="inlineStr">
        <is>
          <t>ACB</t>
        </is>
      </c>
      <c r="C199" t="n">
        <v>24200</v>
      </c>
      <c r="D199" t="n">
        <v>26010</v>
      </c>
      <c r="E199" t="n">
        <v>26305</v>
      </c>
    </row>
    <row r="200">
      <c r="A200" t="inlineStr">
        <is>
          <t>23/02/2026</t>
        </is>
      </c>
      <c r="B200" t="inlineStr">
        <is>
          <t>ACB</t>
        </is>
      </c>
      <c r="C200" t="n">
        <v>24200</v>
      </c>
      <c r="D200" t="n">
        <v>25930</v>
      </c>
      <c r="E200" t="n">
        <v>26290</v>
      </c>
    </row>
    <row r="201">
      <c r="A201" t="inlineStr">
        <is>
          <t>22/02/2026</t>
        </is>
      </c>
      <c r="B201" t="inlineStr">
        <is>
          <t>ACB</t>
        </is>
      </c>
      <c r="C201" t="n">
        <v>24200</v>
      </c>
      <c r="D201" t="n">
        <v>25790</v>
      </c>
      <c r="E201" t="n">
        <v>26150</v>
      </c>
    </row>
    <row r="202">
      <c r="A202" t="inlineStr">
        <is>
          <t>21/02/2026</t>
        </is>
      </c>
      <c r="B202" t="inlineStr">
        <is>
          <t>ACB</t>
        </is>
      </c>
      <c r="C202" t="n">
        <v>24200</v>
      </c>
      <c r="D202" t="n">
        <v>25790</v>
      </c>
      <c r="E202" t="n">
        <v>26150</v>
      </c>
    </row>
    <row r="203">
      <c r="A203" t="inlineStr">
        <is>
          <t>20/02/2026</t>
        </is>
      </c>
      <c r="B203" t="inlineStr">
        <is>
          <t>ACB</t>
        </is>
      </c>
      <c r="C203" t="n">
        <v>24200</v>
      </c>
      <c r="D203" t="n">
        <v>25790</v>
      </c>
      <c r="E203" t="n">
        <v>26150</v>
      </c>
    </row>
    <row r="204">
      <c r="A204" t="inlineStr">
        <is>
          <t>19/02/2026</t>
        </is>
      </c>
      <c r="B204" t="inlineStr">
        <is>
          <t>ACB</t>
        </is>
      </c>
      <c r="C204" t="n">
        <v>24200</v>
      </c>
      <c r="D204" t="n">
        <v>25790</v>
      </c>
      <c r="E204" t="n">
        <v>26150</v>
      </c>
    </row>
    <row r="205">
      <c r="A205" t="inlineStr">
        <is>
          <t>18/02/2026</t>
        </is>
      </c>
      <c r="B205" t="inlineStr">
        <is>
          <t>ACB</t>
        </is>
      </c>
      <c r="C205" t="n">
        <v>24200</v>
      </c>
      <c r="D205" t="n">
        <v>25790</v>
      </c>
      <c r="E205" t="n">
        <v>26150</v>
      </c>
    </row>
    <row r="206">
      <c r="A206" t="inlineStr">
        <is>
          <t>17/02/2026</t>
        </is>
      </c>
      <c r="B206" t="inlineStr">
        <is>
          <t>ACB</t>
        </is>
      </c>
      <c r="C206" t="n">
        <v>24200</v>
      </c>
      <c r="D206" t="n">
        <v>25790</v>
      </c>
      <c r="E206" t="n">
        <v>26150</v>
      </c>
    </row>
    <row r="207">
      <c r="A207" t="inlineStr">
        <is>
          <t>16/02/2026</t>
        </is>
      </c>
      <c r="B207" t="inlineStr">
        <is>
          <t>ACB</t>
        </is>
      </c>
      <c r="C207" t="n">
        <v>24200</v>
      </c>
      <c r="D207" t="n">
        <v>25790</v>
      </c>
      <c r="E207" t="n">
        <v>26150</v>
      </c>
    </row>
    <row r="208">
      <c r="A208" t="inlineStr">
        <is>
          <t>15/02/2026</t>
        </is>
      </c>
      <c r="B208" t="inlineStr">
        <is>
          <t>ACB</t>
        </is>
      </c>
      <c r="C208" t="n">
        <v>24200</v>
      </c>
      <c r="D208" t="n">
        <v>25790</v>
      </c>
      <c r="E208" t="n">
        <v>26150</v>
      </c>
    </row>
    <row r="209">
      <c r="A209" t="inlineStr">
        <is>
          <t>14/02/2026</t>
        </is>
      </c>
      <c r="B209" t="inlineStr">
        <is>
          <t>ACB</t>
        </is>
      </c>
      <c r="C209" t="n">
        <v>24200</v>
      </c>
      <c r="D209" t="n">
        <v>25790</v>
      </c>
      <c r="E209" t="n">
        <v>26150</v>
      </c>
    </row>
    <row r="210">
      <c r="A210" t="inlineStr">
        <is>
          <t>13/02/2026</t>
        </is>
      </c>
      <c r="B210" t="inlineStr">
        <is>
          <t>ACB</t>
        </is>
      </c>
      <c r="C210" t="n">
        <v>24200</v>
      </c>
      <c r="D210" t="n">
        <v>25790</v>
      </c>
      <c r="E210" t="n">
        <v>26150</v>
      </c>
    </row>
    <row r="211">
      <c r="A211" t="inlineStr">
        <is>
          <t>12/02/2026</t>
        </is>
      </c>
      <c r="B211" t="inlineStr">
        <is>
          <t>ACB</t>
        </is>
      </c>
      <c r="C211" t="n">
        <v>24200</v>
      </c>
      <c r="D211" t="n">
        <v>25790</v>
      </c>
      <c r="E211" t="n">
        <v>26150</v>
      </c>
    </row>
    <row r="212">
      <c r="A212" t="inlineStr">
        <is>
          <t>11/02/2026</t>
        </is>
      </c>
      <c r="B212" t="inlineStr">
        <is>
          <t>ACB</t>
        </is>
      </c>
      <c r="C212" t="n">
        <v>24200</v>
      </c>
      <c r="D212" t="n">
        <v>25820</v>
      </c>
      <c r="E212" t="n">
        <v>26180</v>
      </c>
    </row>
    <row r="213">
      <c r="A213" t="inlineStr">
        <is>
          <t>10/02/2026</t>
        </is>
      </c>
      <c r="B213" t="inlineStr">
        <is>
          <t>ACB</t>
        </is>
      </c>
      <c r="C213" t="n">
        <v>24200</v>
      </c>
      <c r="D213" t="n">
        <v>25710</v>
      </c>
      <c r="E213" t="n">
        <v>26070</v>
      </c>
    </row>
    <row r="214">
      <c r="A214" t="inlineStr">
        <is>
          <t>09/02/2026</t>
        </is>
      </c>
      <c r="B214" t="inlineStr">
        <is>
          <t>ACB</t>
        </is>
      </c>
      <c r="C214" t="n">
        <v>24200</v>
      </c>
      <c r="D214" t="n">
        <v>25730</v>
      </c>
      <c r="E214" t="n">
        <v>26090</v>
      </c>
    </row>
    <row r="215">
      <c r="A215" t="inlineStr">
        <is>
          <t>08/02/2026</t>
        </is>
      </c>
      <c r="B215" t="inlineStr">
        <is>
          <t>ACB</t>
        </is>
      </c>
      <c r="C215" t="n">
        <v>24200</v>
      </c>
      <c r="D215" t="n">
        <v>25780</v>
      </c>
      <c r="E215" t="n">
        <v>26140</v>
      </c>
    </row>
    <row r="216">
      <c r="A216" t="inlineStr">
        <is>
          <t>07/02/2026</t>
        </is>
      </c>
      <c r="B216" t="inlineStr">
        <is>
          <t>ACB</t>
        </is>
      </c>
      <c r="C216" t="n">
        <v>24200</v>
      </c>
      <c r="D216" t="n">
        <v>25780</v>
      </c>
      <c r="E216" t="n">
        <v>26140</v>
      </c>
    </row>
    <row r="217">
      <c r="A217" t="inlineStr">
        <is>
          <t>06/02/2026</t>
        </is>
      </c>
      <c r="B217" t="inlineStr">
        <is>
          <t>ACB</t>
        </is>
      </c>
      <c r="C217" t="n">
        <v>24200</v>
      </c>
      <c r="D217" t="n">
        <v>25780</v>
      </c>
      <c r="E217" t="n">
        <v>26140</v>
      </c>
    </row>
    <row r="218">
      <c r="A218" t="inlineStr">
        <is>
          <t>05/02/2026</t>
        </is>
      </c>
      <c r="B218" t="inlineStr">
        <is>
          <t>ACB</t>
        </is>
      </c>
      <c r="C218" t="n">
        <v>24200</v>
      </c>
      <c r="D218" t="n">
        <v>25790</v>
      </c>
      <c r="E218" t="n">
        <v>26150</v>
      </c>
    </row>
    <row r="219">
      <c r="A219" t="inlineStr">
        <is>
          <t>04/02/2026</t>
        </is>
      </c>
      <c r="B219" t="inlineStr">
        <is>
          <t>ACB</t>
        </is>
      </c>
      <c r="C219" t="n">
        <v>24200</v>
      </c>
      <c r="D219" t="n">
        <v>25800</v>
      </c>
      <c r="E219" t="n">
        <v>26160</v>
      </c>
    </row>
    <row r="220">
      <c r="A220" t="inlineStr">
        <is>
          <t>03/02/2026</t>
        </is>
      </c>
      <c r="B220" t="inlineStr">
        <is>
          <t>ACB</t>
        </is>
      </c>
      <c r="C220" t="n">
        <v>24200</v>
      </c>
      <c r="D220" t="n">
        <v>25810</v>
      </c>
      <c r="E220" t="n">
        <v>26190</v>
      </c>
    </row>
    <row r="221">
      <c r="A221" t="inlineStr">
        <is>
          <t>02/02/2026</t>
        </is>
      </c>
      <c r="B221" t="inlineStr">
        <is>
          <t>ACB</t>
        </is>
      </c>
      <c r="C221" t="n">
        <v>24200</v>
      </c>
      <c r="D221" t="n">
        <v>25850</v>
      </c>
      <c r="E221" t="n">
        <v>26210</v>
      </c>
    </row>
    <row r="222">
      <c r="A222" t="inlineStr">
        <is>
          <t>01/02/2026</t>
        </is>
      </c>
      <c r="B222" t="inlineStr">
        <is>
          <t>ACB</t>
        </is>
      </c>
      <c r="C222" t="n">
        <v>24200</v>
      </c>
      <c r="D222" t="n">
        <v>25740</v>
      </c>
      <c r="E222" t="n">
        <v>26100</v>
      </c>
    </row>
    <row r="223">
      <c r="A223" t="inlineStr">
        <is>
          <t>31/01/2026</t>
        </is>
      </c>
      <c r="B223" t="inlineStr">
        <is>
          <t>ACB</t>
        </is>
      </c>
      <c r="C223" t="n">
        <v>24200</v>
      </c>
      <c r="D223" t="n">
        <v>25740</v>
      </c>
      <c r="E223" t="n">
        <v>26100</v>
      </c>
    </row>
    <row r="224">
      <c r="A224" t="inlineStr">
        <is>
          <t>30/01/2026</t>
        </is>
      </c>
      <c r="B224" t="inlineStr">
        <is>
          <t>ACB</t>
        </is>
      </c>
      <c r="C224" t="n">
        <v>24200</v>
      </c>
      <c r="D224" t="n">
        <v>25740</v>
      </c>
      <c r="E224" t="n">
        <v>26100</v>
      </c>
    </row>
    <row r="225">
      <c r="A225" t="inlineStr">
        <is>
          <t>29/01/2026</t>
        </is>
      </c>
      <c r="B225" t="inlineStr">
        <is>
          <t>ACB</t>
        </is>
      </c>
      <c r="C225" t="n">
        <v>24200</v>
      </c>
      <c r="D225" t="n">
        <v>25830</v>
      </c>
      <c r="E225" t="n">
        <v>26190</v>
      </c>
    </row>
    <row r="226">
      <c r="A226" t="inlineStr">
        <is>
          <t>28/01/2026</t>
        </is>
      </c>
      <c r="B226" t="inlineStr">
        <is>
          <t>ACB</t>
        </is>
      </c>
      <c r="C226" t="n">
        <v>24200</v>
      </c>
      <c r="D226" t="n">
        <v>25890</v>
      </c>
      <c r="E226" t="n">
        <v>26250</v>
      </c>
    </row>
    <row r="227">
      <c r="A227" t="inlineStr">
        <is>
          <t>27/01/2026</t>
        </is>
      </c>
      <c r="B227" t="inlineStr">
        <is>
          <t>ACB</t>
        </is>
      </c>
      <c r="C227" t="n">
        <v>24200</v>
      </c>
      <c r="D227" t="n">
        <v>25960</v>
      </c>
      <c r="E227" t="n">
        <v>26320</v>
      </c>
    </row>
    <row r="228">
      <c r="A228" t="inlineStr">
        <is>
          <t>26/01/2026</t>
        </is>
      </c>
      <c r="B228" t="inlineStr">
        <is>
          <t>ACB</t>
        </is>
      </c>
      <c r="C228" t="n">
        <v>24200</v>
      </c>
      <c r="D228" t="n">
        <v>26010</v>
      </c>
      <c r="E228" t="n">
        <v>26368</v>
      </c>
    </row>
    <row r="229">
      <c r="A229" t="inlineStr">
        <is>
          <t>25/01/2026</t>
        </is>
      </c>
      <c r="B229" t="inlineStr">
        <is>
          <t>ACB</t>
        </is>
      </c>
      <c r="C229" t="n">
        <v>24200</v>
      </c>
      <c r="D229" t="n">
        <v>26070</v>
      </c>
      <c r="E229" t="n">
        <v>26381</v>
      </c>
    </row>
    <row r="230">
      <c r="A230" t="inlineStr">
        <is>
          <t>24/01/2026</t>
        </is>
      </c>
      <c r="B230" t="inlineStr">
        <is>
          <t>ACB</t>
        </is>
      </c>
      <c r="C230" t="n">
        <v>24200</v>
      </c>
      <c r="D230" t="n">
        <v>26070</v>
      </c>
      <c r="E230" t="n">
        <v>26381</v>
      </c>
    </row>
    <row r="231">
      <c r="A231" t="inlineStr">
        <is>
          <t>23/01/2026</t>
        </is>
      </c>
      <c r="B231" t="inlineStr">
        <is>
          <t>ACB</t>
        </is>
      </c>
      <c r="C231" t="n">
        <v>24200</v>
      </c>
      <c r="D231" t="n">
        <v>26070</v>
      </c>
      <c r="E231" t="n">
        <v>26381</v>
      </c>
    </row>
    <row r="232">
      <c r="A232" t="inlineStr">
        <is>
          <t>22/01/2026</t>
        </is>
      </c>
      <c r="B232" t="inlineStr">
        <is>
          <t>ACB</t>
        </is>
      </c>
      <c r="C232" t="n">
        <v>24200</v>
      </c>
      <c r="D232" t="n">
        <v>26090</v>
      </c>
      <c r="E232" t="n">
        <v>26381</v>
      </c>
    </row>
    <row r="233">
      <c r="A233" t="inlineStr">
        <is>
          <t>21/01/2026</t>
        </is>
      </c>
      <c r="B233" t="inlineStr">
        <is>
          <t>ACB</t>
        </is>
      </c>
      <c r="C233" t="n">
        <v>24200</v>
      </c>
      <c r="D233" t="n">
        <v>26090</v>
      </c>
      <c r="E233" t="n">
        <v>26380</v>
      </c>
    </row>
    <row r="234">
      <c r="A234" t="inlineStr">
        <is>
          <t>20/01/2026</t>
        </is>
      </c>
      <c r="B234" t="inlineStr">
        <is>
          <t>ACB</t>
        </is>
      </c>
      <c r="C234" t="n">
        <v>24200</v>
      </c>
      <c r="D234" t="n">
        <v>26090</v>
      </c>
      <c r="E234" t="n">
        <v>26386</v>
      </c>
    </row>
    <row r="235">
      <c r="A235" t="inlineStr">
        <is>
          <t>19/01/2026</t>
        </is>
      </c>
      <c r="B235" t="inlineStr">
        <is>
          <t>ACB</t>
        </is>
      </c>
      <c r="C235" t="n">
        <v>24200</v>
      </c>
      <c r="D235" t="n">
        <v>26090</v>
      </c>
      <c r="E235" t="n">
        <v>26388</v>
      </c>
    </row>
    <row r="236">
      <c r="A236" t="inlineStr">
        <is>
          <t>18/01/2026</t>
        </is>
      </c>
      <c r="B236" t="inlineStr">
        <is>
          <t>ACB</t>
        </is>
      </c>
      <c r="C236" t="n">
        <v>24200</v>
      </c>
      <c r="D236" t="n">
        <v>26090</v>
      </c>
      <c r="E236" t="n">
        <v>26387</v>
      </c>
    </row>
    <row r="237">
      <c r="A237" t="inlineStr">
        <is>
          <t>17/01/2026</t>
        </is>
      </c>
      <c r="B237" t="inlineStr">
        <is>
          <t>ACB</t>
        </is>
      </c>
      <c r="C237" t="n">
        <v>24200</v>
      </c>
      <c r="D237" t="n">
        <v>26090</v>
      </c>
      <c r="E237" t="n">
        <v>26387</v>
      </c>
    </row>
    <row r="238">
      <c r="A238" t="inlineStr">
        <is>
          <t>16/01/2026</t>
        </is>
      </c>
      <c r="B238" t="inlineStr">
        <is>
          <t>ACB</t>
        </is>
      </c>
      <c r="C238" t="n">
        <v>24200</v>
      </c>
      <c r="D238" t="n">
        <v>26090</v>
      </c>
      <c r="E238" t="n">
        <v>26387</v>
      </c>
    </row>
    <row r="239">
      <c r="A239" t="inlineStr">
        <is>
          <t>15/01/2026</t>
        </is>
      </c>
      <c r="B239" t="inlineStr">
        <is>
          <t>ACB</t>
        </is>
      </c>
      <c r="C239" t="n">
        <v>24200</v>
      </c>
      <c r="D239" t="n">
        <v>26090</v>
      </c>
      <c r="E239" t="n">
        <v>26391</v>
      </c>
    </row>
    <row r="240">
      <c r="A240" t="inlineStr">
        <is>
          <t>14/01/2026</t>
        </is>
      </c>
      <c r="B240" t="inlineStr">
        <is>
          <t>ACB</t>
        </is>
      </c>
      <c r="C240" t="n">
        <v>24200</v>
      </c>
      <c r="D240" t="n">
        <v>26100</v>
      </c>
      <c r="E240" t="n">
        <v>26391</v>
      </c>
    </row>
    <row r="241">
      <c r="A241" t="inlineStr">
        <is>
          <t>13/01/2026</t>
        </is>
      </c>
      <c r="B241" t="inlineStr">
        <is>
          <t>ACB</t>
        </is>
      </c>
      <c r="C241" t="n">
        <v>24200</v>
      </c>
      <c r="D241" t="n">
        <v>26100</v>
      </c>
      <c r="E241" t="n">
        <v>26385</v>
      </c>
    </row>
    <row r="242">
      <c r="A242" t="inlineStr">
        <is>
          <t>12/01/2026</t>
        </is>
      </c>
      <c r="B242" t="inlineStr">
        <is>
          <t>ACB</t>
        </is>
      </c>
      <c r="C242" t="n">
        <v>24200</v>
      </c>
      <c r="D242" t="n">
        <v>26090</v>
      </c>
      <c r="E242" t="n">
        <v>26385</v>
      </c>
    </row>
    <row r="243">
      <c r="A243" t="inlineStr">
        <is>
          <t>11/01/2026</t>
        </is>
      </c>
      <c r="B243" t="inlineStr">
        <is>
          <t>ACB</t>
        </is>
      </c>
      <c r="C243" t="n">
        <v>24200</v>
      </c>
      <c r="D243" t="n">
        <v>26090</v>
      </c>
      <c r="E243" t="n">
        <v>26387</v>
      </c>
    </row>
    <row r="244">
      <c r="A244" t="inlineStr">
        <is>
          <t>10/01/2026</t>
        </is>
      </c>
      <c r="B244" t="inlineStr">
        <is>
          <t>ACB</t>
        </is>
      </c>
      <c r="C244" t="n">
        <v>24200</v>
      </c>
      <c r="D244" t="n">
        <v>26090</v>
      </c>
      <c r="E244" t="n">
        <v>26387</v>
      </c>
    </row>
    <row r="245">
      <c r="A245" t="inlineStr">
        <is>
          <t>09/01/2026</t>
        </is>
      </c>
      <c r="B245" t="inlineStr">
        <is>
          <t>ACB</t>
        </is>
      </c>
      <c r="C245" t="n">
        <v>24200</v>
      </c>
      <c r="D245" t="n">
        <v>26090</v>
      </c>
      <c r="E245" t="n">
        <v>26383</v>
      </c>
    </row>
    <row r="246">
      <c r="A246" t="inlineStr">
        <is>
          <t>08/01/2026</t>
        </is>
      </c>
      <c r="B246" t="inlineStr">
        <is>
          <t>ACB</t>
        </is>
      </c>
      <c r="C246" t="n">
        <v>24200</v>
      </c>
      <c r="D246" t="n">
        <v>26090</v>
      </c>
      <c r="E246" t="n">
        <v>26381</v>
      </c>
    </row>
    <row r="247">
      <c r="A247" t="inlineStr">
        <is>
          <t>07/01/2026</t>
        </is>
      </c>
      <c r="B247" t="inlineStr">
        <is>
          <t>ACB</t>
        </is>
      </c>
      <c r="C247" t="n">
        <v>24200</v>
      </c>
      <c r="D247" t="n">
        <v>26100</v>
      </c>
      <c r="E247" t="n">
        <v>26378</v>
      </c>
    </row>
    <row r="248">
      <c r="A248" t="inlineStr">
        <is>
          <t>06/01/2026</t>
        </is>
      </c>
      <c r="B248" t="inlineStr">
        <is>
          <t>ACB</t>
        </is>
      </c>
      <c r="C248" t="n">
        <v>24200</v>
      </c>
      <c r="D248" t="n">
        <v>26100</v>
      </c>
      <c r="E248" t="n">
        <v>26378</v>
      </c>
    </row>
    <row r="249">
      <c r="A249" t="inlineStr">
        <is>
          <t>05/01/2026</t>
        </is>
      </c>
      <c r="B249" t="inlineStr">
        <is>
          <t>ACB</t>
        </is>
      </c>
      <c r="C249" t="n">
        <v>24200</v>
      </c>
      <c r="D249" t="n">
        <v>26100</v>
      </c>
      <c r="E249" t="n">
        <v>26380</v>
      </c>
    </row>
    <row r="250">
      <c r="A250" t="inlineStr">
        <is>
          <t>04/01/2026</t>
        </is>
      </c>
      <c r="B250" t="inlineStr">
        <is>
          <t>ACB</t>
        </is>
      </c>
      <c r="C250" t="n">
        <v>24200</v>
      </c>
      <c r="D250" t="n">
        <v>26110</v>
      </c>
      <c r="E250" t="n">
        <v>26377</v>
      </c>
    </row>
    <row r="251">
      <c r="A251" t="inlineStr">
        <is>
          <t>03/01/2026</t>
        </is>
      </c>
      <c r="B251" t="inlineStr">
        <is>
          <t>ACB</t>
        </is>
      </c>
      <c r="C251" t="n">
        <v>24200</v>
      </c>
      <c r="D251" t="n">
        <v>26110</v>
      </c>
      <c r="E251" t="n">
        <v>26377</v>
      </c>
    </row>
    <row r="252">
      <c r="A252" t="inlineStr">
        <is>
          <t>02/01/2026</t>
        </is>
      </c>
      <c r="B252" t="inlineStr">
        <is>
          <t>ACB</t>
        </is>
      </c>
      <c r="C252" t="n">
        <v>24200</v>
      </c>
      <c r="D252" t="n">
        <v>26110</v>
      </c>
      <c r="E252" t="n">
        <v>26377</v>
      </c>
    </row>
    <row r="253">
      <c r="A253" t="inlineStr">
        <is>
          <t>01/01/2026</t>
        </is>
      </c>
      <c r="B253" t="inlineStr">
        <is>
          <t>ACB</t>
        </is>
      </c>
      <c r="C253" t="n">
        <v>24200</v>
      </c>
      <c r="D253" t="n">
        <v>26110</v>
      </c>
      <c r="E253" t="n">
        <v>26377</v>
      </c>
    </row>
    <row r="254">
      <c r="A254" t="inlineStr">
        <is>
          <t>10/09/2026</t>
        </is>
      </c>
      <c r="B254" t="inlineStr">
        <is>
          <t>ACB</t>
        </is>
      </c>
      <c r="C254" t="n">
        <v>24700</v>
      </c>
      <c r="D254" t="n">
        <v>25730</v>
      </c>
      <c r="E254" t="n">
        <v>26090</v>
      </c>
    </row>
    <row r="255">
      <c r="A255" t="inlineStr">
        <is>
          <t>11/09/2026</t>
        </is>
      </c>
      <c r="B255" t="inlineStr">
        <is>
          <t>ACB</t>
        </is>
      </c>
      <c r="C255" t="n">
        <v>24700</v>
      </c>
      <c r="D255" t="n">
        <v>25730</v>
      </c>
      <c r="E255" t="n">
        <v>26090</v>
      </c>
    </row>
    <row r="256">
      <c r="A256" t="inlineStr">
        <is>
          <t>12/09/2026</t>
        </is>
      </c>
      <c r="B256" t="inlineStr">
        <is>
          <t>ACB</t>
        </is>
      </c>
      <c r="C256" t="n">
        <v>24700</v>
      </c>
      <c r="D256" t="n">
        <v>25730</v>
      </c>
      <c r="E256" t="n">
        <v>26090</v>
      </c>
    </row>
    <row r="257">
      <c r="A257" t="inlineStr">
        <is>
          <t>13/09/2026</t>
        </is>
      </c>
      <c r="B257" t="inlineStr">
        <is>
          <t>ACB</t>
        </is>
      </c>
      <c r="C257" t="n">
        <v>24700</v>
      </c>
      <c r="D257" t="n">
        <v>25730</v>
      </c>
      <c r="E257" t="n">
        <v>26090</v>
      </c>
    </row>
    <row r="258">
      <c r="A258" t="inlineStr">
        <is>
          <t>14/09/2026</t>
        </is>
      </c>
      <c r="B258" t="inlineStr">
        <is>
          <t>ACB</t>
        </is>
      </c>
      <c r="C258" t="n">
        <v>24700</v>
      </c>
      <c r="D258" t="n">
        <v>25800</v>
      </c>
      <c r="E258" t="n">
        <v>26160</v>
      </c>
    </row>
    <row r="259">
      <c r="A259" t="inlineStr">
        <is>
          <t>15/09/2026</t>
        </is>
      </c>
      <c r="B259" t="inlineStr">
        <is>
          <t>ACB</t>
        </is>
      </c>
      <c r="C259" t="n">
        <v>24700</v>
      </c>
      <c r="D259" t="n">
        <v>25770</v>
      </c>
      <c r="E259" t="n">
        <v>26130</v>
      </c>
    </row>
    <row r="260">
      <c r="A260" t="inlineStr">
        <is>
          <t>16/09/2026</t>
        </is>
      </c>
      <c r="B260" t="inlineStr">
        <is>
          <t>ACB</t>
        </is>
      </c>
      <c r="C260" t="n">
        <v>24700</v>
      </c>
      <c r="D260" t="n">
        <v>25810</v>
      </c>
      <c r="E260" t="n">
        <v>26170</v>
      </c>
    </row>
    <row r="261">
      <c r="A261" t="inlineStr">
        <is>
          <t>17/09/2026</t>
        </is>
      </c>
      <c r="B261" t="inlineStr">
        <is>
          <t>ACB</t>
        </is>
      </c>
      <c r="C261" t="n">
        <v>24700</v>
      </c>
      <c r="D261" t="n">
        <v>25830</v>
      </c>
      <c r="E261" t="n">
        <v>26190</v>
      </c>
    </row>
    <row r="262">
      <c r="A262" t="inlineStr">
        <is>
          <t>18/09/2026</t>
        </is>
      </c>
      <c r="B262" t="inlineStr">
        <is>
          <t>ACB</t>
        </is>
      </c>
      <c r="C262" t="n">
        <v>24700</v>
      </c>
      <c r="D262" t="n">
        <v>25830</v>
      </c>
      <c r="E262" t="n">
        <v>26190</v>
      </c>
    </row>
    <row r="263">
      <c r="A263" t="inlineStr">
        <is>
          <t>09/09/2026</t>
        </is>
      </c>
      <c r="B263" t="inlineStr">
        <is>
          <t>Agribank</t>
        </is>
      </c>
      <c r="C263" t="n">
        <v>25750</v>
      </c>
      <c r="D263" t="n">
        <v>25780</v>
      </c>
      <c r="E263" t="n">
        <v>26160</v>
      </c>
    </row>
    <row r="264">
      <c r="A264" t="inlineStr">
        <is>
          <t>08/09/2026</t>
        </is>
      </c>
      <c r="B264" t="inlineStr">
        <is>
          <t>Agribank</t>
        </is>
      </c>
      <c r="C264" t="n">
        <v>25750</v>
      </c>
      <c r="D264" t="n">
        <v>25780</v>
      </c>
      <c r="E264" t="n">
        <v>26160</v>
      </c>
    </row>
    <row r="265">
      <c r="A265" t="inlineStr">
        <is>
          <t>07/09/2026</t>
        </is>
      </c>
      <c r="B265" t="inlineStr">
        <is>
          <t>Agribank</t>
        </is>
      </c>
      <c r="C265" t="n">
        <v>25840</v>
      </c>
      <c r="D265" t="n">
        <v>25870</v>
      </c>
      <c r="E265" t="n">
        <v>26250</v>
      </c>
    </row>
    <row r="266">
      <c r="A266" t="inlineStr">
        <is>
          <t>06/09/2026</t>
        </is>
      </c>
      <c r="B266" t="inlineStr">
        <is>
          <t>Agribank</t>
        </is>
      </c>
      <c r="C266" t="n">
        <v>25875</v>
      </c>
      <c r="D266" t="n">
        <v>25905</v>
      </c>
      <c r="E266" t="n">
        <v>26285</v>
      </c>
    </row>
    <row r="267">
      <c r="A267" t="inlineStr">
        <is>
          <t>05/09/2026</t>
        </is>
      </c>
      <c r="B267" t="inlineStr">
        <is>
          <t>Agribank</t>
        </is>
      </c>
      <c r="C267" t="n">
        <v>25875</v>
      </c>
      <c r="D267" t="n">
        <v>25905</v>
      </c>
      <c r="E267" t="n">
        <v>26285</v>
      </c>
    </row>
    <row r="268">
      <c r="A268" t="inlineStr">
        <is>
          <t>04/09/2026</t>
        </is>
      </c>
      <c r="B268" t="inlineStr">
        <is>
          <t>Agribank</t>
        </is>
      </c>
      <c r="C268" t="n">
        <v>25875</v>
      </c>
      <c r="D268" t="n">
        <v>25905</v>
      </c>
      <c r="E268" t="n">
        <v>26285</v>
      </c>
    </row>
    <row r="269">
      <c r="A269" t="inlineStr">
        <is>
          <t>03/09/2026</t>
        </is>
      </c>
      <c r="B269" t="inlineStr">
        <is>
          <t>Agribank</t>
        </is>
      </c>
      <c r="C269" t="n">
        <v>25860</v>
      </c>
      <c r="D269" t="n">
        <v>25890</v>
      </c>
      <c r="E269" t="n">
        <v>26270</v>
      </c>
    </row>
    <row r="270">
      <c r="A270" t="inlineStr">
        <is>
          <t>02/09/2026</t>
        </is>
      </c>
      <c r="B270" t="inlineStr">
        <is>
          <t>Agribank</t>
        </is>
      </c>
      <c r="C270" t="n">
        <v>25860</v>
      </c>
      <c r="D270" t="n">
        <v>25890</v>
      </c>
      <c r="E270" t="n">
        <v>26270</v>
      </c>
    </row>
    <row r="271">
      <c r="A271" t="inlineStr">
        <is>
          <t>01/09/2026</t>
        </is>
      </c>
      <c r="B271" t="inlineStr">
        <is>
          <t>Agribank</t>
        </is>
      </c>
      <c r="C271" t="n">
        <v>25860</v>
      </c>
      <c r="D271" t="n">
        <v>25890</v>
      </c>
      <c r="E271" t="n">
        <v>26270</v>
      </c>
    </row>
    <row r="272">
      <c r="A272" t="inlineStr">
        <is>
          <t>31/08/2026</t>
        </is>
      </c>
      <c r="B272" t="inlineStr">
        <is>
          <t>Agribank</t>
        </is>
      </c>
      <c r="C272" t="n">
        <v>25860</v>
      </c>
      <c r="D272" t="n">
        <v>25890</v>
      </c>
      <c r="E272" t="n">
        <v>26270</v>
      </c>
    </row>
    <row r="273">
      <c r="A273" t="inlineStr">
        <is>
          <t>30/08/2026</t>
        </is>
      </c>
      <c r="B273" t="inlineStr">
        <is>
          <t>Agribank</t>
        </is>
      </c>
      <c r="C273" t="n">
        <v>25860</v>
      </c>
      <c r="D273" t="n">
        <v>25890</v>
      </c>
      <c r="E273" t="n">
        <v>26270</v>
      </c>
    </row>
    <row r="274">
      <c r="A274" t="inlineStr">
        <is>
          <t>29/08/2026</t>
        </is>
      </c>
      <c r="B274" t="inlineStr">
        <is>
          <t>Agribank</t>
        </is>
      </c>
      <c r="C274" t="n">
        <v>25860</v>
      </c>
      <c r="D274" t="n">
        <v>25890</v>
      </c>
      <c r="E274" t="n">
        <v>26270</v>
      </c>
    </row>
    <row r="275">
      <c r="A275" t="inlineStr">
        <is>
          <t>28/08/2026</t>
        </is>
      </c>
      <c r="B275" t="inlineStr">
        <is>
          <t>Agribank</t>
        </is>
      </c>
      <c r="C275" t="n">
        <v>25860</v>
      </c>
      <c r="D275" t="n">
        <v>25890</v>
      </c>
      <c r="E275" t="n">
        <v>26270</v>
      </c>
    </row>
    <row r="276">
      <c r="A276" t="inlineStr">
        <is>
          <t>27/08/2026</t>
        </is>
      </c>
      <c r="B276" t="inlineStr">
        <is>
          <t>Agribank</t>
        </is>
      </c>
      <c r="C276" t="n">
        <v>25880</v>
      </c>
      <c r="D276" t="n">
        <v>25910</v>
      </c>
      <c r="E276" t="n">
        <v>26290</v>
      </c>
    </row>
    <row r="277">
      <c r="A277" t="inlineStr">
        <is>
          <t>26/08/2026</t>
        </is>
      </c>
      <c r="B277" t="inlineStr">
        <is>
          <t>Agribank</t>
        </is>
      </c>
      <c r="C277" t="n">
        <v>25860</v>
      </c>
      <c r="D277" t="n">
        <v>25890</v>
      </c>
      <c r="E277" t="n">
        <v>26270</v>
      </c>
    </row>
    <row r="278">
      <c r="A278" t="inlineStr">
        <is>
          <t>25/08/2026</t>
        </is>
      </c>
      <c r="B278" t="inlineStr">
        <is>
          <t>Agribank</t>
        </is>
      </c>
      <c r="C278" t="n">
        <v>25890</v>
      </c>
      <c r="D278" t="n">
        <v>25920</v>
      </c>
      <c r="E278" t="n">
        <v>26300</v>
      </c>
    </row>
    <row r="279">
      <c r="A279" t="inlineStr">
        <is>
          <t>24/08/2026</t>
        </is>
      </c>
      <c r="B279" t="inlineStr">
        <is>
          <t>Agribank</t>
        </is>
      </c>
      <c r="C279" t="n">
        <v>25920</v>
      </c>
      <c r="D279" t="n">
        <v>25950</v>
      </c>
      <c r="E279" t="n">
        <v>26330</v>
      </c>
    </row>
    <row r="280">
      <c r="A280" t="inlineStr">
        <is>
          <t>23/08/2026</t>
        </is>
      </c>
      <c r="B280" t="inlineStr">
        <is>
          <t>Agribank</t>
        </is>
      </c>
      <c r="C280" t="n">
        <v>25900</v>
      </c>
      <c r="D280" t="n">
        <v>25930</v>
      </c>
      <c r="E280" t="n">
        <v>26310</v>
      </c>
    </row>
    <row r="281">
      <c r="A281" t="inlineStr">
        <is>
          <t>22/08/2026</t>
        </is>
      </c>
      <c r="B281" t="inlineStr">
        <is>
          <t>Agribank</t>
        </is>
      </c>
      <c r="C281" t="n">
        <v>25900</v>
      </c>
      <c r="D281" t="n">
        <v>25930</v>
      </c>
      <c r="E281" t="n">
        <v>26310</v>
      </c>
    </row>
    <row r="282">
      <c r="A282" t="inlineStr">
        <is>
          <t>21/08/2026</t>
        </is>
      </c>
      <c r="B282" t="inlineStr">
        <is>
          <t>Agribank</t>
        </is>
      </c>
      <c r="C282" t="n">
        <v>25890</v>
      </c>
      <c r="D282" t="n">
        <v>25920</v>
      </c>
      <c r="E282" t="n">
        <v>26300</v>
      </c>
    </row>
    <row r="283">
      <c r="A283" t="inlineStr">
        <is>
          <t>20/08/2026</t>
        </is>
      </c>
      <c r="B283" t="inlineStr">
        <is>
          <t>Agribank</t>
        </is>
      </c>
      <c r="C283" t="n">
        <v>25960</v>
      </c>
      <c r="D283" t="n">
        <v>25990</v>
      </c>
      <c r="E283" t="n">
        <v>26370</v>
      </c>
    </row>
    <row r="284">
      <c r="A284" t="inlineStr">
        <is>
          <t>19/08/2026</t>
        </is>
      </c>
      <c r="B284" t="inlineStr">
        <is>
          <t>Agribank</t>
        </is>
      </c>
      <c r="C284" t="n">
        <v>25960</v>
      </c>
      <c r="D284" t="n">
        <v>25990</v>
      </c>
      <c r="E284" t="n">
        <v>26370</v>
      </c>
    </row>
    <row r="285">
      <c r="A285" t="inlineStr">
        <is>
          <t>18/08/2026</t>
        </is>
      </c>
      <c r="B285" t="inlineStr">
        <is>
          <t>Agribank</t>
        </is>
      </c>
      <c r="C285" t="n">
        <v>25970</v>
      </c>
      <c r="D285" t="n">
        <v>26000</v>
      </c>
      <c r="E285" t="n">
        <v>26380</v>
      </c>
    </row>
    <row r="286">
      <c r="A286" t="inlineStr">
        <is>
          <t>17/08/2026</t>
        </is>
      </c>
      <c r="B286" t="inlineStr">
        <is>
          <t>Agribank</t>
        </is>
      </c>
      <c r="C286" t="n">
        <v>25980</v>
      </c>
      <c r="D286" t="n">
        <v>26010</v>
      </c>
      <c r="E286" t="n">
        <v>26390</v>
      </c>
    </row>
    <row r="287">
      <c r="A287" t="inlineStr">
        <is>
          <t>16/08/2026</t>
        </is>
      </c>
      <c r="B287" t="inlineStr">
        <is>
          <t>Agribank</t>
        </is>
      </c>
      <c r="C287" t="n">
        <v>25860</v>
      </c>
      <c r="D287" t="n">
        <v>25890</v>
      </c>
      <c r="E287" t="n">
        <v>26270</v>
      </c>
    </row>
    <row r="288">
      <c r="A288" t="inlineStr">
        <is>
          <t>15/08/2026</t>
        </is>
      </c>
      <c r="B288" t="inlineStr">
        <is>
          <t>Agribank</t>
        </is>
      </c>
      <c r="C288" t="n">
        <v>25860</v>
      </c>
      <c r="D288" t="n">
        <v>25890</v>
      </c>
      <c r="E288" t="n">
        <v>26270</v>
      </c>
    </row>
    <row r="289">
      <c r="A289" t="inlineStr">
        <is>
          <t>14/08/2026</t>
        </is>
      </c>
      <c r="B289" t="inlineStr">
        <is>
          <t>Agribank</t>
        </is>
      </c>
      <c r="C289" t="n">
        <v>25860</v>
      </c>
      <c r="D289" t="n">
        <v>25890</v>
      </c>
      <c r="E289" t="n">
        <v>26270</v>
      </c>
    </row>
    <row r="290">
      <c r="A290" t="inlineStr">
        <is>
          <t>13/08/2026</t>
        </is>
      </c>
      <c r="B290" t="inlineStr">
        <is>
          <t>Agribank</t>
        </is>
      </c>
      <c r="C290" t="n">
        <v>25840</v>
      </c>
      <c r="D290" t="n">
        <v>25870</v>
      </c>
      <c r="E290" t="n">
        <v>26250</v>
      </c>
    </row>
    <row r="291">
      <c r="A291" t="inlineStr">
        <is>
          <t>12/08/2026</t>
        </is>
      </c>
      <c r="B291" t="inlineStr">
        <is>
          <t>Agribank</t>
        </is>
      </c>
      <c r="C291" t="n">
        <v>25860</v>
      </c>
      <c r="D291" t="n">
        <v>25900</v>
      </c>
      <c r="E291" t="n">
        <v>26280</v>
      </c>
    </row>
    <row r="292">
      <c r="A292" t="inlineStr">
        <is>
          <t>11/08/2026</t>
        </is>
      </c>
      <c r="B292" t="inlineStr">
        <is>
          <t>Agribank</t>
        </is>
      </c>
      <c r="C292" t="n">
        <v>25920</v>
      </c>
      <c r="D292" t="n">
        <v>25940</v>
      </c>
      <c r="E292" t="n">
        <v>26320</v>
      </c>
    </row>
    <row r="293">
      <c r="A293" t="inlineStr">
        <is>
          <t>10/08/2026</t>
        </is>
      </c>
      <c r="B293" t="inlineStr">
        <is>
          <t>Agribank</t>
        </is>
      </c>
      <c r="C293" t="n">
        <v>25930</v>
      </c>
      <c r="D293" t="n">
        <v>25940</v>
      </c>
      <c r="E293" t="n">
        <v>26320</v>
      </c>
    </row>
    <row r="294">
      <c r="A294" t="inlineStr">
        <is>
          <t>09/08/2026</t>
        </is>
      </c>
      <c r="B294" t="inlineStr">
        <is>
          <t>Agribank</t>
        </is>
      </c>
      <c r="C294" t="n">
        <v>26030</v>
      </c>
      <c r="D294" t="n">
        <v>26050</v>
      </c>
      <c r="E294" t="n">
        <v>26430</v>
      </c>
    </row>
    <row r="295">
      <c r="A295" t="inlineStr">
        <is>
          <t>08/08/2026</t>
        </is>
      </c>
      <c r="B295" t="inlineStr">
        <is>
          <t>Agribank</t>
        </is>
      </c>
      <c r="C295" t="n">
        <v>26030</v>
      </c>
      <c r="D295" t="n">
        <v>26050</v>
      </c>
      <c r="E295" t="n">
        <v>26430</v>
      </c>
    </row>
    <row r="296">
      <c r="A296" t="inlineStr">
        <is>
          <t>07/08/2026</t>
        </is>
      </c>
      <c r="B296" t="inlineStr">
        <is>
          <t>Agribank</t>
        </is>
      </c>
      <c r="C296" t="n">
        <v>26030</v>
      </c>
      <c r="D296" t="n">
        <v>26050</v>
      </c>
      <c r="E296" t="n">
        <v>26430</v>
      </c>
    </row>
    <row r="297">
      <c r="A297" t="inlineStr">
        <is>
          <t>06/08/2026</t>
        </is>
      </c>
      <c r="B297" t="inlineStr">
        <is>
          <t>Agribank</t>
        </is>
      </c>
      <c r="C297" t="n">
        <v>26025</v>
      </c>
      <c r="D297" t="n">
        <v>26045</v>
      </c>
      <c r="E297" t="n">
        <v>26425</v>
      </c>
    </row>
    <row r="298">
      <c r="A298" t="inlineStr">
        <is>
          <t>05/08/2026</t>
        </is>
      </c>
      <c r="B298" t="inlineStr">
        <is>
          <t>Agribank</t>
        </is>
      </c>
      <c r="C298" t="n">
        <v>26060</v>
      </c>
      <c r="D298" t="n">
        <v>26080</v>
      </c>
      <c r="E298" t="n">
        <v>26460</v>
      </c>
    </row>
    <row r="299">
      <c r="A299" t="inlineStr">
        <is>
          <t>04/08/2026</t>
        </is>
      </c>
      <c r="B299" t="inlineStr">
        <is>
          <t>Agribank</t>
        </is>
      </c>
      <c r="C299" t="n">
        <v>26080</v>
      </c>
      <c r="D299" t="n">
        <v>26100</v>
      </c>
      <c r="E299" t="n">
        <v>26480</v>
      </c>
    </row>
    <row r="300">
      <c r="A300" t="inlineStr">
        <is>
          <t>03/08/2026</t>
        </is>
      </c>
      <c r="B300" t="inlineStr">
        <is>
          <t>Agribank</t>
        </is>
      </c>
      <c r="C300" t="n">
        <v>26080</v>
      </c>
      <c r="D300" t="n">
        <v>26100</v>
      </c>
      <c r="E300" t="n">
        <v>26480</v>
      </c>
    </row>
    <row r="301">
      <c r="A301" t="inlineStr">
        <is>
          <t>02/08/2026</t>
        </is>
      </c>
      <c r="B301" t="inlineStr">
        <is>
          <t>Agribank</t>
        </is>
      </c>
      <c r="C301" t="n">
        <v>26090</v>
      </c>
      <c r="D301" t="n">
        <v>26110</v>
      </c>
      <c r="E301" t="n">
        <v>26490</v>
      </c>
    </row>
    <row r="302">
      <c r="A302" t="inlineStr">
        <is>
          <t>01/08/2026</t>
        </is>
      </c>
      <c r="B302" t="inlineStr">
        <is>
          <t>Agribank</t>
        </is>
      </c>
      <c r="C302" t="n">
        <v>26090</v>
      </c>
      <c r="D302" t="n">
        <v>26110</v>
      </c>
      <c r="E302" t="n">
        <v>26490</v>
      </c>
    </row>
    <row r="303">
      <c r="A303" t="inlineStr">
        <is>
          <t>31/07/2026</t>
        </is>
      </c>
      <c r="B303" t="inlineStr">
        <is>
          <t>Agribank</t>
        </is>
      </c>
      <c r="C303" t="n">
        <v>26090</v>
      </c>
      <c r="D303" t="n">
        <v>26110</v>
      </c>
      <c r="E303" t="n">
        <v>26490</v>
      </c>
    </row>
    <row r="304">
      <c r="A304" t="inlineStr">
        <is>
          <t>30/07/2026</t>
        </is>
      </c>
      <c r="B304" t="inlineStr">
        <is>
          <t>Agribank</t>
        </is>
      </c>
      <c r="C304" t="n">
        <v>26110</v>
      </c>
      <c r="D304" t="n">
        <v>26130</v>
      </c>
      <c r="E304" t="n">
        <v>26510</v>
      </c>
    </row>
    <row r="305">
      <c r="A305" t="inlineStr">
        <is>
          <t>29/07/2026</t>
        </is>
      </c>
      <c r="B305" t="inlineStr">
        <is>
          <t>Agribank</t>
        </is>
      </c>
      <c r="C305" t="n">
        <v>26125</v>
      </c>
      <c r="D305" t="n">
        <v>26145</v>
      </c>
      <c r="E305" t="n">
        <v>26525</v>
      </c>
    </row>
    <row r="306">
      <c r="A306" t="inlineStr">
        <is>
          <t>28/07/2026</t>
        </is>
      </c>
      <c r="B306" t="inlineStr">
        <is>
          <t>Agribank</t>
        </is>
      </c>
      <c r="C306" t="n">
        <v>26120</v>
      </c>
      <c r="D306" t="n">
        <v>26135</v>
      </c>
      <c r="E306" t="n">
        <v>26515</v>
      </c>
    </row>
    <row r="307">
      <c r="A307" t="inlineStr">
        <is>
          <t>27/07/2026</t>
        </is>
      </c>
      <c r="B307" t="inlineStr">
        <is>
          <t>Agribank</t>
        </is>
      </c>
      <c r="C307" t="n">
        <v>26120</v>
      </c>
      <c r="D307" t="n">
        <v>26140</v>
      </c>
      <c r="E307" t="n">
        <v>26520</v>
      </c>
    </row>
    <row r="308">
      <c r="A308" t="inlineStr">
        <is>
          <t>26/07/2026</t>
        </is>
      </c>
      <c r="B308" t="inlineStr">
        <is>
          <t>Agribank</t>
        </is>
      </c>
      <c r="C308" t="n">
        <v>26110</v>
      </c>
      <c r="D308" t="n">
        <v>26130</v>
      </c>
      <c r="E308" t="n">
        <v>26510</v>
      </c>
    </row>
    <row r="309">
      <c r="A309" t="inlineStr">
        <is>
          <t>25/07/2026</t>
        </is>
      </c>
      <c r="B309" t="inlineStr">
        <is>
          <t>Agribank</t>
        </is>
      </c>
      <c r="C309" t="n">
        <v>26110</v>
      </c>
      <c r="D309" t="n">
        <v>26130</v>
      </c>
      <c r="E309" t="n">
        <v>26510</v>
      </c>
    </row>
    <row r="310">
      <c r="A310" t="inlineStr">
        <is>
          <t>24/07/2026</t>
        </is>
      </c>
      <c r="B310" t="inlineStr">
        <is>
          <t>Agribank</t>
        </is>
      </c>
      <c r="C310" t="n">
        <v>26110</v>
      </c>
      <c r="D310" t="n">
        <v>26130</v>
      </c>
      <c r="E310" t="n">
        <v>26510</v>
      </c>
    </row>
    <row r="311">
      <c r="A311" t="inlineStr">
        <is>
          <t>23/07/2026</t>
        </is>
      </c>
      <c r="B311" t="inlineStr">
        <is>
          <t>Agribank</t>
        </is>
      </c>
      <c r="C311" t="n">
        <v>26100</v>
      </c>
      <c r="D311" t="n">
        <v>26120</v>
      </c>
      <c r="E311" t="n">
        <v>26500</v>
      </c>
    </row>
    <row r="312">
      <c r="A312" t="inlineStr">
        <is>
          <t>22/07/2026</t>
        </is>
      </c>
      <c r="B312" t="inlineStr">
        <is>
          <t>Agribank</t>
        </is>
      </c>
      <c r="C312" t="n">
        <v>26110</v>
      </c>
      <c r="D312" t="n">
        <v>26130</v>
      </c>
      <c r="E312" t="n">
        <v>26510</v>
      </c>
    </row>
    <row r="313">
      <c r="A313" t="inlineStr">
        <is>
          <t>21/07/2026</t>
        </is>
      </c>
      <c r="B313" t="inlineStr">
        <is>
          <t>Agribank</t>
        </is>
      </c>
      <c r="C313" t="n">
        <v>26090</v>
      </c>
      <c r="D313" t="n">
        <v>26110</v>
      </c>
      <c r="E313" t="n">
        <v>26490</v>
      </c>
    </row>
    <row r="314">
      <c r="A314" t="inlineStr">
        <is>
          <t>20/07/2026</t>
        </is>
      </c>
      <c r="B314" t="inlineStr">
        <is>
          <t>Agribank</t>
        </is>
      </c>
      <c r="C314" t="n">
        <v>26090</v>
      </c>
      <c r="D314" t="n">
        <v>26110</v>
      </c>
      <c r="E314" t="n">
        <v>26490</v>
      </c>
    </row>
    <row r="315">
      <c r="A315" t="inlineStr">
        <is>
          <t>19/07/2026</t>
        </is>
      </c>
      <c r="B315" t="inlineStr">
        <is>
          <t>Agribank</t>
        </is>
      </c>
      <c r="C315" t="n">
        <v>26040</v>
      </c>
      <c r="D315" t="n">
        <v>26060</v>
      </c>
      <c r="E315" t="n">
        <v>26440</v>
      </c>
    </row>
    <row r="316">
      <c r="A316" t="inlineStr">
        <is>
          <t>18/07/2026</t>
        </is>
      </c>
      <c r="B316" t="inlineStr">
        <is>
          <t>Agribank</t>
        </is>
      </c>
      <c r="C316" t="n">
        <v>26040</v>
      </c>
      <c r="D316" t="n">
        <v>26060</v>
      </c>
      <c r="E316" t="n">
        <v>26440</v>
      </c>
    </row>
    <row r="317">
      <c r="A317" t="inlineStr">
        <is>
          <t>17/07/2026</t>
        </is>
      </c>
      <c r="B317" t="inlineStr">
        <is>
          <t>Agribank</t>
        </is>
      </c>
      <c r="C317" t="n">
        <v>26040</v>
      </c>
      <c r="D317" t="n">
        <v>26060</v>
      </c>
      <c r="E317" t="n">
        <v>26440</v>
      </c>
    </row>
    <row r="318">
      <c r="A318" t="inlineStr">
        <is>
          <t>16/07/2026</t>
        </is>
      </c>
      <c r="B318" t="inlineStr">
        <is>
          <t>Agribank</t>
        </is>
      </c>
      <c r="C318" t="n">
        <v>26050</v>
      </c>
      <c r="D318" t="n">
        <v>26070</v>
      </c>
      <c r="E318" t="n">
        <v>26450</v>
      </c>
    </row>
    <row r="319">
      <c r="A319" t="inlineStr">
        <is>
          <t>15/07/2026</t>
        </is>
      </c>
      <c r="B319" t="inlineStr">
        <is>
          <t>Agribank</t>
        </is>
      </c>
      <c r="C319" t="n">
        <v>26050</v>
      </c>
      <c r="D319" t="n">
        <v>26070</v>
      </c>
      <c r="E319" t="n">
        <v>26450</v>
      </c>
    </row>
    <row r="320">
      <c r="A320" t="inlineStr">
        <is>
          <t>14/07/2026</t>
        </is>
      </c>
      <c r="B320" t="inlineStr">
        <is>
          <t>Agribank</t>
        </is>
      </c>
      <c r="C320" t="n">
        <v>26050</v>
      </c>
      <c r="D320" t="n">
        <v>26070</v>
      </c>
      <c r="E320" t="n">
        <v>26450</v>
      </c>
    </row>
    <row r="321">
      <c r="A321" t="inlineStr">
        <is>
          <t>13/07/2026</t>
        </is>
      </c>
      <c r="B321" t="inlineStr">
        <is>
          <t>Agribank</t>
        </is>
      </c>
      <c r="C321" t="n">
        <v>26050</v>
      </c>
      <c r="D321" t="n">
        <v>26080</v>
      </c>
      <c r="E321" t="n">
        <v>26460</v>
      </c>
    </row>
    <row r="322">
      <c r="A322" t="inlineStr">
        <is>
          <t>12/07/2026</t>
        </is>
      </c>
      <c r="B322" t="inlineStr">
        <is>
          <t>Agribank</t>
        </is>
      </c>
      <c r="C322" t="n">
        <v>26084</v>
      </c>
      <c r="D322" t="n">
        <v>26104</v>
      </c>
      <c r="E322" t="n">
        <v>26474</v>
      </c>
    </row>
    <row r="323">
      <c r="A323" t="inlineStr">
        <is>
          <t>11/07/2026</t>
        </is>
      </c>
      <c r="B323" t="inlineStr">
        <is>
          <t>Agribank</t>
        </is>
      </c>
      <c r="C323" t="n">
        <v>26084</v>
      </c>
      <c r="D323" t="n">
        <v>26104</v>
      </c>
      <c r="E323" t="n">
        <v>26474</v>
      </c>
    </row>
    <row r="324">
      <c r="A324" t="inlineStr">
        <is>
          <t>10/07/2026</t>
        </is>
      </c>
      <c r="B324" t="inlineStr">
        <is>
          <t>Agribank</t>
        </is>
      </c>
      <c r="C324" t="n">
        <v>26084</v>
      </c>
      <c r="D324" t="n">
        <v>26104</v>
      </c>
      <c r="E324" t="n">
        <v>26474</v>
      </c>
    </row>
    <row r="325">
      <c r="A325" t="inlineStr">
        <is>
          <t>09/07/2026</t>
        </is>
      </c>
      <c r="B325" t="inlineStr">
        <is>
          <t>Agribank</t>
        </is>
      </c>
      <c r="C325" t="n">
        <v>26091</v>
      </c>
      <c r="D325" t="n">
        <v>26111</v>
      </c>
      <c r="E325" t="n">
        <v>26471</v>
      </c>
    </row>
    <row r="326">
      <c r="A326" t="inlineStr">
        <is>
          <t>08/07/2026</t>
        </is>
      </c>
      <c r="B326" t="inlineStr">
        <is>
          <t>Agribank</t>
        </is>
      </c>
      <c r="C326" t="n">
        <v>26086</v>
      </c>
      <c r="D326" t="n">
        <v>26106</v>
      </c>
      <c r="E326" t="n">
        <v>26466</v>
      </c>
    </row>
    <row r="327">
      <c r="A327" t="inlineStr">
        <is>
          <t>07/07/2026</t>
        </is>
      </c>
      <c r="B327" t="inlineStr">
        <is>
          <t>Agribank</t>
        </is>
      </c>
      <c r="C327" t="n">
        <v>26082</v>
      </c>
      <c r="D327" t="n">
        <v>26102</v>
      </c>
      <c r="E327" t="n">
        <v>26462</v>
      </c>
    </row>
    <row r="328">
      <c r="A328" t="inlineStr">
        <is>
          <t>06/07/2026</t>
        </is>
      </c>
      <c r="B328" t="inlineStr">
        <is>
          <t>Agribank</t>
        </is>
      </c>
      <c r="C328" t="n">
        <v>26082</v>
      </c>
      <c r="D328" t="n">
        <v>26102</v>
      </c>
      <c r="E328" t="n">
        <v>26462</v>
      </c>
    </row>
    <row r="329">
      <c r="A329" t="inlineStr">
        <is>
          <t>05/07/2026</t>
        </is>
      </c>
      <c r="B329" t="inlineStr">
        <is>
          <t>Agribank</t>
        </is>
      </c>
      <c r="C329" t="n">
        <v>26083</v>
      </c>
      <c r="D329" t="n">
        <v>26103</v>
      </c>
      <c r="E329" t="n">
        <v>26463</v>
      </c>
    </row>
    <row r="330">
      <c r="A330" t="inlineStr">
        <is>
          <t>04/07/2026</t>
        </is>
      </c>
      <c r="B330" t="inlineStr">
        <is>
          <t>Agribank</t>
        </is>
      </c>
      <c r="C330" t="n">
        <v>26083</v>
      </c>
      <c r="D330" t="n">
        <v>26103</v>
      </c>
      <c r="E330" t="n">
        <v>26463</v>
      </c>
    </row>
    <row r="331">
      <c r="A331" t="inlineStr">
        <is>
          <t>03/07/2026</t>
        </is>
      </c>
      <c r="B331" t="inlineStr">
        <is>
          <t>Agribank</t>
        </is>
      </c>
      <c r="C331" t="n">
        <v>26083</v>
      </c>
      <c r="D331" t="n">
        <v>26103</v>
      </c>
      <c r="E331" t="n">
        <v>26463</v>
      </c>
    </row>
    <row r="332">
      <c r="A332" t="inlineStr">
        <is>
          <t>02/07/2026</t>
        </is>
      </c>
      <c r="B332" t="inlineStr">
        <is>
          <t>Agribank</t>
        </is>
      </c>
      <c r="C332" t="n">
        <v>26085</v>
      </c>
      <c r="D332" t="n">
        <v>26105</v>
      </c>
      <c r="E332" t="n">
        <v>26465</v>
      </c>
    </row>
    <row r="333">
      <c r="A333" t="inlineStr">
        <is>
          <t>01/07/2026</t>
        </is>
      </c>
      <c r="B333" t="inlineStr">
        <is>
          <t>Agribank</t>
        </is>
      </c>
      <c r="C333" t="n">
        <v>26106</v>
      </c>
      <c r="D333" t="n">
        <v>26126</v>
      </c>
      <c r="E333" t="n">
        <v>26466</v>
      </c>
    </row>
    <row r="334">
      <c r="A334" t="inlineStr">
        <is>
          <t>30/06/2026</t>
        </is>
      </c>
      <c r="B334" t="inlineStr">
        <is>
          <t>Agribank</t>
        </is>
      </c>
      <c r="C334" t="n">
        <v>26106</v>
      </c>
      <c r="D334" t="n">
        <v>26126</v>
      </c>
      <c r="E334" t="n">
        <v>26466</v>
      </c>
    </row>
    <row r="335">
      <c r="A335" t="inlineStr">
        <is>
          <t>29/06/2026</t>
        </is>
      </c>
      <c r="B335" t="inlineStr">
        <is>
          <t>Agribank</t>
        </is>
      </c>
      <c r="C335" t="n">
        <v>26101</v>
      </c>
      <c r="D335" t="n">
        <v>26121</v>
      </c>
      <c r="E335" t="n">
        <v>26461</v>
      </c>
    </row>
    <row r="336">
      <c r="A336" t="inlineStr">
        <is>
          <t>28/06/2026</t>
        </is>
      </c>
      <c r="B336" t="inlineStr">
        <is>
          <t>Agribank</t>
        </is>
      </c>
      <c r="C336" t="n">
        <v>26114</v>
      </c>
      <c r="D336" t="n">
        <v>26134</v>
      </c>
      <c r="E336" t="n">
        <v>26454</v>
      </c>
    </row>
    <row r="337">
      <c r="A337" t="inlineStr">
        <is>
          <t>27/06/2026</t>
        </is>
      </c>
      <c r="B337" t="inlineStr">
        <is>
          <t>Agribank</t>
        </is>
      </c>
      <c r="C337" t="n">
        <v>26114</v>
      </c>
      <c r="D337" t="n">
        <v>26134</v>
      </c>
      <c r="E337" t="n">
        <v>26454</v>
      </c>
    </row>
    <row r="338">
      <c r="A338" t="inlineStr">
        <is>
          <t>26/06/2026</t>
        </is>
      </c>
      <c r="B338" t="inlineStr">
        <is>
          <t>Agribank</t>
        </is>
      </c>
      <c r="C338" t="n">
        <v>26114</v>
      </c>
      <c r="D338" t="n">
        <v>26134</v>
      </c>
      <c r="E338" t="n">
        <v>26454</v>
      </c>
    </row>
    <row r="339">
      <c r="A339" t="inlineStr">
        <is>
          <t>25/06/2026</t>
        </is>
      </c>
      <c r="B339" t="inlineStr">
        <is>
          <t>Agribank</t>
        </is>
      </c>
      <c r="C339" t="n">
        <v>26116</v>
      </c>
      <c r="D339" t="n">
        <v>26136</v>
      </c>
      <c r="E339" t="n">
        <v>26456</v>
      </c>
    </row>
    <row r="340">
      <c r="A340" t="inlineStr">
        <is>
          <t>24/06/2026</t>
        </is>
      </c>
      <c r="B340" t="inlineStr">
        <is>
          <t>Agribank</t>
        </is>
      </c>
      <c r="C340" t="n">
        <v>26111</v>
      </c>
      <c r="D340" t="n">
        <v>26131</v>
      </c>
      <c r="E340" t="n">
        <v>26451</v>
      </c>
    </row>
    <row r="341">
      <c r="A341" t="inlineStr">
        <is>
          <t>23/06/2026</t>
        </is>
      </c>
      <c r="B341" t="inlineStr">
        <is>
          <t>Agribank</t>
        </is>
      </c>
      <c r="C341" t="n">
        <v>26108</v>
      </c>
      <c r="D341" t="n">
        <v>26128</v>
      </c>
      <c r="E341" t="n">
        <v>26448</v>
      </c>
    </row>
    <row r="342">
      <c r="A342" t="inlineStr">
        <is>
          <t>22/06/2026</t>
        </is>
      </c>
      <c r="B342" t="inlineStr">
        <is>
          <t>Agribank</t>
        </is>
      </c>
      <c r="C342" t="n">
        <v>26102</v>
      </c>
      <c r="D342" t="n">
        <v>26122</v>
      </c>
      <c r="E342" t="n">
        <v>26442</v>
      </c>
    </row>
    <row r="343">
      <c r="A343" t="inlineStr">
        <is>
          <t>21/06/2026</t>
        </is>
      </c>
      <c r="B343" t="inlineStr">
        <is>
          <t>Agribank</t>
        </is>
      </c>
      <c r="C343" t="n">
        <v>26100</v>
      </c>
      <c r="D343" t="n">
        <v>26120</v>
      </c>
      <c r="E343" t="n">
        <v>26440</v>
      </c>
    </row>
    <row r="344">
      <c r="A344" t="inlineStr">
        <is>
          <t>20/06/2026</t>
        </is>
      </c>
      <c r="B344" t="inlineStr">
        <is>
          <t>Agribank</t>
        </is>
      </c>
      <c r="C344" t="n">
        <v>26100</v>
      </c>
      <c r="D344" t="n">
        <v>26120</v>
      </c>
      <c r="E344" t="n">
        <v>26440</v>
      </c>
    </row>
    <row r="345">
      <c r="A345" t="inlineStr">
        <is>
          <t>19/06/2026</t>
        </is>
      </c>
      <c r="B345" t="inlineStr">
        <is>
          <t>Agribank</t>
        </is>
      </c>
      <c r="C345" t="n">
        <v>26100</v>
      </c>
      <c r="D345" t="n">
        <v>26120</v>
      </c>
      <c r="E345" t="n">
        <v>26440</v>
      </c>
    </row>
    <row r="346">
      <c r="A346" t="inlineStr">
        <is>
          <t>18/06/2026</t>
        </is>
      </c>
      <c r="B346" t="inlineStr">
        <is>
          <t>Agribank</t>
        </is>
      </c>
      <c r="C346" t="n">
        <v>26091</v>
      </c>
      <c r="D346" t="n">
        <v>26111</v>
      </c>
      <c r="E346" t="n">
        <v>26431</v>
      </c>
    </row>
    <row r="347">
      <c r="A347" t="inlineStr">
        <is>
          <t>17/06/2026</t>
        </is>
      </c>
      <c r="B347" t="inlineStr">
        <is>
          <t>Agribank</t>
        </is>
      </c>
      <c r="C347" t="n">
        <v>26093</v>
      </c>
      <c r="D347" t="n">
        <v>26113</v>
      </c>
      <c r="E347" t="n">
        <v>26433</v>
      </c>
    </row>
    <row r="348">
      <c r="A348" t="inlineStr">
        <is>
          <t>16/06/2026</t>
        </is>
      </c>
      <c r="B348" t="inlineStr">
        <is>
          <t>Agribank</t>
        </is>
      </c>
      <c r="C348" t="n">
        <v>26083</v>
      </c>
      <c r="D348" t="n">
        <v>26103</v>
      </c>
      <c r="E348" t="n">
        <v>26423</v>
      </c>
    </row>
    <row r="349">
      <c r="A349" t="inlineStr">
        <is>
          <t>15/06/2026</t>
        </is>
      </c>
      <c r="B349" t="inlineStr">
        <is>
          <t>Agribank</t>
        </is>
      </c>
      <c r="C349" t="n">
        <v>26113</v>
      </c>
      <c r="D349" t="n">
        <v>26133</v>
      </c>
      <c r="E349" t="n">
        <v>26423</v>
      </c>
    </row>
    <row r="350">
      <c r="A350" t="inlineStr">
        <is>
          <t>14/06/2026</t>
        </is>
      </c>
      <c r="B350" t="inlineStr">
        <is>
          <t>Agribank</t>
        </is>
      </c>
      <c r="C350" t="n">
        <v>26122</v>
      </c>
      <c r="D350" t="n">
        <v>26142</v>
      </c>
      <c r="E350" t="n">
        <v>26412</v>
      </c>
    </row>
    <row r="351">
      <c r="A351" t="inlineStr">
        <is>
          <t>13/06/2026</t>
        </is>
      </c>
      <c r="B351" t="inlineStr">
        <is>
          <t>Agribank</t>
        </is>
      </c>
      <c r="C351" t="n">
        <v>26122</v>
      </c>
      <c r="D351" t="n">
        <v>26142</v>
      </c>
      <c r="E351" t="n">
        <v>26412</v>
      </c>
    </row>
    <row r="352">
      <c r="A352" t="inlineStr">
        <is>
          <t>12/06/2026</t>
        </is>
      </c>
      <c r="B352" t="inlineStr">
        <is>
          <t>Agribank</t>
        </is>
      </c>
      <c r="C352" t="n">
        <v>26122</v>
      </c>
      <c r="D352" t="n">
        <v>26142</v>
      </c>
      <c r="E352" t="n">
        <v>26412</v>
      </c>
    </row>
    <row r="353">
      <c r="A353" t="inlineStr">
        <is>
          <t>11/06/2026</t>
        </is>
      </c>
      <c r="B353" t="inlineStr">
        <is>
          <t>Agribank</t>
        </is>
      </c>
      <c r="C353" t="n">
        <v>26120</v>
      </c>
      <c r="D353" t="n">
        <v>26140</v>
      </c>
      <c r="E353" t="n">
        <v>26410</v>
      </c>
    </row>
    <row r="354">
      <c r="A354" t="inlineStr">
        <is>
          <t>10/06/2026</t>
        </is>
      </c>
      <c r="B354" t="inlineStr">
        <is>
          <t>Agribank</t>
        </is>
      </c>
      <c r="C354" t="n">
        <v>26120</v>
      </c>
      <c r="D354" t="n">
        <v>26140</v>
      </c>
      <c r="E354" t="n">
        <v>26410</v>
      </c>
    </row>
    <row r="355">
      <c r="A355" t="inlineStr">
        <is>
          <t>09/06/2026</t>
        </is>
      </c>
      <c r="B355" t="inlineStr">
        <is>
          <t>Agribank</t>
        </is>
      </c>
      <c r="C355" t="n">
        <v>26118</v>
      </c>
      <c r="D355" t="n">
        <v>26138</v>
      </c>
      <c r="E355" t="n">
        <v>26408</v>
      </c>
    </row>
    <row r="356">
      <c r="A356" t="inlineStr">
        <is>
          <t>08/06/2026</t>
        </is>
      </c>
      <c r="B356" t="inlineStr">
        <is>
          <t>Agribank</t>
        </is>
      </c>
      <c r="C356" t="n">
        <v>26117</v>
      </c>
      <c r="D356" t="n">
        <v>26137</v>
      </c>
      <c r="E356" t="n">
        <v>26407</v>
      </c>
    </row>
    <row r="357">
      <c r="A357" t="inlineStr">
        <is>
          <t>07/06/2026</t>
        </is>
      </c>
      <c r="B357" t="inlineStr">
        <is>
          <t>Agribank</t>
        </is>
      </c>
      <c r="C357" t="n">
        <v>26114</v>
      </c>
      <c r="D357" t="n">
        <v>26134</v>
      </c>
      <c r="E357" t="n">
        <v>26404</v>
      </c>
    </row>
    <row r="358">
      <c r="A358" t="inlineStr">
        <is>
          <t>06/06/2026</t>
        </is>
      </c>
      <c r="B358" t="inlineStr">
        <is>
          <t>Agribank</t>
        </is>
      </c>
      <c r="C358" t="n">
        <v>26114</v>
      </c>
      <c r="D358" t="n">
        <v>26134</v>
      </c>
      <c r="E358" t="n">
        <v>26404</v>
      </c>
    </row>
    <row r="359">
      <c r="A359" t="inlineStr">
        <is>
          <t>05/06/2026</t>
        </is>
      </c>
      <c r="B359" t="inlineStr">
        <is>
          <t>Agribank</t>
        </is>
      </c>
      <c r="C359" t="n">
        <v>26114</v>
      </c>
      <c r="D359" t="n">
        <v>26134</v>
      </c>
      <c r="E359" t="n">
        <v>26404</v>
      </c>
    </row>
    <row r="360">
      <c r="A360" t="inlineStr">
        <is>
          <t>04/06/2026</t>
        </is>
      </c>
      <c r="B360" t="inlineStr">
        <is>
          <t>Agribank</t>
        </is>
      </c>
      <c r="C360" t="n">
        <v>26112</v>
      </c>
      <c r="D360" t="n">
        <v>26132</v>
      </c>
      <c r="E360" t="n">
        <v>26402</v>
      </c>
    </row>
    <row r="361">
      <c r="A361" t="inlineStr">
        <is>
          <t>03/06/2026</t>
        </is>
      </c>
      <c r="B361" t="inlineStr">
        <is>
          <t>Agribank</t>
        </is>
      </c>
      <c r="C361" t="n">
        <v>26112</v>
      </c>
      <c r="D361" t="n">
        <v>26132</v>
      </c>
      <c r="E361" t="n">
        <v>26402</v>
      </c>
    </row>
    <row r="362">
      <c r="A362" t="inlineStr">
        <is>
          <t>02/06/2026</t>
        </is>
      </c>
      <c r="B362" t="inlineStr">
        <is>
          <t>Agribank</t>
        </is>
      </c>
      <c r="C362" t="n">
        <v>26108</v>
      </c>
      <c r="D362" t="n">
        <v>26128</v>
      </c>
      <c r="E362" t="n">
        <v>26398</v>
      </c>
    </row>
    <row r="363">
      <c r="A363" t="inlineStr">
        <is>
          <t>01/06/2026</t>
        </is>
      </c>
      <c r="B363" t="inlineStr">
        <is>
          <t>Agribank</t>
        </is>
      </c>
      <c r="C363" t="n">
        <v>26104</v>
      </c>
      <c r="D363" t="n">
        <v>26124</v>
      </c>
      <c r="E363" t="n">
        <v>26394</v>
      </c>
    </row>
    <row r="364">
      <c r="A364" t="inlineStr">
        <is>
          <t>31/05/2026</t>
        </is>
      </c>
      <c r="B364" t="inlineStr">
        <is>
          <t>Agribank</t>
        </is>
      </c>
      <c r="C364" t="n">
        <v>26115</v>
      </c>
      <c r="D364" t="n">
        <v>26135</v>
      </c>
      <c r="E364" t="n">
        <v>26395</v>
      </c>
    </row>
    <row r="365">
      <c r="A365" t="inlineStr">
        <is>
          <t>30/05/2026</t>
        </is>
      </c>
      <c r="B365" t="inlineStr">
        <is>
          <t>Agribank</t>
        </is>
      </c>
      <c r="C365" t="n">
        <v>26115</v>
      </c>
      <c r="D365" t="n">
        <v>26135</v>
      </c>
      <c r="E365" t="n">
        <v>26395</v>
      </c>
    </row>
    <row r="366">
      <c r="A366" t="inlineStr">
        <is>
          <t>29/05/2026</t>
        </is>
      </c>
      <c r="B366" t="inlineStr">
        <is>
          <t>Agribank</t>
        </is>
      </c>
      <c r="C366" t="n">
        <v>26115</v>
      </c>
      <c r="D366" t="n">
        <v>26135</v>
      </c>
      <c r="E366" t="n">
        <v>26395</v>
      </c>
    </row>
    <row r="367">
      <c r="A367" t="inlineStr">
        <is>
          <t>28/05/2026</t>
        </is>
      </c>
      <c r="B367" t="inlineStr">
        <is>
          <t>Agribank</t>
        </is>
      </c>
      <c r="C367" t="n">
        <v>26143</v>
      </c>
      <c r="D367" t="n">
        <v>26163</v>
      </c>
      <c r="E367" t="n">
        <v>26393</v>
      </c>
    </row>
    <row r="368">
      <c r="A368" t="inlineStr">
        <is>
          <t>27/05/2026</t>
        </is>
      </c>
      <c r="B368" t="inlineStr">
        <is>
          <t>Agribank</t>
        </is>
      </c>
      <c r="C368" t="n">
        <v>26143</v>
      </c>
      <c r="D368" t="n">
        <v>26163</v>
      </c>
      <c r="E368" t="n">
        <v>26393</v>
      </c>
    </row>
    <row r="369">
      <c r="A369" t="inlineStr">
        <is>
          <t>26/05/2026</t>
        </is>
      </c>
      <c r="B369" t="inlineStr">
        <is>
          <t>Agribank</t>
        </is>
      </c>
      <c r="C369" t="n">
        <v>26144</v>
      </c>
      <c r="D369" t="n">
        <v>26164</v>
      </c>
      <c r="E369" t="n">
        <v>26394</v>
      </c>
    </row>
    <row r="370">
      <c r="A370" t="inlineStr">
        <is>
          <t>25/05/2026</t>
        </is>
      </c>
      <c r="B370" t="inlineStr">
        <is>
          <t>Agribank</t>
        </is>
      </c>
      <c r="C370" t="n">
        <v>26142</v>
      </c>
      <c r="D370" t="n">
        <v>26162</v>
      </c>
      <c r="E370" t="n">
        <v>26392</v>
      </c>
    </row>
    <row r="371">
      <c r="A371" t="inlineStr">
        <is>
          <t>24/05/2026</t>
        </is>
      </c>
      <c r="B371" t="inlineStr">
        <is>
          <t>Agribank</t>
        </is>
      </c>
      <c r="C371" t="n">
        <v>26140</v>
      </c>
      <c r="D371" t="n">
        <v>26160</v>
      </c>
      <c r="E371" t="n">
        <v>26390</v>
      </c>
    </row>
    <row r="372">
      <c r="A372" t="inlineStr">
        <is>
          <t>23/05/2026</t>
        </is>
      </c>
      <c r="B372" t="inlineStr">
        <is>
          <t>Agribank</t>
        </is>
      </c>
      <c r="C372" t="n">
        <v>26140</v>
      </c>
      <c r="D372" t="n">
        <v>26160</v>
      </c>
      <c r="E372" t="n">
        <v>26390</v>
      </c>
    </row>
    <row r="373">
      <c r="A373" t="inlineStr">
        <is>
          <t>22/05/2026</t>
        </is>
      </c>
      <c r="B373" t="inlineStr">
        <is>
          <t>Agribank</t>
        </is>
      </c>
      <c r="C373" t="n">
        <v>26140</v>
      </c>
      <c r="D373" t="n">
        <v>26160</v>
      </c>
      <c r="E373" t="n">
        <v>26390</v>
      </c>
    </row>
    <row r="374">
      <c r="A374" t="inlineStr">
        <is>
          <t>21/05/2026</t>
        </is>
      </c>
      <c r="B374" t="inlineStr">
        <is>
          <t>Agribank</t>
        </is>
      </c>
      <c r="C374" t="n">
        <v>26141</v>
      </c>
      <c r="D374" t="n">
        <v>26161</v>
      </c>
      <c r="E374" t="n">
        <v>26391</v>
      </c>
    </row>
    <row r="375">
      <c r="A375" t="inlineStr">
        <is>
          <t>20/05/2026</t>
        </is>
      </c>
      <c r="B375" t="inlineStr">
        <is>
          <t>Agribank</t>
        </is>
      </c>
      <c r="C375" t="n">
        <v>26131</v>
      </c>
      <c r="D375" t="n">
        <v>26151</v>
      </c>
      <c r="E375" t="n">
        <v>26391</v>
      </c>
    </row>
    <row r="376">
      <c r="A376" t="inlineStr">
        <is>
          <t>19/05/2026</t>
        </is>
      </c>
      <c r="B376" t="inlineStr">
        <is>
          <t>Agribank</t>
        </is>
      </c>
      <c r="C376" t="n">
        <v>26129</v>
      </c>
      <c r="D376" t="n">
        <v>26149</v>
      </c>
      <c r="E376" t="n">
        <v>26389</v>
      </c>
    </row>
    <row r="377">
      <c r="A377" t="inlineStr">
        <is>
          <t>18/05/2026</t>
        </is>
      </c>
      <c r="B377" t="inlineStr">
        <is>
          <t>Agribank</t>
        </is>
      </c>
      <c r="C377" t="n">
        <v>26127</v>
      </c>
      <c r="D377" t="n">
        <v>26147</v>
      </c>
      <c r="E377" t="n">
        <v>26387</v>
      </c>
    </row>
    <row r="378">
      <c r="A378" t="inlineStr">
        <is>
          <t>17/05/2026</t>
        </is>
      </c>
      <c r="B378" t="inlineStr">
        <is>
          <t>Agribank</t>
        </is>
      </c>
      <c r="C378" t="n">
        <v>26127</v>
      </c>
      <c r="D378" t="n">
        <v>26147</v>
      </c>
      <c r="E378" t="n">
        <v>26387</v>
      </c>
    </row>
    <row r="379">
      <c r="A379" t="inlineStr">
        <is>
          <t>16/05/2026</t>
        </is>
      </c>
      <c r="B379" t="inlineStr">
        <is>
          <t>Agribank</t>
        </is>
      </c>
      <c r="C379" t="n">
        <v>26127</v>
      </c>
      <c r="D379" t="n">
        <v>26147</v>
      </c>
      <c r="E379" t="n">
        <v>26387</v>
      </c>
    </row>
    <row r="380">
      <c r="A380" t="inlineStr">
        <is>
          <t>15/05/2026</t>
        </is>
      </c>
      <c r="B380" t="inlineStr">
        <is>
          <t>Agribank</t>
        </is>
      </c>
      <c r="C380" t="n">
        <v>26127</v>
      </c>
      <c r="D380" t="n">
        <v>26147</v>
      </c>
      <c r="E380" t="n">
        <v>26387</v>
      </c>
    </row>
    <row r="381">
      <c r="A381" t="inlineStr">
        <is>
          <t>14/05/2026</t>
        </is>
      </c>
      <c r="B381" t="inlineStr">
        <is>
          <t>Agribank</t>
        </is>
      </c>
      <c r="C381" t="n">
        <v>26122</v>
      </c>
      <c r="D381" t="n">
        <v>26142</v>
      </c>
      <c r="E381" t="n">
        <v>26382</v>
      </c>
    </row>
    <row r="382">
      <c r="A382" t="inlineStr">
        <is>
          <t>13/05/2026</t>
        </is>
      </c>
      <c r="B382" t="inlineStr">
        <is>
          <t>Agribank</t>
        </is>
      </c>
      <c r="C382" t="n">
        <v>26119</v>
      </c>
      <c r="D382" t="n">
        <v>26139</v>
      </c>
      <c r="E382" t="n">
        <v>26379</v>
      </c>
    </row>
    <row r="383">
      <c r="A383" t="inlineStr">
        <is>
          <t>12/05/2026</t>
        </is>
      </c>
      <c r="B383" t="inlineStr">
        <is>
          <t>Agribank</t>
        </is>
      </c>
      <c r="C383" t="n">
        <v>26119</v>
      </c>
      <c r="D383" t="n">
        <v>26139</v>
      </c>
      <c r="E383" t="n">
        <v>26379</v>
      </c>
    </row>
    <row r="384">
      <c r="A384" t="inlineStr">
        <is>
          <t>11/05/2026</t>
        </is>
      </c>
      <c r="B384" t="inlineStr">
        <is>
          <t>Agribank</t>
        </is>
      </c>
      <c r="C384" t="n">
        <v>26113</v>
      </c>
      <c r="D384" t="n">
        <v>26133</v>
      </c>
      <c r="E384" t="n">
        <v>26373</v>
      </c>
    </row>
    <row r="385">
      <c r="A385" t="inlineStr">
        <is>
          <t>10/05/2026</t>
        </is>
      </c>
      <c r="B385" t="inlineStr">
        <is>
          <t>Agribank</t>
        </is>
      </c>
      <c r="C385" t="n">
        <v>26107</v>
      </c>
      <c r="D385" t="n">
        <v>26127</v>
      </c>
      <c r="E385" t="n">
        <v>26367</v>
      </c>
    </row>
    <row r="386">
      <c r="A386" t="inlineStr">
        <is>
          <t>09/05/2026</t>
        </is>
      </c>
      <c r="B386" t="inlineStr">
        <is>
          <t>Agribank</t>
        </is>
      </c>
      <c r="C386" t="n">
        <v>26107</v>
      </c>
      <c r="D386" t="n">
        <v>26127</v>
      </c>
      <c r="E386" t="n">
        <v>26367</v>
      </c>
    </row>
    <row r="387">
      <c r="A387" t="inlineStr">
        <is>
          <t>08/05/2026</t>
        </is>
      </c>
      <c r="B387" t="inlineStr">
        <is>
          <t>Agribank</t>
        </is>
      </c>
      <c r="C387" t="n">
        <v>26107</v>
      </c>
      <c r="D387" t="n">
        <v>26127</v>
      </c>
      <c r="E387" t="n">
        <v>26367</v>
      </c>
    </row>
    <row r="388">
      <c r="A388" t="inlineStr">
        <is>
          <t>07/05/2026</t>
        </is>
      </c>
      <c r="B388" t="inlineStr">
        <is>
          <t>Agribank</t>
        </is>
      </c>
      <c r="C388" t="n">
        <v>26118</v>
      </c>
      <c r="D388" t="n">
        <v>26138</v>
      </c>
      <c r="E388" t="n">
        <v>26368</v>
      </c>
    </row>
    <row r="389">
      <c r="A389" t="inlineStr">
        <is>
          <t>06/05/2026</t>
        </is>
      </c>
      <c r="B389" t="inlineStr">
        <is>
          <t>Agribank</t>
        </is>
      </c>
      <c r="C389" t="n">
        <v>26118</v>
      </c>
      <c r="D389" t="n">
        <v>26138</v>
      </c>
      <c r="E389" t="n">
        <v>26368</v>
      </c>
    </row>
    <row r="390">
      <c r="A390" t="inlineStr">
        <is>
          <t>05/05/2026</t>
        </is>
      </c>
      <c r="B390" t="inlineStr">
        <is>
          <t>Agribank</t>
        </is>
      </c>
      <c r="C390" t="n">
        <v>26116</v>
      </c>
      <c r="D390" t="n">
        <v>26146</v>
      </c>
      <c r="E390" t="n">
        <v>26366</v>
      </c>
    </row>
    <row r="391">
      <c r="A391" t="inlineStr">
        <is>
          <t>04/05/2026</t>
        </is>
      </c>
      <c r="B391" t="inlineStr">
        <is>
          <t>Agribank</t>
        </is>
      </c>
      <c r="C391" t="n">
        <v>26117</v>
      </c>
      <c r="D391" t="n">
        <v>26147</v>
      </c>
      <c r="E391" t="n">
        <v>26367</v>
      </c>
    </row>
    <row r="392">
      <c r="A392" t="inlineStr">
        <is>
          <t>03/05/2026</t>
        </is>
      </c>
      <c r="B392" t="inlineStr">
        <is>
          <t>Agribank</t>
        </is>
      </c>
      <c r="C392" t="n">
        <v>26118</v>
      </c>
      <c r="D392" t="n">
        <v>26148</v>
      </c>
      <c r="E392" t="n">
        <v>26368</v>
      </c>
    </row>
    <row r="393">
      <c r="A393" t="inlineStr">
        <is>
          <t>02/05/2026</t>
        </is>
      </c>
      <c r="B393" t="inlineStr">
        <is>
          <t>Agribank</t>
        </is>
      </c>
      <c r="C393" t="n">
        <v>26118</v>
      </c>
      <c r="D393" t="n">
        <v>26148</v>
      </c>
      <c r="E393" t="n">
        <v>26368</v>
      </c>
    </row>
    <row r="394">
      <c r="A394" t="inlineStr">
        <is>
          <t>01/05/2026</t>
        </is>
      </c>
      <c r="B394" t="inlineStr">
        <is>
          <t>Agribank</t>
        </is>
      </c>
      <c r="C394" t="n">
        <v>26118</v>
      </c>
      <c r="D394" t="n">
        <v>26148</v>
      </c>
      <c r="E394" t="n">
        <v>26368</v>
      </c>
    </row>
    <row r="395">
      <c r="A395" t="inlineStr">
        <is>
          <t>30/04/2026</t>
        </is>
      </c>
      <c r="B395" t="inlineStr">
        <is>
          <t>Agribank</t>
        </is>
      </c>
      <c r="C395" t="n">
        <v>26118</v>
      </c>
      <c r="D395" t="n">
        <v>26148</v>
      </c>
      <c r="E395" t="n">
        <v>26368</v>
      </c>
    </row>
    <row r="396">
      <c r="A396" t="inlineStr">
        <is>
          <t>29/04/2026</t>
        </is>
      </c>
      <c r="B396" t="inlineStr">
        <is>
          <t>Agribank</t>
        </is>
      </c>
      <c r="C396" t="n">
        <v>26118</v>
      </c>
      <c r="D396" t="n">
        <v>26148</v>
      </c>
      <c r="E396" t="n">
        <v>26368</v>
      </c>
    </row>
    <row r="397">
      <c r="A397" t="inlineStr">
        <is>
          <t>28/04/2026</t>
        </is>
      </c>
      <c r="B397" t="inlineStr">
        <is>
          <t>Agribank</t>
        </is>
      </c>
      <c r="C397" t="n">
        <v>26116</v>
      </c>
      <c r="D397" t="n">
        <v>26146</v>
      </c>
      <c r="E397" t="n">
        <v>26366</v>
      </c>
    </row>
    <row r="398">
      <c r="A398" t="inlineStr">
        <is>
          <t>27/04/2026</t>
        </is>
      </c>
      <c r="B398" t="inlineStr">
        <is>
          <t>Agribank</t>
        </is>
      </c>
      <c r="C398" t="n">
        <v>26118</v>
      </c>
      <c r="D398" t="n">
        <v>26148</v>
      </c>
      <c r="E398" t="n">
        <v>26368</v>
      </c>
    </row>
    <row r="399">
      <c r="A399" t="inlineStr">
        <is>
          <t>26/04/2026</t>
        </is>
      </c>
      <c r="B399" t="inlineStr">
        <is>
          <t>Agribank</t>
        </is>
      </c>
      <c r="C399" t="n">
        <v>26118</v>
      </c>
      <c r="D399" t="n">
        <v>26148</v>
      </c>
      <c r="E399" t="n">
        <v>26368</v>
      </c>
    </row>
    <row r="400">
      <c r="A400" t="inlineStr">
        <is>
          <t>25/04/2026</t>
        </is>
      </c>
      <c r="B400" t="inlineStr">
        <is>
          <t>Agribank</t>
        </is>
      </c>
      <c r="C400" t="n">
        <v>26118</v>
      </c>
      <c r="D400" t="n">
        <v>26148</v>
      </c>
      <c r="E400" t="n">
        <v>26368</v>
      </c>
    </row>
    <row r="401">
      <c r="A401" t="inlineStr">
        <is>
          <t>24/04/2026</t>
        </is>
      </c>
      <c r="B401" t="inlineStr">
        <is>
          <t>Agribank</t>
        </is>
      </c>
      <c r="C401" t="n">
        <v>26118</v>
      </c>
      <c r="D401" t="n">
        <v>26148</v>
      </c>
      <c r="E401" t="n">
        <v>26368</v>
      </c>
    </row>
    <row r="402">
      <c r="A402" t="inlineStr">
        <is>
          <t>23/04/2026</t>
        </is>
      </c>
      <c r="B402" t="inlineStr">
        <is>
          <t>Agribank</t>
        </is>
      </c>
      <c r="C402" t="n">
        <v>26110</v>
      </c>
      <c r="D402" t="n">
        <v>26140</v>
      </c>
      <c r="E402" t="n">
        <v>26360</v>
      </c>
    </row>
    <row r="403">
      <c r="A403" t="inlineStr">
        <is>
          <t>22/04/2026</t>
        </is>
      </c>
      <c r="B403" t="inlineStr">
        <is>
          <t>Agribank</t>
        </is>
      </c>
      <c r="C403" t="n">
        <v>26105</v>
      </c>
      <c r="D403" t="n">
        <v>26135</v>
      </c>
      <c r="E403" t="n">
        <v>26355</v>
      </c>
    </row>
    <row r="404">
      <c r="A404" t="inlineStr">
        <is>
          <t>21/04/2026</t>
        </is>
      </c>
      <c r="B404" t="inlineStr">
        <is>
          <t>Agribank</t>
        </is>
      </c>
      <c r="C404" t="n">
        <v>26107</v>
      </c>
      <c r="D404" t="n">
        <v>26137</v>
      </c>
      <c r="E404" t="n">
        <v>26357</v>
      </c>
    </row>
    <row r="405">
      <c r="A405" t="inlineStr">
        <is>
          <t>20/04/2026</t>
        </is>
      </c>
      <c r="B405" t="inlineStr">
        <is>
          <t>Agribank</t>
        </is>
      </c>
      <c r="C405" t="n">
        <v>26108</v>
      </c>
      <c r="D405" t="n">
        <v>26138</v>
      </c>
      <c r="E405" t="n">
        <v>26358</v>
      </c>
    </row>
    <row r="406">
      <c r="A406" t="inlineStr">
        <is>
          <t>19/04/2026</t>
        </is>
      </c>
      <c r="B406" t="inlineStr">
        <is>
          <t>Agribank</t>
        </is>
      </c>
      <c r="C406" t="n">
        <v>26107</v>
      </c>
      <c r="D406" t="n">
        <v>26137</v>
      </c>
      <c r="E406" t="n">
        <v>26357</v>
      </c>
    </row>
    <row r="407">
      <c r="A407" t="inlineStr">
        <is>
          <t>18/04/2026</t>
        </is>
      </c>
      <c r="B407" t="inlineStr">
        <is>
          <t>Agribank</t>
        </is>
      </c>
      <c r="C407" t="n">
        <v>26107</v>
      </c>
      <c r="D407" t="n">
        <v>26137</v>
      </c>
      <c r="E407" t="n">
        <v>26357</v>
      </c>
    </row>
    <row r="408">
      <c r="A408" t="inlineStr">
        <is>
          <t>17/04/2026</t>
        </is>
      </c>
      <c r="B408" t="inlineStr">
        <is>
          <t>Agribank</t>
        </is>
      </c>
      <c r="C408" t="n">
        <v>26107</v>
      </c>
      <c r="D408" t="n">
        <v>26137</v>
      </c>
      <c r="E408" t="n">
        <v>26357</v>
      </c>
    </row>
    <row r="409">
      <c r="A409" t="inlineStr">
        <is>
          <t>16/04/2026</t>
        </is>
      </c>
      <c r="B409" t="inlineStr">
        <is>
          <t>Agribank</t>
        </is>
      </c>
      <c r="C409" t="n">
        <v>26107</v>
      </c>
      <c r="D409" t="n">
        <v>26137</v>
      </c>
      <c r="E409" t="n">
        <v>26357</v>
      </c>
    </row>
    <row r="410">
      <c r="A410" t="inlineStr">
        <is>
          <t>15/04/2026</t>
        </is>
      </c>
      <c r="B410" t="inlineStr">
        <is>
          <t>Agribank</t>
        </is>
      </c>
      <c r="C410" t="n">
        <v>26108</v>
      </c>
      <c r="D410" t="n">
        <v>26138</v>
      </c>
      <c r="E410" t="n">
        <v>26358</v>
      </c>
    </row>
    <row r="411">
      <c r="A411" t="inlineStr">
        <is>
          <t>14/04/2026</t>
        </is>
      </c>
      <c r="B411" t="inlineStr">
        <is>
          <t>Agribank</t>
        </is>
      </c>
      <c r="C411" t="n">
        <v>26111</v>
      </c>
      <c r="D411" t="n">
        <v>26141</v>
      </c>
      <c r="E411" t="n">
        <v>26361</v>
      </c>
    </row>
    <row r="412">
      <c r="A412" t="inlineStr">
        <is>
          <t>13/04/2026</t>
        </is>
      </c>
      <c r="B412" t="inlineStr">
        <is>
          <t>Agribank</t>
        </is>
      </c>
      <c r="C412" t="n">
        <v>26111</v>
      </c>
      <c r="D412" t="n">
        <v>26141</v>
      </c>
      <c r="E412" t="n">
        <v>26361</v>
      </c>
    </row>
    <row r="413">
      <c r="A413" t="inlineStr">
        <is>
          <t>12/04/2026</t>
        </is>
      </c>
      <c r="B413" t="inlineStr">
        <is>
          <t>Agribank</t>
        </is>
      </c>
      <c r="C413" t="n">
        <v>26110</v>
      </c>
      <c r="D413" t="n">
        <v>26140</v>
      </c>
      <c r="E413" t="n">
        <v>26360</v>
      </c>
    </row>
    <row r="414">
      <c r="A414" t="inlineStr">
        <is>
          <t>11/04/2026</t>
        </is>
      </c>
      <c r="B414" t="inlineStr">
        <is>
          <t>Agribank</t>
        </is>
      </c>
      <c r="C414" t="n">
        <v>26110</v>
      </c>
      <c r="D414" t="n">
        <v>26140</v>
      </c>
      <c r="E414" t="n">
        <v>26360</v>
      </c>
    </row>
    <row r="415">
      <c r="A415" t="inlineStr">
        <is>
          <t>10/04/2026</t>
        </is>
      </c>
      <c r="B415" t="inlineStr">
        <is>
          <t>Agribank</t>
        </is>
      </c>
      <c r="C415" t="n">
        <v>26110</v>
      </c>
      <c r="D415" t="n">
        <v>26140</v>
      </c>
      <c r="E415" t="n">
        <v>26360</v>
      </c>
    </row>
    <row r="416">
      <c r="A416" t="inlineStr">
        <is>
          <t>09/04/2026</t>
        </is>
      </c>
      <c r="B416" t="inlineStr">
        <is>
          <t>Agribank</t>
        </is>
      </c>
      <c r="C416" t="n">
        <v>26107</v>
      </c>
      <c r="D416" t="n">
        <v>26137</v>
      </c>
      <c r="E416" t="n">
        <v>26357</v>
      </c>
    </row>
    <row r="417">
      <c r="A417" t="inlineStr">
        <is>
          <t>08/04/2026</t>
        </is>
      </c>
      <c r="B417" t="inlineStr">
        <is>
          <t>Agribank</t>
        </is>
      </c>
      <c r="C417" t="n">
        <v>26111</v>
      </c>
      <c r="D417" t="n">
        <v>26141</v>
      </c>
      <c r="E417" t="n">
        <v>26361</v>
      </c>
    </row>
    <row r="418">
      <c r="A418" t="inlineStr">
        <is>
          <t>07/04/2026</t>
        </is>
      </c>
      <c r="B418" t="inlineStr">
        <is>
          <t>Agribank</t>
        </is>
      </c>
      <c r="C418" t="n">
        <v>26113</v>
      </c>
      <c r="D418" t="n">
        <v>26143</v>
      </c>
      <c r="E418" t="n">
        <v>26363</v>
      </c>
    </row>
    <row r="419">
      <c r="A419" t="inlineStr">
        <is>
          <t>06/04/2026</t>
        </is>
      </c>
      <c r="B419" t="inlineStr">
        <is>
          <t>Agribank</t>
        </is>
      </c>
      <c r="C419" t="n">
        <v>26111</v>
      </c>
      <c r="D419" t="n">
        <v>26141</v>
      </c>
      <c r="E419" t="n">
        <v>26361</v>
      </c>
    </row>
    <row r="420">
      <c r="A420" t="inlineStr">
        <is>
          <t>05/04/2026</t>
        </is>
      </c>
      <c r="B420" t="inlineStr">
        <is>
          <t>Agribank</t>
        </is>
      </c>
      <c r="C420" t="n">
        <v>26112</v>
      </c>
      <c r="D420" t="n">
        <v>26142</v>
      </c>
      <c r="E420" t="n">
        <v>26362</v>
      </c>
    </row>
    <row r="421">
      <c r="A421" t="inlineStr">
        <is>
          <t>04/04/2026</t>
        </is>
      </c>
      <c r="B421" t="inlineStr">
        <is>
          <t>Agribank</t>
        </is>
      </c>
      <c r="C421" t="n">
        <v>26112</v>
      </c>
      <c r="D421" t="n">
        <v>26142</v>
      </c>
      <c r="E421" t="n">
        <v>26362</v>
      </c>
    </row>
    <row r="422">
      <c r="A422" t="inlineStr">
        <is>
          <t>03/04/2026</t>
        </is>
      </c>
      <c r="B422" t="inlineStr">
        <is>
          <t>Agribank</t>
        </is>
      </c>
      <c r="C422" t="n">
        <v>26112</v>
      </c>
      <c r="D422" t="n">
        <v>26142</v>
      </c>
      <c r="E422" t="n">
        <v>26362</v>
      </c>
    </row>
    <row r="423">
      <c r="A423" t="inlineStr">
        <is>
          <t>02/04/2026</t>
        </is>
      </c>
      <c r="B423" t="inlineStr">
        <is>
          <t>Agribank</t>
        </is>
      </c>
      <c r="C423" t="n">
        <v>26112</v>
      </c>
      <c r="D423" t="n">
        <v>26142</v>
      </c>
      <c r="E423" t="n">
        <v>26362</v>
      </c>
    </row>
    <row r="424">
      <c r="A424" t="inlineStr">
        <is>
          <t>01/04/2026</t>
        </is>
      </c>
      <c r="B424" t="inlineStr">
        <is>
          <t>Agribank</t>
        </is>
      </c>
      <c r="C424" t="n">
        <v>26110</v>
      </c>
      <c r="D424" t="n">
        <v>26140</v>
      </c>
      <c r="E424" t="n">
        <v>26360</v>
      </c>
    </row>
    <row r="425">
      <c r="A425" t="inlineStr">
        <is>
          <t>31/03/2026</t>
        </is>
      </c>
      <c r="B425" t="inlineStr">
        <is>
          <t>Agribank</t>
        </is>
      </c>
      <c r="C425" t="n">
        <v>26107</v>
      </c>
      <c r="D425" t="n">
        <v>26137</v>
      </c>
      <c r="E425" t="n">
        <v>26357</v>
      </c>
    </row>
    <row r="426">
      <c r="A426" t="inlineStr">
        <is>
          <t>30/03/2026</t>
        </is>
      </c>
      <c r="B426" t="inlineStr">
        <is>
          <t>Agribank</t>
        </is>
      </c>
      <c r="C426" t="n">
        <v>26105</v>
      </c>
      <c r="D426" t="n">
        <v>26135</v>
      </c>
      <c r="E426" t="n">
        <v>26355</v>
      </c>
    </row>
    <row r="427">
      <c r="A427" t="inlineStr">
        <is>
          <t>29/03/2026</t>
        </is>
      </c>
      <c r="B427" t="inlineStr">
        <is>
          <t>Agribank</t>
        </is>
      </c>
      <c r="C427" t="n">
        <v>26105</v>
      </c>
      <c r="D427" t="n">
        <v>26135</v>
      </c>
      <c r="E427" t="n">
        <v>26355</v>
      </c>
    </row>
    <row r="428">
      <c r="A428" t="inlineStr">
        <is>
          <t>28/03/2026</t>
        </is>
      </c>
      <c r="B428" t="inlineStr">
        <is>
          <t>Agribank</t>
        </is>
      </c>
      <c r="C428" t="n">
        <v>26105</v>
      </c>
      <c r="D428" t="n">
        <v>26135</v>
      </c>
      <c r="E428" t="n">
        <v>26355</v>
      </c>
    </row>
    <row r="429">
      <c r="A429" t="inlineStr">
        <is>
          <t>27/03/2026</t>
        </is>
      </c>
      <c r="B429" t="inlineStr">
        <is>
          <t>Agribank</t>
        </is>
      </c>
      <c r="C429" t="n">
        <v>26105</v>
      </c>
      <c r="D429" t="n">
        <v>26135</v>
      </c>
      <c r="E429" t="n">
        <v>26355</v>
      </c>
    </row>
    <row r="430">
      <c r="A430" t="inlineStr">
        <is>
          <t>26/03/2026</t>
        </is>
      </c>
      <c r="B430" t="inlineStr">
        <is>
          <t>Agribank</t>
        </is>
      </c>
      <c r="C430" t="n">
        <v>26107</v>
      </c>
      <c r="D430" t="n">
        <v>26137</v>
      </c>
      <c r="E430" t="n">
        <v>26357</v>
      </c>
    </row>
    <row r="431">
      <c r="A431" t="inlineStr">
        <is>
          <t>25/03/2026</t>
        </is>
      </c>
      <c r="B431" t="inlineStr">
        <is>
          <t>Agribank</t>
        </is>
      </c>
      <c r="C431" t="n">
        <v>26109</v>
      </c>
      <c r="D431" t="n">
        <v>26139</v>
      </c>
      <c r="E431" t="n">
        <v>26359</v>
      </c>
    </row>
    <row r="432">
      <c r="A432" t="inlineStr">
        <is>
          <t>24/03/2026</t>
        </is>
      </c>
      <c r="B432" t="inlineStr">
        <is>
          <t>Agribank</t>
        </is>
      </c>
      <c r="C432" t="n">
        <v>26094</v>
      </c>
      <c r="D432" t="n">
        <v>26124</v>
      </c>
      <c r="E432" t="n">
        <v>26364</v>
      </c>
    </row>
    <row r="433">
      <c r="A433" t="inlineStr">
        <is>
          <t>23/03/2026</t>
        </is>
      </c>
      <c r="B433" t="inlineStr">
        <is>
          <t>Agribank</t>
        </is>
      </c>
      <c r="C433" t="n">
        <v>26074</v>
      </c>
      <c r="D433" t="n">
        <v>26104</v>
      </c>
      <c r="E433" t="n">
        <v>26344</v>
      </c>
    </row>
    <row r="434">
      <c r="A434" t="inlineStr">
        <is>
          <t>22/03/2026</t>
        </is>
      </c>
      <c r="B434" t="inlineStr">
        <is>
          <t>Agribank</t>
        </is>
      </c>
      <c r="C434" t="n">
        <v>26069</v>
      </c>
      <c r="D434" t="n">
        <v>26099</v>
      </c>
      <c r="E434" t="n">
        <v>26339</v>
      </c>
    </row>
    <row r="435">
      <c r="A435" t="inlineStr">
        <is>
          <t>21/03/2026</t>
        </is>
      </c>
      <c r="B435" t="inlineStr">
        <is>
          <t>Agribank</t>
        </is>
      </c>
      <c r="C435" t="n">
        <v>26069</v>
      </c>
      <c r="D435" t="n">
        <v>26099</v>
      </c>
      <c r="E435" t="n">
        <v>26339</v>
      </c>
    </row>
    <row r="436">
      <c r="A436" t="inlineStr">
        <is>
          <t>20/03/2026</t>
        </is>
      </c>
      <c r="B436" t="inlineStr">
        <is>
          <t>Agribank</t>
        </is>
      </c>
      <c r="C436" t="n">
        <v>26069</v>
      </c>
      <c r="D436" t="n">
        <v>26099</v>
      </c>
      <c r="E436" t="n">
        <v>26339</v>
      </c>
    </row>
    <row r="437">
      <c r="A437" t="inlineStr">
        <is>
          <t>19/03/2026</t>
        </is>
      </c>
      <c r="B437" t="inlineStr">
        <is>
          <t>Agribank</t>
        </is>
      </c>
      <c r="C437" t="n">
        <v>26055</v>
      </c>
      <c r="D437" t="n">
        <v>26085</v>
      </c>
      <c r="E437" t="n">
        <v>26325</v>
      </c>
    </row>
    <row r="438">
      <c r="A438" t="inlineStr">
        <is>
          <t>18/03/2026</t>
        </is>
      </c>
      <c r="B438" t="inlineStr">
        <is>
          <t>Agribank</t>
        </is>
      </c>
      <c r="C438" t="n">
        <v>26050</v>
      </c>
      <c r="D438" t="n">
        <v>26080</v>
      </c>
      <c r="E438" t="n">
        <v>26320</v>
      </c>
    </row>
    <row r="439">
      <c r="A439" t="inlineStr">
        <is>
          <t>17/03/2026</t>
        </is>
      </c>
      <c r="B439" t="inlineStr">
        <is>
          <t>Agribank</t>
        </is>
      </c>
      <c r="C439" t="n">
        <v>26051</v>
      </c>
      <c r="D439" t="n">
        <v>26081</v>
      </c>
      <c r="E439" t="n">
        <v>26321</v>
      </c>
    </row>
    <row r="440">
      <c r="A440" t="inlineStr">
        <is>
          <t>16/03/2026</t>
        </is>
      </c>
      <c r="B440" t="inlineStr">
        <is>
          <t>Agribank</t>
        </is>
      </c>
      <c r="C440" t="n">
        <v>26051</v>
      </c>
      <c r="D440" t="n">
        <v>26081</v>
      </c>
      <c r="E440" t="n">
        <v>26321</v>
      </c>
    </row>
    <row r="441">
      <c r="A441" t="inlineStr">
        <is>
          <t>15/03/2026</t>
        </is>
      </c>
      <c r="B441" t="inlineStr">
        <is>
          <t>Agribank</t>
        </is>
      </c>
      <c r="C441" t="n">
        <v>26048</v>
      </c>
      <c r="D441" t="n">
        <v>26078</v>
      </c>
      <c r="E441" t="n">
        <v>26318</v>
      </c>
    </row>
    <row r="442">
      <c r="A442" t="inlineStr">
        <is>
          <t>14/03/2026</t>
        </is>
      </c>
      <c r="B442" t="inlineStr">
        <is>
          <t>Agribank</t>
        </is>
      </c>
      <c r="C442" t="n">
        <v>26048</v>
      </c>
      <c r="D442" t="n">
        <v>26078</v>
      </c>
      <c r="E442" t="n">
        <v>26318</v>
      </c>
    </row>
    <row r="443">
      <c r="A443" t="inlineStr">
        <is>
          <t>13/03/2026</t>
        </is>
      </c>
      <c r="B443" t="inlineStr">
        <is>
          <t>Agribank</t>
        </is>
      </c>
      <c r="C443" t="n">
        <v>26048</v>
      </c>
      <c r="D443" t="n">
        <v>26078</v>
      </c>
      <c r="E443" t="n">
        <v>26318</v>
      </c>
    </row>
    <row r="444">
      <c r="A444" t="inlineStr">
        <is>
          <t>12/03/2026</t>
        </is>
      </c>
      <c r="B444" t="inlineStr">
        <is>
          <t>Agribank</t>
        </is>
      </c>
      <c r="C444" t="n">
        <v>26044</v>
      </c>
      <c r="D444" t="n">
        <v>26074</v>
      </c>
      <c r="E444" t="n">
        <v>26314</v>
      </c>
    </row>
    <row r="445">
      <c r="A445" t="inlineStr">
        <is>
          <t>11/03/2026</t>
        </is>
      </c>
      <c r="B445" t="inlineStr">
        <is>
          <t>Agribank</t>
        </is>
      </c>
      <c r="C445" t="n">
        <v>25981</v>
      </c>
      <c r="D445" t="n">
        <v>26011</v>
      </c>
      <c r="E445" t="n">
        <v>26311</v>
      </c>
    </row>
    <row r="446">
      <c r="A446" t="inlineStr">
        <is>
          <t>10/03/2026</t>
        </is>
      </c>
      <c r="B446" t="inlineStr">
        <is>
          <t>Agribank</t>
        </is>
      </c>
      <c r="C446" t="n">
        <v>26025</v>
      </c>
      <c r="D446" t="n">
        <v>26055</v>
      </c>
      <c r="E446" t="n">
        <v>26315</v>
      </c>
    </row>
    <row r="447">
      <c r="A447" t="inlineStr">
        <is>
          <t>09/03/2026</t>
        </is>
      </c>
      <c r="B447" t="inlineStr">
        <is>
          <t>Agribank</t>
        </is>
      </c>
      <c r="C447" t="n">
        <v>26041</v>
      </c>
      <c r="D447" t="n">
        <v>26071</v>
      </c>
      <c r="E447" t="n">
        <v>26311</v>
      </c>
    </row>
    <row r="448">
      <c r="A448" t="inlineStr">
        <is>
          <t>08/03/2026</t>
        </is>
      </c>
      <c r="B448" t="inlineStr">
        <is>
          <t>Agribank</t>
        </is>
      </c>
      <c r="C448" t="n">
        <v>26000</v>
      </c>
      <c r="D448" t="n">
        <v>26029</v>
      </c>
      <c r="E448" t="n">
        <v>26309</v>
      </c>
    </row>
    <row r="449">
      <c r="A449" t="inlineStr">
        <is>
          <t>07/03/2026</t>
        </is>
      </c>
      <c r="B449" t="inlineStr">
        <is>
          <t>Agribank</t>
        </is>
      </c>
      <c r="C449" t="n">
        <v>26000</v>
      </c>
      <c r="D449" t="n">
        <v>26029</v>
      </c>
      <c r="E449" t="n">
        <v>26309</v>
      </c>
    </row>
    <row r="450">
      <c r="A450" t="inlineStr">
        <is>
          <t>06/03/2026</t>
        </is>
      </c>
      <c r="B450" t="inlineStr">
        <is>
          <t>Agribank</t>
        </is>
      </c>
      <c r="C450" t="n">
        <v>26000</v>
      </c>
      <c r="D450" t="n">
        <v>26029</v>
      </c>
      <c r="E450" t="n">
        <v>26309</v>
      </c>
    </row>
    <row r="451">
      <c r="A451" t="inlineStr">
        <is>
          <t>05/03/2026</t>
        </is>
      </c>
      <c r="B451" t="inlineStr">
        <is>
          <t>Agribank</t>
        </is>
      </c>
      <c r="C451" t="n">
        <v>25977</v>
      </c>
      <c r="D451" t="n">
        <v>26007</v>
      </c>
      <c r="E451" t="n">
        <v>26307</v>
      </c>
    </row>
    <row r="452">
      <c r="A452" t="inlineStr">
        <is>
          <t>04/03/2026</t>
        </is>
      </c>
      <c r="B452" t="inlineStr">
        <is>
          <t>Agribank</t>
        </is>
      </c>
      <c r="C452" t="n">
        <v>25974</v>
      </c>
      <c r="D452" t="n">
        <v>26004</v>
      </c>
      <c r="E452" t="n">
        <v>26304</v>
      </c>
    </row>
    <row r="453">
      <c r="A453" t="inlineStr">
        <is>
          <t>03/03/2026</t>
        </is>
      </c>
      <c r="B453" t="inlineStr">
        <is>
          <t>Agribank</t>
        </is>
      </c>
      <c r="C453" t="n">
        <v>25968</v>
      </c>
      <c r="D453" t="n">
        <v>25998</v>
      </c>
      <c r="E453" t="n">
        <v>26298</v>
      </c>
    </row>
    <row r="454">
      <c r="A454" t="inlineStr">
        <is>
          <t>02/03/2026</t>
        </is>
      </c>
      <c r="B454" t="inlineStr">
        <is>
          <t>Agribank</t>
        </is>
      </c>
      <c r="C454" t="n">
        <v>25900</v>
      </c>
      <c r="D454" t="n">
        <v>25929</v>
      </c>
      <c r="E454" t="n">
        <v>26289</v>
      </c>
    </row>
    <row r="455">
      <c r="A455" t="inlineStr">
        <is>
          <t>01/03/2026</t>
        </is>
      </c>
      <c r="B455" t="inlineStr">
        <is>
          <t>Agribank</t>
        </is>
      </c>
      <c r="C455" t="n">
        <v>25840</v>
      </c>
      <c r="D455" t="n">
        <v>25860</v>
      </c>
      <c r="E455" t="n">
        <v>26240</v>
      </c>
    </row>
    <row r="456">
      <c r="A456" t="inlineStr">
        <is>
          <t>28/02/2026</t>
        </is>
      </c>
      <c r="B456" t="inlineStr">
        <is>
          <t>Agribank</t>
        </is>
      </c>
      <c r="C456" t="n">
        <v>25840</v>
      </c>
      <c r="D456" t="n">
        <v>25860</v>
      </c>
      <c r="E456" t="n">
        <v>26240</v>
      </c>
    </row>
    <row r="457">
      <c r="A457" t="inlineStr">
        <is>
          <t>27/02/2026</t>
        </is>
      </c>
      <c r="B457" t="inlineStr">
        <is>
          <t>Agribank</t>
        </is>
      </c>
      <c r="C457" t="n">
        <v>25840</v>
      </c>
      <c r="D457" t="n">
        <v>25860</v>
      </c>
      <c r="E457" t="n">
        <v>26240</v>
      </c>
    </row>
    <row r="458">
      <c r="A458" t="inlineStr">
        <is>
          <t>26/02/2026</t>
        </is>
      </c>
      <c r="B458" t="inlineStr">
        <is>
          <t>Agribank</t>
        </is>
      </c>
      <c r="C458" t="n">
        <v>25870</v>
      </c>
      <c r="D458" t="n">
        <v>25900</v>
      </c>
      <c r="E458" t="n">
        <v>26280</v>
      </c>
    </row>
    <row r="459">
      <c r="A459" t="inlineStr">
        <is>
          <t>25/02/2026</t>
        </is>
      </c>
      <c r="B459" t="inlineStr">
        <is>
          <t>Agribank</t>
        </is>
      </c>
      <c r="C459" t="n">
        <v>25970</v>
      </c>
      <c r="D459" t="n">
        <v>25989</v>
      </c>
      <c r="E459" t="n">
        <v>26309</v>
      </c>
    </row>
    <row r="460">
      <c r="A460" t="inlineStr">
        <is>
          <t>24/02/2026</t>
        </is>
      </c>
      <c r="B460" t="inlineStr">
        <is>
          <t>Agribank</t>
        </is>
      </c>
      <c r="C460" t="n">
        <v>25935</v>
      </c>
      <c r="D460" t="n">
        <v>25965</v>
      </c>
      <c r="E460" t="n">
        <v>26305</v>
      </c>
    </row>
    <row r="461">
      <c r="A461" t="inlineStr">
        <is>
          <t>23/02/2026</t>
        </is>
      </c>
      <c r="B461" t="inlineStr">
        <is>
          <t>Agribank</t>
        </is>
      </c>
      <c r="C461" t="n">
        <v>25850</v>
      </c>
      <c r="D461" t="n">
        <v>25880</v>
      </c>
      <c r="E461" t="n">
        <v>26260</v>
      </c>
    </row>
    <row r="462">
      <c r="A462" t="inlineStr">
        <is>
          <t>22/02/2026</t>
        </is>
      </c>
      <c r="B462" t="inlineStr">
        <is>
          <t>Agribank</t>
        </is>
      </c>
      <c r="C462" t="n">
        <v>25770</v>
      </c>
      <c r="D462" t="n">
        <v>25810</v>
      </c>
      <c r="E462" t="n">
        <v>26150</v>
      </c>
    </row>
    <row r="463">
      <c r="A463" t="inlineStr">
        <is>
          <t>21/02/2026</t>
        </is>
      </c>
      <c r="B463" t="inlineStr">
        <is>
          <t>Agribank</t>
        </is>
      </c>
      <c r="C463" t="n">
        <v>25770</v>
      </c>
      <c r="D463" t="n">
        <v>25810</v>
      </c>
      <c r="E463" t="n">
        <v>26150</v>
      </c>
    </row>
    <row r="464">
      <c r="A464" t="inlineStr">
        <is>
          <t>20/02/2026</t>
        </is>
      </c>
      <c r="B464" t="inlineStr">
        <is>
          <t>Agribank</t>
        </is>
      </c>
      <c r="C464" t="n">
        <v>25770</v>
      </c>
      <c r="D464" t="n">
        <v>25810</v>
      </c>
      <c r="E464" t="n">
        <v>26150</v>
      </c>
    </row>
    <row r="465">
      <c r="A465" t="inlineStr">
        <is>
          <t>19/02/2026</t>
        </is>
      </c>
      <c r="B465" t="inlineStr">
        <is>
          <t>Agribank</t>
        </is>
      </c>
      <c r="C465" t="n">
        <v>25770</v>
      </c>
      <c r="D465" t="n">
        <v>25810</v>
      </c>
      <c r="E465" t="n">
        <v>26150</v>
      </c>
    </row>
    <row r="466">
      <c r="A466" t="inlineStr">
        <is>
          <t>18/02/2026</t>
        </is>
      </c>
      <c r="B466" t="inlineStr">
        <is>
          <t>Agribank</t>
        </is>
      </c>
      <c r="C466" t="n">
        <v>25770</v>
      </c>
      <c r="D466" t="n">
        <v>25810</v>
      </c>
      <c r="E466" t="n">
        <v>26150</v>
      </c>
    </row>
    <row r="467">
      <c r="A467" t="inlineStr">
        <is>
          <t>17/02/2026</t>
        </is>
      </c>
      <c r="B467" t="inlineStr">
        <is>
          <t>Agribank</t>
        </is>
      </c>
      <c r="C467" t="n">
        <v>25770</v>
      </c>
      <c r="D467" t="n">
        <v>25810</v>
      </c>
      <c r="E467" t="n">
        <v>26150</v>
      </c>
    </row>
    <row r="468">
      <c r="A468" t="inlineStr">
        <is>
          <t>16/02/2026</t>
        </is>
      </c>
      <c r="B468" t="inlineStr">
        <is>
          <t>Agribank</t>
        </is>
      </c>
      <c r="C468" t="n">
        <v>25770</v>
      </c>
      <c r="D468" t="n">
        <v>25810</v>
      </c>
      <c r="E468" t="n">
        <v>26150</v>
      </c>
    </row>
    <row r="469">
      <c r="A469" t="inlineStr">
        <is>
          <t>15/02/2026</t>
        </is>
      </c>
      <c r="B469" t="inlineStr">
        <is>
          <t>Agribank</t>
        </is>
      </c>
      <c r="C469" t="n">
        <v>25770</v>
      </c>
      <c r="D469" t="n">
        <v>25810</v>
      </c>
      <c r="E469" t="n">
        <v>26150</v>
      </c>
    </row>
    <row r="470">
      <c r="A470" t="inlineStr">
        <is>
          <t>14/02/2026</t>
        </is>
      </c>
      <c r="B470" t="inlineStr">
        <is>
          <t>Agribank</t>
        </is>
      </c>
      <c r="C470" t="n">
        <v>25770</v>
      </c>
      <c r="D470" t="n">
        <v>25810</v>
      </c>
      <c r="E470" t="n">
        <v>26150</v>
      </c>
    </row>
    <row r="471">
      <c r="A471" t="inlineStr">
        <is>
          <t>13/02/2026</t>
        </is>
      </c>
      <c r="B471" t="inlineStr">
        <is>
          <t>Agribank</t>
        </is>
      </c>
      <c r="C471" t="n">
        <v>25770</v>
      </c>
      <c r="D471" t="n">
        <v>25810</v>
      </c>
      <c r="E471" t="n">
        <v>26150</v>
      </c>
    </row>
    <row r="472">
      <c r="A472" t="inlineStr">
        <is>
          <t>12/02/2026</t>
        </is>
      </c>
      <c r="B472" t="inlineStr">
        <is>
          <t>Agribank</t>
        </is>
      </c>
      <c r="C472" t="n">
        <v>25780</v>
      </c>
      <c r="D472" t="n">
        <v>25810</v>
      </c>
      <c r="E472" t="n">
        <v>26150</v>
      </c>
    </row>
    <row r="473">
      <c r="A473" t="inlineStr">
        <is>
          <t>11/02/2026</t>
        </is>
      </c>
      <c r="B473" t="inlineStr">
        <is>
          <t>Agribank</t>
        </is>
      </c>
      <c r="C473" t="n">
        <v>25760</v>
      </c>
      <c r="D473" t="n">
        <v>25790</v>
      </c>
      <c r="E473" t="n">
        <v>26130</v>
      </c>
    </row>
    <row r="474">
      <c r="A474" t="inlineStr">
        <is>
          <t>10/02/2026</t>
        </is>
      </c>
      <c r="B474" t="inlineStr">
        <is>
          <t>Agribank</t>
        </is>
      </c>
      <c r="C474" t="n">
        <v>25690</v>
      </c>
      <c r="D474" t="n">
        <v>25720</v>
      </c>
      <c r="E474" t="n">
        <v>26060</v>
      </c>
    </row>
    <row r="475">
      <c r="A475" t="inlineStr">
        <is>
          <t>09/02/2026</t>
        </is>
      </c>
      <c r="B475" t="inlineStr">
        <is>
          <t>Agribank</t>
        </is>
      </c>
      <c r="C475" t="n">
        <v>25760</v>
      </c>
      <c r="D475" t="n">
        <v>25790</v>
      </c>
      <c r="E475" t="n">
        <v>26130</v>
      </c>
    </row>
    <row r="476">
      <c r="A476" t="inlineStr">
        <is>
          <t>08/02/2026</t>
        </is>
      </c>
      <c r="B476" t="inlineStr">
        <is>
          <t>Agribank</t>
        </is>
      </c>
      <c r="C476" t="n">
        <v>25760</v>
      </c>
      <c r="D476" t="n">
        <v>25790</v>
      </c>
      <c r="E476" t="n">
        <v>26130</v>
      </c>
    </row>
    <row r="477">
      <c r="A477" t="inlineStr">
        <is>
          <t>07/02/2026</t>
        </is>
      </c>
      <c r="B477" t="inlineStr">
        <is>
          <t>Agribank</t>
        </is>
      </c>
      <c r="C477" t="n">
        <v>25760</v>
      </c>
      <c r="D477" t="n">
        <v>25790</v>
      </c>
      <c r="E477" t="n">
        <v>26130</v>
      </c>
    </row>
    <row r="478">
      <c r="A478" t="inlineStr">
        <is>
          <t>06/02/2026</t>
        </is>
      </c>
      <c r="B478" t="inlineStr">
        <is>
          <t>Agribank</t>
        </is>
      </c>
      <c r="C478" t="n">
        <v>25760</v>
      </c>
      <c r="D478" t="n">
        <v>25790</v>
      </c>
      <c r="E478" t="n">
        <v>26130</v>
      </c>
    </row>
    <row r="479">
      <c r="A479" t="inlineStr">
        <is>
          <t>05/02/2026</t>
        </is>
      </c>
      <c r="B479" t="inlineStr">
        <is>
          <t>Agribank</t>
        </is>
      </c>
      <c r="C479" t="n">
        <v>25780</v>
      </c>
      <c r="D479" t="n">
        <v>25810</v>
      </c>
      <c r="E479" t="n">
        <v>26150</v>
      </c>
    </row>
    <row r="480">
      <c r="A480" t="inlineStr">
        <is>
          <t>04/02/2026</t>
        </is>
      </c>
      <c r="B480" t="inlineStr">
        <is>
          <t>Agribank</t>
        </is>
      </c>
      <c r="C480" t="n">
        <v>25800</v>
      </c>
      <c r="D480" t="n">
        <v>25840</v>
      </c>
      <c r="E480" t="n">
        <v>26180</v>
      </c>
    </row>
    <row r="481">
      <c r="A481" t="inlineStr">
        <is>
          <t>03/02/2026</t>
        </is>
      </c>
      <c r="B481" t="inlineStr">
        <is>
          <t>Agribank</t>
        </is>
      </c>
      <c r="C481" t="n">
        <v>25800</v>
      </c>
      <c r="D481" t="n">
        <v>25840</v>
      </c>
      <c r="E481" t="n">
        <v>26180</v>
      </c>
    </row>
    <row r="482">
      <c r="A482" t="inlineStr">
        <is>
          <t>02/02/2026</t>
        </is>
      </c>
      <c r="B482" t="inlineStr">
        <is>
          <t>Agribank</t>
        </is>
      </c>
      <c r="C482" t="n">
        <v>25790</v>
      </c>
      <c r="D482" t="n">
        <v>25820</v>
      </c>
      <c r="E482" t="n">
        <v>26160</v>
      </c>
    </row>
    <row r="483">
      <c r="A483" t="inlineStr">
        <is>
          <t>01/02/2026</t>
        </is>
      </c>
      <c r="B483" t="inlineStr">
        <is>
          <t>Agribank</t>
        </is>
      </c>
      <c r="C483" t="n">
        <v>25730</v>
      </c>
      <c r="D483" t="n">
        <v>25760</v>
      </c>
      <c r="E483" t="n">
        <v>26100</v>
      </c>
    </row>
    <row r="484">
      <c r="A484" t="inlineStr">
        <is>
          <t>31/01/2026</t>
        </is>
      </c>
      <c r="B484" t="inlineStr">
        <is>
          <t>Agribank</t>
        </is>
      </c>
      <c r="C484" t="n">
        <v>25730</v>
      </c>
      <c r="D484" t="n">
        <v>25760</v>
      </c>
      <c r="E484" t="n">
        <v>26100</v>
      </c>
    </row>
    <row r="485">
      <c r="A485" t="inlineStr">
        <is>
          <t>30/01/2026</t>
        </is>
      </c>
      <c r="B485" t="inlineStr">
        <is>
          <t>Agribank</t>
        </is>
      </c>
      <c r="C485" t="n">
        <v>25730</v>
      </c>
      <c r="D485" t="n">
        <v>25760</v>
      </c>
      <c r="E485" t="n">
        <v>26100</v>
      </c>
    </row>
    <row r="486">
      <c r="A486" t="inlineStr">
        <is>
          <t>29/01/2026</t>
        </is>
      </c>
      <c r="B486" t="inlineStr">
        <is>
          <t>Agribank</t>
        </is>
      </c>
      <c r="C486" t="n">
        <v>25840</v>
      </c>
      <c r="D486" t="n">
        <v>25880</v>
      </c>
      <c r="E486" t="n">
        <v>26220</v>
      </c>
    </row>
    <row r="487">
      <c r="A487" t="inlineStr">
        <is>
          <t>28/01/2026</t>
        </is>
      </c>
      <c r="B487" t="inlineStr">
        <is>
          <t>Agribank</t>
        </is>
      </c>
      <c r="C487" t="n">
        <v>25870</v>
      </c>
      <c r="D487" t="n">
        <v>25910</v>
      </c>
      <c r="E487" t="n">
        <v>26250</v>
      </c>
    </row>
    <row r="488">
      <c r="A488" t="inlineStr">
        <is>
          <t>27/01/2026</t>
        </is>
      </c>
      <c r="B488" t="inlineStr">
        <is>
          <t>Agribank</t>
        </is>
      </c>
      <c r="C488" t="n">
        <v>25980</v>
      </c>
      <c r="D488" t="n">
        <v>25985</v>
      </c>
      <c r="E488" t="n">
        <v>26325</v>
      </c>
    </row>
    <row r="489">
      <c r="A489" t="inlineStr">
        <is>
          <t>26/01/2026</t>
        </is>
      </c>
      <c r="B489" t="inlineStr">
        <is>
          <t>Agribank</t>
        </is>
      </c>
      <c r="C489" t="n">
        <v>26045</v>
      </c>
      <c r="D489" t="n">
        <v>26048</v>
      </c>
      <c r="E489" t="n">
        <v>26368</v>
      </c>
    </row>
    <row r="490">
      <c r="A490" t="inlineStr">
        <is>
          <t>25/01/2026</t>
        </is>
      </c>
      <c r="B490" t="inlineStr">
        <is>
          <t>Agribank</t>
        </is>
      </c>
      <c r="C490" t="n">
        <v>26075</v>
      </c>
      <c r="D490" t="n">
        <v>26081</v>
      </c>
      <c r="E490" t="n">
        <v>26381</v>
      </c>
    </row>
    <row r="491">
      <c r="A491" t="inlineStr">
        <is>
          <t>24/01/2026</t>
        </is>
      </c>
      <c r="B491" t="inlineStr">
        <is>
          <t>Agribank</t>
        </is>
      </c>
      <c r="C491" t="n">
        <v>26075</v>
      </c>
      <c r="D491" t="n">
        <v>26081</v>
      </c>
      <c r="E491" t="n">
        <v>26381</v>
      </c>
    </row>
    <row r="492">
      <c r="A492" t="inlineStr">
        <is>
          <t>23/01/2026</t>
        </is>
      </c>
      <c r="B492" t="inlineStr">
        <is>
          <t>Agribank</t>
        </is>
      </c>
      <c r="C492" t="n">
        <v>26075</v>
      </c>
      <c r="D492" t="n">
        <v>26081</v>
      </c>
      <c r="E492" t="n">
        <v>26381</v>
      </c>
    </row>
    <row r="493">
      <c r="A493" t="inlineStr">
        <is>
          <t>22/01/2026</t>
        </is>
      </c>
      <c r="B493" t="inlineStr">
        <is>
          <t>Agribank</t>
        </is>
      </c>
      <c r="C493" t="n">
        <v>26075</v>
      </c>
      <c r="D493" t="n">
        <v>26081</v>
      </c>
      <c r="E493" t="n">
        <v>26381</v>
      </c>
    </row>
    <row r="494">
      <c r="A494" t="inlineStr">
        <is>
          <t>21/01/2026</t>
        </is>
      </c>
      <c r="B494" t="inlineStr">
        <is>
          <t>Agribank</t>
        </is>
      </c>
      <c r="C494" t="n">
        <v>26075</v>
      </c>
      <c r="D494" t="n">
        <v>26080</v>
      </c>
      <c r="E494" t="n">
        <v>26380</v>
      </c>
    </row>
    <row r="495">
      <c r="A495" t="inlineStr">
        <is>
          <t>20/01/2026</t>
        </is>
      </c>
      <c r="B495" t="inlineStr">
        <is>
          <t>Agribank</t>
        </is>
      </c>
      <c r="C495" t="n">
        <v>26085</v>
      </c>
      <c r="D495" t="n">
        <v>26086</v>
      </c>
      <c r="E495" t="n">
        <v>26386</v>
      </c>
    </row>
    <row r="496">
      <c r="A496" t="inlineStr">
        <is>
          <t>19/01/2026</t>
        </is>
      </c>
      <c r="B496" t="inlineStr">
        <is>
          <t>Agribank</t>
        </is>
      </c>
      <c r="C496" t="n">
        <v>26085</v>
      </c>
      <c r="D496" t="n">
        <v>26088</v>
      </c>
      <c r="E496" t="n">
        <v>26388</v>
      </c>
    </row>
    <row r="497">
      <c r="A497" t="inlineStr">
        <is>
          <t>18/01/2026</t>
        </is>
      </c>
      <c r="B497" t="inlineStr">
        <is>
          <t>Agribank</t>
        </is>
      </c>
      <c r="C497" t="n">
        <v>26085</v>
      </c>
      <c r="D497" t="n">
        <v>26087</v>
      </c>
      <c r="E497" t="n">
        <v>26387</v>
      </c>
    </row>
    <row r="498">
      <c r="A498" t="inlineStr">
        <is>
          <t>17/01/2026</t>
        </is>
      </c>
      <c r="B498" t="inlineStr">
        <is>
          <t>Agribank</t>
        </is>
      </c>
      <c r="C498" t="n">
        <v>26085</v>
      </c>
      <c r="D498" t="n">
        <v>26087</v>
      </c>
      <c r="E498" t="n">
        <v>26387</v>
      </c>
    </row>
    <row r="499">
      <c r="A499" t="inlineStr">
        <is>
          <t>16/01/2026</t>
        </is>
      </c>
      <c r="B499" t="inlineStr">
        <is>
          <t>Agribank</t>
        </is>
      </c>
      <c r="C499" t="n">
        <v>26085</v>
      </c>
      <c r="D499" t="n">
        <v>26087</v>
      </c>
      <c r="E499" t="n">
        <v>26387</v>
      </c>
    </row>
    <row r="500">
      <c r="A500" t="inlineStr">
        <is>
          <t>15/01/2026</t>
        </is>
      </c>
      <c r="B500" t="inlineStr">
        <is>
          <t>Agribank</t>
        </is>
      </c>
      <c r="C500" t="n">
        <v>26090</v>
      </c>
      <c r="D500" t="n">
        <v>26091</v>
      </c>
      <c r="E500" t="n">
        <v>26391</v>
      </c>
    </row>
    <row r="501">
      <c r="A501" t="inlineStr">
        <is>
          <t>14/01/2026</t>
        </is>
      </c>
      <c r="B501" t="inlineStr">
        <is>
          <t>Agribank</t>
        </is>
      </c>
      <c r="C501" t="n">
        <v>26090</v>
      </c>
      <c r="D501" t="n">
        <v>26091</v>
      </c>
      <c r="E501" t="n">
        <v>26391</v>
      </c>
    </row>
    <row r="502">
      <c r="A502" t="inlineStr">
        <is>
          <t>13/01/2026</t>
        </is>
      </c>
      <c r="B502" t="inlineStr">
        <is>
          <t>Agribank</t>
        </is>
      </c>
      <c r="C502" t="n">
        <v>26080</v>
      </c>
      <c r="D502" t="n">
        <v>26085</v>
      </c>
      <c r="E502" t="n">
        <v>26385</v>
      </c>
    </row>
    <row r="503">
      <c r="A503" t="inlineStr">
        <is>
          <t>12/01/2026</t>
        </is>
      </c>
      <c r="B503" t="inlineStr">
        <is>
          <t>Agribank</t>
        </is>
      </c>
      <c r="C503" t="n">
        <v>26080</v>
      </c>
      <c r="D503" t="n">
        <v>26085</v>
      </c>
      <c r="E503" t="n">
        <v>26385</v>
      </c>
    </row>
    <row r="504">
      <c r="A504" t="inlineStr">
        <is>
          <t>11/01/2026</t>
        </is>
      </c>
      <c r="B504" t="inlineStr">
        <is>
          <t>Agribank</t>
        </is>
      </c>
      <c r="C504" t="n">
        <v>26080</v>
      </c>
      <c r="D504" t="n">
        <v>26087</v>
      </c>
      <c r="E504" t="n">
        <v>26387</v>
      </c>
    </row>
    <row r="505">
      <c r="A505" t="inlineStr">
        <is>
          <t>10/01/2026</t>
        </is>
      </c>
      <c r="B505" t="inlineStr">
        <is>
          <t>Agribank</t>
        </is>
      </c>
      <c r="C505" t="n">
        <v>26080</v>
      </c>
      <c r="D505" t="n">
        <v>26087</v>
      </c>
      <c r="E505" t="n">
        <v>26387</v>
      </c>
    </row>
    <row r="506">
      <c r="A506" t="inlineStr">
        <is>
          <t>09/01/2026</t>
        </is>
      </c>
      <c r="B506" t="inlineStr">
        <is>
          <t>Agribank</t>
        </is>
      </c>
      <c r="C506" t="n">
        <v>26080</v>
      </c>
      <c r="D506" t="n">
        <v>26081</v>
      </c>
      <c r="E506" t="n">
        <v>26381</v>
      </c>
    </row>
    <row r="507">
      <c r="A507" t="inlineStr">
        <is>
          <t>08/01/2026</t>
        </is>
      </c>
      <c r="B507" t="inlineStr">
        <is>
          <t>Agribank</t>
        </is>
      </c>
      <c r="C507" t="n">
        <v>26080</v>
      </c>
      <c r="D507" t="n">
        <v>26081</v>
      </c>
      <c r="E507" t="n">
        <v>26381</v>
      </c>
    </row>
    <row r="508">
      <c r="A508" t="inlineStr">
        <is>
          <t>07/01/2026</t>
        </is>
      </c>
      <c r="B508" t="inlineStr">
        <is>
          <t>Agribank</t>
        </is>
      </c>
      <c r="C508" t="n">
        <v>26075</v>
      </c>
      <c r="D508" t="n">
        <v>26078</v>
      </c>
      <c r="E508" t="n">
        <v>26378</v>
      </c>
    </row>
    <row r="509">
      <c r="A509" t="inlineStr">
        <is>
          <t>06/01/2026</t>
        </is>
      </c>
      <c r="B509" t="inlineStr">
        <is>
          <t>Agribank</t>
        </is>
      </c>
      <c r="C509" t="n">
        <v>26075</v>
      </c>
      <c r="D509" t="n">
        <v>26078</v>
      </c>
      <c r="E509" t="n">
        <v>26378</v>
      </c>
    </row>
    <row r="510">
      <c r="A510" t="inlineStr">
        <is>
          <t>05/01/2026</t>
        </is>
      </c>
      <c r="B510" t="inlineStr">
        <is>
          <t>Agribank</t>
        </is>
      </c>
      <c r="C510" t="n">
        <v>26075</v>
      </c>
      <c r="D510" t="n">
        <v>26080</v>
      </c>
      <c r="E510" t="n">
        <v>26380</v>
      </c>
    </row>
    <row r="511">
      <c r="A511" t="inlineStr">
        <is>
          <t>04/01/2026</t>
        </is>
      </c>
      <c r="B511" t="inlineStr">
        <is>
          <t>Agribank</t>
        </is>
      </c>
      <c r="C511" t="n">
        <v>26075</v>
      </c>
      <c r="D511" t="n">
        <v>26080</v>
      </c>
      <c r="E511" t="n">
        <v>26380</v>
      </c>
    </row>
    <row r="512">
      <c r="A512" t="inlineStr">
        <is>
          <t>03/01/2026</t>
        </is>
      </c>
      <c r="B512" t="inlineStr">
        <is>
          <t>Agribank</t>
        </is>
      </c>
      <c r="C512" t="n">
        <v>26075</v>
      </c>
      <c r="D512" t="n">
        <v>26080</v>
      </c>
      <c r="E512" t="n">
        <v>26380</v>
      </c>
    </row>
    <row r="513">
      <c r="A513" t="inlineStr">
        <is>
          <t>02/01/2026</t>
        </is>
      </c>
      <c r="B513" t="inlineStr">
        <is>
          <t>Agribank</t>
        </is>
      </c>
      <c r="C513" t="n">
        <v>26075</v>
      </c>
      <c r="D513" t="n">
        <v>26080</v>
      </c>
      <c r="E513" t="n">
        <v>26380</v>
      </c>
    </row>
    <row r="514">
      <c r="A514" t="inlineStr">
        <is>
          <t>01/01/2026</t>
        </is>
      </c>
      <c r="B514" t="inlineStr">
        <is>
          <t>Agribank</t>
        </is>
      </c>
      <c r="C514" t="n">
        <v>26075</v>
      </c>
      <c r="D514" t="n">
        <v>26080</v>
      </c>
      <c r="E514" t="n">
        <v>26380</v>
      </c>
    </row>
    <row r="515">
      <c r="A515" t="inlineStr">
        <is>
          <t>10/09/2026</t>
        </is>
      </c>
      <c r="B515" t="inlineStr">
        <is>
          <t>Agribank</t>
        </is>
      </c>
      <c r="C515" t="n">
        <v>25690</v>
      </c>
      <c r="D515" t="n">
        <v>25720</v>
      </c>
      <c r="E515" t="n">
        <v>26100</v>
      </c>
    </row>
    <row r="516">
      <c r="A516" t="inlineStr">
        <is>
          <t>11/09/2026</t>
        </is>
      </c>
      <c r="B516" t="inlineStr">
        <is>
          <t>Agribank</t>
        </is>
      </c>
      <c r="C516" t="n">
        <v>25710</v>
      </c>
      <c r="D516" t="n">
        <v>25740</v>
      </c>
      <c r="E516" t="n">
        <v>26120</v>
      </c>
    </row>
    <row r="517">
      <c r="A517" t="inlineStr">
        <is>
          <t>12/09/2026</t>
        </is>
      </c>
      <c r="B517" t="inlineStr">
        <is>
          <t>Agribank</t>
        </is>
      </c>
      <c r="C517" t="n">
        <v>25710</v>
      </c>
      <c r="D517" t="n">
        <v>25740</v>
      </c>
      <c r="E517" t="n">
        <v>26120</v>
      </c>
    </row>
    <row r="518">
      <c r="A518" t="inlineStr">
        <is>
          <t>13/09/2026</t>
        </is>
      </c>
      <c r="B518" t="inlineStr">
        <is>
          <t>Agribank</t>
        </is>
      </c>
      <c r="C518" t="n">
        <v>25710</v>
      </c>
      <c r="D518" t="n">
        <v>25740</v>
      </c>
      <c r="E518" t="n">
        <v>26120</v>
      </c>
    </row>
    <row r="519">
      <c r="A519" t="inlineStr">
        <is>
          <t>14/09/2026</t>
        </is>
      </c>
      <c r="B519" t="inlineStr">
        <is>
          <t>Agribank</t>
        </is>
      </c>
      <c r="C519" t="n">
        <v>25750</v>
      </c>
      <c r="D519" t="n">
        <v>25780</v>
      </c>
      <c r="E519" t="n">
        <v>26160</v>
      </c>
    </row>
    <row r="520">
      <c r="A520" t="inlineStr">
        <is>
          <t>15/09/2026</t>
        </is>
      </c>
      <c r="B520" t="inlineStr">
        <is>
          <t>Agribank</t>
        </is>
      </c>
      <c r="C520" t="n">
        <v>25760</v>
      </c>
      <c r="D520" t="n">
        <v>25790</v>
      </c>
      <c r="E520" t="n">
        <v>26170</v>
      </c>
    </row>
    <row r="521">
      <c r="A521" t="inlineStr">
        <is>
          <t>16/09/2026</t>
        </is>
      </c>
      <c r="B521" t="inlineStr">
        <is>
          <t>Agribank</t>
        </is>
      </c>
      <c r="C521" t="n">
        <v>25750</v>
      </c>
      <c r="D521" t="n">
        <v>25780</v>
      </c>
      <c r="E521" t="n">
        <v>26160</v>
      </c>
    </row>
    <row r="522">
      <c r="A522" t="inlineStr">
        <is>
          <t>17/09/2026</t>
        </is>
      </c>
      <c r="B522" t="inlineStr">
        <is>
          <t>Agribank</t>
        </is>
      </c>
      <c r="C522" t="n">
        <v>25780</v>
      </c>
      <c r="D522" t="n">
        <v>25810</v>
      </c>
      <c r="E522" t="n">
        <v>26190</v>
      </c>
    </row>
    <row r="523">
      <c r="A523" t="inlineStr">
        <is>
          <t>18/09/2026</t>
        </is>
      </c>
      <c r="B523" t="inlineStr">
        <is>
          <t>Agribank</t>
        </is>
      </c>
      <c r="C523" t="n">
        <v>25790</v>
      </c>
      <c r="D523" t="n">
        <v>25820</v>
      </c>
      <c r="E523" t="n">
        <v>26200</v>
      </c>
    </row>
    <row r="524">
      <c r="A524" t="inlineStr">
        <is>
          <t>09/09/2026</t>
        </is>
      </c>
      <c r="B524" t="inlineStr">
        <is>
          <t>BIDV</t>
        </is>
      </c>
      <c r="C524" t="n">
        <v>25730</v>
      </c>
      <c r="D524" t="n">
        <v>25730</v>
      </c>
      <c r="E524" t="n">
        <v>26110</v>
      </c>
    </row>
    <row r="525">
      <c r="A525" t="inlineStr">
        <is>
          <t>08/09/2026</t>
        </is>
      </c>
      <c r="B525" t="inlineStr">
        <is>
          <t>BIDV</t>
        </is>
      </c>
      <c r="C525" t="n">
        <v>25780</v>
      </c>
      <c r="D525" t="n">
        <v>25780</v>
      </c>
      <c r="E525" t="n">
        <v>26160</v>
      </c>
    </row>
    <row r="526">
      <c r="A526" t="inlineStr">
        <is>
          <t>07/09/2026</t>
        </is>
      </c>
      <c r="B526" t="inlineStr">
        <is>
          <t>BIDV</t>
        </is>
      </c>
      <c r="C526" t="n">
        <v>25865</v>
      </c>
      <c r="D526" t="n">
        <v>25865</v>
      </c>
      <c r="E526" t="n">
        <v>26245</v>
      </c>
    </row>
    <row r="527">
      <c r="A527" t="inlineStr">
        <is>
          <t>06/09/2026</t>
        </is>
      </c>
      <c r="B527" t="inlineStr">
        <is>
          <t>BIDV</t>
        </is>
      </c>
      <c r="C527" t="n">
        <v>25880</v>
      </c>
      <c r="D527" t="n">
        <v>25880</v>
      </c>
      <c r="E527" t="n">
        <v>26260</v>
      </c>
    </row>
    <row r="528">
      <c r="A528" t="inlineStr">
        <is>
          <t>05/09/2026</t>
        </is>
      </c>
      <c r="B528" t="inlineStr">
        <is>
          <t>BIDV</t>
        </is>
      </c>
      <c r="C528" t="n">
        <v>25880</v>
      </c>
      <c r="D528" t="n">
        <v>25880</v>
      </c>
      <c r="E528" t="n">
        <v>26260</v>
      </c>
    </row>
    <row r="529">
      <c r="A529" t="inlineStr">
        <is>
          <t>04/09/2026</t>
        </is>
      </c>
      <c r="B529" t="inlineStr">
        <is>
          <t>BIDV</t>
        </is>
      </c>
      <c r="C529" t="n">
        <v>25880</v>
      </c>
      <c r="D529" t="n">
        <v>25880</v>
      </c>
      <c r="E529" t="n">
        <v>26260</v>
      </c>
    </row>
    <row r="530">
      <c r="A530" t="inlineStr">
        <is>
          <t>03/09/2026</t>
        </is>
      </c>
      <c r="B530" t="inlineStr">
        <is>
          <t>BIDV</t>
        </is>
      </c>
      <c r="C530" t="n">
        <v>25900</v>
      </c>
      <c r="D530" t="n">
        <v>25900</v>
      </c>
      <c r="E530" t="n">
        <v>26280</v>
      </c>
    </row>
    <row r="531">
      <c r="A531" t="inlineStr">
        <is>
          <t>02/09/2026</t>
        </is>
      </c>
      <c r="B531" t="inlineStr">
        <is>
          <t>BIDV</t>
        </is>
      </c>
      <c r="C531" t="n">
        <v>25890</v>
      </c>
      <c r="D531" t="n">
        <v>25890</v>
      </c>
      <c r="E531" t="n">
        <v>26270</v>
      </c>
    </row>
    <row r="532">
      <c r="A532" t="inlineStr">
        <is>
          <t>01/09/2026</t>
        </is>
      </c>
      <c r="B532" t="inlineStr">
        <is>
          <t>BIDV</t>
        </is>
      </c>
      <c r="C532" t="n">
        <v>25890</v>
      </c>
      <c r="D532" t="n">
        <v>25890</v>
      </c>
      <c r="E532" t="n">
        <v>26270</v>
      </c>
    </row>
    <row r="533">
      <c r="A533" t="inlineStr">
        <is>
          <t>31/08/2026</t>
        </is>
      </c>
      <c r="B533" t="inlineStr">
        <is>
          <t>BIDV</t>
        </is>
      </c>
      <c r="C533" t="n">
        <v>25890</v>
      </c>
      <c r="D533" t="n">
        <v>25890</v>
      </c>
      <c r="E533" t="n">
        <v>26270</v>
      </c>
    </row>
    <row r="534">
      <c r="A534" t="inlineStr">
        <is>
          <t>30/08/2026</t>
        </is>
      </c>
      <c r="B534" t="inlineStr">
        <is>
          <t>BIDV</t>
        </is>
      </c>
      <c r="C534" t="n">
        <v>25890</v>
      </c>
      <c r="D534" t="n">
        <v>25890</v>
      </c>
      <c r="E534" t="n">
        <v>26270</v>
      </c>
    </row>
    <row r="535">
      <c r="A535" t="inlineStr">
        <is>
          <t>29/08/2026</t>
        </is>
      </c>
      <c r="B535" t="inlineStr">
        <is>
          <t>BIDV</t>
        </is>
      </c>
      <c r="C535" t="n">
        <v>25890</v>
      </c>
      <c r="D535" t="n">
        <v>25890</v>
      </c>
      <c r="E535" t="n">
        <v>26270</v>
      </c>
    </row>
    <row r="536">
      <c r="A536" t="inlineStr">
        <is>
          <t>28/08/2026</t>
        </is>
      </c>
      <c r="B536" t="inlineStr">
        <is>
          <t>BIDV</t>
        </is>
      </c>
      <c r="C536" t="n">
        <v>25890</v>
      </c>
      <c r="D536" t="n">
        <v>25890</v>
      </c>
      <c r="E536" t="n">
        <v>26270</v>
      </c>
    </row>
    <row r="537">
      <c r="A537" t="inlineStr">
        <is>
          <t>27/08/2026</t>
        </is>
      </c>
      <c r="B537" t="inlineStr">
        <is>
          <t>BIDV</t>
        </is>
      </c>
      <c r="C537" t="n">
        <v>25910</v>
      </c>
      <c r="D537" t="n">
        <v>25910</v>
      </c>
      <c r="E537" t="n">
        <v>26290</v>
      </c>
    </row>
    <row r="538">
      <c r="A538" t="inlineStr">
        <is>
          <t>26/08/2026</t>
        </is>
      </c>
      <c r="B538" t="inlineStr">
        <is>
          <t>BIDV</t>
        </is>
      </c>
      <c r="C538" t="n">
        <v>25900</v>
      </c>
      <c r="D538" t="n">
        <v>25900</v>
      </c>
      <c r="E538" t="n">
        <v>26280</v>
      </c>
    </row>
    <row r="539">
      <c r="A539" t="inlineStr">
        <is>
          <t>25/08/2026</t>
        </is>
      </c>
      <c r="B539" t="inlineStr">
        <is>
          <t>BIDV</t>
        </is>
      </c>
      <c r="C539" t="n">
        <v>25930</v>
      </c>
      <c r="D539" t="n">
        <v>25930</v>
      </c>
      <c r="E539" t="n">
        <v>26310</v>
      </c>
    </row>
    <row r="540">
      <c r="A540" t="inlineStr">
        <is>
          <t>24/08/2026</t>
        </is>
      </c>
      <c r="B540" t="inlineStr">
        <is>
          <t>BIDV</t>
        </is>
      </c>
      <c r="C540" t="n">
        <v>25950</v>
      </c>
      <c r="D540" t="n">
        <v>25950</v>
      </c>
      <c r="E540" t="n">
        <v>26330</v>
      </c>
    </row>
    <row r="541">
      <c r="A541" t="inlineStr">
        <is>
          <t>23/08/2026</t>
        </is>
      </c>
      <c r="B541" t="inlineStr">
        <is>
          <t>BIDV</t>
        </is>
      </c>
      <c r="C541" t="n">
        <v>25930</v>
      </c>
      <c r="D541" t="n">
        <v>25930</v>
      </c>
      <c r="E541" t="n">
        <v>26310</v>
      </c>
    </row>
    <row r="542">
      <c r="A542" t="inlineStr">
        <is>
          <t>22/08/2026</t>
        </is>
      </c>
      <c r="B542" t="inlineStr">
        <is>
          <t>BIDV</t>
        </is>
      </c>
      <c r="C542" t="n">
        <v>25930</v>
      </c>
      <c r="D542" t="n">
        <v>25930</v>
      </c>
      <c r="E542" t="n">
        <v>26310</v>
      </c>
    </row>
    <row r="543">
      <c r="A543" t="inlineStr">
        <is>
          <t>21/08/2026</t>
        </is>
      </c>
      <c r="B543" t="inlineStr">
        <is>
          <t>BIDV</t>
        </is>
      </c>
      <c r="C543" t="n">
        <v>25900</v>
      </c>
      <c r="D543" t="n">
        <v>25900</v>
      </c>
      <c r="E543" t="n">
        <v>26280</v>
      </c>
    </row>
    <row r="544">
      <c r="A544" t="inlineStr">
        <is>
          <t>20/08/2026</t>
        </is>
      </c>
      <c r="B544" t="inlineStr">
        <is>
          <t>BIDV</t>
        </is>
      </c>
      <c r="C544" t="n">
        <v>25960</v>
      </c>
      <c r="D544" t="n">
        <v>25960</v>
      </c>
      <c r="E544" t="n">
        <v>26340</v>
      </c>
    </row>
    <row r="545">
      <c r="A545" t="inlineStr">
        <is>
          <t>19/08/2026</t>
        </is>
      </c>
      <c r="B545" t="inlineStr">
        <is>
          <t>BIDV</t>
        </is>
      </c>
      <c r="C545" t="n">
        <v>25990</v>
      </c>
      <c r="D545" t="n">
        <v>25990</v>
      </c>
      <c r="E545" t="n">
        <v>26370</v>
      </c>
    </row>
    <row r="546">
      <c r="A546" t="inlineStr">
        <is>
          <t>18/08/2026</t>
        </is>
      </c>
      <c r="B546" t="inlineStr">
        <is>
          <t>BIDV</t>
        </is>
      </c>
      <c r="C546" t="n">
        <v>25995</v>
      </c>
      <c r="D546" t="n">
        <v>25995</v>
      </c>
      <c r="E546" t="n">
        <v>26375</v>
      </c>
    </row>
    <row r="547">
      <c r="A547" t="inlineStr">
        <is>
          <t>17/08/2026</t>
        </is>
      </c>
      <c r="B547" t="inlineStr">
        <is>
          <t>BIDV</t>
        </is>
      </c>
      <c r="C547" t="n">
        <v>26030</v>
      </c>
      <c r="D547" t="n">
        <v>26030</v>
      </c>
      <c r="E547" t="n">
        <v>26410</v>
      </c>
    </row>
    <row r="548">
      <c r="A548" t="inlineStr">
        <is>
          <t>16/08/2026</t>
        </is>
      </c>
      <c r="B548" t="inlineStr">
        <is>
          <t>BIDV</t>
        </is>
      </c>
      <c r="C548" t="n">
        <v>25930</v>
      </c>
      <c r="D548" t="n">
        <v>25930</v>
      </c>
      <c r="E548" t="n">
        <v>26310</v>
      </c>
    </row>
    <row r="549">
      <c r="A549" t="inlineStr">
        <is>
          <t>15/08/2026</t>
        </is>
      </c>
      <c r="B549" t="inlineStr">
        <is>
          <t>BIDV</t>
        </is>
      </c>
      <c r="C549" t="n">
        <v>25930</v>
      </c>
      <c r="D549" t="n">
        <v>25930</v>
      </c>
      <c r="E549" t="n">
        <v>26310</v>
      </c>
    </row>
    <row r="550">
      <c r="A550" t="inlineStr">
        <is>
          <t>14/08/2026</t>
        </is>
      </c>
      <c r="B550" t="inlineStr">
        <is>
          <t>BIDV</t>
        </is>
      </c>
      <c r="C550" t="n">
        <v>25930</v>
      </c>
      <c r="D550" t="n">
        <v>25930</v>
      </c>
      <c r="E550" t="n">
        <v>26310</v>
      </c>
    </row>
    <row r="551">
      <c r="A551" t="inlineStr">
        <is>
          <t>13/08/2026</t>
        </is>
      </c>
      <c r="B551" t="inlineStr">
        <is>
          <t>BIDV</t>
        </is>
      </c>
      <c r="C551" t="n">
        <v>25870</v>
      </c>
      <c r="D551" t="n">
        <v>25870</v>
      </c>
      <c r="E551" t="n">
        <v>26250</v>
      </c>
    </row>
    <row r="552">
      <c r="A552" t="inlineStr">
        <is>
          <t>12/08/2026</t>
        </is>
      </c>
      <c r="B552" t="inlineStr">
        <is>
          <t>BIDV</t>
        </is>
      </c>
      <c r="C552" t="n">
        <v>25910</v>
      </c>
      <c r="D552" t="n">
        <v>25910</v>
      </c>
      <c r="E552" t="n">
        <v>26290</v>
      </c>
    </row>
    <row r="553">
      <c r="A553" t="inlineStr">
        <is>
          <t>11/08/2026</t>
        </is>
      </c>
      <c r="B553" t="inlineStr">
        <is>
          <t>BIDV</t>
        </is>
      </c>
      <c r="C553" t="n">
        <v>25940</v>
      </c>
      <c r="D553" t="n">
        <v>25940</v>
      </c>
      <c r="E553" t="n">
        <v>26320</v>
      </c>
    </row>
    <row r="554">
      <c r="A554" t="inlineStr">
        <is>
          <t>10/08/2026</t>
        </is>
      </c>
      <c r="B554" t="inlineStr">
        <is>
          <t>BIDV</t>
        </is>
      </c>
      <c r="C554" t="n">
        <v>25970</v>
      </c>
      <c r="D554" t="n">
        <v>25970</v>
      </c>
      <c r="E554" t="n">
        <v>26350</v>
      </c>
    </row>
    <row r="555">
      <c r="A555" t="inlineStr">
        <is>
          <t>09/08/2026</t>
        </is>
      </c>
      <c r="B555" t="inlineStr">
        <is>
          <t>BIDV</t>
        </is>
      </c>
      <c r="C555" t="n">
        <v>26025</v>
      </c>
      <c r="D555" t="n">
        <v>26025</v>
      </c>
      <c r="E555" t="n">
        <v>26405</v>
      </c>
    </row>
    <row r="556">
      <c r="A556" t="inlineStr">
        <is>
          <t>08/08/2026</t>
        </is>
      </c>
      <c r="B556" t="inlineStr">
        <is>
          <t>BIDV</t>
        </is>
      </c>
      <c r="C556" t="n">
        <v>26025</v>
      </c>
      <c r="D556" t="n">
        <v>26025</v>
      </c>
      <c r="E556" t="n">
        <v>26405</v>
      </c>
    </row>
    <row r="557">
      <c r="A557" t="inlineStr">
        <is>
          <t>07/08/2026</t>
        </is>
      </c>
      <c r="B557" t="inlineStr">
        <is>
          <t>BIDV</t>
        </is>
      </c>
      <c r="C557" t="n">
        <v>26025</v>
      </c>
      <c r="D557" t="n">
        <v>26025</v>
      </c>
      <c r="E557" t="n">
        <v>26405</v>
      </c>
    </row>
    <row r="558">
      <c r="A558" t="inlineStr">
        <is>
          <t>06/08/2026</t>
        </is>
      </c>
      <c r="B558" t="inlineStr">
        <is>
          <t>BIDV</t>
        </is>
      </c>
      <c r="C558" t="n">
        <v>26040</v>
      </c>
      <c r="D558" t="n">
        <v>26040</v>
      </c>
      <c r="E558" t="n">
        <v>26420</v>
      </c>
    </row>
    <row r="559">
      <c r="A559" t="inlineStr">
        <is>
          <t>05/08/2026</t>
        </is>
      </c>
      <c r="B559" t="inlineStr">
        <is>
          <t>BIDV</t>
        </is>
      </c>
      <c r="C559" t="n">
        <v>26080</v>
      </c>
      <c r="D559" t="n">
        <v>26080</v>
      </c>
      <c r="E559" t="n">
        <v>26460</v>
      </c>
    </row>
    <row r="560">
      <c r="A560" t="inlineStr">
        <is>
          <t>04/08/2026</t>
        </is>
      </c>
      <c r="B560" t="inlineStr">
        <is>
          <t>BIDV</t>
        </is>
      </c>
      <c r="C560" t="n">
        <v>26080</v>
      </c>
      <c r="D560" t="n">
        <v>26080</v>
      </c>
      <c r="E560" t="n">
        <v>26460</v>
      </c>
    </row>
    <row r="561">
      <c r="A561" t="inlineStr">
        <is>
          <t>03/08/2026</t>
        </is>
      </c>
      <c r="B561" t="inlineStr">
        <is>
          <t>BIDV</t>
        </is>
      </c>
      <c r="C561" t="n">
        <v>26100</v>
      </c>
      <c r="D561" t="n">
        <v>26100</v>
      </c>
      <c r="E561" t="n">
        <v>26480</v>
      </c>
    </row>
    <row r="562">
      <c r="A562" t="inlineStr">
        <is>
          <t>02/08/2026</t>
        </is>
      </c>
      <c r="B562" t="inlineStr">
        <is>
          <t>BIDV</t>
        </is>
      </c>
      <c r="C562" t="n">
        <v>26090</v>
      </c>
      <c r="D562" t="n">
        <v>26090</v>
      </c>
      <c r="E562" t="n">
        <v>26470</v>
      </c>
    </row>
    <row r="563">
      <c r="A563" t="inlineStr">
        <is>
          <t>01/08/2026</t>
        </is>
      </c>
      <c r="B563" t="inlineStr">
        <is>
          <t>BIDV</t>
        </is>
      </c>
      <c r="C563" t="n">
        <v>26090</v>
      </c>
      <c r="D563" t="n">
        <v>26090</v>
      </c>
      <c r="E563" t="n">
        <v>26470</v>
      </c>
    </row>
    <row r="564">
      <c r="A564" t="inlineStr">
        <is>
          <t>31/07/2026</t>
        </is>
      </c>
      <c r="B564" t="inlineStr">
        <is>
          <t>BIDV</t>
        </is>
      </c>
      <c r="C564" t="n">
        <v>26090</v>
      </c>
      <c r="D564" t="n">
        <v>26090</v>
      </c>
      <c r="E564" t="n">
        <v>26470</v>
      </c>
    </row>
    <row r="565">
      <c r="A565" t="inlineStr">
        <is>
          <t>30/07/2026</t>
        </is>
      </c>
      <c r="B565" t="inlineStr">
        <is>
          <t>BIDV</t>
        </is>
      </c>
      <c r="C565" t="n">
        <v>26110</v>
      </c>
      <c r="D565" t="n">
        <v>26110</v>
      </c>
      <c r="E565" t="n">
        <v>26490</v>
      </c>
    </row>
    <row r="566">
      <c r="A566" t="inlineStr">
        <is>
          <t>29/07/2026</t>
        </is>
      </c>
      <c r="B566" t="inlineStr">
        <is>
          <t>BIDV</t>
        </is>
      </c>
      <c r="C566" t="n">
        <v>26145</v>
      </c>
      <c r="D566" t="n">
        <v>26145</v>
      </c>
      <c r="E566" t="n">
        <v>26525</v>
      </c>
    </row>
    <row r="567">
      <c r="A567" t="inlineStr">
        <is>
          <t>28/07/2026</t>
        </is>
      </c>
      <c r="B567" t="inlineStr">
        <is>
          <t>BIDV</t>
        </is>
      </c>
      <c r="C567" t="n">
        <v>26140</v>
      </c>
      <c r="D567" t="n">
        <v>26140</v>
      </c>
      <c r="E567" t="n">
        <v>26520</v>
      </c>
    </row>
    <row r="568">
      <c r="A568" t="inlineStr">
        <is>
          <t>27/07/2026</t>
        </is>
      </c>
      <c r="B568" t="inlineStr">
        <is>
          <t>BIDV</t>
        </is>
      </c>
      <c r="C568" t="n">
        <v>26135</v>
      </c>
      <c r="D568" t="n">
        <v>26135</v>
      </c>
      <c r="E568" t="n">
        <v>26515</v>
      </c>
    </row>
    <row r="569">
      <c r="A569" t="inlineStr">
        <is>
          <t>26/07/2026</t>
        </is>
      </c>
      <c r="B569" t="inlineStr">
        <is>
          <t>BIDV</t>
        </is>
      </c>
      <c r="C569" t="n">
        <v>26130</v>
      </c>
      <c r="D569" t="n">
        <v>26130</v>
      </c>
      <c r="E569" t="n">
        <v>26510</v>
      </c>
    </row>
    <row r="570">
      <c r="A570" t="inlineStr">
        <is>
          <t>25/07/2026</t>
        </is>
      </c>
      <c r="B570" t="inlineStr">
        <is>
          <t>BIDV</t>
        </is>
      </c>
      <c r="C570" t="n">
        <v>26130</v>
      </c>
      <c r="D570" t="n">
        <v>26130</v>
      </c>
      <c r="E570" t="n">
        <v>26510</v>
      </c>
    </row>
    <row r="571">
      <c r="A571" t="inlineStr">
        <is>
          <t>24/07/2026</t>
        </is>
      </c>
      <c r="B571" t="inlineStr">
        <is>
          <t>BIDV</t>
        </is>
      </c>
      <c r="C571" t="n">
        <v>26130</v>
      </c>
      <c r="D571" t="n">
        <v>26130</v>
      </c>
      <c r="E571" t="n">
        <v>26510</v>
      </c>
    </row>
    <row r="572">
      <c r="A572" t="inlineStr">
        <is>
          <t>23/07/2026</t>
        </is>
      </c>
      <c r="B572" t="inlineStr">
        <is>
          <t>BIDV</t>
        </is>
      </c>
      <c r="C572" t="n">
        <v>26120</v>
      </c>
      <c r="D572" t="n">
        <v>26120</v>
      </c>
      <c r="E572" t="n">
        <v>26500</v>
      </c>
    </row>
    <row r="573">
      <c r="A573" t="inlineStr">
        <is>
          <t>22/07/2026</t>
        </is>
      </c>
      <c r="B573" t="inlineStr">
        <is>
          <t>BIDV</t>
        </is>
      </c>
      <c r="C573" t="n">
        <v>26140</v>
      </c>
      <c r="D573" t="n">
        <v>26140</v>
      </c>
      <c r="E573" t="n">
        <v>26520</v>
      </c>
    </row>
    <row r="574">
      <c r="A574" t="inlineStr">
        <is>
          <t>21/07/2026</t>
        </is>
      </c>
      <c r="B574" t="inlineStr">
        <is>
          <t>BIDV</t>
        </is>
      </c>
      <c r="C574" t="n">
        <v>26130</v>
      </c>
      <c r="D574" t="n">
        <v>26130</v>
      </c>
      <c r="E574" t="n">
        <v>26510</v>
      </c>
    </row>
    <row r="575">
      <c r="A575" t="inlineStr">
        <is>
          <t>20/07/2026</t>
        </is>
      </c>
      <c r="B575" t="inlineStr">
        <is>
          <t>BIDV</t>
        </is>
      </c>
      <c r="C575" t="n">
        <v>26110</v>
      </c>
      <c r="D575" t="n">
        <v>26110</v>
      </c>
      <c r="E575" t="n">
        <v>26490</v>
      </c>
    </row>
    <row r="576">
      <c r="A576" t="inlineStr">
        <is>
          <t>19/07/2026</t>
        </is>
      </c>
      <c r="B576" t="inlineStr">
        <is>
          <t>BIDV</t>
        </is>
      </c>
      <c r="C576" t="n">
        <v>26070</v>
      </c>
      <c r="D576" t="n">
        <v>26070</v>
      </c>
      <c r="E576" t="n">
        <v>26450</v>
      </c>
    </row>
    <row r="577">
      <c r="A577" t="inlineStr">
        <is>
          <t>18/07/2026</t>
        </is>
      </c>
      <c r="B577" t="inlineStr">
        <is>
          <t>BIDV</t>
        </is>
      </c>
      <c r="C577" t="n">
        <v>26070</v>
      </c>
      <c r="D577" t="n">
        <v>26070</v>
      </c>
      <c r="E577" t="n">
        <v>26450</v>
      </c>
    </row>
    <row r="578">
      <c r="A578" t="inlineStr">
        <is>
          <t>17/07/2026</t>
        </is>
      </c>
      <c r="B578" t="inlineStr">
        <is>
          <t>BIDV</t>
        </is>
      </c>
      <c r="C578" t="n">
        <v>26070</v>
      </c>
      <c r="D578" t="n">
        <v>26070</v>
      </c>
      <c r="E578" t="n">
        <v>26450</v>
      </c>
    </row>
    <row r="579">
      <c r="A579" t="inlineStr">
        <is>
          <t>16/07/2026</t>
        </is>
      </c>
      <c r="B579" t="inlineStr">
        <is>
          <t>BIDV</t>
        </is>
      </c>
      <c r="C579" t="n">
        <v>26070</v>
      </c>
      <c r="D579" t="n">
        <v>26070</v>
      </c>
      <c r="E579" t="n">
        <v>26450</v>
      </c>
    </row>
    <row r="580">
      <c r="A580" t="inlineStr">
        <is>
          <t>15/07/2026</t>
        </is>
      </c>
      <c r="B580" t="inlineStr">
        <is>
          <t>BIDV</t>
        </is>
      </c>
      <c r="C580" t="n">
        <v>26070</v>
      </c>
      <c r="D580" t="n">
        <v>26070</v>
      </c>
      <c r="E580" t="n">
        <v>26450</v>
      </c>
    </row>
    <row r="581">
      <c r="A581" t="inlineStr">
        <is>
          <t>14/07/2026</t>
        </is>
      </c>
      <c r="B581" t="inlineStr">
        <is>
          <t>BIDV</t>
        </is>
      </c>
      <c r="C581" t="n">
        <v>26070</v>
      </c>
      <c r="D581" t="n">
        <v>26070</v>
      </c>
      <c r="E581" t="n">
        <v>26450</v>
      </c>
    </row>
    <row r="582">
      <c r="A582" t="inlineStr">
        <is>
          <t>13/07/2026</t>
        </is>
      </c>
      <c r="B582" t="inlineStr">
        <is>
          <t>BIDV</t>
        </is>
      </c>
      <c r="C582" t="n">
        <v>26080</v>
      </c>
      <c r="D582" t="n">
        <v>26080</v>
      </c>
      <c r="E582" t="n">
        <v>26460</v>
      </c>
    </row>
    <row r="583">
      <c r="A583" t="inlineStr">
        <is>
          <t>12/07/2026</t>
        </is>
      </c>
      <c r="B583" t="inlineStr">
        <is>
          <t>BIDV</t>
        </is>
      </c>
      <c r="C583" t="n">
        <v>26090</v>
      </c>
      <c r="D583" t="n">
        <v>26090</v>
      </c>
      <c r="E583" t="n">
        <v>26470</v>
      </c>
    </row>
    <row r="584">
      <c r="A584" t="inlineStr">
        <is>
          <t>11/07/2026</t>
        </is>
      </c>
      <c r="B584" t="inlineStr">
        <is>
          <t>BIDV</t>
        </is>
      </c>
      <c r="C584" t="n">
        <v>26090</v>
      </c>
      <c r="D584" t="n">
        <v>26090</v>
      </c>
      <c r="E584" t="n">
        <v>26470</v>
      </c>
    </row>
    <row r="585">
      <c r="A585" t="inlineStr">
        <is>
          <t>10/07/2026</t>
        </is>
      </c>
      <c r="B585" t="inlineStr">
        <is>
          <t>BIDV</t>
        </is>
      </c>
      <c r="C585" t="n">
        <v>26090</v>
      </c>
      <c r="D585" t="n">
        <v>26090</v>
      </c>
      <c r="E585" t="n">
        <v>26470</v>
      </c>
    </row>
    <row r="586">
      <c r="A586" t="inlineStr">
        <is>
          <t>09/07/2026</t>
        </is>
      </c>
      <c r="B586" t="inlineStr">
        <is>
          <t>BIDV</t>
        </is>
      </c>
      <c r="C586" t="n">
        <v>26111</v>
      </c>
      <c r="D586" t="n">
        <v>26111</v>
      </c>
      <c r="E586" t="n">
        <v>26471</v>
      </c>
    </row>
    <row r="587">
      <c r="A587" t="inlineStr">
        <is>
          <t>08/07/2026</t>
        </is>
      </c>
      <c r="B587" t="inlineStr">
        <is>
          <t>BIDV</t>
        </is>
      </c>
      <c r="C587" t="n">
        <v>26106</v>
      </c>
      <c r="D587" t="n">
        <v>26106</v>
      </c>
      <c r="E587" t="n">
        <v>26466</v>
      </c>
    </row>
    <row r="588">
      <c r="A588" t="inlineStr">
        <is>
          <t>07/07/2026</t>
        </is>
      </c>
      <c r="B588" t="inlineStr">
        <is>
          <t>BIDV</t>
        </is>
      </c>
      <c r="C588" t="n">
        <v>26082</v>
      </c>
      <c r="D588" t="n">
        <v>26082</v>
      </c>
      <c r="E588" t="n">
        <v>26462</v>
      </c>
    </row>
    <row r="589">
      <c r="A589" t="inlineStr">
        <is>
          <t>06/07/2026</t>
        </is>
      </c>
      <c r="B589" t="inlineStr">
        <is>
          <t>BIDV</t>
        </is>
      </c>
      <c r="C589" t="n">
        <v>26102</v>
      </c>
      <c r="D589" t="n">
        <v>26102</v>
      </c>
      <c r="E589" t="n">
        <v>26462</v>
      </c>
    </row>
    <row r="590">
      <c r="A590" t="inlineStr">
        <is>
          <t>05/07/2026</t>
        </is>
      </c>
      <c r="B590" t="inlineStr">
        <is>
          <t>BIDV</t>
        </is>
      </c>
      <c r="C590" t="n">
        <v>26083</v>
      </c>
      <c r="D590" t="n">
        <v>26083</v>
      </c>
      <c r="E590" t="n">
        <v>26463</v>
      </c>
    </row>
    <row r="591">
      <c r="A591" t="inlineStr">
        <is>
          <t>04/07/2026</t>
        </is>
      </c>
      <c r="B591" t="inlineStr">
        <is>
          <t>BIDV</t>
        </is>
      </c>
      <c r="C591" t="n">
        <v>26083</v>
      </c>
      <c r="D591" t="n">
        <v>26083</v>
      </c>
      <c r="E591" t="n">
        <v>26463</v>
      </c>
    </row>
    <row r="592">
      <c r="A592" t="inlineStr">
        <is>
          <t>03/07/2026</t>
        </is>
      </c>
      <c r="B592" t="inlineStr">
        <is>
          <t>BIDV</t>
        </is>
      </c>
      <c r="C592" t="n">
        <v>26083</v>
      </c>
      <c r="D592" t="n">
        <v>26083</v>
      </c>
      <c r="E592" t="n">
        <v>26463</v>
      </c>
    </row>
    <row r="593">
      <c r="A593" t="inlineStr">
        <is>
          <t>02/07/2026</t>
        </is>
      </c>
      <c r="B593" t="inlineStr">
        <is>
          <t>BIDV</t>
        </is>
      </c>
      <c r="C593" t="n">
        <v>26105</v>
      </c>
      <c r="D593" t="n">
        <v>26105</v>
      </c>
      <c r="E593" t="n">
        <v>26465</v>
      </c>
    </row>
    <row r="594">
      <c r="A594" t="inlineStr">
        <is>
          <t>01/07/2026</t>
        </is>
      </c>
      <c r="B594" t="inlineStr">
        <is>
          <t>BIDV</t>
        </is>
      </c>
      <c r="C594" t="n">
        <v>26106</v>
      </c>
      <c r="D594" t="n">
        <v>26106</v>
      </c>
      <c r="E594" t="n">
        <v>26466</v>
      </c>
    </row>
    <row r="595">
      <c r="A595" t="inlineStr">
        <is>
          <t>30/06/2026</t>
        </is>
      </c>
      <c r="B595" t="inlineStr">
        <is>
          <t>BIDV</t>
        </is>
      </c>
      <c r="C595" t="n">
        <v>26106</v>
      </c>
      <c r="D595" t="n">
        <v>26106</v>
      </c>
      <c r="E595" t="n">
        <v>26466</v>
      </c>
    </row>
    <row r="596">
      <c r="A596" t="inlineStr">
        <is>
          <t>29/06/2026</t>
        </is>
      </c>
      <c r="B596" t="inlineStr">
        <is>
          <t>BIDV</t>
        </is>
      </c>
      <c r="C596" t="n">
        <v>26121</v>
      </c>
      <c r="D596" t="n">
        <v>26121</v>
      </c>
      <c r="E596" t="n">
        <v>26461</v>
      </c>
    </row>
    <row r="597">
      <c r="A597" t="inlineStr">
        <is>
          <t>28/06/2026</t>
        </is>
      </c>
      <c r="B597" t="inlineStr">
        <is>
          <t>BIDV</t>
        </is>
      </c>
      <c r="C597" t="n">
        <v>26134</v>
      </c>
      <c r="D597" t="n">
        <v>26134</v>
      </c>
      <c r="E597" t="n">
        <v>26454</v>
      </c>
    </row>
    <row r="598">
      <c r="A598" t="inlineStr">
        <is>
          <t>27/06/2026</t>
        </is>
      </c>
      <c r="B598" t="inlineStr">
        <is>
          <t>BIDV</t>
        </is>
      </c>
      <c r="C598" t="n">
        <v>26134</v>
      </c>
      <c r="D598" t="n">
        <v>26134</v>
      </c>
      <c r="E598" t="n">
        <v>26454</v>
      </c>
    </row>
    <row r="599">
      <c r="A599" t="inlineStr">
        <is>
          <t>26/06/2026</t>
        </is>
      </c>
      <c r="B599" t="inlineStr">
        <is>
          <t>BIDV</t>
        </is>
      </c>
      <c r="C599" t="n">
        <v>26134</v>
      </c>
      <c r="D599" t="n">
        <v>26134</v>
      </c>
      <c r="E599" t="n">
        <v>26454</v>
      </c>
    </row>
    <row r="600">
      <c r="A600" t="inlineStr">
        <is>
          <t>25/06/2026</t>
        </is>
      </c>
      <c r="B600" t="inlineStr">
        <is>
          <t>BIDV</t>
        </is>
      </c>
      <c r="C600" t="n">
        <v>26136</v>
      </c>
      <c r="D600" t="n">
        <v>26136</v>
      </c>
      <c r="E600" t="n">
        <v>26456</v>
      </c>
    </row>
    <row r="601">
      <c r="A601" t="inlineStr">
        <is>
          <t>24/06/2026</t>
        </is>
      </c>
      <c r="B601" t="inlineStr">
        <is>
          <t>BIDV</t>
        </is>
      </c>
      <c r="C601" t="n">
        <v>26131</v>
      </c>
      <c r="D601" t="n">
        <v>26131</v>
      </c>
      <c r="E601" t="n">
        <v>26451</v>
      </c>
    </row>
    <row r="602">
      <c r="A602" t="inlineStr">
        <is>
          <t>23/06/2026</t>
        </is>
      </c>
      <c r="B602" t="inlineStr">
        <is>
          <t>BIDV</t>
        </is>
      </c>
      <c r="C602" t="n">
        <v>26128</v>
      </c>
      <c r="D602" t="n">
        <v>26128</v>
      </c>
      <c r="E602" t="n">
        <v>26448</v>
      </c>
    </row>
    <row r="603">
      <c r="A603" t="inlineStr">
        <is>
          <t>22/06/2026</t>
        </is>
      </c>
      <c r="B603" t="inlineStr">
        <is>
          <t>BIDV</t>
        </is>
      </c>
      <c r="C603" t="n">
        <v>26122</v>
      </c>
      <c r="D603" t="n">
        <v>26122</v>
      </c>
      <c r="E603" t="n">
        <v>26442</v>
      </c>
    </row>
    <row r="604">
      <c r="A604" t="inlineStr">
        <is>
          <t>21/06/2026</t>
        </is>
      </c>
      <c r="B604" t="inlineStr">
        <is>
          <t>BIDV</t>
        </is>
      </c>
      <c r="C604" t="n">
        <v>26120</v>
      </c>
      <c r="D604" t="n">
        <v>26120</v>
      </c>
      <c r="E604" t="n">
        <v>26440</v>
      </c>
    </row>
    <row r="605">
      <c r="A605" t="inlineStr">
        <is>
          <t>20/06/2026</t>
        </is>
      </c>
      <c r="B605" t="inlineStr">
        <is>
          <t>BIDV</t>
        </is>
      </c>
      <c r="C605" t="n">
        <v>26120</v>
      </c>
      <c r="D605" t="n">
        <v>26120</v>
      </c>
      <c r="E605" t="n">
        <v>26440</v>
      </c>
    </row>
    <row r="606">
      <c r="A606" t="inlineStr">
        <is>
          <t>19/06/2026</t>
        </is>
      </c>
      <c r="B606" t="inlineStr">
        <is>
          <t>BIDV</t>
        </is>
      </c>
      <c r="C606" t="n">
        <v>26120</v>
      </c>
      <c r="D606" t="n">
        <v>26120</v>
      </c>
      <c r="E606" t="n">
        <v>26440</v>
      </c>
    </row>
    <row r="607">
      <c r="A607" t="inlineStr">
        <is>
          <t>18/06/2026</t>
        </is>
      </c>
      <c r="B607" t="inlineStr">
        <is>
          <t>BIDV</t>
        </is>
      </c>
      <c r="C607" t="n">
        <v>26111</v>
      </c>
      <c r="D607" t="n">
        <v>26111</v>
      </c>
      <c r="E607" t="n">
        <v>26431</v>
      </c>
    </row>
    <row r="608">
      <c r="A608" t="inlineStr">
        <is>
          <t>17/06/2026</t>
        </is>
      </c>
      <c r="B608" t="inlineStr">
        <is>
          <t>BIDV</t>
        </is>
      </c>
      <c r="C608" t="n">
        <v>26113</v>
      </c>
      <c r="D608" t="n">
        <v>26113</v>
      </c>
      <c r="E608" t="n">
        <v>26433</v>
      </c>
    </row>
    <row r="609">
      <c r="A609" t="inlineStr">
        <is>
          <t>16/06/2026</t>
        </is>
      </c>
      <c r="B609" t="inlineStr">
        <is>
          <t>BIDV</t>
        </is>
      </c>
      <c r="C609" t="n">
        <v>26103</v>
      </c>
      <c r="D609" t="n">
        <v>26103</v>
      </c>
      <c r="E609" t="n">
        <v>26423</v>
      </c>
    </row>
    <row r="610">
      <c r="A610" t="inlineStr">
        <is>
          <t>15/06/2026</t>
        </is>
      </c>
      <c r="B610" t="inlineStr">
        <is>
          <t>BIDV</t>
        </is>
      </c>
      <c r="C610" t="n">
        <v>26103</v>
      </c>
      <c r="D610" t="n">
        <v>26103</v>
      </c>
      <c r="E610" t="n">
        <v>26423</v>
      </c>
    </row>
    <row r="611">
      <c r="A611" t="inlineStr">
        <is>
          <t>14/06/2026</t>
        </is>
      </c>
      <c r="B611" t="inlineStr">
        <is>
          <t>BIDV</t>
        </is>
      </c>
      <c r="C611" t="n">
        <v>26132</v>
      </c>
      <c r="D611" t="n">
        <v>26132</v>
      </c>
      <c r="E611" t="n">
        <v>26412</v>
      </c>
    </row>
    <row r="612">
      <c r="A612" t="inlineStr">
        <is>
          <t>13/06/2026</t>
        </is>
      </c>
      <c r="B612" t="inlineStr">
        <is>
          <t>BIDV</t>
        </is>
      </c>
      <c r="C612" t="n">
        <v>26132</v>
      </c>
      <c r="D612" t="n">
        <v>26132</v>
      </c>
      <c r="E612" t="n">
        <v>26412</v>
      </c>
    </row>
    <row r="613">
      <c r="A613" t="inlineStr">
        <is>
          <t>12/06/2026</t>
        </is>
      </c>
      <c r="B613" t="inlineStr">
        <is>
          <t>BIDV</t>
        </is>
      </c>
      <c r="C613" t="n">
        <v>26132</v>
      </c>
      <c r="D613" t="n">
        <v>26132</v>
      </c>
      <c r="E613" t="n">
        <v>26412</v>
      </c>
    </row>
    <row r="614">
      <c r="A614" t="inlineStr">
        <is>
          <t>11/06/2026</t>
        </is>
      </c>
      <c r="B614" t="inlineStr">
        <is>
          <t>BIDV</t>
        </is>
      </c>
      <c r="C614" t="n">
        <v>26130</v>
      </c>
      <c r="D614" t="n">
        <v>26130</v>
      </c>
      <c r="E614" t="n">
        <v>26410</v>
      </c>
    </row>
    <row r="615">
      <c r="A615" t="inlineStr">
        <is>
          <t>10/06/2026</t>
        </is>
      </c>
      <c r="B615" t="inlineStr">
        <is>
          <t>BIDV</t>
        </is>
      </c>
      <c r="C615" t="n">
        <v>26130</v>
      </c>
      <c r="D615" t="n">
        <v>26130</v>
      </c>
      <c r="E615" t="n">
        <v>26410</v>
      </c>
    </row>
    <row r="616">
      <c r="A616" t="inlineStr">
        <is>
          <t>09/06/2026</t>
        </is>
      </c>
      <c r="B616" t="inlineStr">
        <is>
          <t>BIDV</t>
        </is>
      </c>
      <c r="C616" t="n">
        <v>26128</v>
      </c>
      <c r="D616" t="n">
        <v>26128</v>
      </c>
      <c r="E616" t="n">
        <v>26408</v>
      </c>
    </row>
    <row r="617">
      <c r="A617" t="inlineStr">
        <is>
          <t>08/06/2026</t>
        </is>
      </c>
      <c r="B617" t="inlineStr">
        <is>
          <t>BIDV</t>
        </is>
      </c>
      <c r="C617" t="n">
        <v>26127</v>
      </c>
      <c r="D617" t="n">
        <v>26127</v>
      </c>
      <c r="E617" t="n">
        <v>26407</v>
      </c>
    </row>
    <row r="618">
      <c r="A618" t="inlineStr">
        <is>
          <t>07/06/2026</t>
        </is>
      </c>
      <c r="B618" t="inlineStr">
        <is>
          <t>BIDV</t>
        </is>
      </c>
      <c r="C618" t="n">
        <v>26124</v>
      </c>
      <c r="D618" t="n">
        <v>26124</v>
      </c>
      <c r="E618" t="n">
        <v>26404</v>
      </c>
    </row>
    <row r="619">
      <c r="A619" t="inlineStr">
        <is>
          <t>06/06/2026</t>
        </is>
      </c>
      <c r="B619" t="inlineStr">
        <is>
          <t>BIDV</t>
        </is>
      </c>
      <c r="C619" t="n">
        <v>26124</v>
      </c>
      <c r="D619" t="n">
        <v>26124</v>
      </c>
      <c r="E619" t="n">
        <v>26404</v>
      </c>
    </row>
    <row r="620">
      <c r="A620" t="inlineStr">
        <is>
          <t>05/06/2026</t>
        </is>
      </c>
      <c r="B620" t="inlineStr">
        <is>
          <t>BIDV</t>
        </is>
      </c>
      <c r="C620" t="n">
        <v>26124</v>
      </c>
      <c r="D620" t="n">
        <v>26124</v>
      </c>
      <c r="E620" t="n">
        <v>26404</v>
      </c>
    </row>
    <row r="621">
      <c r="A621" t="inlineStr">
        <is>
          <t>04/06/2026</t>
        </is>
      </c>
      <c r="B621" t="inlineStr">
        <is>
          <t>BIDV</t>
        </is>
      </c>
      <c r="C621" t="n">
        <v>26122</v>
      </c>
      <c r="D621" t="n">
        <v>26122</v>
      </c>
      <c r="E621" t="n">
        <v>26402</v>
      </c>
    </row>
    <row r="622">
      <c r="A622" t="inlineStr">
        <is>
          <t>03/06/2026</t>
        </is>
      </c>
      <c r="B622" t="inlineStr">
        <is>
          <t>BIDV</t>
        </is>
      </c>
      <c r="C622" t="n">
        <v>26122</v>
      </c>
      <c r="D622" t="n">
        <v>26122</v>
      </c>
      <c r="E622" t="n">
        <v>26402</v>
      </c>
    </row>
    <row r="623">
      <c r="A623" t="inlineStr">
        <is>
          <t>02/06/2026</t>
        </is>
      </c>
      <c r="B623" t="inlineStr">
        <is>
          <t>BIDV</t>
        </is>
      </c>
      <c r="C623" t="n">
        <v>26128</v>
      </c>
      <c r="D623" t="n">
        <v>26128</v>
      </c>
      <c r="E623" t="n">
        <v>26398</v>
      </c>
    </row>
    <row r="624">
      <c r="A624" t="inlineStr">
        <is>
          <t>01/06/2026</t>
        </is>
      </c>
      <c r="B624" t="inlineStr">
        <is>
          <t>BIDV</t>
        </is>
      </c>
      <c r="C624" t="n">
        <v>26114</v>
      </c>
      <c r="D624" t="n">
        <v>26114</v>
      </c>
      <c r="E624" t="n">
        <v>26394</v>
      </c>
    </row>
    <row r="625">
      <c r="A625" t="inlineStr">
        <is>
          <t>31/05/2026</t>
        </is>
      </c>
      <c r="B625" t="inlineStr">
        <is>
          <t>BIDV</t>
        </is>
      </c>
      <c r="C625" t="n">
        <v>26125</v>
      </c>
      <c r="D625" t="n">
        <v>26125</v>
      </c>
      <c r="E625" t="n">
        <v>26395</v>
      </c>
    </row>
    <row r="626">
      <c r="A626" t="inlineStr">
        <is>
          <t>30/05/2026</t>
        </is>
      </c>
      <c r="B626" t="inlineStr">
        <is>
          <t>BIDV</t>
        </is>
      </c>
      <c r="C626" t="n">
        <v>26125</v>
      </c>
      <c r="D626" t="n">
        <v>26125</v>
      </c>
      <c r="E626" t="n">
        <v>26395</v>
      </c>
    </row>
    <row r="627">
      <c r="A627" t="inlineStr">
        <is>
          <t>29/05/2026</t>
        </is>
      </c>
      <c r="B627" t="inlineStr">
        <is>
          <t>BIDV</t>
        </is>
      </c>
      <c r="C627" t="n">
        <v>26125</v>
      </c>
      <c r="D627" t="n">
        <v>26125</v>
      </c>
      <c r="E627" t="n">
        <v>26395</v>
      </c>
    </row>
    <row r="628">
      <c r="A628" t="inlineStr">
        <is>
          <t>28/05/2026</t>
        </is>
      </c>
      <c r="B628" t="inlineStr">
        <is>
          <t>BIDV</t>
        </is>
      </c>
      <c r="C628" t="n">
        <v>26123</v>
      </c>
      <c r="D628" t="n">
        <v>26123</v>
      </c>
      <c r="E628" t="n">
        <v>26393</v>
      </c>
    </row>
    <row r="629">
      <c r="A629" t="inlineStr">
        <is>
          <t>27/05/2026</t>
        </is>
      </c>
      <c r="B629" t="inlineStr">
        <is>
          <t>BIDV</t>
        </is>
      </c>
      <c r="C629" t="n">
        <v>26153</v>
      </c>
      <c r="D629" t="n">
        <v>26153</v>
      </c>
      <c r="E629" t="n">
        <v>26393</v>
      </c>
    </row>
    <row r="630">
      <c r="A630" t="inlineStr">
        <is>
          <t>26/05/2026</t>
        </is>
      </c>
      <c r="B630" t="inlineStr">
        <is>
          <t>BIDV</t>
        </is>
      </c>
      <c r="C630" t="n">
        <v>26164</v>
      </c>
      <c r="D630" t="n">
        <v>26164</v>
      </c>
      <c r="E630" t="n">
        <v>26394</v>
      </c>
    </row>
    <row r="631">
      <c r="A631" t="inlineStr">
        <is>
          <t>25/05/2026</t>
        </is>
      </c>
      <c r="B631" t="inlineStr">
        <is>
          <t>BIDV</t>
        </is>
      </c>
      <c r="C631" t="n">
        <v>26162</v>
      </c>
      <c r="D631" t="n">
        <v>26162</v>
      </c>
      <c r="E631" t="n">
        <v>26392</v>
      </c>
    </row>
    <row r="632">
      <c r="A632" t="inlineStr">
        <is>
          <t>24/05/2026</t>
        </is>
      </c>
      <c r="B632" t="inlineStr">
        <is>
          <t>BIDV</t>
        </is>
      </c>
      <c r="C632" t="n">
        <v>26010</v>
      </c>
      <c r="D632" t="n">
        <v>26010</v>
      </c>
      <c r="E632" t="n">
        <v>26390</v>
      </c>
    </row>
    <row r="633">
      <c r="A633" t="inlineStr">
        <is>
          <t>23/05/2026</t>
        </is>
      </c>
      <c r="B633" t="inlineStr">
        <is>
          <t>BIDV</t>
        </is>
      </c>
      <c r="C633" t="n">
        <v>26010</v>
      </c>
      <c r="D633" t="n">
        <v>26010</v>
      </c>
      <c r="E633" t="n">
        <v>26390</v>
      </c>
    </row>
    <row r="634">
      <c r="A634" t="inlineStr">
        <is>
          <t>22/05/2026</t>
        </is>
      </c>
      <c r="B634" t="inlineStr">
        <is>
          <t>BIDV</t>
        </is>
      </c>
      <c r="C634" t="n">
        <v>26150</v>
      </c>
      <c r="D634" t="n">
        <v>26150</v>
      </c>
      <c r="E634" t="n">
        <v>26390</v>
      </c>
    </row>
    <row r="635">
      <c r="A635" t="inlineStr">
        <is>
          <t>21/05/2026</t>
        </is>
      </c>
      <c r="B635" t="inlineStr">
        <is>
          <t>BIDV</t>
        </is>
      </c>
      <c r="C635" t="n">
        <v>26161</v>
      </c>
      <c r="D635" t="n">
        <v>26161</v>
      </c>
      <c r="E635" t="n">
        <v>26391</v>
      </c>
    </row>
    <row r="636">
      <c r="A636" t="inlineStr">
        <is>
          <t>20/05/2026</t>
        </is>
      </c>
      <c r="B636" t="inlineStr">
        <is>
          <t>BIDV</t>
        </is>
      </c>
      <c r="C636" t="n">
        <v>26161</v>
      </c>
      <c r="D636" t="n">
        <v>26161</v>
      </c>
      <c r="E636" t="n">
        <v>26391</v>
      </c>
    </row>
    <row r="637">
      <c r="A637" t="inlineStr">
        <is>
          <t>19/05/2026</t>
        </is>
      </c>
      <c r="B637" t="inlineStr">
        <is>
          <t>BIDV</t>
        </is>
      </c>
      <c r="C637" t="n">
        <v>26149</v>
      </c>
      <c r="D637" t="n">
        <v>26149</v>
      </c>
      <c r="E637" t="n">
        <v>26389</v>
      </c>
    </row>
    <row r="638">
      <c r="A638" t="inlineStr">
        <is>
          <t>18/05/2026</t>
        </is>
      </c>
      <c r="B638" t="inlineStr">
        <is>
          <t>BIDV</t>
        </is>
      </c>
      <c r="C638" t="n">
        <v>26137</v>
      </c>
      <c r="D638" t="n">
        <v>26137</v>
      </c>
      <c r="E638" t="n">
        <v>26387</v>
      </c>
    </row>
    <row r="639">
      <c r="A639" t="inlineStr">
        <is>
          <t>17/05/2026</t>
        </is>
      </c>
      <c r="B639" t="inlineStr">
        <is>
          <t>BIDV</t>
        </is>
      </c>
      <c r="C639" t="n">
        <v>26137</v>
      </c>
      <c r="D639" t="n">
        <v>26137</v>
      </c>
      <c r="E639" t="n">
        <v>26387</v>
      </c>
    </row>
    <row r="640">
      <c r="A640" t="inlineStr">
        <is>
          <t>16/05/2026</t>
        </is>
      </c>
      <c r="B640" t="inlineStr">
        <is>
          <t>BIDV</t>
        </is>
      </c>
      <c r="C640" t="n">
        <v>26137</v>
      </c>
      <c r="D640" t="n">
        <v>26137</v>
      </c>
      <c r="E640" t="n">
        <v>26387</v>
      </c>
    </row>
    <row r="641">
      <c r="A641" t="inlineStr">
        <is>
          <t>15/05/2026</t>
        </is>
      </c>
      <c r="B641" t="inlineStr">
        <is>
          <t>BIDV</t>
        </is>
      </c>
      <c r="C641" t="n">
        <v>26137</v>
      </c>
      <c r="D641" t="n">
        <v>26137</v>
      </c>
      <c r="E641" t="n">
        <v>26387</v>
      </c>
    </row>
    <row r="642">
      <c r="A642" t="inlineStr">
        <is>
          <t>14/05/2026</t>
        </is>
      </c>
      <c r="B642" t="inlineStr">
        <is>
          <t>BIDV</t>
        </is>
      </c>
      <c r="C642" t="n">
        <v>26132</v>
      </c>
      <c r="D642" t="n">
        <v>26132</v>
      </c>
      <c r="E642" t="n">
        <v>26382</v>
      </c>
    </row>
    <row r="643">
      <c r="A643" t="inlineStr">
        <is>
          <t>13/05/2026</t>
        </is>
      </c>
      <c r="B643" t="inlineStr">
        <is>
          <t>BIDV</t>
        </is>
      </c>
      <c r="C643" t="n">
        <v>26129</v>
      </c>
      <c r="D643" t="n">
        <v>26129</v>
      </c>
      <c r="E643" t="n">
        <v>26379</v>
      </c>
    </row>
    <row r="644">
      <c r="A644" t="inlineStr">
        <is>
          <t>12/05/2026</t>
        </is>
      </c>
      <c r="B644" t="inlineStr">
        <is>
          <t>BIDV</t>
        </is>
      </c>
      <c r="C644" t="n">
        <v>26139</v>
      </c>
      <c r="D644" t="n">
        <v>26139</v>
      </c>
      <c r="E644" t="n">
        <v>26379</v>
      </c>
    </row>
    <row r="645">
      <c r="A645" t="inlineStr">
        <is>
          <t>11/05/2026</t>
        </is>
      </c>
      <c r="B645" t="inlineStr">
        <is>
          <t>BIDV</t>
        </is>
      </c>
      <c r="C645" t="n">
        <v>26123</v>
      </c>
      <c r="D645" t="n">
        <v>26123</v>
      </c>
      <c r="E645" t="n">
        <v>26373</v>
      </c>
    </row>
    <row r="646">
      <c r="A646" t="inlineStr">
        <is>
          <t>10/05/2026</t>
        </is>
      </c>
      <c r="B646" t="inlineStr">
        <is>
          <t>BIDV</t>
        </is>
      </c>
      <c r="C646" t="n">
        <v>26117</v>
      </c>
      <c r="D646" t="n">
        <v>26117</v>
      </c>
      <c r="E646" t="n">
        <v>26367</v>
      </c>
    </row>
    <row r="647">
      <c r="A647" t="inlineStr">
        <is>
          <t>09/05/2026</t>
        </is>
      </c>
      <c r="B647" t="inlineStr">
        <is>
          <t>BIDV</t>
        </is>
      </c>
      <c r="C647" t="n">
        <v>26117</v>
      </c>
      <c r="D647" t="n">
        <v>26117</v>
      </c>
      <c r="E647" t="n">
        <v>26367</v>
      </c>
    </row>
    <row r="648">
      <c r="A648" t="inlineStr">
        <is>
          <t>08/05/2026</t>
        </is>
      </c>
      <c r="B648" t="inlineStr">
        <is>
          <t>BIDV</t>
        </is>
      </c>
      <c r="C648" t="n">
        <v>26117</v>
      </c>
      <c r="D648" t="n">
        <v>26117</v>
      </c>
      <c r="E648" t="n">
        <v>26367</v>
      </c>
    </row>
    <row r="649">
      <c r="A649" t="inlineStr">
        <is>
          <t>07/05/2026</t>
        </is>
      </c>
      <c r="B649" t="inlineStr">
        <is>
          <t>BIDV</t>
        </is>
      </c>
      <c r="C649" t="n">
        <v>26118</v>
      </c>
      <c r="D649" t="n">
        <v>26118</v>
      </c>
      <c r="E649" t="n">
        <v>26368</v>
      </c>
    </row>
    <row r="650">
      <c r="A650" t="inlineStr">
        <is>
          <t>06/05/2026</t>
        </is>
      </c>
      <c r="B650" t="inlineStr">
        <is>
          <t>BIDV</t>
        </is>
      </c>
      <c r="C650" t="n">
        <v>26128</v>
      </c>
      <c r="D650" t="n">
        <v>26128</v>
      </c>
      <c r="E650" t="n">
        <v>26368</v>
      </c>
    </row>
    <row r="651">
      <c r="A651" t="inlineStr">
        <is>
          <t>05/05/2026</t>
        </is>
      </c>
      <c r="B651" t="inlineStr">
        <is>
          <t>BIDV</t>
        </is>
      </c>
      <c r="C651" t="n">
        <v>26136</v>
      </c>
      <c r="D651" t="n">
        <v>26136</v>
      </c>
      <c r="E651" t="n">
        <v>26366</v>
      </c>
    </row>
    <row r="652">
      <c r="A652" t="inlineStr">
        <is>
          <t>04/05/2026</t>
        </is>
      </c>
      <c r="B652" t="inlineStr">
        <is>
          <t>BIDV</t>
        </is>
      </c>
      <c r="C652" t="n">
        <v>26147</v>
      </c>
      <c r="D652" t="n">
        <v>26147</v>
      </c>
      <c r="E652" t="n">
        <v>26367</v>
      </c>
    </row>
    <row r="653">
      <c r="A653" t="inlineStr">
        <is>
          <t>03/05/2026</t>
        </is>
      </c>
      <c r="B653" t="inlineStr">
        <is>
          <t>BIDV</t>
        </is>
      </c>
      <c r="C653" t="n">
        <v>26148</v>
      </c>
      <c r="D653" t="n">
        <v>26148</v>
      </c>
      <c r="E653" t="n">
        <v>26368</v>
      </c>
    </row>
    <row r="654">
      <c r="A654" t="inlineStr">
        <is>
          <t>02/05/2026</t>
        </is>
      </c>
      <c r="B654" t="inlineStr">
        <is>
          <t>BIDV</t>
        </is>
      </c>
      <c r="C654" t="n">
        <v>26148</v>
      </c>
      <c r="D654" t="n">
        <v>26148</v>
      </c>
      <c r="E654" t="n">
        <v>26368</v>
      </c>
    </row>
    <row r="655">
      <c r="A655" t="inlineStr">
        <is>
          <t>01/05/2026</t>
        </is>
      </c>
      <c r="B655" t="inlineStr">
        <is>
          <t>BIDV</t>
        </is>
      </c>
      <c r="C655" t="n">
        <v>26148</v>
      </c>
      <c r="D655" t="n">
        <v>26148</v>
      </c>
      <c r="E655" t="n">
        <v>26368</v>
      </c>
    </row>
    <row r="656">
      <c r="A656" t="inlineStr">
        <is>
          <t>30/04/2026</t>
        </is>
      </c>
      <c r="B656" t="inlineStr">
        <is>
          <t>BIDV</t>
        </is>
      </c>
      <c r="C656" t="n">
        <v>26148</v>
      </c>
      <c r="D656" t="n">
        <v>26148</v>
      </c>
      <c r="E656" t="n">
        <v>26368</v>
      </c>
    </row>
    <row r="657">
      <c r="A657" t="inlineStr">
        <is>
          <t>29/04/2026</t>
        </is>
      </c>
      <c r="B657" t="inlineStr">
        <is>
          <t>BIDV</t>
        </is>
      </c>
      <c r="C657" t="n">
        <v>26148</v>
      </c>
      <c r="D657" t="n">
        <v>26148</v>
      </c>
      <c r="E657" t="n">
        <v>26368</v>
      </c>
    </row>
    <row r="658">
      <c r="A658" t="inlineStr">
        <is>
          <t>28/04/2026</t>
        </is>
      </c>
      <c r="B658" t="inlineStr">
        <is>
          <t>BIDV</t>
        </is>
      </c>
      <c r="C658" t="n">
        <v>26146</v>
      </c>
      <c r="D658" t="n">
        <v>26146</v>
      </c>
      <c r="E658" t="n">
        <v>26366</v>
      </c>
    </row>
    <row r="659">
      <c r="A659" t="inlineStr">
        <is>
          <t>27/04/2026</t>
        </is>
      </c>
      <c r="B659" t="inlineStr">
        <is>
          <t>BIDV</t>
        </is>
      </c>
      <c r="C659" t="n">
        <v>26138</v>
      </c>
      <c r="D659" t="n">
        <v>26138</v>
      </c>
      <c r="E659" t="n">
        <v>26368</v>
      </c>
    </row>
    <row r="660">
      <c r="A660" t="inlineStr">
        <is>
          <t>26/04/2026</t>
        </is>
      </c>
      <c r="B660" t="inlineStr">
        <is>
          <t>BIDV</t>
        </is>
      </c>
      <c r="C660" t="n">
        <v>26138</v>
      </c>
      <c r="D660" t="n">
        <v>26138</v>
      </c>
      <c r="E660" t="n">
        <v>26368</v>
      </c>
    </row>
    <row r="661">
      <c r="A661" t="inlineStr">
        <is>
          <t>25/04/2026</t>
        </is>
      </c>
      <c r="B661" t="inlineStr">
        <is>
          <t>BIDV</t>
        </is>
      </c>
      <c r="C661" t="n">
        <v>26138</v>
      </c>
      <c r="D661" t="n">
        <v>26138</v>
      </c>
      <c r="E661" t="n">
        <v>26368</v>
      </c>
    </row>
    <row r="662">
      <c r="A662" t="inlineStr">
        <is>
          <t>24/04/2026</t>
        </is>
      </c>
      <c r="B662" t="inlineStr">
        <is>
          <t>BIDV</t>
        </is>
      </c>
      <c r="C662" t="n">
        <v>26138</v>
      </c>
      <c r="D662" t="n">
        <v>26138</v>
      </c>
      <c r="E662" t="n">
        <v>26368</v>
      </c>
    </row>
    <row r="663">
      <c r="A663" t="inlineStr">
        <is>
          <t>23/04/2026</t>
        </is>
      </c>
      <c r="B663" t="inlineStr">
        <is>
          <t>BIDV</t>
        </is>
      </c>
      <c r="C663" t="n">
        <v>26130</v>
      </c>
      <c r="D663" t="n">
        <v>26130</v>
      </c>
      <c r="E663" t="n">
        <v>26360</v>
      </c>
    </row>
    <row r="664">
      <c r="A664" t="inlineStr">
        <is>
          <t>22/04/2026</t>
        </is>
      </c>
      <c r="B664" t="inlineStr">
        <is>
          <t>BIDV</t>
        </is>
      </c>
      <c r="C664" t="n">
        <v>26125</v>
      </c>
      <c r="D664" t="n">
        <v>26125</v>
      </c>
      <c r="E664" t="n">
        <v>26355</v>
      </c>
    </row>
    <row r="665">
      <c r="A665" t="inlineStr">
        <is>
          <t>21/04/2026</t>
        </is>
      </c>
      <c r="B665" t="inlineStr">
        <is>
          <t>BIDV</t>
        </is>
      </c>
      <c r="C665" t="n">
        <v>26127</v>
      </c>
      <c r="D665" t="n">
        <v>26127</v>
      </c>
      <c r="E665" t="n">
        <v>26357</v>
      </c>
    </row>
    <row r="666">
      <c r="A666" t="inlineStr">
        <is>
          <t>20/04/2026</t>
        </is>
      </c>
      <c r="B666" t="inlineStr">
        <is>
          <t>BIDV</t>
        </is>
      </c>
      <c r="C666" t="n">
        <v>26138</v>
      </c>
      <c r="D666" t="n">
        <v>26138</v>
      </c>
      <c r="E666" t="n">
        <v>26358</v>
      </c>
    </row>
    <row r="667">
      <c r="A667" t="inlineStr">
        <is>
          <t>19/04/2026</t>
        </is>
      </c>
      <c r="B667" t="inlineStr">
        <is>
          <t>BIDV</t>
        </is>
      </c>
      <c r="C667" t="n">
        <v>26127</v>
      </c>
      <c r="D667" t="n">
        <v>26127</v>
      </c>
      <c r="E667" t="n">
        <v>26357</v>
      </c>
    </row>
    <row r="668">
      <c r="A668" t="inlineStr">
        <is>
          <t>18/04/2026</t>
        </is>
      </c>
      <c r="B668" t="inlineStr">
        <is>
          <t>BIDV</t>
        </is>
      </c>
      <c r="C668" t="n">
        <v>26127</v>
      </c>
      <c r="D668" t="n">
        <v>26127</v>
      </c>
      <c r="E668" t="n">
        <v>26357</v>
      </c>
    </row>
    <row r="669">
      <c r="A669" t="inlineStr">
        <is>
          <t>17/04/2026</t>
        </is>
      </c>
      <c r="B669" t="inlineStr">
        <is>
          <t>BIDV</t>
        </is>
      </c>
      <c r="C669" t="n">
        <v>26127</v>
      </c>
      <c r="D669" t="n">
        <v>26127</v>
      </c>
      <c r="E669" t="n">
        <v>26357</v>
      </c>
    </row>
    <row r="670">
      <c r="A670" t="inlineStr">
        <is>
          <t>16/04/2026</t>
        </is>
      </c>
      <c r="B670" t="inlineStr">
        <is>
          <t>BIDV</t>
        </is>
      </c>
      <c r="C670" t="n">
        <v>26127</v>
      </c>
      <c r="D670" t="n">
        <v>26127</v>
      </c>
      <c r="E670" t="n">
        <v>26357</v>
      </c>
    </row>
    <row r="671">
      <c r="A671" t="inlineStr">
        <is>
          <t>15/04/2026</t>
        </is>
      </c>
      <c r="B671" t="inlineStr">
        <is>
          <t>BIDV</t>
        </is>
      </c>
      <c r="C671" t="n">
        <v>26150</v>
      </c>
      <c r="D671" t="n">
        <v>26150</v>
      </c>
      <c r="E671" t="n">
        <v>26358</v>
      </c>
    </row>
    <row r="672">
      <c r="A672" t="inlineStr">
        <is>
          <t>14/04/2026</t>
        </is>
      </c>
      <c r="B672" t="inlineStr">
        <is>
          <t>BIDV</t>
        </is>
      </c>
      <c r="C672" t="n">
        <v>26141</v>
      </c>
      <c r="D672" t="n">
        <v>26141</v>
      </c>
      <c r="E672" t="n">
        <v>26361</v>
      </c>
    </row>
    <row r="673">
      <c r="A673" t="inlineStr">
        <is>
          <t>13/04/2026</t>
        </is>
      </c>
      <c r="B673" t="inlineStr">
        <is>
          <t>BIDV</t>
        </is>
      </c>
      <c r="C673" t="n">
        <v>26141</v>
      </c>
      <c r="D673" t="n">
        <v>26141</v>
      </c>
      <c r="E673" t="n">
        <v>26361</v>
      </c>
    </row>
    <row r="674">
      <c r="A674" t="inlineStr">
        <is>
          <t>12/04/2026</t>
        </is>
      </c>
      <c r="B674" t="inlineStr">
        <is>
          <t>BIDV</t>
        </is>
      </c>
      <c r="C674" t="n">
        <v>26130</v>
      </c>
      <c r="D674" t="n">
        <v>26130</v>
      </c>
      <c r="E674" t="n">
        <v>26360</v>
      </c>
    </row>
    <row r="675">
      <c r="A675" t="inlineStr">
        <is>
          <t>11/04/2026</t>
        </is>
      </c>
      <c r="B675" t="inlineStr">
        <is>
          <t>BIDV</t>
        </is>
      </c>
      <c r="C675" t="n">
        <v>26130</v>
      </c>
      <c r="D675" t="n">
        <v>26130</v>
      </c>
      <c r="E675" t="n">
        <v>26360</v>
      </c>
    </row>
    <row r="676">
      <c r="A676" t="inlineStr">
        <is>
          <t>10/04/2026</t>
        </is>
      </c>
      <c r="B676" t="inlineStr">
        <is>
          <t>BIDV</t>
        </is>
      </c>
      <c r="C676" t="n">
        <v>26130</v>
      </c>
      <c r="D676" t="n">
        <v>26130</v>
      </c>
      <c r="E676" t="n">
        <v>26360</v>
      </c>
    </row>
    <row r="677">
      <c r="A677" t="inlineStr">
        <is>
          <t>09/04/2026</t>
        </is>
      </c>
      <c r="B677" t="inlineStr">
        <is>
          <t>BIDV</t>
        </is>
      </c>
      <c r="C677" t="n">
        <v>26137</v>
      </c>
      <c r="D677" t="n">
        <v>26137</v>
      </c>
      <c r="E677" t="n">
        <v>26357</v>
      </c>
    </row>
    <row r="678">
      <c r="A678" t="inlineStr">
        <is>
          <t>08/04/2026</t>
        </is>
      </c>
      <c r="B678" t="inlineStr">
        <is>
          <t>BIDV</t>
        </is>
      </c>
      <c r="C678" t="n">
        <v>26141</v>
      </c>
      <c r="D678" t="n">
        <v>26141</v>
      </c>
      <c r="E678" t="n">
        <v>26361</v>
      </c>
    </row>
    <row r="679">
      <c r="A679" t="inlineStr">
        <is>
          <t>07/04/2026</t>
        </is>
      </c>
      <c r="B679" t="inlineStr">
        <is>
          <t>BIDV</t>
        </is>
      </c>
      <c r="C679" t="n">
        <v>26143</v>
      </c>
      <c r="D679" t="n">
        <v>26143</v>
      </c>
      <c r="E679" t="n">
        <v>26363</v>
      </c>
    </row>
    <row r="680">
      <c r="A680" t="inlineStr">
        <is>
          <t>06/04/2026</t>
        </is>
      </c>
      <c r="B680" t="inlineStr">
        <is>
          <t>BIDV</t>
        </is>
      </c>
      <c r="C680" t="n">
        <v>26141</v>
      </c>
      <c r="D680" t="n">
        <v>26141</v>
      </c>
      <c r="E680" t="n">
        <v>26361</v>
      </c>
    </row>
    <row r="681">
      <c r="A681" t="inlineStr">
        <is>
          <t>05/04/2026</t>
        </is>
      </c>
      <c r="B681" t="inlineStr">
        <is>
          <t>BIDV</t>
        </is>
      </c>
      <c r="C681" t="n">
        <v>26142</v>
      </c>
      <c r="D681" t="n">
        <v>26142</v>
      </c>
      <c r="E681" t="n">
        <v>26362</v>
      </c>
    </row>
    <row r="682">
      <c r="A682" t="inlineStr">
        <is>
          <t>04/04/2026</t>
        </is>
      </c>
      <c r="B682" t="inlineStr">
        <is>
          <t>BIDV</t>
        </is>
      </c>
      <c r="C682" t="n">
        <v>26142</v>
      </c>
      <c r="D682" t="n">
        <v>26142</v>
      </c>
      <c r="E682" t="n">
        <v>26362</v>
      </c>
    </row>
    <row r="683">
      <c r="A683" t="inlineStr">
        <is>
          <t>03/04/2026</t>
        </is>
      </c>
      <c r="B683" t="inlineStr">
        <is>
          <t>BIDV</t>
        </is>
      </c>
      <c r="C683" t="n">
        <v>26142</v>
      </c>
      <c r="D683" t="n">
        <v>26142</v>
      </c>
      <c r="E683" t="n">
        <v>26362</v>
      </c>
    </row>
    <row r="684">
      <c r="A684" t="inlineStr">
        <is>
          <t>02/04/2026</t>
        </is>
      </c>
      <c r="B684" t="inlineStr">
        <is>
          <t>BIDV</t>
        </is>
      </c>
      <c r="C684" t="n">
        <v>26142</v>
      </c>
      <c r="D684" t="n">
        <v>26142</v>
      </c>
      <c r="E684" t="n">
        <v>26362</v>
      </c>
    </row>
    <row r="685">
      <c r="A685" t="inlineStr">
        <is>
          <t>01/04/2026</t>
        </is>
      </c>
      <c r="B685" t="inlineStr">
        <is>
          <t>BIDV</t>
        </is>
      </c>
      <c r="C685" t="n">
        <v>26140</v>
      </c>
      <c r="D685" t="n">
        <v>26140</v>
      </c>
      <c r="E685" t="n">
        <v>26360</v>
      </c>
    </row>
    <row r="686">
      <c r="A686" t="inlineStr">
        <is>
          <t>31/03/2026</t>
        </is>
      </c>
      <c r="B686" t="inlineStr">
        <is>
          <t>BIDV</t>
        </is>
      </c>
      <c r="C686" t="n">
        <v>26137</v>
      </c>
      <c r="D686" t="n">
        <v>26137</v>
      </c>
      <c r="E686" t="n">
        <v>26357</v>
      </c>
    </row>
    <row r="687">
      <c r="A687" t="inlineStr">
        <is>
          <t>30/03/2026</t>
        </is>
      </c>
      <c r="B687" t="inlineStr">
        <is>
          <t>BIDV</t>
        </is>
      </c>
      <c r="C687" t="n">
        <v>26135</v>
      </c>
      <c r="D687" t="n">
        <v>26135</v>
      </c>
      <c r="E687" t="n">
        <v>26355</v>
      </c>
    </row>
    <row r="688">
      <c r="A688" t="inlineStr">
        <is>
          <t>29/03/2026</t>
        </is>
      </c>
      <c r="B688" t="inlineStr">
        <is>
          <t>BIDV</t>
        </is>
      </c>
      <c r="C688" t="n">
        <v>26127</v>
      </c>
      <c r="D688" t="n">
        <v>26127</v>
      </c>
      <c r="E688" t="n">
        <v>26357</v>
      </c>
    </row>
    <row r="689">
      <c r="A689" t="inlineStr">
        <is>
          <t>28/03/2026</t>
        </is>
      </c>
      <c r="B689" t="inlineStr">
        <is>
          <t>BIDV</t>
        </is>
      </c>
      <c r="C689" t="n">
        <v>26127</v>
      </c>
      <c r="D689" t="n">
        <v>26127</v>
      </c>
      <c r="E689" t="n">
        <v>26357</v>
      </c>
    </row>
    <row r="690">
      <c r="A690" t="inlineStr">
        <is>
          <t>27/03/2026</t>
        </is>
      </c>
      <c r="B690" t="inlineStr">
        <is>
          <t>BIDV</t>
        </is>
      </c>
      <c r="C690" t="n">
        <v>26145</v>
      </c>
      <c r="D690" t="n">
        <v>26145</v>
      </c>
      <c r="E690" t="n">
        <v>26355</v>
      </c>
    </row>
    <row r="691">
      <c r="A691" t="inlineStr">
        <is>
          <t>26/03/2026</t>
        </is>
      </c>
      <c r="B691" t="inlineStr">
        <is>
          <t>BIDV</t>
        </is>
      </c>
      <c r="C691" t="n">
        <v>26137</v>
      </c>
      <c r="D691" t="n">
        <v>26137</v>
      </c>
      <c r="E691" t="n">
        <v>26357</v>
      </c>
    </row>
    <row r="692">
      <c r="A692" t="inlineStr">
        <is>
          <t>25/03/2026</t>
        </is>
      </c>
      <c r="B692" t="inlineStr">
        <is>
          <t>BIDV</t>
        </is>
      </c>
      <c r="C692" t="n">
        <v>26139</v>
      </c>
      <c r="D692" t="n">
        <v>26139</v>
      </c>
      <c r="E692" t="n">
        <v>26359</v>
      </c>
    </row>
    <row r="693">
      <c r="A693" t="inlineStr">
        <is>
          <t>24/03/2026</t>
        </is>
      </c>
      <c r="B693" t="inlineStr">
        <is>
          <t>BIDV</t>
        </is>
      </c>
      <c r="C693" t="n">
        <v>26144</v>
      </c>
      <c r="D693" t="n">
        <v>26144</v>
      </c>
      <c r="E693" t="n">
        <v>26364</v>
      </c>
    </row>
    <row r="694">
      <c r="A694" t="inlineStr">
        <is>
          <t>23/03/2026</t>
        </is>
      </c>
      <c r="B694" t="inlineStr">
        <is>
          <t>BIDV</t>
        </is>
      </c>
      <c r="C694" t="n">
        <v>26104</v>
      </c>
      <c r="D694" t="n">
        <v>26104</v>
      </c>
      <c r="E694" t="n">
        <v>26344</v>
      </c>
    </row>
    <row r="695">
      <c r="A695" t="inlineStr">
        <is>
          <t>22/03/2026</t>
        </is>
      </c>
      <c r="B695" t="inlineStr">
        <is>
          <t>BIDV</t>
        </is>
      </c>
      <c r="C695" t="n">
        <v>26115</v>
      </c>
      <c r="D695" t="n">
        <v>26115</v>
      </c>
      <c r="E695" t="n">
        <v>26335</v>
      </c>
    </row>
    <row r="696">
      <c r="A696" t="inlineStr">
        <is>
          <t>21/03/2026</t>
        </is>
      </c>
      <c r="B696" t="inlineStr">
        <is>
          <t>BIDV</t>
        </is>
      </c>
      <c r="C696" t="n">
        <v>26115</v>
      </c>
      <c r="D696" t="n">
        <v>26115</v>
      </c>
      <c r="E696" t="n">
        <v>26335</v>
      </c>
    </row>
    <row r="697">
      <c r="A697" t="inlineStr">
        <is>
          <t>20/03/2026</t>
        </is>
      </c>
      <c r="B697" t="inlineStr">
        <is>
          <t>BIDV</t>
        </is>
      </c>
      <c r="C697" t="n">
        <v>26115</v>
      </c>
      <c r="D697" t="n">
        <v>26115</v>
      </c>
      <c r="E697" t="n">
        <v>26335</v>
      </c>
    </row>
    <row r="698">
      <c r="A698" t="inlineStr">
        <is>
          <t>19/03/2026</t>
        </is>
      </c>
      <c r="B698" t="inlineStr">
        <is>
          <t>BIDV</t>
        </is>
      </c>
      <c r="C698" t="n">
        <v>26085</v>
      </c>
      <c r="D698" t="n">
        <v>26085</v>
      </c>
      <c r="E698" t="n">
        <v>26325</v>
      </c>
    </row>
    <row r="699">
      <c r="A699" t="inlineStr">
        <is>
          <t>18/03/2026</t>
        </is>
      </c>
      <c r="B699" t="inlineStr">
        <is>
          <t>BIDV</t>
        </is>
      </c>
      <c r="C699" t="n">
        <v>26080</v>
      </c>
      <c r="D699" t="n">
        <v>26080</v>
      </c>
      <c r="E699" t="n">
        <v>26320</v>
      </c>
    </row>
    <row r="700">
      <c r="A700" t="inlineStr">
        <is>
          <t>17/03/2026</t>
        </is>
      </c>
      <c r="B700" t="inlineStr">
        <is>
          <t>BIDV</t>
        </is>
      </c>
      <c r="C700" t="n">
        <v>26081</v>
      </c>
      <c r="D700" t="n">
        <v>26081</v>
      </c>
      <c r="E700" t="n">
        <v>26321</v>
      </c>
    </row>
    <row r="701">
      <c r="A701" t="inlineStr">
        <is>
          <t>16/03/2026</t>
        </is>
      </c>
      <c r="B701" t="inlineStr">
        <is>
          <t>BIDV</t>
        </is>
      </c>
      <c r="C701" t="n">
        <v>26081</v>
      </c>
      <c r="D701" t="n">
        <v>26081</v>
      </c>
      <c r="E701" t="n">
        <v>26321</v>
      </c>
    </row>
    <row r="702">
      <c r="A702" t="inlineStr">
        <is>
          <t>15/03/2026</t>
        </is>
      </c>
      <c r="B702" t="inlineStr">
        <is>
          <t>BIDV</t>
        </is>
      </c>
      <c r="C702" t="n">
        <v>26094</v>
      </c>
      <c r="D702" t="n">
        <v>26094</v>
      </c>
      <c r="E702" t="n">
        <v>26314</v>
      </c>
    </row>
    <row r="703">
      <c r="A703" t="inlineStr">
        <is>
          <t>14/03/2026</t>
        </is>
      </c>
      <c r="B703" t="inlineStr">
        <is>
          <t>BIDV</t>
        </is>
      </c>
      <c r="C703" t="n">
        <v>26094</v>
      </c>
      <c r="D703" t="n">
        <v>26094</v>
      </c>
      <c r="E703" t="n">
        <v>26314</v>
      </c>
    </row>
    <row r="704">
      <c r="A704" t="inlineStr">
        <is>
          <t>13/03/2026</t>
        </is>
      </c>
      <c r="B704" t="inlineStr">
        <is>
          <t>BIDV</t>
        </is>
      </c>
      <c r="C704" t="n">
        <v>26094</v>
      </c>
      <c r="D704" t="n">
        <v>26094</v>
      </c>
      <c r="E704" t="n">
        <v>26314</v>
      </c>
    </row>
    <row r="705">
      <c r="A705" t="inlineStr">
        <is>
          <t>12/03/2026</t>
        </is>
      </c>
      <c r="B705" t="inlineStr">
        <is>
          <t>BIDV</t>
        </is>
      </c>
      <c r="C705" t="n">
        <v>26074</v>
      </c>
      <c r="D705" t="n">
        <v>26074</v>
      </c>
      <c r="E705" t="n">
        <v>26314</v>
      </c>
    </row>
    <row r="706">
      <c r="A706" t="inlineStr">
        <is>
          <t>11/03/2026</t>
        </is>
      </c>
      <c r="B706" t="inlineStr">
        <is>
          <t>BIDV</t>
        </is>
      </c>
      <c r="C706" t="n">
        <v>26041</v>
      </c>
      <c r="D706" t="n">
        <v>26041</v>
      </c>
      <c r="E706" t="n">
        <v>26311</v>
      </c>
    </row>
    <row r="707">
      <c r="A707" t="inlineStr">
        <is>
          <t>10/03/2026</t>
        </is>
      </c>
      <c r="B707" t="inlineStr">
        <is>
          <t>BIDV</t>
        </is>
      </c>
      <c r="C707" t="n">
        <v>26015</v>
      </c>
      <c r="D707" t="n">
        <v>26015</v>
      </c>
      <c r="E707" t="n">
        <v>26315</v>
      </c>
    </row>
    <row r="708">
      <c r="A708" t="inlineStr">
        <is>
          <t>09/03/2026</t>
        </is>
      </c>
      <c r="B708" t="inlineStr">
        <is>
          <t>BIDV</t>
        </is>
      </c>
      <c r="C708" t="n">
        <v>26071</v>
      </c>
      <c r="D708" t="n">
        <v>26071</v>
      </c>
      <c r="E708" t="n">
        <v>26311</v>
      </c>
    </row>
    <row r="709">
      <c r="A709" t="inlineStr">
        <is>
          <t>08/03/2026</t>
        </is>
      </c>
      <c r="B709" t="inlineStr">
        <is>
          <t>BIDV</t>
        </is>
      </c>
      <c r="C709" t="n">
        <v>26029</v>
      </c>
      <c r="D709" t="n">
        <v>26029</v>
      </c>
      <c r="E709" t="n">
        <v>26309</v>
      </c>
    </row>
    <row r="710">
      <c r="A710" t="inlineStr">
        <is>
          <t>07/03/2026</t>
        </is>
      </c>
      <c r="B710" t="inlineStr">
        <is>
          <t>BIDV</t>
        </is>
      </c>
      <c r="C710" t="n">
        <v>26029</v>
      </c>
      <c r="D710" t="n">
        <v>26029</v>
      </c>
      <c r="E710" t="n">
        <v>26309</v>
      </c>
    </row>
    <row r="711">
      <c r="A711" t="inlineStr">
        <is>
          <t>06/03/2026</t>
        </is>
      </c>
      <c r="B711" t="inlineStr">
        <is>
          <t>BIDV</t>
        </is>
      </c>
      <c r="C711" t="n">
        <v>26029</v>
      </c>
      <c r="D711" t="n">
        <v>26029</v>
      </c>
      <c r="E711" t="n">
        <v>26309</v>
      </c>
    </row>
    <row r="712">
      <c r="A712" t="inlineStr">
        <is>
          <t>05/03/2026</t>
        </is>
      </c>
      <c r="B712" t="inlineStr">
        <is>
          <t>BIDV</t>
        </is>
      </c>
      <c r="C712" t="n">
        <v>26017</v>
      </c>
      <c r="D712" t="n">
        <v>26017</v>
      </c>
      <c r="E712" t="n">
        <v>26307</v>
      </c>
    </row>
    <row r="713">
      <c r="A713" t="inlineStr">
        <is>
          <t>04/03/2026</t>
        </is>
      </c>
      <c r="B713" t="inlineStr">
        <is>
          <t>BIDV</t>
        </is>
      </c>
      <c r="C713" t="n">
        <v>26024</v>
      </c>
      <c r="D713" t="n">
        <v>26024</v>
      </c>
      <c r="E713" t="n">
        <v>26304</v>
      </c>
    </row>
    <row r="714">
      <c r="A714" t="inlineStr">
        <is>
          <t>03/03/2026</t>
        </is>
      </c>
      <c r="B714" t="inlineStr">
        <is>
          <t>BIDV</t>
        </is>
      </c>
      <c r="C714" t="n">
        <v>26002</v>
      </c>
      <c r="D714" t="n">
        <v>26002</v>
      </c>
      <c r="E714" t="n">
        <v>26298</v>
      </c>
    </row>
    <row r="715">
      <c r="A715" t="inlineStr">
        <is>
          <t>02/03/2026</t>
        </is>
      </c>
      <c r="B715" t="inlineStr">
        <is>
          <t>BIDV</t>
        </is>
      </c>
      <c r="C715" t="n">
        <v>25969</v>
      </c>
      <c r="D715" t="n">
        <v>25969</v>
      </c>
      <c r="E715" t="n">
        <v>26289</v>
      </c>
    </row>
    <row r="716">
      <c r="A716" t="inlineStr">
        <is>
          <t>01/03/2026</t>
        </is>
      </c>
      <c r="B716" t="inlineStr">
        <is>
          <t>BIDV</t>
        </is>
      </c>
      <c r="C716" t="n">
        <v>25850</v>
      </c>
      <c r="D716" t="n">
        <v>25850</v>
      </c>
      <c r="E716" t="n">
        <v>26230</v>
      </c>
    </row>
    <row r="717">
      <c r="A717" t="inlineStr">
        <is>
          <t>28/02/2026</t>
        </is>
      </c>
      <c r="B717" t="inlineStr">
        <is>
          <t>BIDV</t>
        </is>
      </c>
      <c r="C717" t="n">
        <v>25850</v>
      </c>
      <c r="D717" t="n">
        <v>25850</v>
      </c>
      <c r="E717" t="n">
        <v>26230</v>
      </c>
    </row>
    <row r="718">
      <c r="A718" t="inlineStr">
        <is>
          <t>27/02/2026</t>
        </is>
      </c>
      <c r="B718" t="inlineStr">
        <is>
          <t>BIDV</t>
        </is>
      </c>
      <c r="C718" t="n">
        <v>25850</v>
      </c>
      <c r="D718" t="n">
        <v>25850</v>
      </c>
      <c r="E718" t="n">
        <v>26230</v>
      </c>
    </row>
    <row r="719">
      <c r="A719" t="inlineStr">
        <is>
          <t>26/02/2026</t>
        </is>
      </c>
      <c r="B719" t="inlineStr">
        <is>
          <t>BIDV</t>
        </is>
      </c>
      <c r="C719" t="n">
        <v>25908</v>
      </c>
      <c r="D719" t="n">
        <v>25908</v>
      </c>
      <c r="E719" t="n">
        <v>26288</v>
      </c>
    </row>
    <row r="720">
      <c r="A720" t="inlineStr">
        <is>
          <t>25/02/2026</t>
        </is>
      </c>
      <c r="B720" t="inlineStr">
        <is>
          <t>BIDV</t>
        </is>
      </c>
      <c r="C720" t="n">
        <v>25989</v>
      </c>
      <c r="D720" t="n">
        <v>25989</v>
      </c>
      <c r="E720" t="n">
        <v>26309</v>
      </c>
    </row>
    <row r="721">
      <c r="A721" t="inlineStr">
        <is>
          <t>24/02/2026</t>
        </is>
      </c>
      <c r="B721" t="inlineStr">
        <is>
          <t>BIDV</t>
        </is>
      </c>
      <c r="C721" t="n">
        <v>25975</v>
      </c>
      <c r="D721" t="n">
        <v>25975</v>
      </c>
      <c r="E721" t="n">
        <v>26305</v>
      </c>
    </row>
    <row r="722">
      <c r="A722" t="inlineStr">
        <is>
          <t>23/02/2026</t>
        </is>
      </c>
      <c r="B722" t="inlineStr">
        <is>
          <t>BIDV</t>
        </is>
      </c>
      <c r="C722" t="n">
        <v>25840</v>
      </c>
      <c r="D722" t="n">
        <v>25840</v>
      </c>
      <c r="E722" t="n">
        <v>26220</v>
      </c>
    </row>
    <row r="723">
      <c r="A723" t="inlineStr">
        <is>
          <t>22/02/2026</t>
        </is>
      </c>
      <c r="B723" t="inlineStr">
        <is>
          <t>BIDV</t>
        </is>
      </c>
      <c r="C723" t="n">
        <v>25790</v>
      </c>
      <c r="D723" t="n">
        <v>25790</v>
      </c>
      <c r="E723" t="n">
        <v>26170</v>
      </c>
    </row>
    <row r="724">
      <c r="A724" t="inlineStr">
        <is>
          <t>21/02/2026</t>
        </is>
      </c>
      <c r="B724" t="inlineStr">
        <is>
          <t>BIDV</t>
        </is>
      </c>
      <c r="C724" t="n">
        <v>25790</v>
      </c>
      <c r="D724" t="n">
        <v>25790</v>
      </c>
      <c r="E724" t="n">
        <v>26170</v>
      </c>
    </row>
    <row r="725">
      <c r="A725" t="inlineStr">
        <is>
          <t>20/02/2026</t>
        </is>
      </c>
      <c r="B725" t="inlineStr">
        <is>
          <t>BIDV</t>
        </is>
      </c>
      <c r="C725" t="n">
        <v>25790</v>
      </c>
      <c r="D725" t="n">
        <v>25790</v>
      </c>
      <c r="E725" t="n">
        <v>26170</v>
      </c>
    </row>
    <row r="726">
      <c r="A726" t="inlineStr">
        <is>
          <t>19/02/2026</t>
        </is>
      </c>
      <c r="B726" t="inlineStr">
        <is>
          <t>BIDV</t>
        </is>
      </c>
      <c r="C726" t="n">
        <v>25790</v>
      </c>
      <c r="D726" t="n">
        <v>25790</v>
      </c>
      <c r="E726" t="n">
        <v>26170</v>
      </c>
    </row>
    <row r="727">
      <c r="A727" t="inlineStr">
        <is>
          <t>18/02/2026</t>
        </is>
      </c>
      <c r="B727" t="inlineStr">
        <is>
          <t>BIDV</t>
        </is>
      </c>
      <c r="C727" t="n">
        <v>25790</v>
      </c>
      <c r="D727" t="n">
        <v>25790</v>
      </c>
      <c r="E727" t="n">
        <v>26170</v>
      </c>
    </row>
    <row r="728">
      <c r="A728" t="inlineStr">
        <is>
          <t>17/02/2026</t>
        </is>
      </c>
      <c r="B728" t="inlineStr">
        <is>
          <t>BIDV</t>
        </is>
      </c>
      <c r="C728" t="n">
        <v>25790</v>
      </c>
      <c r="D728" t="n">
        <v>25790</v>
      </c>
      <c r="E728" t="n">
        <v>26170</v>
      </c>
    </row>
    <row r="729">
      <c r="A729" t="inlineStr">
        <is>
          <t>16/02/2026</t>
        </is>
      </c>
      <c r="B729" t="inlineStr">
        <is>
          <t>BIDV</t>
        </is>
      </c>
      <c r="C729" t="n">
        <v>25790</v>
      </c>
      <c r="D729" t="n">
        <v>25790</v>
      </c>
      <c r="E729" t="n">
        <v>26170</v>
      </c>
    </row>
    <row r="730">
      <c r="A730" t="inlineStr">
        <is>
          <t>15/02/2026</t>
        </is>
      </c>
      <c r="B730" t="inlineStr">
        <is>
          <t>BIDV</t>
        </is>
      </c>
      <c r="C730" t="n">
        <v>25790</v>
      </c>
      <c r="D730" t="n">
        <v>25790</v>
      </c>
      <c r="E730" t="n">
        <v>26170</v>
      </c>
    </row>
    <row r="731">
      <c r="A731" t="inlineStr">
        <is>
          <t>14/02/2026</t>
        </is>
      </c>
      <c r="B731" t="inlineStr">
        <is>
          <t>BIDV</t>
        </is>
      </c>
      <c r="C731" t="n">
        <v>25790</v>
      </c>
      <c r="D731" t="n">
        <v>25790</v>
      </c>
      <c r="E731" t="n">
        <v>26170</v>
      </c>
    </row>
    <row r="732">
      <c r="A732" t="inlineStr">
        <is>
          <t>13/02/2026</t>
        </is>
      </c>
      <c r="B732" t="inlineStr">
        <is>
          <t>BIDV</t>
        </is>
      </c>
      <c r="C732" t="n">
        <v>25790</v>
      </c>
      <c r="D732" t="n">
        <v>25790</v>
      </c>
      <c r="E732" t="n">
        <v>26170</v>
      </c>
    </row>
    <row r="733">
      <c r="A733" t="inlineStr">
        <is>
          <t>12/02/2026</t>
        </is>
      </c>
      <c r="B733" t="inlineStr">
        <is>
          <t>BIDV</t>
        </is>
      </c>
      <c r="C733" t="n">
        <v>25765</v>
      </c>
      <c r="D733" t="n">
        <v>25765</v>
      </c>
      <c r="E733" t="n">
        <v>26145</v>
      </c>
    </row>
    <row r="734">
      <c r="A734" t="inlineStr">
        <is>
          <t>11/02/2026</t>
        </is>
      </c>
      <c r="B734" t="inlineStr">
        <is>
          <t>BIDV</t>
        </is>
      </c>
      <c r="C734" t="n">
        <v>25745</v>
      </c>
      <c r="D734" t="n">
        <v>25745</v>
      </c>
      <c r="E734" t="n">
        <v>26125</v>
      </c>
    </row>
    <row r="735">
      <c r="A735" t="inlineStr">
        <is>
          <t>10/02/2026</t>
        </is>
      </c>
      <c r="B735" t="inlineStr">
        <is>
          <t>BIDV</t>
        </is>
      </c>
      <c r="C735" t="n">
        <v>25677</v>
      </c>
      <c r="D735" t="n">
        <v>25677</v>
      </c>
      <c r="E735" t="n">
        <v>26057</v>
      </c>
    </row>
    <row r="736">
      <c r="A736" t="inlineStr">
        <is>
          <t>09/02/2026</t>
        </is>
      </c>
      <c r="B736" t="inlineStr">
        <is>
          <t>BIDV</t>
        </is>
      </c>
      <c r="C736" t="n">
        <v>25734</v>
      </c>
      <c r="D736" t="n">
        <v>25734</v>
      </c>
      <c r="E736" t="n">
        <v>26114</v>
      </c>
    </row>
    <row r="737">
      <c r="A737" t="inlineStr">
        <is>
          <t>08/02/2026</t>
        </is>
      </c>
      <c r="B737" t="inlineStr">
        <is>
          <t>BIDV</t>
        </is>
      </c>
      <c r="C737" t="n">
        <v>25746</v>
      </c>
      <c r="D737" t="n">
        <v>25746</v>
      </c>
      <c r="E737" t="n">
        <v>26126</v>
      </c>
    </row>
    <row r="738">
      <c r="A738" t="inlineStr">
        <is>
          <t>07/02/2026</t>
        </is>
      </c>
      <c r="B738" t="inlineStr">
        <is>
          <t>BIDV</t>
        </is>
      </c>
      <c r="C738" t="n">
        <v>25746</v>
      </c>
      <c r="D738" t="n">
        <v>25746</v>
      </c>
      <c r="E738" t="n">
        <v>26126</v>
      </c>
    </row>
    <row r="739">
      <c r="A739" t="inlineStr">
        <is>
          <t>06/02/2026</t>
        </is>
      </c>
      <c r="B739" t="inlineStr">
        <is>
          <t>BIDV</t>
        </is>
      </c>
      <c r="C739" t="n">
        <v>25746</v>
      </c>
      <c r="D739" t="n">
        <v>25746</v>
      </c>
      <c r="E739" t="n">
        <v>26126</v>
      </c>
    </row>
    <row r="740">
      <c r="A740" t="inlineStr">
        <is>
          <t>05/02/2026</t>
        </is>
      </c>
      <c r="B740" t="inlineStr">
        <is>
          <t>BIDV</t>
        </is>
      </c>
      <c r="C740" t="n">
        <v>25790</v>
      </c>
      <c r="D740" t="n">
        <v>25790</v>
      </c>
      <c r="E740" t="n">
        <v>26150</v>
      </c>
    </row>
    <row r="741">
      <c r="A741" t="inlineStr">
        <is>
          <t>04/02/2026</t>
        </is>
      </c>
      <c r="B741" t="inlineStr">
        <is>
          <t>BIDV</t>
        </is>
      </c>
      <c r="C741" t="n">
        <v>25820</v>
      </c>
      <c r="D741" t="n">
        <v>25820</v>
      </c>
      <c r="E741" t="n">
        <v>26180</v>
      </c>
    </row>
    <row r="742">
      <c r="A742" t="inlineStr">
        <is>
          <t>03/02/2026</t>
        </is>
      </c>
      <c r="B742" t="inlineStr">
        <is>
          <t>BIDV</t>
        </is>
      </c>
      <c r="C742" t="n">
        <v>25825</v>
      </c>
      <c r="D742" t="n">
        <v>25825</v>
      </c>
      <c r="E742" t="n">
        <v>26185</v>
      </c>
    </row>
    <row r="743">
      <c r="A743" t="inlineStr">
        <is>
          <t>02/02/2026</t>
        </is>
      </c>
      <c r="B743" t="inlineStr">
        <is>
          <t>BIDV</t>
        </is>
      </c>
      <c r="C743" t="n">
        <v>25820</v>
      </c>
      <c r="D743" t="n">
        <v>25820</v>
      </c>
      <c r="E743" t="n">
        <v>26180</v>
      </c>
    </row>
    <row r="744">
      <c r="A744" t="inlineStr">
        <is>
          <t>01/02/2026</t>
        </is>
      </c>
      <c r="B744" t="inlineStr">
        <is>
          <t>BIDV</t>
        </is>
      </c>
      <c r="C744" t="n">
        <v>25768</v>
      </c>
      <c r="D744" t="n">
        <v>25768</v>
      </c>
      <c r="E744" t="n">
        <v>26128</v>
      </c>
    </row>
    <row r="745">
      <c r="A745" t="inlineStr">
        <is>
          <t>31/01/2026</t>
        </is>
      </c>
      <c r="B745" t="inlineStr">
        <is>
          <t>BIDV</t>
        </is>
      </c>
      <c r="C745" t="n">
        <v>25768</v>
      </c>
      <c r="D745" t="n">
        <v>25768</v>
      </c>
      <c r="E745" t="n">
        <v>26128</v>
      </c>
    </row>
    <row r="746">
      <c r="A746" t="inlineStr">
        <is>
          <t>30/01/2026</t>
        </is>
      </c>
      <c r="B746" t="inlineStr">
        <is>
          <t>BIDV</t>
        </is>
      </c>
      <c r="C746" t="n">
        <v>25768</v>
      </c>
      <c r="D746" t="n">
        <v>25768</v>
      </c>
      <c r="E746" t="n">
        <v>26128</v>
      </c>
    </row>
    <row r="747">
      <c r="A747" t="inlineStr">
        <is>
          <t>29/01/2026</t>
        </is>
      </c>
      <c r="B747" t="inlineStr">
        <is>
          <t>BIDV</t>
        </is>
      </c>
      <c r="C747" t="n">
        <v>25845</v>
      </c>
      <c r="D747" t="n">
        <v>25845</v>
      </c>
      <c r="E747" t="n">
        <v>26205</v>
      </c>
    </row>
    <row r="748">
      <c r="A748" t="inlineStr">
        <is>
          <t>28/01/2026</t>
        </is>
      </c>
      <c r="B748" t="inlineStr">
        <is>
          <t>BIDV</t>
        </is>
      </c>
      <c r="C748" t="n">
        <v>25900</v>
      </c>
      <c r="D748" t="n">
        <v>25900</v>
      </c>
      <c r="E748" t="n">
        <v>26260</v>
      </c>
    </row>
    <row r="749">
      <c r="A749" t="inlineStr">
        <is>
          <t>27/01/2026</t>
        </is>
      </c>
      <c r="B749" t="inlineStr">
        <is>
          <t>BIDV</t>
        </is>
      </c>
      <c r="C749" t="n">
        <v>25970</v>
      </c>
      <c r="D749" t="n">
        <v>25970</v>
      </c>
      <c r="E749" t="n">
        <v>26330</v>
      </c>
    </row>
    <row r="750">
      <c r="A750" t="inlineStr">
        <is>
          <t>26/01/2026</t>
        </is>
      </c>
      <c r="B750" t="inlineStr">
        <is>
          <t>BIDV</t>
        </is>
      </c>
      <c r="C750" t="n">
        <v>25997</v>
      </c>
      <c r="D750" t="n">
        <v>25997</v>
      </c>
      <c r="E750" t="n">
        <v>26357</v>
      </c>
    </row>
    <row r="751">
      <c r="A751" t="inlineStr">
        <is>
          <t>25/01/2026</t>
        </is>
      </c>
      <c r="B751" t="inlineStr">
        <is>
          <t>BIDV</t>
        </is>
      </c>
      <c r="C751" t="n">
        <v>26081</v>
      </c>
      <c r="D751" t="n">
        <v>26081</v>
      </c>
      <c r="E751" t="n">
        <v>26381</v>
      </c>
    </row>
    <row r="752">
      <c r="A752" t="inlineStr">
        <is>
          <t>24/01/2026</t>
        </is>
      </c>
      <c r="B752" t="inlineStr">
        <is>
          <t>BIDV</t>
        </is>
      </c>
      <c r="C752" t="n">
        <v>26081</v>
      </c>
      <c r="D752" t="n">
        <v>26081</v>
      </c>
      <c r="E752" t="n">
        <v>26381</v>
      </c>
    </row>
    <row r="753">
      <c r="A753" t="inlineStr">
        <is>
          <t>23/01/2026</t>
        </is>
      </c>
      <c r="B753" t="inlineStr">
        <is>
          <t>BIDV</t>
        </is>
      </c>
      <c r="C753" t="n">
        <v>26081</v>
      </c>
      <c r="D753" t="n">
        <v>26081</v>
      </c>
      <c r="E753" t="n">
        <v>26381</v>
      </c>
    </row>
    <row r="754">
      <c r="A754" t="inlineStr">
        <is>
          <t>22/01/2026</t>
        </is>
      </c>
      <c r="B754" t="inlineStr">
        <is>
          <t>BIDV</t>
        </is>
      </c>
      <c r="C754" t="n">
        <v>26081</v>
      </c>
      <c r="D754" t="n">
        <v>26081</v>
      </c>
      <c r="E754" t="n">
        <v>26381</v>
      </c>
    </row>
    <row r="755">
      <c r="A755" t="inlineStr">
        <is>
          <t>21/01/2026</t>
        </is>
      </c>
      <c r="B755" t="inlineStr">
        <is>
          <t>BIDV</t>
        </is>
      </c>
      <c r="C755" t="n">
        <v>26080</v>
      </c>
      <c r="D755" t="n">
        <v>26080</v>
      </c>
      <c r="E755" t="n">
        <v>26380</v>
      </c>
    </row>
    <row r="756">
      <c r="A756" t="inlineStr">
        <is>
          <t>20/01/2026</t>
        </is>
      </c>
      <c r="B756" t="inlineStr">
        <is>
          <t>BIDV</t>
        </is>
      </c>
      <c r="C756" t="n">
        <v>26086</v>
      </c>
      <c r="D756" t="n">
        <v>26086</v>
      </c>
      <c r="E756" t="n">
        <v>26386</v>
      </c>
    </row>
    <row r="757">
      <c r="A757" t="inlineStr">
        <is>
          <t>19/01/2026</t>
        </is>
      </c>
      <c r="B757" t="inlineStr">
        <is>
          <t>BIDV</t>
        </is>
      </c>
      <c r="C757" t="n">
        <v>26088</v>
      </c>
      <c r="D757" t="n">
        <v>26088</v>
      </c>
      <c r="E757" t="n">
        <v>26388</v>
      </c>
    </row>
    <row r="758">
      <c r="A758" t="inlineStr">
        <is>
          <t>18/01/2026</t>
        </is>
      </c>
      <c r="B758" t="inlineStr">
        <is>
          <t>BIDV</t>
        </is>
      </c>
      <c r="C758" t="n">
        <v>26087</v>
      </c>
      <c r="D758" t="n">
        <v>26087</v>
      </c>
      <c r="E758" t="n">
        <v>26387</v>
      </c>
    </row>
    <row r="759">
      <c r="A759" t="inlineStr">
        <is>
          <t>17/01/2026</t>
        </is>
      </c>
      <c r="B759" t="inlineStr">
        <is>
          <t>BIDV</t>
        </is>
      </c>
      <c r="C759" t="n">
        <v>26087</v>
      </c>
      <c r="D759" t="n">
        <v>26087</v>
      </c>
      <c r="E759" t="n">
        <v>26387</v>
      </c>
    </row>
    <row r="760">
      <c r="A760" t="inlineStr">
        <is>
          <t>16/01/2026</t>
        </is>
      </c>
      <c r="B760" t="inlineStr">
        <is>
          <t>BIDV</t>
        </is>
      </c>
      <c r="C760" t="n">
        <v>26087</v>
      </c>
      <c r="D760" t="n">
        <v>26087</v>
      </c>
      <c r="E760" t="n">
        <v>26387</v>
      </c>
    </row>
    <row r="761">
      <c r="A761" t="inlineStr">
        <is>
          <t>15/01/2026</t>
        </is>
      </c>
      <c r="B761" t="inlineStr">
        <is>
          <t>BIDV</t>
        </is>
      </c>
      <c r="C761" t="n">
        <v>26091</v>
      </c>
      <c r="D761" t="n">
        <v>26091</v>
      </c>
      <c r="E761" t="n">
        <v>26391</v>
      </c>
    </row>
    <row r="762">
      <c r="A762" t="inlineStr">
        <is>
          <t>14/01/2026</t>
        </is>
      </c>
      <c r="B762" t="inlineStr">
        <is>
          <t>BIDV</t>
        </is>
      </c>
      <c r="C762" t="n">
        <v>26091</v>
      </c>
      <c r="D762" t="n">
        <v>26091</v>
      </c>
      <c r="E762" t="n">
        <v>26391</v>
      </c>
    </row>
    <row r="763">
      <c r="A763" t="inlineStr">
        <is>
          <t>13/01/2026</t>
        </is>
      </c>
      <c r="B763" t="inlineStr">
        <is>
          <t>BIDV</t>
        </is>
      </c>
      <c r="C763" t="n">
        <v>26085</v>
      </c>
      <c r="D763" t="n">
        <v>26085</v>
      </c>
      <c r="E763" t="n">
        <v>26385</v>
      </c>
    </row>
    <row r="764">
      <c r="A764" t="inlineStr">
        <is>
          <t>12/01/2026</t>
        </is>
      </c>
      <c r="B764" t="inlineStr">
        <is>
          <t>BIDV</t>
        </is>
      </c>
      <c r="C764" t="n">
        <v>26085</v>
      </c>
      <c r="D764" t="n">
        <v>26085</v>
      </c>
      <c r="E764" t="n">
        <v>26385</v>
      </c>
    </row>
    <row r="765">
      <c r="A765" t="inlineStr">
        <is>
          <t>11/01/2026</t>
        </is>
      </c>
      <c r="B765" t="inlineStr">
        <is>
          <t>BIDV</t>
        </is>
      </c>
      <c r="C765" t="n">
        <v>26087</v>
      </c>
      <c r="D765" t="n">
        <v>26087</v>
      </c>
      <c r="E765" t="n">
        <v>26387</v>
      </c>
    </row>
    <row r="766">
      <c r="A766" t="inlineStr">
        <is>
          <t>10/01/2026</t>
        </is>
      </c>
      <c r="B766" t="inlineStr">
        <is>
          <t>BIDV</t>
        </is>
      </c>
      <c r="C766" t="n">
        <v>26087</v>
      </c>
      <c r="D766" t="n">
        <v>26087</v>
      </c>
      <c r="E766" t="n">
        <v>26387</v>
      </c>
    </row>
    <row r="767">
      <c r="A767" t="inlineStr">
        <is>
          <t>09/01/2026</t>
        </is>
      </c>
      <c r="B767" t="inlineStr">
        <is>
          <t>BIDV</t>
        </is>
      </c>
      <c r="C767" t="n">
        <v>26083</v>
      </c>
      <c r="D767" t="n">
        <v>26083</v>
      </c>
      <c r="E767" t="n">
        <v>26383</v>
      </c>
    </row>
    <row r="768">
      <c r="A768" t="inlineStr">
        <is>
          <t>08/01/2026</t>
        </is>
      </c>
      <c r="B768" t="inlineStr">
        <is>
          <t>BIDV</t>
        </is>
      </c>
      <c r="C768" t="n">
        <v>26081</v>
      </c>
      <c r="D768" t="n">
        <v>26081</v>
      </c>
      <c r="E768" t="n">
        <v>26381</v>
      </c>
    </row>
    <row r="769">
      <c r="A769" t="inlineStr">
        <is>
          <t>07/01/2026</t>
        </is>
      </c>
      <c r="B769" t="inlineStr">
        <is>
          <t>BIDV</t>
        </is>
      </c>
      <c r="C769" t="n">
        <v>26078</v>
      </c>
      <c r="D769" t="n">
        <v>26078</v>
      </c>
      <c r="E769" t="n">
        <v>26378</v>
      </c>
    </row>
    <row r="770">
      <c r="A770" t="inlineStr">
        <is>
          <t>06/01/2026</t>
        </is>
      </c>
      <c r="B770" t="inlineStr">
        <is>
          <t>BIDV</t>
        </is>
      </c>
      <c r="C770" t="n">
        <v>26138</v>
      </c>
      <c r="D770" t="n">
        <v>26138</v>
      </c>
      <c r="E770" t="n">
        <v>26378</v>
      </c>
    </row>
    <row r="771">
      <c r="A771" t="inlineStr">
        <is>
          <t>05/01/2026</t>
        </is>
      </c>
      <c r="B771" t="inlineStr">
        <is>
          <t>BIDV</t>
        </is>
      </c>
      <c r="C771" t="n">
        <v>26080</v>
      </c>
      <c r="D771" t="n">
        <v>26080</v>
      </c>
      <c r="E771" t="n">
        <v>26380</v>
      </c>
    </row>
    <row r="772">
      <c r="A772" t="inlineStr">
        <is>
          <t>04/01/2026</t>
        </is>
      </c>
      <c r="B772" t="inlineStr">
        <is>
          <t>BIDV</t>
        </is>
      </c>
      <c r="C772" t="n">
        <v>26203</v>
      </c>
      <c r="D772" t="n">
        <v>26203</v>
      </c>
      <c r="E772" t="n">
        <v>26377</v>
      </c>
    </row>
    <row r="773">
      <c r="A773" t="inlineStr">
        <is>
          <t>03/01/2026</t>
        </is>
      </c>
      <c r="B773" t="inlineStr">
        <is>
          <t>BIDV</t>
        </is>
      </c>
      <c r="C773" t="n">
        <v>26203</v>
      </c>
      <c r="D773" t="n">
        <v>26203</v>
      </c>
      <c r="E773" t="n">
        <v>26377</v>
      </c>
    </row>
    <row r="774">
      <c r="A774" t="inlineStr">
        <is>
          <t>02/01/2026</t>
        </is>
      </c>
      <c r="B774" t="inlineStr">
        <is>
          <t>BIDV</t>
        </is>
      </c>
      <c r="C774" t="n">
        <v>26203</v>
      </c>
      <c r="D774" t="n">
        <v>26203</v>
      </c>
      <c r="E774" t="n">
        <v>26377</v>
      </c>
    </row>
    <row r="775">
      <c r="A775" t="inlineStr">
        <is>
          <t>01/01/2026</t>
        </is>
      </c>
      <c r="B775" t="inlineStr">
        <is>
          <t>BIDV</t>
        </is>
      </c>
      <c r="C775" t="n">
        <v>26203</v>
      </c>
      <c r="D775" t="n">
        <v>26203</v>
      </c>
      <c r="E775" t="n">
        <v>26377</v>
      </c>
    </row>
    <row r="776">
      <c r="A776" t="inlineStr">
        <is>
          <t>10/09/2026</t>
        </is>
      </c>
      <c r="B776" t="inlineStr">
        <is>
          <t>BIDV</t>
        </is>
      </c>
      <c r="C776" t="n">
        <v>25720</v>
      </c>
      <c r="D776" t="n">
        <v>25720</v>
      </c>
      <c r="E776" t="n">
        <v>26100</v>
      </c>
    </row>
    <row r="777">
      <c r="A777" t="inlineStr">
        <is>
          <t>11/09/2026</t>
        </is>
      </c>
      <c r="B777" t="inlineStr">
        <is>
          <t>BIDV</t>
        </is>
      </c>
      <c r="C777" t="n">
        <v>25730</v>
      </c>
      <c r="D777" t="n">
        <v>25730</v>
      </c>
      <c r="E777" t="n">
        <v>26110</v>
      </c>
    </row>
    <row r="778">
      <c r="A778" t="inlineStr">
        <is>
          <t>12/09/2026</t>
        </is>
      </c>
      <c r="B778" t="inlineStr">
        <is>
          <t>BIDV</t>
        </is>
      </c>
      <c r="C778" t="n">
        <v>25730</v>
      </c>
      <c r="D778" t="n">
        <v>25730</v>
      </c>
      <c r="E778" t="n">
        <v>26110</v>
      </c>
    </row>
    <row r="779">
      <c r="A779" t="inlineStr">
        <is>
          <t>13/09/2026</t>
        </is>
      </c>
      <c r="B779" t="inlineStr">
        <is>
          <t>BIDV</t>
        </is>
      </c>
      <c r="C779" t="n">
        <v>25730</v>
      </c>
      <c r="D779" t="n">
        <v>25730</v>
      </c>
      <c r="E779" t="n">
        <v>26110</v>
      </c>
    </row>
    <row r="780">
      <c r="A780" t="inlineStr">
        <is>
          <t>14/09/2026</t>
        </is>
      </c>
      <c r="B780" t="inlineStr">
        <is>
          <t>BIDV</t>
        </is>
      </c>
      <c r="C780" t="n">
        <v>25800</v>
      </c>
      <c r="D780" t="n">
        <v>25800</v>
      </c>
      <c r="E780" t="n">
        <v>26180</v>
      </c>
    </row>
    <row r="781">
      <c r="A781" t="inlineStr">
        <is>
          <t>15/09/2026</t>
        </is>
      </c>
      <c r="B781" t="inlineStr">
        <is>
          <t>BIDV</t>
        </is>
      </c>
      <c r="C781" t="n">
        <v>25755</v>
      </c>
      <c r="D781" t="n">
        <v>25755</v>
      </c>
      <c r="E781" t="n">
        <v>26135</v>
      </c>
    </row>
    <row r="782">
      <c r="A782" t="inlineStr">
        <is>
          <t>16/09/2026</t>
        </is>
      </c>
      <c r="B782" t="inlineStr">
        <is>
          <t>BIDV</t>
        </is>
      </c>
      <c r="C782" t="n">
        <v>25795</v>
      </c>
      <c r="D782" t="n">
        <v>25795</v>
      </c>
      <c r="E782" t="n">
        <v>26175</v>
      </c>
    </row>
    <row r="783">
      <c r="A783" t="inlineStr">
        <is>
          <t>17/09/2026</t>
        </is>
      </c>
      <c r="B783" t="inlineStr">
        <is>
          <t>BIDV</t>
        </is>
      </c>
      <c r="C783" t="n">
        <v>25805</v>
      </c>
      <c r="D783" t="n">
        <v>25805</v>
      </c>
      <c r="E783" t="n">
        <v>26185</v>
      </c>
    </row>
    <row r="784">
      <c r="A784" t="inlineStr">
        <is>
          <t>18/09/2026</t>
        </is>
      </c>
      <c r="B784" t="inlineStr">
        <is>
          <t>BIDV</t>
        </is>
      </c>
      <c r="C784" t="n">
        <v>25810</v>
      </c>
      <c r="D784" t="n">
        <v>25810</v>
      </c>
      <c r="E784" t="n">
        <v>26190</v>
      </c>
    </row>
    <row r="785">
      <c r="A785" t="inlineStr">
        <is>
          <t>09/09/2026</t>
        </is>
      </c>
      <c r="B785" t="inlineStr">
        <is>
          <t>Eximbank</t>
        </is>
      </c>
      <c r="C785" t="n">
        <v>25680</v>
      </c>
      <c r="D785" t="n">
        <v>25710</v>
      </c>
      <c r="E785" t="n">
        <v>26070</v>
      </c>
    </row>
    <row r="786">
      <c r="A786" t="inlineStr">
        <is>
          <t>08/09/2026</t>
        </is>
      </c>
      <c r="B786" t="inlineStr">
        <is>
          <t>Eximbank</t>
        </is>
      </c>
      <c r="C786" t="n">
        <v>25750</v>
      </c>
      <c r="D786" t="n">
        <v>25780</v>
      </c>
      <c r="E786" t="n">
        <v>26140</v>
      </c>
    </row>
    <row r="787">
      <c r="A787" t="inlineStr">
        <is>
          <t>07/09/2026</t>
        </is>
      </c>
      <c r="B787" t="inlineStr">
        <is>
          <t>Eximbank</t>
        </is>
      </c>
      <c r="C787" t="n">
        <v>25800</v>
      </c>
      <c r="D787" t="n">
        <v>25830</v>
      </c>
      <c r="E787" t="n">
        <v>26190</v>
      </c>
    </row>
    <row r="788">
      <c r="A788" t="inlineStr">
        <is>
          <t>06/09/2026</t>
        </is>
      </c>
      <c r="B788" t="inlineStr">
        <is>
          <t>Eximbank</t>
        </is>
      </c>
      <c r="C788" t="n">
        <v>25845</v>
      </c>
      <c r="D788" t="n">
        <v>25875</v>
      </c>
      <c r="E788" t="n">
        <v>26235</v>
      </c>
    </row>
    <row r="789">
      <c r="A789" t="inlineStr">
        <is>
          <t>05/09/2026</t>
        </is>
      </c>
      <c r="B789" t="inlineStr">
        <is>
          <t>Eximbank</t>
        </is>
      </c>
      <c r="C789" t="n">
        <v>25845</v>
      </c>
      <c r="D789" t="n">
        <v>25875</v>
      </c>
      <c r="E789" t="n">
        <v>26235</v>
      </c>
    </row>
    <row r="790">
      <c r="A790" t="inlineStr">
        <is>
          <t>04/09/2026</t>
        </is>
      </c>
      <c r="B790" t="inlineStr">
        <is>
          <t>Eximbank</t>
        </is>
      </c>
      <c r="C790" t="n">
        <v>25845</v>
      </c>
      <c r="D790" t="n">
        <v>25875</v>
      </c>
      <c r="E790" t="n">
        <v>26235</v>
      </c>
    </row>
    <row r="791">
      <c r="A791" t="inlineStr">
        <is>
          <t>03/09/2026</t>
        </is>
      </c>
      <c r="B791" t="inlineStr">
        <is>
          <t>Eximbank</t>
        </is>
      </c>
      <c r="C791" t="n">
        <v>25850</v>
      </c>
      <c r="D791" t="n">
        <v>25880</v>
      </c>
      <c r="E791" t="n">
        <v>26240</v>
      </c>
    </row>
    <row r="792">
      <c r="A792" t="inlineStr">
        <is>
          <t>02/09/2026</t>
        </is>
      </c>
      <c r="B792" t="inlineStr">
        <is>
          <t>Eximbank</t>
        </is>
      </c>
      <c r="C792" t="n">
        <v>25850</v>
      </c>
      <c r="D792" t="n">
        <v>25880</v>
      </c>
      <c r="E792" t="n">
        <v>26240</v>
      </c>
    </row>
    <row r="793">
      <c r="A793" t="inlineStr">
        <is>
          <t>01/09/2026</t>
        </is>
      </c>
      <c r="B793" t="inlineStr">
        <is>
          <t>Eximbank</t>
        </is>
      </c>
      <c r="C793" t="n">
        <v>25850</v>
      </c>
      <c r="D793" t="n">
        <v>25880</v>
      </c>
      <c r="E793" t="n">
        <v>26240</v>
      </c>
    </row>
    <row r="794">
      <c r="A794" t="inlineStr">
        <is>
          <t>31/08/2026</t>
        </is>
      </c>
      <c r="B794" t="inlineStr">
        <is>
          <t>Eximbank</t>
        </is>
      </c>
      <c r="C794" t="n">
        <v>25850</v>
      </c>
      <c r="D794" t="n">
        <v>25880</v>
      </c>
      <c r="E794" t="n">
        <v>26240</v>
      </c>
    </row>
    <row r="795">
      <c r="A795" t="inlineStr">
        <is>
          <t>30/08/2026</t>
        </is>
      </c>
      <c r="B795" t="inlineStr">
        <is>
          <t>Eximbank</t>
        </is>
      </c>
      <c r="C795" t="n">
        <v>25850</v>
      </c>
      <c r="D795" t="n">
        <v>25880</v>
      </c>
      <c r="E795" t="n">
        <v>26240</v>
      </c>
    </row>
    <row r="796">
      <c r="A796" t="inlineStr">
        <is>
          <t>29/08/2026</t>
        </is>
      </c>
      <c r="B796" t="inlineStr">
        <is>
          <t>Eximbank</t>
        </is>
      </c>
      <c r="C796" t="n">
        <v>25850</v>
      </c>
      <c r="D796" t="n">
        <v>25880</v>
      </c>
      <c r="E796" t="n">
        <v>26240</v>
      </c>
    </row>
    <row r="797">
      <c r="A797" t="inlineStr">
        <is>
          <t>28/08/2026</t>
        </is>
      </c>
      <c r="B797" t="inlineStr">
        <is>
          <t>Eximbank</t>
        </is>
      </c>
      <c r="C797" t="n">
        <v>25850</v>
      </c>
      <c r="D797" t="n">
        <v>25880</v>
      </c>
      <c r="E797" t="n">
        <v>26240</v>
      </c>
    </row>
    <row r="798">
      <c r="A798" t="inlineStr">
        <is>
          <t>27/08/2026</t>
        </is>
      </c>
      <c r="B798" t="inlineStr">
        <is>
          <t>Eximbank</t>
        </is>
      </c>
      <c r="C798" t="n">
        <v>25860</v>
      </c>
      <c r="D798" t="n">
        <v>25890</v>
      </c>
      <c r="E798" t="n">
        <v>26250</v>
      </c>
    </row>
    <row r="799">
      <c r="A799" t="inlineStr">
        <is>
          <t>26/08/2026</t>
        </is>
      </c>
      <c r="B799" t="inlineStr">
        <is>
          <t>Eximbank</t>
        </is>
      </c>
      <c r="C799" t="n">
        <v>25890</v>
      </c>
      <c r="D799" t="n">
        <v>25920</v>
      </c>
      <c r="E799" t="n">
        <v>26280</v>
      </c>
    </row>
    <row r="800">
      <c r="A800" t="inlineStr">
        <is>
          <t>25/08/2026</t>
        </is>
      </c>
      <c r="B800" t="inlineStr">
        <is>
          <t>Eximbank</t>
        </is>
      </c>
      <c r="C800" t="n">
        <v>25900</v>
      </c>
      <c r="D800" t="n">
        <v>25930</v>
      </c>
      <c r="E800" t="n">
        <v>26290</v>
      </c>
    </row>
    <row r="801">
      <c r="A801" t="inlineStr">
        <is>
          <t>24/08/2026</t>
        </is>
      </c>
      <c r="B801" t="inlineStr">
        <is>
          <t>Eximbank</t>
        </is>
      </c>
      <c r="C801" t="n">
        <v>25950</v>
      </c>
      <c r="D801" t="n">
        <v>25980</v>
      </c>
      <c r="E801" t="n">
        <v>26340</v>
      </c>
    </row>
    <row r="802">
      <c r="A802" t="inlineStr">
        <is>
          <t>23/08/2026</t>
        </is>
      </c>
      <c r="B802" t="inlineStr">
        <is>
          <t>Eximbank</t>
        </is>
      </c>
      <c r="C802" t="n">
        <v>25900</v>
      </c>
      <c r="D802" t="n">
        <v>25930</v>
      </c>
      <c r="E802" t="n">
        <v>26290</v>
      </c>
    </row>
    <row r="803">
      <c r="A803" t="inlineStr">
        <is>
          <t>22/08/2026</t>
        </is>
      </c>
      <c r="B803" t="inlineStr">
        <is>
          <t>Eximbank</t>
        </is>
      </c>
      <c r="C803" t="n">
        <v>25900</v>
      </c>
      <c r="D803" t="n">
        <v>25930</v>
      </c>
      <c r="E803" t="n">
        <v>26290</v>
      </c>
    </row>
    <row r="804">
      <c r="A804" t="inlineStr">
        <is>
          <t>21/08/2026</t>
        </is>
      </c>
      <c r="B804" t="inlineStr">
        <is>
          <t>Eximbank</t>
        </is>
      </c>
      <c r="C804" t="n">
        <v>25870</v>
      </c>
      <c r="D804" t="n">
        <v>25900</v>
      </c>
      <c r="E804" t="n">
        <v>26260</v>
      </c>
    </row>
    <row r="805">
      <c r="A805" t="inlineStr">
        <is>
          <t>20/08/2026</t>
        </is>
      </c>
      <c r="B805" t="inlineStr">
        <is>
          <t>Eximbank</t>
        </is>
      </c>
      <c r="C805" t="n">
        <v>25900</v>
      </c>
      <c r="D805" t="n">
        <v>25930</v>
      </c>
      <c r="E805" t="n">
        <v>26290</v>
      </c>
    </row>
    <row r="806">
      <c r="A806" t="inlineStr">
        <is>
          <t>19/08/2026</t>
        </is>
      </c>
      <c r="B806" t="inlineStr">
        <is>
          <t>Eximbank</t>
        </is>
      </c>
      <c r="C806" t="n">
        <v>25960</v>
      </c>
      <c r="D806" t="n">
        <v>25990</v>
      </c>
      <c r="E806" t="n">
        <v>26350</v>
      </c>
    </row>
    <row r="807">
      <c r="A807" t="inlineStr">
        <is>
          <t>18/08/2026</t>
        </is>
      </c>
      <c r="B807" t="inlineStr">
        <is>
          <t>Eximbank</t>
        </is>
      </c>
      <c r="C807" t="n">
        <v>25970</v>
      </c>
      <c r="D807" t="n">
        <v>26000</v>
      </c>
      <c r="E807" t="n">
        <v>26360</v>
      </c>
    </row>
    <row r="808">
      <c r="A808" t="inlineStr">
        <is>
          <t>17/08/2026</t>
        </is>
      </c>
      <c r="B808" t="inlineStr">
        <is>
          <t>Eximbank</t>
        </is>
      </c>
      <c r="C808" t="n">
        <v>25990</v>
      </c>
      <c r="D808" t="n">
        <v>26020</v>
      </c>
      <c r="E808" t="n">
        <v>26380</v>
      </c>
    </row>
    <row r="809">
      <c r="A809" t="inlineStr">
        <is>
          <t>16/08/2026</t>
        </is>
      </c>
      <c r="B809" t="inlineStr">
        <is>
          <t>Eximbank</t>
        </is>
      </c>
      <c r="C809" t="n">
        <v>25920</v>
      </c>
      <c r="D809" t="n">
        <v>25950</v>
      </c>
      <c r="E809" t="n">
        <v>26310</v>
      </c>
    </row>
    <row r="810">
      <c r="A810" t="inlineStr">
        <is>
          <t>15/08/2026</t>
        </is>
      </c>
      <c r="B810" t="inlineStr">
        <is>
          <t>Eximbank</t>
        </is>
      </c>
      <c r="C810" t="n">
        <v>25920</v>
      </c>
      <c r="D810" t="n">
        <v>25950</v>
      </c>
      <c r="E810" t="n">
        <v>26310</v>
      </c>
    </row>
    <row r="811">
      <c r="A811" t="inlineStr">
        <is>
          <t>14/08/2026</t>
        </is>
      </c>
      <c r="B811" t="inlineStr">
        <is>
          <t>Eximbank</t>
        </is>
      </c>
      <c r="C811" t="n">
        <v>25920</v>
      </c>
      <c r="D811" t="n">
        <v>25950</v>
      </c>
      <c r="E811" t="n">
        <v>26310</v>
      </c>
    </row>
    <row r="812">
      <c r="A812" t="inlineStr">
        <is>
          <t>13/08/2026</t>
        </is>
      </c>
      <c r="B812" t="inlineStr">
        <is>
          <t>Eximbank</t>
        </is>
      </c>
      <c r="C812" t="n">
        <v>25840</v>
      </c>
      <c r="D812" t="n">
        <v>25870</v>
      </c>
      <c r="E812" t="n">
        <v>26230</v>
      </c>
    </row>
    <row r="813">
      <c r="A813" t="inlineStr">
        <is>
          <t>12/08/2026</t>
        </is>
      </c>
      <c r="B813" t="inlineStr">
        <is>
          <t>Eximbank</t>
        </is>
      </c>
      <c r="C813" t="n">
        <v>25860</v>
      </c>
      <c r="D813" t="n">
        <v>25890</v>
      </c>
      <c r="E813" t="n">
        <v>26250</v>
      </c>
    </row>
    <row r="814">
      <c r="A814" t="inlineStr">
        <is>
          <t>11/08/2026</t>
        </is>
      </c>
      <c r="B814" t="inlineStr">
        <is>
          <t>Eximbank</t>
        </is>
      </c>
      <c r="C814" t="n">
        <v>25910</v>
      </c>
      <c r="D814" t="n">
        <v>25940</v>
      </c>
      <c r="E814" t="n">
        <v>26300</v>
      </c>
    </row>
    <row r="815">
      <c r="A815" t="inlineStr">
        <is>
          <t>10/08/2026</t>
        </is>
      </c>
      <c r="B815" t="inlineStr">
        <is>
          <t>Eximbank</t>
        </is>
      </c>
      <c r="C815" t="n">
        <v>25940</v>
      </c>
      <c r="D815" t="n">
        <v>25970</v>
      </c>
      <c r="E815" t="n">
        <v>26330</v>
      </c>
    </row>
    <row r="816">
      <c r="A816" t="inlineStr">
        <is>
          <t>09/08/2026</t>
        </is>
      </c>
      <c r="B816" t="inlineStr">
        <is>
          <t>Eximbank</t>
        </is>
      </c>
      <c r="C816" t="n">
        <v>26000</v>
      </c>
      <c r="D816" t="n">
        <v>26030</v>
      </c>
      <c r="E816" t="n">
        <v>26390</v>
      </c>
    </row>
    <row r="817">
      <c r="A817" t="inlineStr">
        <is>
          <t>08/08/2026</t>
        </is>
      </c>
      <c r="B817" t="inlineStr">
        <is>
          <t>Eximbank</t>
        </is>
      </c>
      <c r="C817" t="n">
        <v>26000</v>
      </c>
      <c r="D817" t="n">
        <v>26030</v>
      </c>
      <c r="E817" t="n">
        <v>26390</v>
      </c>
    </row>
    <row r="818">
      <c r="A818" t="inlineStr">
        <is>
          <t>07/08/2026</t>
        </is>
      </c>
      <c r="B818" t="inlineStr">
        <is>
          <t>Eximbank</t>
        </is>
      </c>
      <c r="C818" t="n">
        <v>26000</v>
      </c>
      <c r="D818" t="n">
        <v>26030</v>
      </c>
      <c r="E818" t="n">
        <v>26390</v>
      </c>
    </row>
    <row r="819">
      <c r="A819" t="inlineStr">
        <is>
          <t>06/08/2026</t>
        </is>
      </c>
      <c r="B819" t="inlineStr">
        <is>
          <t>Eximbank</t>
        </is>
      </c>
      <c r="C819" t="n">
        <v>26010</v>
      </c>
      <c r="D819" t="n">
        <v>26040</v>
      </c>
      <c r="E819" t="n">
        <v>26400</v>
      </c>
    </row>
    <row r="820">
      <c r="A820" t="inlineStr">
        <is>
          <t>05/08/2026</t>
        </is>
      </c>
      <c r="B820" t="inlineStr">
        <is>
          <t>Eximbank</t>
        </is>
      </c>
      <c r="C820" t="n">
        <v>26050</v>
      </c>
      <c r="D820" t="n">
        <v>26080</v>
      </c>
      <c r="E820" t="n">
        <v>26440</v>
      </c>
    </row>
    <row r="821">
      <c r="A821" t="inlineStr">
        <is>
          <t>04/08/2026</t>
        </is>
      </c>
      <c r="B821" t="inlineStr">
        <is>
          <t>Eximbank</t>
        </is>
      </c>
      <c r="C821" t="n">
        <v>26050</v>
      </c>
      <c r="D821" t="n">
        <v>26080</v>
      </c>
      <c r="E821" t="n">
        <v>26440</v>
      </c>
    </row>
    <row r="822">
      <c r="A822" t="inlineStr">
        <is>
          <t>03/08/2026</t>
        </is>
      </c>
      <c r="B822" t="inlineStr">
        <is>
          <t>Eximbank</t>
        </is>
      </c>
      <c r="C822" t="n">
        <v>26070</v>
      </c>
      <c r="D822" t="n">
        <v>26100</v>
      </c>
      <c r="E822" t="n">
        <v>26460</v>
      </c>
    </row>
    <row r="823">
      <c r="A823" t="inlineStr">
        <is>
          <t>02/08/2026</t>
        </is>
      </c>
      <c r="B823" t="inlineStr">
        <is>
          <t>Eximbank</t>
        </is>
      </c>
      <c r="C823" t="n">
        <v>26080</v>
      </c>
      <c r="D823" t="n">
        <v>26110</v>
      </c>
      <c r="E823" t="n">
        <v>26470</v>
      </c>
    </row>
    <row r="824">
      <c r="A824" t="inlineStr">
        <is>
          <t>01/08/2026</t>
        </is>
      </c>
      <c r="B824" t="inlineStr">
        <is>
          <t>Eximbank</t>
        </is>
      </c>
      <c r="C824" t="n">
        <v>26080</v>
      </c>
      <c r="D824" t="n">
        <v>26110</v>
      </c>
      <c r="E824" t="n">
        <v>26470</v>
      </c>
    </row>
    <row r="825">
      <c r="A825" t="inlineStr">
        <is>
          <t>31/07/2026</t>
        </is>
      </c>
      <c r="B825" t="inlineStr">
        <is>
          <t>Eximbank</t>
        </is>
      </c>
      <c r="C825" t="n">
        <v>26080</v>
      </c>
      <c r="D825" t="n">
        <v>26110</v>
      </c>
      <c r="E825" t="n">
        <v>26470</v>
      </c>
    </row>
    <row r="826">
      <c r="A826" t="inlineStr">
        <is>
          <t>30/07/2026</t>
        </is>
      </c>
      <c r="B826" t="inlineStr">
        <is>
          <t>Eximbank</t>
        </is>
      </c>
      <c r="C826" t="n">
        <v>26080</v>
      </c>
      <c r="D826" t="n">
        <v>26110</v>
      </c>
      <c r="E826" t="n">
        <v>26470</v>
      </c>
    </row>
    <row r="827">
      <c r="A827" t="inlineStr">
        <is>
          <t>29/07/2026</t>
        </is>
      </c>
      <c r="B827" t="inlineStr">
        <is>
          <t>Eximbank</t>
        </is>
      </c>
      <c r="C827" t="n">
        <v>26105</v>
      </c>
      <c r="D827" t="n">
        <v>26135</v>
      </c>
      <c r="E827" t="n">
        <v>26495</v>
      </c>
    </row>
    <row r="828">
      <c r="A828" t="inlineStr">
        <is>
          <t>28/07/2026</t>
        </is>
      </c>
      <c r="B828" t="inlineStr">
        <is>
          <t>Eximbank</t>
        </is>
      </c>
      <c r="C828" t="n">
        <v>26115</v>
      </c>
      <c r="D828" t="n">
        <v>26145</v>
      </c>
      <c r="E828" t="n">
        <v>26505</v>
      </c>
    </row>
    <row r="829">
      <c r="A829" t="inlineStr">
        <is>
          <t>27/07/2026</t>
        </is>
      </c>
      <c r="B829" t="inlineStr">
        <is>
          <t>Eximbank</t>
        </is>
      </c>
      <c r="C829" t="n">
        <v>26110</v>
      </c>
      <c r="D829" t="n">
        <v>26140</v>
      </c>
      <c r="E829" t="n">
        <v>26500</v>
      </c>
    </row>
    <row r="830">
      <c r="A830" t="inlineStr">
        <is>
          <t>26/07/2026</t>
        </is>
      </c>
      <c r="B830" t="inlineStr">
        <is>
          <t>Eximbank</t>
        </is>
      </c>
      <c r="C830" t="n">
        <v>26100</v>
      </c>
      <c r="D830" t="n">
        <v>26130</v>
      </c>
      <c r="E830" t="n">
        <v>26490</v>
      </c>
    </row>
    <row r="831">
      <c r="A831" t="inlineStr">
        <is>
          <t>25/07/2026</t>
        </is>
      </c>
      <c r="B831" t="inlineStr">
        <is>
          <t>Eximbank</t>
        </is>
      </c>
      <c r="C831" t="n">
        <v>26100</v>
      </c>
      <c r="D831" t="n">
        <v>26130</v>
      </c>
      <c r="E831" t="n">
        <v>26490</v>
      </c>
    </row>
    <row r="832">
      <c r="A832" t="inlineStr">
        <is>
          <t>24/07/2026</t>
        </is>
      </c>
      <c r="B832" t="inlineStr">
        <is>
          <t>Eximbank</t>
        </is>
      </c>
      <c r="C832" t="n">
        <v>26100</v>
      </c>
      <c r="D832" t="n">
        <v>26130</v>
      </c>
      <c r="E832" t="n">
        <v>26490</v>
      </c>
    </row>
    <row r="833">
      <c r="A833" t="inlineStr">
        <is>
          <t>23/07/2026</t>
        </is>
      </c>
      <c r="B833" t="inlineStr">
        <is>
          <t>Eximbank</t>
        </is>
      </c>
      <c r="C833" t="n">
        <v>26090</v>
      </c>
      <c r="D833" t="n">
        <v>26120</v>
      </c>
      <c r="E833" t="n">
        <v>26480</v>
      </c>
    </row>
    <row r="834">
      <c r="A834" t="inlineStr">
        <is>
          <t>22/07/2026</t>
        </is>
      </c>
      <c r="B834" t="inlineStr">
        <is>
          <t>Eximbank</t>
        </is>
      </c>
      <c r="C834" t="n">
        <v>26090</v>
      </c>
      <c r="D834" t="n">
        <v>26120</v>
      </c>
      <c r="E834" t="n">
        <v>26480</v>
      </c>
    </row>
    <row r="835">
      <c r="A835" t="inlineStr">
        <is>
          <t>21/07/2026</t>
        </is>
      </c>
      <c r="B835" t="inlineStr">
        <is>
          <t>Eximbank</t>
        </is>
      </c>
      <c r="C835" t="n">
        <v>26100</v>
      </c>
      <c r="D835" t="n">
        <v>26130</v>
      </c>
      <c r="E835" t="n">
        <v>26490</v>
      </c>
    </row>
    <row r="836">
      <c r="A836" t="inlineStr">
        <is>
          <t>20/07/2026</t>
        </is>
      </c>
      <c r="B836" t="inlineStr">
        <is>
          <t>Eximbank</t>
        </is>
      </c>
      <c r="C836" t="n">
        <v>26080</v>
      </c>
      <c r="D836" t="n">
        <v>26110</v>
      </c>
      <c r="E836" t="n">
        <v>26470</v>
      </c>
    </row>
    <row r="837">
      <c r="A837" t="inlineStr">
        <is>
          <t>19/07/2026</t>
        </is>
      </c>
      <c r="B837" t="inlineStr">
        <is>
          <t>Eximbank</t>
        </is>
      </c>
      <c r="C837" t="n">
        <v>26080</v>
      </c>
      <c r="D837" t="n">
        <v>26110</v>
      </c>
      <c r="E837" t="n">
        <v>26470</v>
      </c>
    </row>
    <row r="838">
      <c r="A838" t="inlineStr">
        <is>
          <t>18/07/2026</t>
        </is>
      </c>
      <c r="B838" t="inlineStr">
        <is>
          <t>Eximbank</t>
        </is>
      </c>
      <c r="C838" t="n">
        <v>26080</v>
      </c>
      <c r="D838" t="n">
        <v>26110</v>
      </c>
      <c r="E838" t="n">
        <v>26470</v>
      </c>
    </row>
    <row r="839">
      <c r="A839" t="inlineStr">
        <is>
          <t>17/07/2026</t>
        </is>
      </c>
      <c r="B839" t="inlineStr">
        <is>
          <t>Eximbank</t>
        </is>
      </c>
      <c r="C839" t="n">
        <v>26080</v>
      </c>
      <c r="D839" t="n">
        <v>26110</v>
      </c>
      <c r="E839" t="n">
        <v>26470</v>
      </c>
    </row>
    <row r="840">
      <c r="A840" t="inlineStr">
        <is>
          <t>16/07/2026</t>
        </is>
      </c>
      <c r="B840" t="inlineStr">
        <is>
          <t>Eximbank</t>
        </is>
      </c>
      <c r="C840" t="n">
        <v>26040</v>
      </c>
      <c r="D840" t="n">
        <v>26070</v>
      </c>
      <c r="E840" t="n">
        <v>26430</v>
      </c>
    </row>
    <row r="841">
      <c r="A841" t="inlineStr">
        <is>
          <t>15/07/2026</t>
        </is>
      </c>
      <c r="B841" t="inlineStr">
        <is>
          <t>Eximbank</t>
        </is>
      </c>
      <c r="C841" t="n">
        <v>26040</v>
      </c>
      <c r="D841" t="n">
        <v>26070</v>
      </c>
      <c r="E841" t="n">
        <v>26430</v>
      </c>
    </row>
    <row r="842">
      <c r="A842" t="inlineStr">
        <is>
          <t>14/07/2026</t>
        </is>
      </c>
      <c r="B842" t="inlineStr">
        <is>
          <t>Eximbank</t>
        </is>
      </c>
      <c r="C842" t="n">
        <v>26040</v>
      </c>
      <c r="D842" t="n">
        <v>26070</v>
      </c>
      <c r="E842" t="n">
        <v>26430</v>
      </c>
    </row>
    <row r="843">
      <c r="A843" t="inlineStr">
        <is>
          <t>13/07/2026</t>
        </is>
      </c>
      <c r="B843" t="inlineStr">
        <is>
          <t>Eximbank</t>
        </is>
      </c>
      <c r="C843" t="n">
        <v>26050</v>
      </c>
      <c r="D843" t="n">
        <v>26080</v>
      </c>
      <c r="E843" t="n">
        <v>26440</v>
      </c>
    </row>
    <row r="844">
      <c r="A844" t="inlineStr">
        <is>
          <t>12/07/2026</t>
        </is>
      </c>
      <c r="B844" t="inlineStr">
        <is>
          <t>Eximbank</t>
        </is>
      </c>
      <c r="C844" t="n">
        <v>26060</v>
      </c>
      <c r="D844" t="n">
        <v>26090</v>
      </c>
      <c r="E844" t="n">
        <v>26450</v>
      </c>
    </row>
    <row r="845">
      <c r="A845" t="inlineStr">
        <is>
          <t>11/07/2026</t>
        </is>
      </c>
      <c r="B845" t="inlineStr">
        <is>
          <t>Eximbank</t>
        </is>
      </c>
      <c r="C845" t="n">
        <v>26060</v>
      </c>
      <c r="D845" t="n">
        <v>26090</v>
      </c>
      <c r="E845" t="n">
        <v>26450</v>
      </c>
    </row>
    <row r="846">
      <c r="A846" t="inlineStr">
        <is>
          <t>10/07/2026</t>
        </is>
      </c>
      <c r="B846" t="inlineStr">
        <is>
          <t>Eximbank</t>
        </is>
      </c>
      <c r="C846" t="n">
        <v>26060</v>
      </c>
      <c r="D846" t="n">
        <v>26090</v>
      </c>
      <c r="E846" t="n">
        <v>26450</v>
      </c>
    </row>
    <row r="847">
      <c r="A847" t="inlineStr">
        <is>
          <t>09/07/2026</t>
        </is>
      </c>
      <c r="B847" t="inlineStr">
        <is>
          <t>Eximbank</t>
        </is>
      </c>
      <c r="C847" t="n">
        <v>26081</v>
      </c>
      <c r="D847" t="n">
        <v>26111</v>
      </c>
      <c r="E847" t="n">
        <v>26451</v>
      </c>
    </row>
    <row r="848">
      <c r="A848" t="inlineStr">
        <is>
          <t>08/07/2026</t>
        </is>
      </c>
      <c r="B848" t="inlineStr">
        <is>
          <t>Eximbank</t>
        </is>
      </c>
      <c r="C848" t="n">
        <v>26076</v>
      </c>
      <c r="D848" t="n">
        <v>26106</v>
      </c>
      <c r="E848" t="n">
        <v>26446</v>
      </c>
    </row>
    <row r="849">
      <c r="A849" t="inlineStr">
        <is>
          <t>07/07/2026</t>
        </is>
      </c>
      <c r="B849" t="inlineStr">
        <is>
          <t>Eximbank</t>
        </is>
      </c>
      <c r="C849" t="n">
        <v>26072</v>
      </c>
      <c r="D849" t="n">
        <v>26102</v>
      </c>
      <c r="E849" t="n">
        <v>26442</v>
      </c>
    </row>
    <row r="850">
      <c r="A850" t="inlineStr">
        <is>
          <t>06/07/2026</t>
        </is>
      </c>
      <c r="B850" t="inlineStr">
        <is>
          <t>Eximbank</t>
        </is>
      </c>
      <c r="C850" t="n">
        <v>26072</v>
      </c>
      <c r="D850" t="n">
        <v>26102</v>
      </c>
      <c r="E850" t="n">
        <v>26442</v>
      </c>
    </row>
    <row r="851">
      <c r="A851" t="inlineStr">
        <is>
          <t>05/07/2026</t>
        </is>
      </c>
      <c r="B851" t="inlineStr">
        <is>
          <t>Eximbank</t>
        </is>
      </c>
      <c r="C851" t="n">
        <v>26073</v>
      </c>
      <c r="D851" t="n">
        <v>26103</v>
      </c>
      <c r="E851" t="n">
        <v>26443</v>
      </c>
    </row>
    <row r="852">
      <c r="A852" t="inlineStr">
        <is>
          <t>04/07/2026</t>
        </is>
      </c>
      <c r="B852" t="inlineStr">
        <is>
          <t>Eximbank</t>
        </is>
      </c>
      <c r="C852" t="n">
        <v>26073</v>
      </c>
      <c r="D852" t="n">
        <v>26103</v>
      </c>
      <c r="E852" t="n">
        <v>26443</v>
      </c>
    </row>
    <row r="853">
      <c r="A853" t="inlineStr">
        <is>
          <t>03/07/2026</t>
        </is>
      </c>
      <c r="B853" t="inlineStr">
        <is>
          <t>Eximbank</t>
        </is>
      </c>
      <c r="C853" t="n">
        <v>26073</v>
      </c>
      <c r="D853" t="n">
        <v>26103</v>
      </c>
      <c r="E853" t="n">
        <v>26443</v>
      </c>
    </row>
    <row r="854">
      <c r="A854" t="inlineStr">
        <is>
          <t>02/07/2026</t>
        </is>
      </c>
      <c r="B854" t="inlineStr">
        <is>
          <t>Eximbank</t>
        </is>
      </c>
      <c r="C854" t="n">
        <v>26075</v>
      </c>
      <c r="D854" t="n">
        <v>26105</v>
      </c>
      <c r="E854" t="n">
        <v>26445</v>
      </c>
    </row>
    <row r="855">
      <c r="A855" t="inlineStr">
        <is>
          <t>01/07/2026</t>
        </is>
      </c>
      <c r="B855" t="inlineStr">
        <is>
          <t>Eximbank</t>
        </is>
      </c>
      <c r="C855" t="n">
        <v>26076</v>
      </c>
      <c r="D855" t="n">
        <v>26106</v>
      </c>
      <c r="E855" t="n">
        <v>26446</v>
      </c>
    </row>
    <row r="856">
      <c r="A856" t="inlineStr">
        <is>
          <t>30/06/2026</t>
        </is>
      </c>
      <c r="B856" t="inlineStr">
        <is>
          <t>Eximbank</t>
        </is>
      </c>
      <c r="C856" t="n">
        <v>26076</v>
      </c>
      <c r="D856" t="n">
        <v>26106</v>
      </c>
      <c r="E856" t="n">
        <v>26446</v>
      </c>
    </row>
    <row r="857">
      <c r="A857" t="inlineStr">
        <is>
          <t>29/06/2026</t>
        </is>
      </c>
      <c r="B857" t="inlineStr">
        <is>
          <t>Eximbank</t>
        </is>
      </c>
      <c r="C857" t="n">
        <v>26091</v>
      </c>
      <c r="D857" t="n">
        <v>26121</v>
      </c>
      <c r="E857" t="n">
        <v>26441</v>
      </c>
    </row>
    <row r="858">
      <c r="A858" t="inlineStr">
        <is>
          <t>28/06/2026</t>
        </is>
      </c>
      <c r="B858" t="inlineStr">
        <is>
          <t>Eximbank</t>
        </is>
      </c>
      <c r="C858" t="n">
        <v>26084</v>
      </c>
      <c r="D858" t="n">
        <v>26114</v>
      </c>
      <c r="E858" t="n">
        <v>26434</v>
      </c>
    </row>
    <row r="859">
      <c r="A859" t="inlineStr">
        <is>
          <t>27/06/2026</t>
        </is>
      </c>
      <c r="B859" t="inlineStr">
        <is>
          <t>Eximbank</t>
        </is>
      </c>
      <c r="C859" t="n">
        <v>26084</v>
      </c>
      <c r="D859" t="n">
        <v>26114</v>
      </c>
      <c r="E859" t="n">
        <v>26434</v>
      </c>
    </row>
    <row r="860">
      <c r="A860" t="inlineStr">
        <is>
          <t>26/06/2026</t>
        </is>
      </c>
      <c r="B860" t="inlineStr">
        <is>
          <t>Eximbank</t>
        </is>
      </c>
      <c r="C860" t="n">
        <v>26084</v>
      </c>
      <c r="D860" t="n">
        <v>26114</v>
      </c>
      <c r="E860" t="n">
        <v>26434</v>
      </c>
    </row>
    <row r="861">
      <c r="A861" t="inlineStr">
        <is>
          <t>25/06/2026</t>
        </is>
      </c>
      <c r="B861" t="inlineStr">
        <is>
          <t>Eximbank</t>
        </is>
      </c>
      <c r="C861" t="n">
        <v>26106</v>
      </c>
      <c r="D861" t="n">
        <v>26136</v>
      </c>
      <c r="E861" t="n">
        <v>26436</v>
      </c>
    </row>
    <row r="862">
      <c r="A862" t="inlineStr">
        <is>
          <t>24/06/2026</t>
        </is>
      </c>
      <c r="B862" t="inlineStr">
        <is>
          <t>Eximbank</t>
        </is>
      </c>
      <c r="C862" t="n">
        <v>26101</v>
      </c>
      <c r="D862" t="n">
        <v>26131</v>
      </c>
      <c r="E862" t="n">
        <v>26431</v>
      </c>
    </row>
    <row r="863">
      <c r="A863" t="inlineStr">
        <is>
          <t>23/06/2026</t>
        </is>
      </c>
      <c r="B863" t="inlineStr">
        <is>
          <t>Eximbank</t>
        </is>
      </c>
      <c r="C863" t="n">
        <v>26098</v>
      </c>
      <c r="D863" t="n">
        <v>26128</v>
      </c>
      <c r="E863" t="n">
        <v>26428</v>
      </c>
    </row>
    <row r="864">
      <c r="A864" t="inlineStr">
        <is>
          <t>22/06/2026</t>
        </is>
      </c>
      <c r="B864" t="inlineStr">
        <is>
          <t>Eximbank</t>
        </is>
      </c>
      <c r="C864" t="n">
        <v>26092</v>
      </c>
      <c r="D864" t="n">
        <v>26122</v>
      </c>
      <c r="E864" t="n">
        <v>26422</v>
      </c>
    </row>
    <row r="865">
      <c r="A865" t="inlineStr">
        <is>
          <t>21/06/2026</t>
        </is>
      </c>
      <c r="B865" t="inlineStr">
        <is>
          <t>Eximbank</t>
        </is>
      </c>
      <c r="C865" t="n">
        <v>26090</v>
      </c>
      <c r="D865" t="n">
        <v>26120</v>
      </c>
      <c r="E865" t="n">
        <v>26420</v>
      </c>
    </row>
    <row r="866">
      <c r="A866" t="inlineStr">
        <is>
          <t>20/06/2026</t>
        </is>
      </c>
      <c r="B866" t="inlineStr">
        <is>
          <t>Eximbank</t>
        </is>
      </c>
      <c r="C866" t="n">
        <v>26090</v>
      </c>
      <c r="D866" t="n">
        <v>26120</v>
      </c>
      <c r="E866" t="n">
        <v>26420</v>
      </c>
    </row>
    <row r="867">
      <c r="A867" t="inlineStr">
        <is>
          <t>19/06/2026</t>
        </is>
      </c>
      <c r="B867" t="inlineStr">
        <is>
          <t>Eximbank</t>
        </is>
      </c>
      <c r="C867" t="n">
        <v>26090</v>
      </c>
      <c r="D867" t="n">
        <v>26120</v>
      </c>
      <c r="E867" t="n">
        <v>26420</v>
      </c>
    </row>
    <row r="868">
      <c r="A868" t="inlineStr">
        <is>
          <t>18/06/2026</t>
        </is>
      </c>
      <c r="B868" t="inlineStr">
        <is>
          <t>Eximbank</t>
        </is>
      </c>
      <c r="C868" t="n">
        <v>26081</v>
      </c>
      <c r="D868" t="n">
        <v>26111</v>
      </c>
      <c r="E868" t="n">
        <v>26411</v>
      </c>
    </row>
    <row r="869">
      <c r="A869" t="inlineStr">
        <is>
          <t>17/06/2026</t>
        </is>
      </c>
      <c r="B869" t="inlineStr">
        <is>
          <t>Eximbank</t>
        </is>
      </c>
      <c r="C869" t="n">
        <v>26083</v>
      </c>
      <c r="D869" t="n">
        <v>26113</v>
      </c>
      <c r="E869" t="n">
        <v>26413</v>
      </c>
    </row>
    <row r="870">
      <c r="A870" t="inlineStr">
        <is>
          <t>16/06/2026</t>
        </is>
      </c>
      <c r="B870" t="inlineStr">
        <is>
          <t>Eximbank</t>
        </is>
      </c>
      <c r="C870" t="n">
        <v>26073</v>
      </c>
      <c r="D870" t="n">
        <v>26103</v>
      </c>
      <c r="E870" t="n">
        <v>26403</v>
      </c>
    </row>
    <row r="871">
      <c r="A871" t="inlineStr">
        <is>
          <t>15/06/2026</t>
        </is>
      </c>
      <c r="B871" t="inlineStr">
        <is>
          <t>Eximbank</t>
        </is>
      </c>
      <c r="C871" t="n">
        <v>26073</v>
      </c>
      <c r="D871" t="n">
        <v>26103</v>
      </c>
      <c r="E871" t="n">
        <v>26403</v>
      </c>
    </row>
    <row r="872">
      <c r="A872" t="inlineStr">
        <is>
          <t>14/06/2026</t>
        </is>
      </c>
      <c r="B872" t="inlineStr">
        <is>
          <t>Eximbank</t>
        </is>
      </c>
      <c r="C872" t="n">
        <v>26092</v>
      </c>
      <c r="D872" t="n">
        <v>26122</v>
      </c>
      <c r="E872" t="n">
        <v>26392</v>
      </c>
    </row>
    <row r="873">
      <c r="A873" t="inlineStr">
        <is>
          <t>13/06/2026</t>
        </is>
      </c>
      <c r="B873" t="inlineStr">
        <is>
          <t>Eximbank</t>
        </is>
      </c>
      <c r="C873" t="n">
        <v>26092</v>
      </c>
      <c r="D873" t="n">
        <v>26122</v>
      </c>
      <c r="E873" t="n">
        <v>26392</v>
      </c>
    </row>
    <row r="874">
      <c r="A874" t="inlineStr">
        <is>
          <t>12/06/2026</t>
        </is>
      </c>
      <c r="B874" t="inlineStr">
        <is>
          <t>Eximbank</t>
        </is>
      </c>
      <c r="C874" t="n">
        <v>26092</v>
      </c>
      <c r="D874" t="n">
        <v>26122</v>
      </c>
      <c r="E874" t="n">
        <v>26392</v>
      </c>
    </row>
    <row r="875">
      <c r="A875" t="inlineStr">
        <is>
          <t>11/06/2026</t>
        </is>
      </c>
      <c r="B875" t="inlineStr">
        <is>
          <t>Eximbank</t>
        </is>
      </c>
      <c r="C875" t="n">
        <v>26100</v>
      </c>
      <c r="D875" t="n">
        <v>26130</v>
      </c>
      <c r="E875" t="n">
        <v>26390</v>
      </c>
    </row>
    <row r="876">
      <c r="A876" t="inlineStr">
        <is>
          <t>10/06/2026</t>
        </is>
      </c>
      <c r="B876" t="inlineStr">
        <is>
          <t>Eximbank</t>
        </is>
      </c>
      <c r="C876" t="n">
        <v>26100</v>
      </c>
      <c r="D876" t="n">
        <v>26130</v>
      </c>
      <c r="E876" t="n">
        <v>26390</v>
      </c>
    </row>
    <row r="877">
      <c r="A877" t="inlineStr">
        <is>
          <t>09/06/2026</t>
        </is>
      </c>
      <c r="B877" t="inlineStr">
        <is>
          <t>Eximbank</t>
        </is>
      </c>
      <c r="C877" t="n">
        <v>26098</v>
      </c>
      <c r="D877" t="n">
        <v>26128</v>
      </c>
      <c r="E877" t="n">
        <v>26388</v>
      </c>
    </row>
    <row r="878">
      <c r="A878" t="inlineStr">
        <is>
          <t>08/06/2026</t>
        </is>
      </c>
      <c r="B878" t="inlineStr">
        <is>
          <t>Eximbank</t>
        </is>
      </c>
      <c r="C878" t="n">
        <v>26097</v>
      </c>
      <c r="D878" t="n">
        <v>26127</v>
      </c>
      <c r="E878" t="n">
        <v>26387</v>
      </c>
    </row>
    <row r="879">
      <c r="A879" t="inlineStr">
        <is>
          <t>07/06/2026</t>
        </is>
      </c>
      <c r="B879" t="inlineStr">
        <is>
          <t>Eximbank</t>
        </is>
      </c>
      <c r="C879" t="n">
        <v>26072</v>
      </c>
      <c r="D879" t="n">
        <v>26102</v>
      </c>
      <c r="E879" t="n">
        <v>26442</v>
      </c>
    </row>
    <row r="880">
      <c r="A880" t="inlineStr">
        <is>
          <t>06/06/2026</t>
        </is>
      </c>
      <c r="B880" t="inlineStr">
        <is>
          <t>Eximbank</t>
        </is>
      </c>
      <c r="C880" t="n">
        <v>26094</v>
      </c>
      <c r="D880" t="n">
        <v>26124</v>
      </c>
      <c r="E880" t="n">
        <v>26384</v>
      </c>
    </row>
    <row r="881">
      <c r="A881" t="inlineStr">
        <is>
          <t>05/06/2026</t>
        </is>
      </c>
      <c r="B881" t="inlineStr">
        <is>
          <t>Eximbank</t>
        </is>
      </c>
      <c r="C881" t="n">
        <v>26094</v>
      </c>
      <c r="D881" t="n">
        <v>26124</v>
      </c>
      <c r="E881" t="n">
        <v>26384</v>
      </c>
    </row>
    <row r="882">
      <c r="A882" t="inlineStr">
        <is>
          <t>04/06/2026</t>
        </is>
      </c>
      <c r="B882" t="inlineStr">
        <is>
          <t>Eximbank</t>
        </is>
      </c>
      <c r="C882" t="n">
        <v>26092</v>
      </c>
      <c r="D882" t="n">
        <v>26122</v>
      </c>
      <c r="E882" t="n">
        <v>26382</v>
      </c>
    </row>
    <row r="883">
      <c r="A883" t="inlineStr">
        <is>
          <t>03/06/2026</t>
        </is>
      </c>
      <c r="B883" t="inlineStr">
        <is>
          <t>Eximbank</t>
        </is>
      </c>
      <c r="C883" t="n">
        <v>26092</v>
      </c>
      <c r="D883" t="n">
        <v>26122</v>
      </c>
      <c r="E883" t="n">
        <v>26382</v>
      </c>
    </row>
    <row r="884">
      <c r="A884" t="inlineStr">
        <is>
          <t>02/06/2026</t>
        </is>
      </c>
      <c r="B884" t="inlineStr">
        <is>
          <t>Eximbank</t>
        </is>
      </c>
      <c r="C884" t="n">
        <v>26088</v>
      </c>
      <c r="D884" t="n">
        <v>26118</v>
      </c>
      <c r="E884" t="n">
        <v>26378</v>
      </c>
    </row>
    <row r="885">
      <c r="A885" t="inlineStr">
        <is>
          <t>01/06/2026</t>
        </is>
      </c>
      <c r="B885" t="inlineStr">
        <is>
          <t>Eximbank</t>
        </is>
      </c>
      <c r="C885" t="n">
        <v>26084</v>
      </c>
      <c r="D885" t="n">
        <v>26114</v>
      </c>
      <c r="E885" t="n">
        <v>26374</v>
      </c>
    </row>
    <row r="886">
      <c r="A886" t="inlineStr">
        <is>
          <t>31/05/2026</t>
        </is>
      </c>
      <c r="B886" t="inlineStr">
        <is>
          <t>Eximbank</t>
        </is>
      </c>
      <c r="C886" t="n">
        <v>26085</v>
      </c>
      <c r="D886" t="n">
        <v>26115</v>
      </c>
      <c r="E886" t="n">
        <v>26375</v>
      </c>
    </row>
    <row r="887">
      <c r="A887" t="inlineStr">
        <is>
          <t>30/05/2026</t>
        </is>
      </c>
      <c r="B887" t="inlineStr">
        <is>
          <t>Eximbank</t>
        </is>
      </c>
      <c r="C887" t="n">
        <v>26085</v>
      </c>
      <c r="D887" t="n">
        <v>26115</v>
      </c>
      <c r="E887" t="n">
        <v>26375</v>
      </c>
    </row>
    <row r="888">
      <c r="A888" t="inlineStr">
        <is>
          <t>29/05/2026</t>
        </is>
      </c>
      <c r="B888" t="inlineStr">
        <is>
          <t>Eximbank</t>
        </is>
      </c>
      <c r="C888" t="n">
        <v>26085</v>
      </c>
      <c r="D888" t="n">
        <v>26115</v>
      </c>
      <c r="E888" t="n">
        <v>26375</v>
      </c>
    </row>
    <row r="889">
      <c r="A889" t="inlineStr">
        <is>
          <t>28/05/2026</t>
        </is>
      </c>
      <c r="B889" t="inlineStr">
        <is>
          <t>Eximbank</t>
        </is>
      </c>
      <c r="C889" t="n">
        <v>26113</v>
      </c>
      <c r="D889" t="n">
        <v>26143</v>
      </c>
      <c r="E889" t="n">
        <v>26373</v>
      </c>
    </row>
    <row r="890">
      <c r="A890" t="inlineStr">
        <is>
          <t>27/05/2026</t>
        </is>
      </c>
      <c r="B890" t="inlineStr">
        <is>
          <t>Eximbank</t>
        </is>
      </c>
      <c r="C890" t="n">
        <v>26113</v>
      </c>
      <c r="D890" t="n">
        <v>26143</v>
      </c>
      <c r="E890" t="n">
        <v>26373</v>
      </c>
    </row>
    <row r="891">
      <c r="A891" t="inlineStr">
        <is>
          <t>26/05/2026</t>
        </is>
      </c>
      <c r="B891" t="inlineStr">
        <is>
          <t>Eximbank</t>
        </is>
      </c>
      <c r="C891" t="n">
        <v>26132</v>
      </c>
      <c r="D891" t="n">
        <v>26162</v>
      </c>
      <c r="E891" t="n">
        <v>26372</v>
      </c>
    </row>
    <row r="892">
      <c r="A892" t="inlineStr">
        <is>
          <t>25/05/2026</t>
        </is>
      </c>
      <c r="B892" t="inlineStr">
        <is>
          <t>Eximbank</t>
        </is>
      </c>
      <c r="C892" t="n">
        <v>26132</v>
      </c>
      <c r="D892" t="n">
        <v>26162</v>
      </c>
      <c r="E892" t="n">
        <v>26372</v>
      </c>
    </row>
    <row r="893">
      <c r="A893" t="inlineStr">
        <is>
          <t>24/05/2026</t>
        </is>
      </c>
      <c r="B893" t="inlineStr">
        <is>
          <t>Eximbank</t>
        </is>
      </c>
      <c r="C893" t="n">
        <v>26130</v>
      </c>
      <c r="D893" t="n">
        <v>26160</v>
      </c>
      <c r="E893" t="n">
        <v>26370</v>
      </c>
    </row>
    <row r="894">
      <c r="A894" t="inlineStr">
        <is>
          <t>23/05/2026</t>
        </is>
      </c>
      <c r="B894" t="inlineStr">
        <is>
          <t>Eximbank</t>
        </is>
      </c>
      <c r="C894" t="n">
        <v>26130</v>
      </c>
      <c r="D894" t="n">
        <v>26160</v>
      </c>
      <c r="E894" t="n">
        <v>26370</v>
      </c>
    </row>
    <row r="895">
      <c r="A895" t="inlineStr">
        <is>
          <t>22/05/2026</t>
        </is>
      </c>
      <c r="B895" t="inlineStr">
        <is>
          <t>Eximbank</t>
        </is>
      </c>
      <c r="C895" t="n">
        <v>26130</v>
      </c>
      <c r="D895" t="n">
        <v>26160</v>
      </c>
      <c r="E895" t="n">
        <v>26370</v>
      </c>
    </row>
    <row r="896">
      <c r="A896" t="inlineStr">
        <is>
          <t>21/05/2026</t>
        </is>
      </c>
      <c r="B896" t="inlineStr">
        <is>
          <t>Eximbank</t>
        </is>
      </c>
      <c r="C896" t="n">
        <v>26131</v>
      </c>
      <c r="D896" t="n">
        <v>26161</v>
      </c>
      <c r="E896" t="n">
        <v>26371</v>
      </c>
    </row>
    <row r="897">
      <c r="A897" t="inlineStr">
        <is>
          <t>20/05/2026</t>
        </is>
      </c>
      <c r="B897" t="inlineStr">
        <is>
          <t>Eximbank</t>
        </is>
      </c>
      <c r="C897" t="n">
        <v>26131</v>
      </c>
      <c r="D897" t="n">
        <v>26161</v>
      </c>
      <c r="E897" t="n">
        <v>26371</v>
      </c>
    </row>
    <row r="898">
      <c r="A898" t="inlineStr">
        <is>
          <t>19/05/2026</t>
        </is>
      </c>
      <c r="B898" t="inlineStr">
        <is>
          <t>Eximbank</t>
        </is>
      </c>
      <c r="C898" t="n">
        <v>26119</v>
      </c>
      <c r="D898" t="n">
        <v>26149</v>
      </c>
      <c r="E898" t="n">
        <v>26369</v>
      </c>
    </row>
    <row r="899">
      <c r="A899" t="inlineStr">
        <is>
          <t>18/05/2026</t>
        </is>
      </c>
      <c r="B899" t="inlineStr">
        <is>
          <t>Eximbank</t>
        </is>
      </c>
      <c r="C899" t="n">
        <v>26107</v>
      </c>
      <c r="D899" t="n">
        <v>26137</v>
      </c>
      <c r="E899" t="n">
        <v>26367</v>
      </c>
    </row>
    <row r="900">
      <c r="A900" t="inlineStr">
        <is>
          <t>17/05/2026</t>
        </is>
      </c>
      <c r="B900" t="inlineStr">
        <is>
          <t>Eximbank</t>
        </is>
      </c>
      <c r="C900" t="n">
        <v>26107</v>
      </c>
      <c r="D900" t="n">
        <v>26137</v>
      </c>
      <c r="E900" t="n">
        <v>26367</v>
      </c>
    </row>
    <row r="901">
      <c r="A901" t="inlineStr">
        <is>
          <t>16/05/2026</t>
        </is>
      </c>
      <c r="B901" t="inlineStr">
        <is>
          <t>Eximbank</t>
        </is>
      </c>
      <c r="C901" t="n">
        <v>26107</v>
      </c>
      <c r="D901" t="n">
        <v>26137</v>
      </c>
      <c r="E901" t="n">
        <v>26367</v>
      </c>
    </row>
    <row r="902">
      <c r="A902" t="inlineStr">
        <is>
          <t>15/05/2026</t>
        </is>
      </c>
      <c r="B902" t="inlineStr">
        <is>
          <t>Eximbank</t>
        </is>
      </c>
      <c r="C902" t="n">
        <v>26107</v>
      </c>
      <c r="D902" t="n">
        <v>26137</v>
      </c>
      <c r="E902" t="n">
        <v>26367</v>
      </c>
    </row>
    <row r="903">
      <c r="A903" t="inlineStr">
        <is>
          <t>14/05/2026</t>
        </is>
      </c>
      <c r="B903" t="inlineStr">
        <is>
          <t>Eximbank</t>
        </is>
      </c>
      <c r="C903" t="n">
        <v>26102</v>
      </c>
      <c r="D903" t="n">
        <v>26132</v>
      </c>
      <c r="E903" t="n">
        <v>26362</v>
      </c>
    </row>
    <row r="904">
      <c r="A904" t="inlineStr">
        <is>
          <t>13/05/2026</t>
        </is>
      </c>
      <c r="B904" t="inlineStr">
        <is>
          <t>Eximbank</t>
        </is>
      </c>
      <c r="C904" t="n">
        <v>26099</v>
      </c>
      <c r="D904" t="n">
        <v>26129</v>
      </c>
      <c r="E904" t="n">
        <v>26359</v>
      </c>
    </row>
    <row r="905">
      <c r="A905" t="inlineStr">
        <is>
          <t>12/05/2026</t>
        </is>
      </c>
      <c r="B905" t="inlineStr">
        <is>
          <t>Eximbank</t>
        </is>
      </c>
      <c r="C905" t="n">
        <v>26099</v>
      </c>
      <c r="D905" t="n">
        <v>26129</v>
      </c>
      <c r="E905" t="n">
        <v>26359</v>
      </c>
    </row>
    <row r="906">
      <c r="A906" t="inlineStr">
        <is>
          <t>11/05/2026</t>
        </is>
      </c>
      <c r="B906" t="inlineStr">
        <is>
          <t>Eximbank</t>
        </is>
      </c>
      <c r="C906" t="n">
        <v>26093</v>
      </c>
      <c r="D906" t="n">
        <v>26123</v>
      </c>
      <c r="E906" t="n">
        <v>26353</v>
      </c>
    </row>
    <row r="907">
      <c r="A907" t="inlineStr">
        <is>
          <t>10/05/2026</t>
        </is>
      </c>
      <c r="B907" t="inlineStr">
        <is>
          <t>Eximbank</t>
        </is>
      </c>
      <c r="C907" t="n">
        <v>26087</v>
      </c>
      <c r="D907" t="n">
        <v>26117</v>
      </c>
      <c r="E907" t="n">
        <v>26347</v>
      </c>
    </row>
    <row r="908">
      <c r="A908" t="inlineStr">
        <is>
          <t>09/05/2026</t>
        </is>
      </c>
      <c r="B908" t="inlineStr">
        <is>
          <t>Eximbank</t>
        </is>
      </c>
      <c r="C908" t="n">
        <v>26087</v>
      </c>
      <c r="D908" t="n">
        <v>26117</v>
      </c>
      <c r="E908" t="n">
        <v>26347</v>
      </c>
    </row>
    <row r="909">
      <c r="A909" t="inlineStr">
        <is>
          <t>08/05/2026</t>
        </is>
      </c>
      <c r="B909" t="inlineStr">
        <is>
          <t>Eximbank</t>
        </is>
      </c>
      <c r="C909" t="n">
        <v>26087</v>
      </c>
      <c r="D909" t="n">
        <v>26117</v>
      </c>
      <c r="E909" t="n">
        <v>26347</v>
      </c>
    </row>
    <row r="910">
      <c r="A910" t="inlineStr">
        <is>
          <t>07/05/2026</t>
        </is>
      </c>
      <c r="B910" t="inlineStr">
        <is>
          <t>Eximbank</t>
        </is>
      </c>
      <c r="C910" t="n">
        <v>26088</v>
      </c>
      <c r="D910" t="n">
        <v>26118</v>
      </c>
      <c r="E910" t="n">
        <v>26348</v>
      </c>
    </row>
    <row r="911">
      <c r="A911" t="inlineStr">
        <is>
          <t>06/05/2026</t>
        </is>
      </c>
      <c r="B911" t="inlineStr">
        <is>
          <t>Eximbank</t>
        </is>
      </c>
      <c r="C911" t="n">
        <v>26098</v>
      </c>
      <c r="D911" t="n">
        <v>26128</v>
      </c>
      <c r="E911" t="n">
        <v>26348</v>
      </c>
    </row>
    <row r="912">
      <c r="A912" t="inlineStr">
        <is>
          <t>05/05/2026</t>
        </is>
      </c>
      <c r="B912" t="inlineStr">
        <is>
          <t>Eximbank</t>
        </is>
      </c>
      <c r="C912" t="n">
        <v>26096</v>
      </c>
      <c r="D912" t="n">
        <v>26126</v>
      </c>
      <c r="E912" t="n">
        <v>26346</v>
      </c>
    </row>
    <row r="913">
      <c r="A913" t="inlineStr">
        <is>
          <t>04/05/2026</t>
        </is>
      </c>
      <c r="B913" t="inlineStr">
        <is>
          <t>Eximbank</t>
        </is>
      </c>
      <c r="C913" t="n">
        <v>26107</v>
      </c>
      <c r="D913" t="n">
        <v>26137</v>
      </c>
      <c r="E913" t="n">
        <v>26347</v>
      </c>
    </row>
    <row r="914">
      <c r="A914" t="inlineStr">
        <is>
          <t>03/05/2026</t>
        </is>
      </c>
      <c r="B914" t="inlineStr">
        <is>
          <t>Eximbank</t>
        </is>
      </c>
      <c r="C914" t="n">
        <v>26108</v>
      </c>
      <c r="D914" t="n">
        <v>26138</v>
      </c>
      <c r="E914" t="n">
        <v>26348</v>
      </c>
    </row>
    <row r="915">
      <c r="A915" t="inlineStr">
        <is>
          <t>02/05/2026</t>
        </is>
      </c>
      <c r="B915" t="inlineStr">
        <is>
          <t>Eximbank</t>
        </is>
      </c>
      <c r="C915" t="n">
        <v>26108</v>
      </c>
      <c r="D915" t="n">
        <v>26138</v>
      </c>
      <c r="E915" t="n">
        <v>26348</v>
      </c>
    </row>
    <row r="916">
      <c r="A916" t="inlineStr">
        <is>
          <t>01/05/2026</t>
        </is>
      </c>
      <c r="B916" t="inlineStr">
        <is>
          <t>Eximbank</t>
        </is>
      </c>
      <c r="C916" t="n">
        <v>26108</v>
      </c>
      <c r="D916" t="n">
        <v>26138</v>
      </c>
      <c r="E916" t="n">
        <v>26348</v>
      </c>
    </row>
    <row r="917">
      <c r="A917" t="inlineStr">
        <is>
          <t>30/04/2026</t>
        </is>
      </c>
      <c r="B917" t="inlineStr">
        <is>
          <t>Eximbank</t>
        </is>
      </c>
      <c r="C917" t="n">
        <v>26108</v>
      </c>
      <c r="D917" t="n">
        <v>26138</v>
      </c>
      <c r="E917" t="n">
        <v>26348</v>
      </c>
    </row>
    <row r="918">
      <c r="A918" t="inlineStr">
        <is>
          <t>29/04/2026</t>
        </is>
      </c>
      <c r="B918" t="inlineStr">
        <is>
          <t>Eximbank</t>
        </is>
      </c>
      <c r="C918" t="n">
        <v>26108</v>
      </c>
      <c r="D918" t="n">
        <v>26138</v>
      </c>
      <c r="E918" t="n">
        <v>26348</v>
      </c>
    </row>
    <row r="919">
      <c r="A919" t="inlineStr">
        <is>
          <t>28/04/2026</t>
        </is>
      </c>
      <c r="B919" t="inlineStr">
        <is>
          <t>Eximbank</t>
        </is>
      </c>
      <c r="C919" t="n">
        <v>26106</v>
      </c>
      <c r="D919" t="n">
        <v>26136</v>
      </c>
      <c r="E919" t="n">
        <v>26346</v>
      </c>
    </row>
    <row r="920">
      <c r="A920" t="inlineStr">
        <is>
          <t>27/04/2026</t>
        </is>
      </c>
      <c r="B920" t="inlineStr">
        <is>
          <t>Eximbank</t>
        </is>
      </c>
      <c r="C920" t="n">
        <v>26108</v>
      </c>
      <c r="D920" t="n">
        <v>26138</v>
      </c>
      <c r="E920" t="n">
        <v>26348</v>
      </c>
    </row>
    <row r="921">
      <c r="A921" t="inlineStr">
        <is>
          <t>26/04/2026</t>
        </is>
      </c>
      <c r="B921" t="inlineStr">
        <is>
          <t>Eximbank</t>
        </is>
      </c>
      <c r="C921" t="n">
        <v>26108</v>
      </c>
      <c r="D921" t="n">
        <v>26138</v>
      </c>
      <c r="E921" t="n">
        <v>26348</v>
      </c>
    </row>
    <row r="922">
      <c r="A922" t="inlineStr">
        <is>
          <t>25/04/2026</t>
        </is>
      </c>
      <c r="B922" t="inlineStr">
        <is>
          <t>Eximbank</t>
        </is>
      </c>
      <c r="C922" t="n">
        <v>26108</v>
      </c>
      <c r="D922" t="n">
        <v>26138</v>
      </c>
      <c r="E922" t="n">
        <v>26348</v>
      </c>
    </row>
    <row r="923">
      <c r="A923" t="inlineStr">
        <is>
          <t>24/04/2026</t>
        </is>
      </c>
      <c r="B923" t="inlineStr">
        <is>
          <t>Eximbank</t>
        </is>
      </c>
      <c r="C923" t="n">
        <v>26108</v>
      </c>
      <c r="D923" t="n">
        <v>26138</v>
      </c>
      <c r="E923" t="n">
        <v>26348</v>
      </c>
    </row>
    <row r="924">
      <c r="A924" t="inlineStr">
        <is>
          <t>23/04/2026</t>
        </is>
      </c>
      <c r="B924" t="inlineStr">
        <is>
          <t>Eximbank</t>
        </is>
      </c>
      <c r="C924" t="n">
        <v>26100</v>
      </c>
      <c r="D924" t="n">
        <v>26130</v>
      </c>
      <c r="E924" t="n">
        <v>26340</v>
      </c>
    </row>
    <row r="925">
      <c r="A925" t="inlineStr">
        <is>
          <t>22/04/2026</t>
        </is>
      </c>
      <c r="B925" t="inlineStr">
        <is>
          <t>Eximbank</t>
        </is>
      </c>
      <c r="C925" t="n">
        <v>26095</v>
      </c>
      <c r="D925" t="n">
        <v>26125</v>
      </c>
      <c r="E925" t="n">
        <v>26335</v>
      </c>
    </row>
    <row r="926">
      <c r="A926" t="inlineStr">
        <is>
          <t>21/04/2026</t>
        </is>
      </c>
      <c r="B926" t="inlineStr">
        <is>
          <t>Eximbank</t>
        </is>
      </c>
      <c r="C926" t="n">
        <v>26097</v>
      </c>
      <c r="D926" t="n">
        <v>26127</v>
      </c>
      <c r="E926" t="n">
        <v>26337</v>
      </c>
    </row>
    <row r="927">
      <c r="A927" t="inlineStr">
        <is>
          <t>20/04/2026</t>
        </is>
      </c>
      <c r="B927" t="inlineStr">
        <is>
          <t>Eximbank</t>
        </is>
      </c>
      <c r="C927" t="n">
        <v>26098</v>
      </c>
      <c r="D927" t="n">
        <v>26128</v>
      </c>
      <c r="E927" t="n">
        <v>26338</v>
      </c>
    </row>
    <row r="928">
      <c r="A928" t="inlineStr">
        <is>
          <t>19/04/2026</t>
        </is>
      </c>
      <c r="B928" t="inlineStr">
        <is>
          <t>Eximbank</t>
        </is>
      </c>
      <c r="C928" t="n">
        <v>26097</v>
      </c>
      <c r="D928" t="n">
        <v>26127</v>
      </c>
      <c r="E928" t="n">
        <v>26337</v>
      </c>
    </row>
    <row r="929">
      <c r="A929" t="inlineStr">
        <is>
          <t>18/04/2026</t>
        </is>
      </c>
      <c r="B929" t="inlineStr">
        <is>
          <t>Eximbank</t>
        </is>
      </c>
      <c r="C929" t="n">
        <v>26097</v>
      </c>
      <c r="D929" t="n">
        <v>26127</v>
      </c>
      <c r="E929" t="n">
        <v>26337</v>
      </c>
    </row>
    <row r="930">
      <c r="A930" t="inlineStr">
        <is>
          <t>17/04/2026</t>
        </is>
      </c>
      <c r="B930" t="inlineStr">
        <is>
          <t>Eximbank</t>
        </is>
      </c>
      <c r="C930" t="n">
        <v>26097</v>
      </c>
      <c r="D930" t="n">
        <v>26127</v>
      </c>
      <c r="E930" t="n">
        <v>26337</v>
      </c>
    </row>
    <row r="931">
      <c r="A931" t="inlineStr">
        <is>
          <t>16/04/2026</t>
        </is>
      </c>
      <c r="B931" t="inlineStr">
        <is>
          <t>Eximbank</t>
        </is>
      </c>
      <c r="C931" t="n">
        <v>26097</v>
      </c>
      <c r="D931" t="n">
        <v>26127</v>
      </c>
      <c r="E931" t="n">
        <v>26337</v>
      </c>
    </row>
    <row r="932">
      <c r="A932" t="inlineStr">
        <is>
          <t>15/04/2026</t>
        </is>
      </c>
      <c r="B932" t="inlineStr">
        <is>
          <t>Eximbank</t>
        </is>
      </c>
      <c r="C932" t="n">
        <v>26108</v>
      </c>
      <c r="D932" t="n">
        <v>26138</v>
      </c>
      <c r="E932" t="n">
        <v>26338</v>
      </c>
    </row>
    <row r="933">
      <c r="A933" t="inlineStr">
        <is>
          <t>14/04/2026</t>
        </is>
      </c>
      <c r="B933" t="inlineStr">
        <is>
          <t>Eximbank</t>
        </is>
      </c>
      <c r="C933" t="n">
        <v>26111</v>
      </c>
      <c r="D933" t="n">
        <v>26141</v>
      </c>
      <c r="E933" t="n">
        <v>26341</v>
      </c>
    </row>
    <row r="934">
      <c r="A934" t="inlineStr">
        <is>
          <t>13/04/2026</t>
        </is>
      </c>
      <c r="B934" t="inlineStr">
        <is>
          <t>Eximbank</t>
        </is>
      </c>
      <c r="C934" t="n">
        <v>26111</v>
      </c>
      <c r="D934" t="n">
        <v>26141</v>
      </c>
      <c r="E934" t="n">
        <v>26341</v>
      </c>
    </row>
    <row r="935">
      <c r="A935" t="inlineStr">
        <is>
          <t>12/04/2026</t>
        </is>
      </c>
      <c r="B935" t="inlineStr">
        <is>
          <t>Eximbank</t>
        </is>
      </c>
      <c r="C935" t="n">
        <v>26100</v>
      </c>
      <c r="D935" t="n">
        <v>26130</v>
      </c>
      <c r="E935" t="n">
        <v>26340</v>
      </c>
    </row>
    <row r="936">
      <c r="A936" t="inlineStr">
        <is>
          <t>11/04/2026</t>
        </is>
      </c>
      <c r="B936" t="inlineStr">
        <is>
          <t>Eximbank</t>
        </is>
      </c>
      <c r="C936" t="n">
        <v>26100</v>
      </c>
      <c r="D936" t="n">
        <v>26130</v>
      </c>
      <c r="E936" t="n">
        <v>26340</v>
      </c>
    </row>
    <row r="937">
      <c r="A937" t="inlineStr">
        <is>
          <t>10/04/2026</t>
        </is>
      </c>
      <c r="B937" t="inlineStr">
        <is>
          <t>Eximbank</t>
        </is>
      </c>
      <c r="C937" t="n">
        <v>26100</v>
      </c>
      <c r="D937" t="n">
        <v>26130</v>
      </c>
      <c r="E937" t="n">
        <v>26340</v>
      </c>
    </row>
    <row r="938">
      <c r="A938" t="inlineStr">
        <is>
          <t>09/04/2026</t>
        </is>
      </c>
      <c r="B938" t="inlineStr">
        <is>
          <t>Eximbank</t>
        </is>
      </c>
      <c r="C938" t="n">
        <v>26087</v>
      </c>
      <c r="D938" t="n">
        <v>26117</v>
      </c>
      <c r="E938" t="n">
        <v>26337</v>
      </c>
    </row>
    <row r="939">
      <c r="A939" t="inlineStr">
        <is>
          <t>08/04/2026</t>
        </is>
      </c>
      <c r="B939" t="inlineStr">
        <is>
          <t>Eximbank</t>
        </is>
      </c>
      <c r="C939" t="n">
        <v>26111</v>
      </c>
      <c r="D939" t="n">
        <v>26141</v>
      </c>
      <c r="E939" t="n">
        <v>26341</v>
      </c>
    </row>
    <row r="940">
      <c r="A940" t="inlineStr">
        <is>
          <t>07/04/2026</t>
        </is>
      </c>
      <c r="B940" t="inlineStr">
        <is>
          <t>Eximbank</t>
        </is>
      </c>
      <c r="C940" t="n">
        <v>26113</v>
      </c>
      <c r="D940" t="n">
        <v>26143</v>
      </c>
      <c r="E940" t="n">
        <v>26343</v>
      </c>
    </row>
    <row r="941">
      <c r="A941" t="inlineStr">
        <is>
          <t>06/04/2026</t>
        </is>
      </c>
      <c r="B941" t="inlineStr">
        <is>
          <t>Eximbank</t>
        </is>
      </c>
      <c r="C941" t="n">
        <v>26111</v>
      </c>
      <c r="D941" t="n">
        <v>26141</v>
      </c>
      <c r="E941" t="n">
        <v>26341</v>
      </c>
    </row>
    <row r="942">
      <c r="A942" t="inlineStr">
        <is>
          <t>05/04/2026</t>
        </is>
      </c>
      <c r="B942" t="inlineStr">
        <is>
          <t>Eximbank</t>
        </is>
      </c>
      <c r="C942" t="n">
        <v>26112</v>
      </c>
      <c r="D942" t="n">
        <v>26142</v>
      </c>
      <c r="E942" t="n">
        <v>26342</v>
      </c>
    </row>
    <row r="943">
      <c r="A943" t="inlineStr">
        <is>
          <t>04/04/2026</t>
        </is>
      </c>
      <c r="B943" t="inlineStr">
        <is>
          <t>Eximbank</t>
        </is>
      </c>
      <c r="C943" t="n">
        <v>26112</v>
      </c>
      <c r="D943" t="n">
        <v>26142</v>
      </c>
      <c r="E943" t="n">
        <v>26342</v>
      </c>
    </row>
    <row r="944">
      <c r="A944" t="inlineStr">
        <is>
          <t>03/04/2026</t>
        </is>
      </c>
      <c r="B944" t="inlineStr">
        <is>
          <t>Eximbank</t>
        </is>
      </c>
      <c r="C944" t="n">
        <v>26112</v>
      </c>
      <c r="D944" t="n">
        <v>26142</v>
      </c>
      <c r="E944" t="n">
        <v>26342</v>
      </c>
    </row>
    <row r="945">
      <c r="A945" t="inlineStr">
        <is>
          <t>02/04/2026</t>
        </is>
      </c>
      <c r="B945" t="inlineStr">
        <is>
          <t>Eximbank</t>
        </is>
      </c>
      <c r="C945" t="n">
        <v>26112</v>
      </c>
      <c r="D945" t="n">
        <v>26142</v>
      </c>
      <c r="E945" t="n">
        <v>26342</v>
      </c>
    </row>
    <row r="946">
      <c r="A946" t="inlineStr">
        <is>
          <t>01/04/2026</t>
        </is>
      </c>
      <c r="B946" t="inlineStr">
        <is>
          <t>Eximbank</t>
        </is>
      </c>
      <c r="C946" t="n">
        <v>26110</v>
      </c>
      <c r="D946" t="n">
        <v>26140</v>
      </c>
      <c r="E946" t="n">
        <v>26340</v>
      </c>
    </row>
    <row r="947">
      <c r="A947" t="inlineStr">
        <is>
          <t>31/03/2026</t>
        </is>
      </c>
      <c r="B947" t="inlineStr">
        <is>
          <t>Eximbank</t>
        </is>
      </c>
      <c r="C947" t="n">
        <v>26107</v>
      </c>
      <c r="D947" t="n">
        <v>26137</v>
      </c>
      <c r="E947" t="n">
        <v>26337</v>
      </c>
    </row>
    <row r="948">
      <c r="A948" t="inlineStr">
        <is>
          <t>30/03/2026</t>
        </is>
      </c>
      <c r="B948" t="inlineStr">
        <is>
          <t>Eximbank</t>
        </is>
      </c>
      <c r="C948" t="n">
        <v>26105</v>
      </c>
      <c r="D948" t="n">
        <v>26135</v>
      </c>
      <c r="E948" t="n">
        <v>26335</v>
      </c>
    </row>
    <row r="949">
      <c r="A949" t="inlineStr">
        <is>
          <t>29/03/2026</t>
        </is>
      </c>
      <c r="B949" t="inlineStr">
        <is>
          <t>Eximbank</t>
        </is>
      </c>
      <c r="C949" t="n">
        <v>26105</v>
      </c>
      <c r="D949" t="n">
        <v>26135</v>
      </c>
      <c r="E949" t="n">
        <v>26335</v>
      </c>
    </row>
    <row r="950">
      <c r="A950" t="inlineStr">
        <is>
          <t>28/03/2026</t>
        </is>
      </c>
      <c r="B950" t="inlineStr">
        <is>
          <t>Eximbank</t>
        </is>
      </c>
      <c r="C950" t="n">
        <v>26105</v>
      </c>
      <c r="D950" t="n">
        <v>26135</v>
      </c>
      <c r="E950" t="n">
        <v>26335</v>
      </c>
    </row>
    <row r="951">
      <c r="A951" t="inlineStr">
        <is>
          <t>27/03/2026</t>
        </is>
      </c>
      <c r="B951" t="inlineStr">
        <is>
          <t>Eximbank</t>
        </is>
      </c>
      <c r="C951" t="n">
        <v>26105</v>
      </c>
      <c r="D951" t="n">
        <v>26135</v>
      </c>
      <c r="E951" t="n">
        <v>26335</v>
      </c>
    </row>
    <row r="952">
      <c r="A952" t="inlineStr">
        <is>
          <t>26/03/2026</t>
        </is>
      </c>
      <c r="B952" t="inlineStr">
        <is>
          <t>Eximbank</t>
        </is>
      </c>
      <c r="C952" t="n">
        <v>26107</v>
      </c>
      <c r="D952" t="n">
        <v>26137</v>
      </c>
      <c r="E952" t="n">
        <v>26337</v>
      </c>
    </row>
    <row r="953">
      <c r="A953" t="inlineStr">
        <is>
          <t>25/03/2026</t>
        </is>
      </c>
      <c r="B953" t="inlineStr">
        <is>
          <t>Eximbank</t>
        </is>
      </c>
      <c r="C953" t="n">
        <v>26109</v>
      </c>
      <c r="D953" t="n">
        <v>26139</v>
      </c>
      <c r="E953" t="n">
        <v>26339</v>
      </c>
    </row>
    <row r="954">
      <c r="A954" t="inlineStr">
        <is>
          <t>24/03/2026</t>
        </is>
      </c>
      <c r="B954" t="inlineStr">
        <is>
          <t>Eximbank</t>
        </is>
      </c>
      <c r="C954" t="n">
        <v>26114</v>
      </c>
      <c r="D954" t="n">
        <v>26144</v>
      </c>
      <c r="E954" t="n">
        <v>26344</v>
      </c>
    </row>
    <row r="955">
      <c r="A955" t="inlineStr">
        <is>
          <t>23/03/2026</t>
        </is>
      </c>
      <c r="B955" t="inlineStr">
        <is>
          <t>Eximbank</t>
        </is>
      </c>
      <c r="C955" t="n">
        <v>26074</v>
      </c>
      <c r="D955" t="n">
        <v>26104</v>
      </c>
      <c r="E955" t="n">
        <v>26324</v>
      </c>
    </row>
    <row r="956">
      <c r="A956" t="inlineStr">
        <is>
          <t>22/03/2026</t>
        </is>
      </c>
      <c r="B956" t="inlineStr">
        <is>
          <t>Eximbank</t>
        </is>
      </c>
      <c r="C956" t="n">
        <v>26069</v>
      </c>
      <c r="D956" t="n">
        <v>26099</v>
      </c>
      <c r="E956" t="n">
        <v>26319</v>
      </c>
    </row>
    <row r="957">
      <c r="A957" t="inlineStr">
        <is>
          <t>21/03/2026</t>
        </is>
      </c>
      <c r="B957" t="inlineStr">
        <is>
          <t>Eximbank</t>
        </is>
      </c>
      <c r="C957" t="n">
        <v>26069</v>
      </c>
      <c r="D957" t="n">
        <v>26099</v>
      </c>
      <c r="E957" t="n">
        <v>26319</v>
      </c>
    </row>
    <row r="958">
      <c r="A958" t="inlineStr">
        <is>
          <t>20/03/2026</t>
        </is>
      </c>
      <c r="B958" t="inlineStr">
        <is>
          <t>Eximbank</t>
        </is>
      </c>
      <c r="C958" t="n">
        <v>26069</v>
      </c>
      <c r="D958" t="n">
        <v>26099</v>
      </c>
      <c r="E958" t="n">
        <v>26319</v>
      </c>
    </row>
    <row r="959">
      <c r="A959" t="inlineStr">
        <is>
          <t>19/03/2026</t>
        </is>
      </c>
      <c r="B959" t="inlineStr">
        <is>
          <t>Eximbank</t>
        </is>
      </c>
      <c r="C959" t="n">
        <v>26055</v>
      </c>
      <c r="D959" t="n">
        <v>26085</v>
      </c>
      <c r="E959" t="n">
        <v>26305</v>
      </c>
    </row>
    <row r="960">
      <c r="A960" t="inlineStr">
        <is>
          <t>18/03/2026</t>
        </is>
      </c>
      <c r="B960" t="inlineStr">
        <is>
          <t>Eximbank</t>
        </is>
      </c>
      <c r="C960" t="n">
        <v>26050</v>
      </c>
      <c r="D960" t="n">
        <v>26080</v>
      </c>
      <c r="E960" t="n">
        <v>26300</v>
      </c>
    </row>
    <row r="961">
      <c r="A961" t="inlineStr">
        <is>
          <t>17/03/2026</t>
        </is>
      </c>
      <c r="B961" t="inlineStr">
        <is>
          <t>Eximbank</t>
        </is>
      </c>
      <c r="C961" t="n">
        <v>26051</v>
      </c>
      <c r="D961" t="n">
        <v>26081</v>
      </c>
      <c r="E961" t="n">
        <v>26301</v>
      </c>
    </row>
    <row r="962">
      <c r="A962" t="inlineStr">
        <is>
          <t>16/03/2026</t>
        </is>
      </c>
      <c r="B962" t="inlineStr">
        <is>
          <t>Eximbank</t>
        </is>
      </c>
      <c r="C962" t="n">
        <v>26051</v>
      </c>
      <c r="D962" t="n">
        <v>26081</v>
      </c>
      <c r="E962" t="n">
        <v>26301</v>
      </c>
    </row>
    <row r="963">
      <c r="A963" t="inlineStr">
        <is>
          <t>15/03/2026</t>
        </is>
      </c>
      <c r="B963" t="inlineStr">
        <is>
          <t>Eximbank</t>
        </is>
      </c>
      <c r="C963" t="n">
        <v>26048</v>
      </c>
      <c r="D963" t="n">
        <v>26078</v>
      </c>
      <c r="E963" t="n">
        <v>26298</v>
      </c>
    </row>
    <row r="964">
      <c r="A964" t="inlineStr">
        <is>
          <t>14/03/2026</t>
        </is>
      </c>
      <c r="B964" t="inlineStr">
        <is>
          <t>Eximbank</t>
        </is>
      </c>
      <c r="C964" t="n">
        <v>26048</v>
      </c>
      <c r="D964" t="n">
        <v>26078</v>
      </c>
      <c r="E964" t="n">
        <v>26298</v>
      </c>
    </row>
    <row r="965">
      <c r="A965" t="inlineStr">
        <is>
          <t>13/03/2026</t>
        </is>
      </c>
      <c r="B965" t="inlineStr">
        <is>
          <t>Eximbank</t>
        </is>
      </c>
      <c r="C965" t="n">
        <v>26048</v>
      </c>
      <c r="D965" t="n">
        <v>26078</v>
      </c>
      <c r="E965" t="n">
        <v>26298</v>
      </c>
    </row>
    <row r="966">
      <c r="A966" t="inlineStr">
        <is>
          <t>12/03/2026</t>
        </is>
      </c>
      <c r="B966" t="inlineStr">
        <is>
          <t>Eximbank</t>
        </is>
      </c>
      <c r="C966" t="n">
        <v>26044</v>
      </c>
      <c r="D966" t="n">
        <v>26074</v>
      </c>
      <c r="E966" t="n">
        <v>26294</v>
      </c>
    </row>
    <row r="967">
      <c r="A967" t="inlineStr">
        <is>
          <t>11/03/2026</t>
        </is>
      </c>
      <c r="B967" t="inlineStr">
        <is>
          <t>Eximbank</t>
        </is>
      </c>
      <c r="C967" t="n">
        <v>26001</v>
      </c>
      <c r="D967" t="n">
        <v>26031</v>
      </c>
      <c r="E967" t="n">
        <v>26291</v>
      </c>
    </row>
    <row r="968">
      <c r="A968" t="inlineStr">
        <is>
          <t>10/03/2026</t>
        </is>
      </c>
      <c r="B968" t="inlineStr">
        <is>
          <t>Eximbank</t>
        </is>
      </c>
      <c r="C968" t="n">
        <v>25985</v>
      </c>
      <c r="D968" t="n">
        <v>26015</v>
      </c>
      <c r="E968" t="n">
        <v>26295</v>
      </c>
    </row>
    <row r="969">
      <c r="A969" t="inlineStr">
        <is>
          <t>09/03/2026</t>
        </is>
      </c>
      <c r="B969" t="inlineStr">
        <is>
          <t>Eximbank</t>
        </is>
      </c>
      <c r="C969" t="n">
        <v>26041</v>
      </c>
      <c r="D969" t="n">
        <v>26071</v>
      </c>
      <c r="E969" t="n">
        <v>26291</v>
      </c>
    </row>
    <row r="970">
      <c r="A970" t="inlineStr">
        <is>
          <t>08/03/2026</t>
        </is>
      </c>
      <c r="B970" t="inlineStr">
        <is>
          <t>Eximbank</t>
        </is>
      </c>
      <c r="C970" t="n">
        <v>25999</v>
      </c>
      <c r="D970" t="n">
        <v>26029</v>
      </c>
      <c r="E970" t="n">
        <v>26289</v>
      </c>
    </row>
    <row r="971">
      <c r="A971" t="inlineStr">
        <is>
          <t>07/03/2026</t>
        </is>
      </c>
      <c r="B971" t="inlineStr">
        <is>
          <t>Eximbank</t>
        </is>
      </c>
      <c r="C971" t="n">
        <v>25999</v>
      </c>
      <c r="D971" t="n">
        <v>26029</v>
      </c>
      <c r="E971" t="n">
        <v>26289</v>
      </c>
    </row>
    <row r="972">
      <c r="A972" t="inlineStr">
        <is>
          <t>06/03/2026</t>
        </is>
      </c>
      <c r="B972" t="inlineStr">
        <is>
          <t>Eximbank</t>
        </is>
      </c>
      <c r="C972" t="n">
        <v>25999</v>
      </c>
      <c r="D972" t="n">
        <v>26029</v>
      </c>
      <c r="E972" t="n">
        <v>26289</v>
      </c>
    </row>
    <row r="973">
      <c r="A973" t="inlineStr">
        <is>
          <t>05/03/2026</t>
        </is>
      </c>
      <c r="B973" t="inlineStr">
        <is>
          <t>Eximbank</t>
        </is>
      </c>
      <c r="C973" t="n">
        <v>25997</v>
      </c>
      <c r="D973" t="n">
        <v>26027</v>
      </c>
      <c r="E973" t="n">
        <v>26287</v>
      </c>
    </row>
    <row r="974">
      <c r="A974" t="inlineStr">
        <is>
          <t>04/03/2026</t>
        </is>
      </c>
      <c r="B974" t="inlineStr">
        <is>
          <t>Eximbank</t>
        </is>
      </c>
      <c r="C974" t="n">
        <v>25974</v>
      </c>
      <c r="D974" t="n">
        <v>26004</v>
      </c>
      <c r="E974" t="n">
        <v>26284</v>
      </c>
    </row>
    <row r="975">
      <c r="A975" t="inlineStr">
        <is>
          <t>03/03/2026</t>
        </is>
      </c>
      <c r="B975" t="inlineStr">
        <is>
          <t>Eximbank</t>
        </is>
      </c>
      <c r="C975" t="n">
        <v>25968</v>
      </c>
      <c r="D975" t="n">
        <v>25998</v>
      </c>
      <c r="E975" t="n">
        <v>26278</v>
      </c>
    </row>
    <row r="976">
      <c r="A976" t="inlineStr">
        <is>
          <t>02/03/2026</t>
        </is>
      </c>
      <c r="B976" t="inlineStr">
        <is>
          <t>Eximbank</t>
        </is>
      </c>
      <c r="C976" t="n">
        <v>25959</v>
      </c>
      <c r="D976" t="n">
        <v>25989</v>
      </c>
      <c r="E976" t="n">
        <v>26269</v>
      </c>
    </row>
    <row r="977">
      <c r="A977" t="inlineStr">
        <is>
          <t>01/03/2026</t>
        </is>
      </c>
      <c r="B977" t="inlineStr">
        <is>
          <t>Eximbank</t>
        </is>
      </c>
      <c r="C977" t="n">
        <v>25820</v>
      </c>
      <c r="D977" t="n">
        <v>25850</v>
      </c>
      <c r="E977" t="n">
        <v>26210</v>
      </c>
    </row>
    <row r="978">
      <c r="A978" t="inlineStr">
        <is>
          <t>28/02/2026</t>
        </is>
      </c>
      <c r="B978" t="inlineStr">
        <is>
          <t>Eximbank</t>
        </is>
      </c>
      <c r="C978" t="n">
        <v>25820</v>
      </c>
      <c r="D978" t="n">
        <v>25850</v>
      </c>
      <c r="E978" t="n">
        <v>26210</v>
      </c>
    </row>
    <row r="979">
      <c r="A979" t="inlineStr">
        <is>
          <t>27/02/2026</t>
        </is>
      </c>
      <c r="B979" t="inlineStr">
        <is>
          <t>Eximbank</t>
        </is>
      </c>
      <c r="C979" t="n">
        <v>25820</v>
      </c>
      <c r="D979" t="n">
        <v>25850</v>
      </c>
      <c r="E979" t="n">
        <v>26210</v>
      </c>
    </row>
    <row r="980">
      <c r="A980" t="inlineStr">
        <is>
          <t>26/02/2026</t>
        </is>
      </c>
      <c r="B980" t="inlineStr">
        <is>
          <t>Eximbank</t>
        </is>
      </c>
      <c r="C980" t="n">
        <v>25850</v>
      </c>
      <c r="D980" t="n">
        <v>25880</v>
      </c>
      <c r="E980" t="n">
        <v>26240</v>
      </c>
    </row>
    <row r="981">
      <c r="A981" t="inlineStr">
        <is>
          <t>25/02/2026</t>
        </is>
      </c>
      <c r="B981" t="inlineStr">
        <is>
          <t>Eximbank</t>
        </is>
      </c>
      <c r="C981" t="n">
        <v>25899</v>
      </c>
      <c r="D981" t="n">
        <v>25929</v>
      </c>
      <c r="E981" t="n">
        <v>26289</v>
      </c>
    </row>
    <row r="982">
      <c r="A982" t="inlineStr">
        <is>
          <t>24/02/2026</t>
        </is>
      </c>
      <c r="B982" t="inlineStr">
        <is>
          <t>Eximbank</t>
        </is>
      </c>
      <c r="C982" t="n">
        <v>25955</v>
      </c>
      <c r="D982" t="n">
        <v>25985</v>
      </c>
      <c r="E982" t="n">
        <v>26285</v>
      </c>
    </row>
    <row r="983">
      <c r="A983" t="inlineStr">
        <is>
          <t>23/02/2026</t>
        </is>
      </c>
      <c r="B983" t="inlineStr">
        <is>
          <t>Eximbank</t>
        </is>
      </c>
      <c r="C983" t="n">
        <v>25880</v>
      </c>
      <c r="D983" t="n">
        <v>25910</v>
      </c>
      <c r="E983" t="n">
        <v>26270</v>
      </c>
    </row>
    <row r="984">
      <c r="A984" t="inlineStr">
        <is>
          <t>22/02/2026</t>
        </is>
      </c>
      <c r="B984" t="inlineStr">
        <is>
          <t>Eximbank</t>
        </is>
      </c>
      <c r="C984" t="n">
        <v>25750</v>
      </c>
      <c r="D984" t="n">
        <v>25780</v>
      </c>
      <c r="E984" t="n">
        <v>26140</v>
      </c>
    </row>
    <row r="985">
      <c r="A985" t="inlineStr">
        <is>
          <t>21/02/2026</t>
        </is>
      </c>
      <c r="B985" t="inlineStr">
        <is>
          <t>Eximbank</t>
        </is>
      </c>
      <c r="C985" t="n">
        <v>25750</v>
      </c>
      <c r="D985" t="n">
        <v>25780</v>
      </c>
      <c r="E985" t="n">
        <v>26140</v>
      </c>
    </row>
    <row r="986">
      <c r="A986" t="inlineStr">
        <is>
          <t>20/02/2026</t>
        </is>
      </c>
      <c r="B986" t="inlineStr">
        <is>
          <t>Eximbank</t>
        </is>
      </c>
      <c r="C986" t="n">
        <v>25750</v>
      </c>
      <c r="D986" t="n">
        <v>25780</v>
      </c>
      <c r="E986" t="n">
        <v>26140</v>
      </c>
    </row>
    <row r="987">
      <c r="A987" t="inlineStr">
        <is>
          <t>19/02/2026</t>
        </is>
      </c>
      <c r="B987" t="inlineStr">
        <is>
          <t>Eximbank</t>
        </is>
      </c>
      <c r="C987" t="n">
        <v>25750</v>
      </c>
      <c r="D987" t="n">
        <v>25780</v>
      </c>
      <c r="E987" t="n">
        <v>26140</v>
      </c>
    </row>
    <row r="988">
      <c r="A988" t="inlineStr">
        <is>
          <t>18/02/2026</t>
        </is>
      </c>
      <c r="B988" t="inlineStr">
        <is>
          <t>Eximbank</t>
        </is>
      </c>
      <c r="C988" t="n">
        <v>25750</v>
      </c>
      <c r="D988" t="n">
        <v>25780</v>
      </c>
      <c r="E988" t="n">
        <v>26140</v>
      </c>
    </row>
    <row r="989">
      <c r="A989" t="inlineStr">
        <is>
          <t>17/02/2026</t>
        </is>
      </c>
      <c r="B989" t="inlineStr">
        <is>
          <t>Eximbank</t>
        </is>
      </c>
      <c r="C989" t="n">
        <v>25750</v>
      </c>
      <c r="D989" t="n">
        <v>25780</v>
      </c>
      <c r="E989" t="n">
        <v>26140</v>
      </c>
    </row>
    <row r="990">
      <c r="A990" t="inlineStr">
        <is>
          <t>16/02/2026</t>
        </is>
      </c>
      <c r="B990" t="inlineStr">
        <is>
          <t>Eximbank</t>
        </is>
      </c>
      <c r="C990" t="n">
        <v>25750</v>
      </c>
      <c r="D990" t="n">
        <v>25780</v>
      </c>
      <c r="E990" t="n">
        <v>26140</v>
      </c>
    </row>
    <row r="991">
      <c r="A991" t="inlineStr">
        <is>
          <t>15/02/2026</t>
        </is>
      </c>
      <c r="B991" t="inlineStr">
        <is>
          <t>Eximbank</t>
        </is>
      </c>
      <c r="C991" t="n">
        <v>25750</v>
      </c>
      <c r="D991" t="n">
        <v>25780</v>
      </c>
      <c r="E991" t="n">
        <v>26140</v>
      </c>
    </row>
    <row r="992">
      <c r="A992" t="inlineStr">
        <is>
          <t>14/02/2026</t>
        </is>
      </c>
      <c r="B992" t="inlineStr">
        <is>
          <t>Eximbank</t>
        </is>
      </c>
      <c r="C992" t="n">
        <v>25750</v>
      </c>
      <c r="D992" t="n">
        <v>25780</v>
      </c>
      <c r="E992" t="n">
        <v>26140</v>
      </c>
    </row>
    <row r="993">
      <c r="A993" t="inlineStr">
        <is>
          <t>13/02/2026</t>
        </is>
      </c>
      <c r="B993" t="inlineStr">
        <is>
          <t>Eximbank</t>
        </is>
      </c>
      <c r="C993" t="n">
        <v>25750</v>
      </c>
      <c r="D993" t="n">
        <v>25780</v>
      </c>
      <c r="E993" t="n">
        <v>26140</v>
      </c>
    </row>
    <row r="994">
      <c r="A994" t="inlineStr">
        <is>
          <t>12/02/2026</t>
        </is>
      </c>
      <c r="B994" t="inlineStr">
        <is>
          <t>Eximbank</t>
        </is>
      </c>
      <c r="C994" t="n">
        <v>25750</v>
      </c>
      <c r="D994" t="n">
        <v>25780</v>
      </c>
      <c r="E994" t="n">
        <v>26140</v>
      </c>
    </row>
    <row r="995">
      <c r="A995" t="inlineStr">
        <is>
          <t>11/02/2026</t>
        </is>
      </c>
      <c r="B995" t="inlineStr">
        <is>
          <t>Eximbank</t>
        </is>
      </c>
      <c r="C995" t="n">
        <v>25750</v>
      </c>
      <c r="D995" t="n">
        <v>25780</v>
      </c>
      <c r="E995" t="n">
        <v>26140</v>
      </c>
    </row>
    <row r="996">
      <c r="A996" t="inlineStr">
        <is>
          <t>10/02/2026</t>
        </is>
      </c>
      <c r="B996" t="inlineStr">
        <is>
          <t>Eximbank</t>
        </is>
      </c>
      <c r="C996" t="n">
        <v>25650</v>
      </c>
      <c r="D996" t="n">
        <v>25680</v>
      </c>
      <c r="E996" t="n">
        <v>26040</v>
      </c>
    </row>
    <row r="997">
      <c r="A997" t="inlineStr">
        <is>
          <t>09/02/2026</t>
        </is>
      </c>
      <c r="B997" t="inlineStr">
        <is>
          <t>Eximbank</t>
        </is>
      </c>
      <c r="C997" t="n">
        <v>25690</v>
      </c>
      <c r="D997" t="n">
        <v>25720</v>
      </c>
      <c r="E997" t="n">
        <v>26080</v>
      </c>
    </row>
    <row r="998">
      <c r="A998" t="inlineStr">
        <is>
          <t>08/02/2026</t>
        </is>
      </c>
      <c r="B998" t="inlineStr">
        <is>
          <t>Eximbank</t>
        </is>
      </c>
      <c r="C998" t="n">
        <v>25730</v>
      </c>
      <c r="D998" t="n">
        <v>25760</v>
      </c>
      <c r="E998" t="n">
        <v>26120</v>
      </c>
    </row>
    <row r="999">
      <c r="A999" t="inlineStr">
        <is>
          <t>07/02/2026</t>
        </is>
      </c>
      <c r="B999" t="inlineStr">
        <is>
          <t>Eximbank</t>
        </is>
      </c>
      <c r="C999" t="n">
        <v>25730</v>
      </c>
      <c r="D999" t="n">
        <v>25760</v>
      </c>
      <c r="E999" t="n">
        <v>26120</v>
      </c>
    </row>
    <row r="1000">
      <c r="A1000" t="inlineStr">
        <is>
          <t>06/02/2026</t>
        </is>
      </c>
      <c r="B1000" t="inlineStr">
        <is>
          <t>Eximbank</t>
        </is>
      </c>
      <c r="C1000" t="n">
        <v>25730</v>
      </c>
      <c r="D1000" t="n">
        <v>25760</v>
      </c>
      <c r="E1000" t="n">
        <v>26120</v>
      </c>
    </row>
    <row r="1001">
      <c r="A1001" t="inlineStr">
        <is>
          <t>05/02/2026</t>
        </is>
      </c>
      <c r="B1001" t="inlineStr">
        <is>
          <t>Eximbank</t>
        </is>
      </c>
      <c r="C1001" t="n">
        <v>25760</v>
      </c>
      <c r="D1001" t="n">
        <v>25790</v>
      </c>
      <c r="E1001" t="n">
        <v>26130</v>
      </c>
    </row>
    <row r="1002">
      <c r="A1002" t="inlineStr">
        <is>
          <t>04/02/2026</t>
        </is>
      </c>
      <c r="B1002" t="inlineStr">
        <is>
          <t>Eximbank</t>
        </is>
      </c>
      <c r="C1002" t="n">
        <v>25790</v>
      </c>
      <c r="D1002" t="n">
        <v>25820</v>
      </c>
      <c r="E1002" t="n">
        <v>26160</v>
      </c>
    </row>
    <row r="1003">
      <c r="A1003" t="inlineStr">
        <is>
          <t>03/02/2026</t>
        </is>
      </c>
      <c r="B1003" t="inlineStr">
        <is>
          <t>Eximbank</t>
        </is>
      </c>
      <c r="C1003" t="n">
        <v>25790</v>
      </c>
      <c r="D1003" t="n">
        <v>25820</v>
      </c>
      <c r="E1003" t="n">
        <v>26160</v>
      </c>
    </row>
    <row r="1004">
      <c r="A1004" t="inlineStr">
        <is>
          <t>02/02/2026</t>
        </is>
      </c>
      <c r="B1004" t="inlineStr">
        <is>
          <t>Eximbank</t>
        </is>
      </c>
      <c r="C1004" t="n">
        <v>25790</v>
      </c>
      <c r="D1004" t="n">
        <v>25820</v>
      </c>
      <c r="E1004" t="n">
        <v>26160</v>
      </c>
    </row>
    <row r="1005">
      <c r="A1005" t="inlineStr">
        <is>
          <t>01/02/2026</t>
        </is>
      </c>
      <c r="B1005" t="inlineStr">
        <is>
          <t>Eximbank</t>
        </is>
      </c>
      <c r="C1005" t="n">
        <v>25720</v>
      </c>
      <c r="D1005" t="n">
        <v>25750</v>
      </c>
      <c r="E1005" t="n">
        <v>26090</v>
      </c>
    </row>
    <row r="1006">
      <c r="A1006" t="inlineStr">
        <is>
          <t>31/01/2026</t>
        </is>
      </c>
      <c r="B1006" t="inlineStr">
        <is>
          <t>Eximbank</t>
        </is>
      </c>
      <c r="C1006" t="n">
        <v>25720</v>
      </c>
      <c r="D1006" t="n">
        <v>25750</v>
      </c>
      <c r="E1006" t="n">
        <v>26090</v>
      </c>
    </row>
    <row r="1007">
      <c r="A1007" t="inlineStr">
        <is>
          <t>30/01/2026</t>
        </is>
      </c>
      <c r="B1007" t="inlineStr">
        <is>
          <t>Eximbank</t>
        </is>
      </c>
      <c r="C1007" t="n">
        <v>25720</v>
      </c>
      <c r="D1007" t="n">
        <v>25750</v>
      </c>
      <c r="E1007" t="n">
        <v>26090</v>
      </c>
    </row>
    <row r="1008">
      <c r="A1008" t="inlineStr">
        <is>
          <t>29/01/2026</t>
        </is>
      </c>
      <c r="B1008" t="inlineStr">
        <is>
          <t>Eximbank</t>
        </is>
      </c>
      <c r="C1008" t="n">
        <v>25810</v>
      </c>
      <c r="D1008" t="n">
        <v>25840</v>
      </c>
      <c r="E1008" t="n">
        <v>26180</v>
      </c>
    </row>
    <row r="1009">
      <c r="A1009" t="inlineStr">
        <is>
          <t>28/01/2026</t>
        </is>
      </c>
      <c r="B1009" t="inlineStr">
        <is>
          <t>Eximbank</t>
        </is>
      </c>
      <c r="C1009" t="n">
        <v>25870</v>
      </c>
      <c r="D1009" t="n">
        <v>25900</v>
      </c>
      <c r="E1009" t="n">
        <v>26240</v>
      </c>
    </row>
    <row r="1010">
      <c r="A1010" t="inlineStr">
        <is>
          <t>27/01/2026</t>
        </is>
      </c>
      <c r="B1010" t="inlineStr">
        <is>
          <t>Eximbank</t>
        </is>
      </c>
      <c r="C1010" t="n">
        <v>25940</v>
      </c>
      <c r="D1010" t="n">
        <v>25970</v>
      </c>
      <c r="E1010" t="n">
        <v>26310</v>
      </c>
    </row>
    <row r="1011">
      <c r="A1011" t="inlineStr">
        <is>
          <t>26/01/2026</t>
        </is>
      </c>
      <c r="B1011" t="inlineStr">
        <is>
          <t>Eximbank</t>
        </is>
      </c>
      <c r="C1011" t="n">
        <v>25978</v>
      </c>
      <c r="D1011" t="n">
        <v>26008</v>
      </c>
      <c r="E1011" t="n">
        <v>26348</v>
      </c>
    </row>
    <row r="1012">
      <c r="A1012" t="inlineStr">
        <is>
          <t>25/01/2026</t>
        </is>
      </c>
      <c r="B1012" t="inlineStr">
        <is>
          <t>Eximbank</t>
        </is>
      </c>
      <c r="C1012" t="n">
        <v>26031</v>
      </c>
      <c r="D1012" t="n">
        <v>26061</v>
      </c>
      <c r="E1012" t="n">
        <v>26361</v>
      </c>
    </row>
    <row r="1013">
      <c r="A1013" t="inlineStr">
        <is>
          <t>24/01/2026</t>
        </is>
      </c>
      <c r="B1013" t="inlineStr">
        <is>
          <t>Eximbank</t>
        </is>
      </c>
      <c r="C1013" t="n">
        <v>26031</v>
      </c>
      <c r="D1013" t="n">
        <v>26061</v>
      </c>
      <c r="E1013" t="n">
        <v>26361</v>
      </c>
    </row>
    <row r="1014">
      <c r="A1014" t="inlineStr">
        <is>
          <t>23/01/2026</t>
        </is>
      </c>
      <c r="B1014" t="inlineStr">
        <is>
          <t>Eximbank</t>
        </is>
      </c>
      <c r="C1014" t="n">
        <v>26031</v>
      </c>
      <c r="D1014" t="n">
        <v>26061</v>
      </c>
      <c r="E1014" t="n">
        <v>26361</v>
      </c>
    </row>
    <row r="1015">
      <c r="A1015" t="inlineStr">
        <is>
          <t>22/01/2026</t>
        </is>
      </c>
      <c r="B1015" t="inlineStr">
        <is>
          <t>Eximbank</t>
        </is>
      </c>
      <c r="C1015" t="n">
        <v>26051</v>
      </c>
      <c r="D1015" t="n">
        <v>26081</v>
      </c>
      <c r="E1015" t="n">
        <v>26361</v>
      </c>
    </row>
    <row r="1016">
      <c r="A1016" t="inlineStr">
        <is>
          <t>21/01/2026</t>
        </is>
      </c>
      <c r="B1016" t="inlineStr">
        <is>
          <t>Eximbank</t>
        </is>
      </c>
      <c r="C1016" t="n">
        <v>26050</v>
      </c>
      <c r="D1016" t="n">
        <v>26080</v>
      </c>
      <c r="E1016" t="n">
        <v>26360</v>
      </c>
    </row>
    <row r="1017">
      <c r="A1017" t="inlineStr">
        <is>
          <t>20/01/2026</t>
        </is>
      </c>
      <c r="B1017" t="inlineStr">
        <is>
          <t>Eximbank</t>
        </is>
      </c>
      <c r="C1017" t="n">
        <v>26056</v>
      </c>
      <c r="D1017" t="n">
        <v>26086</v>
      </c>
      <c r="E1017" t="n">
        <v>26366</v>
      </c>
    </row>
    <row r="1018">
      <c r="A1018" t="inlineStr">
        <is>
          <t>19/01/2026</t>
        </is>
      </c>
      <c r="B1018" t="inlineStr">
        <is>
          <t>Eximbank</t>
        </is>
      </c>
      <c r="C1018" t="n">
        <v>26058</v>
      </c>
      <c r="D1018" t="n">
        <v>26088</v>
      </c>
      <c r="E1018" t="n">
        <v>26368</v>
      </c>
    </row>
    <row r="1019">
      <c r="A1019" t="inlineStr">
        <is>
          <t>18/01/2026</t>
        </is>
      </c>
      <c r="B1019" t="inlineStr">
        <is>
          <t>Eximbank</t>
        </is>
      </c>
      <c r="C1019" t="n">
        <v>26057</v>
      </c>
      <c r="D1019" t="n">
        <v>26087</v>
      </c>
      <c r="E1019" t="n">
        <v>26367</v>
      </c>
    </row>
    <row r="1020">
      <c r="A1020" t="inlineStr">
        <is>
          <t>17/01/2026</t>
        </is>
      </c>
      <c r="B1020" t="inlineStr">
        <is>
          <t>Eximbank</t>
        </is>
      </c>
      <c r="C1020" t="n">
        <v>26057</v>
      </c>
      <c r="D1020" t="n">
        <v>26087</v>
      </c>
      <c r="E1020" t="n">
        <v>26367</v>
      </c>
    </row>
    <row r="1021">
      <c r="A1021" t="inlineStr">
        <is>
          <t>16/01/2026</t>
        </is>
      </c>
      <c r="B1021" t="inlineStr">
        <is>
          <t>Eximbank</t>
        </is>
      </c>
      <c r="C1021" t="n">
        <v>26057</v>
      </c>
      <c r="D1021" t="n">
        <v>26087</v>
      </c>
      <c r="E1021" t="n">
        <v>26367</v>
      </c>
    </row>
    <row r="1022">
      <c r="A1022" t="inlineStr">
        <is>
          <t>15/01/2026</t>
        </is>
      </c>
      <c r="B1022" t="inlineStr">
        <is>
          <t>Eximbank</t>
        </is>
      </c>
      <c r="C1022" t="n">
        <v>26061</v>
      </c>
      <c r="D1022" t="n">
        <v>26091</v>
      </c>
      <c r="E1022" t="n">
        <v>26371</v>
      </c>
    </row>
    <row r="1023">
      <c r="A1023" t="inlineStr">
        <is>
          <t>14/01/2026</t>
        </is>
      </c>
      <c r="B1023" t="inlineStr">
        <is>
          <t>Eximbank</t>
        </is>
      </c>
      <c r="C1023" t="n">
        <v>26061</v>
      </c>
      <c r="D1023" t="n">
        <v>26091</v>
      </c>
      <c r="E1023" t="n">
        <v>26371</v>
      </c>
    </row>
    <row r="1024">
      <c r="A1024" t="inlineStr">
        <is>
          <t>13/01/2026</t>
        </is>
      </c>
      <c r="B1024" t="inlineStr">
        <is>
          <t>Eximbank</t>
        </is>
      </c>
      <c r="C1024" t="n">
        <v>26055</v>
      </c>
      <c r="D1024" t="n">
        <v>26085</v>
      </c>
      <c r="E1024" t="n">
        <v>26365</v>
      </c>
    </row>
    <row r="1025">
      <c r="A1025" t="inlineStr">
        <is>
          <t>12/01/2026</t>
        </is>
      </c>
      <c r="B1025" t="inlineStr">
        <is>
          <t>Eximbank</t>
        </is>
      </c>
      <c r="C1025" t="n">
        <v>26055</v>
      </c>
      <c r="D1025" t="n">
        <v>26085</v>
      </c>
      <c r="E1025" t="n">
        <v>26365</v>
      </c>
    </row>
    <row r="1026">
      <c r="A1026" t="inlineStr">
        <is>
          <t>11/01/2026</t>
        </is>
      </c>
      <c r="B1026" t="inlineStr">
        <is>
          <t>Eximbank</t>
        </is>
      </c>
      <c r="C1026" t="n">
        <v>26057</v>
      </c>
      <c r="D1026" t="n">
        <v>26087</v>
      </c>
      <c r="E1026" t="n">
        <v>26367</v>
      </c>
    </row>
    <row r="1027">
      <c r="A1027" t="inlineStr">
        <is>
          <t>10/01/2026</t>
        </is>
      </c>
      <c r="B1027" t="inlineStr">
        <is>
          <t>Eximbank</t>
        </is>
      </c>
      <c r="C1027" t="n">
        <v>26057</v>
      </c>
      <c r="D1027" t="n">
        <v>26087</v>
      </c>
      <c r="E1027" t="n">
        <v>26367</v>
      </c>
    </row>
    <row r="1028">
      <c r="A1028" t="inlineStr">
        <is>
          <t>09/01/2026</t>
        </is>
      </c>
      <c r="B1028" t="inlineStr">
        <is>
          <t>Eximbank</t>
        </is>
      </c>
      <c r="C1028" t="n">
        <v>26053</v>
      </c>
      <c r="D1028" t="n">
        <v>26083</v>
      </c>
      <c r="E1028" t="n">
        <v>26363</v>
      </c>
    </row>
    <row r="1029">
      <c r="A1029" t="inlineStr">
        <is>
          <t>08/01/2026</t>
        </is>
      </c>
      <c r="B1029" t="inlineStr">
        <is>
          <t>Eximbank</t>
        </is>
      </c>
      <c r="C1029" t="n">
        <v>26051</v>
      </c>
      <c r="D1029" t="n">
        <v>26081</v>
      </c>
      <c r="E1029" t="n">
        <v>26361</v>
      </c>
    </row>
    <row r="1030">
      <c r="A1030" t="inlineStr">
        <is>
          <t>07/01/2026</t>
        </is>
      </c>
      <c r="B1030" t="inlineStr">
        <is>
          <t>Eximbank</t>
        </is>
      </c>
      <c r="C1030" t="n">
        <v>26048</v>
      </c>
      <c r="D1030" t="n">
        <v>26078</v>
      </c>
      <c r="E1030" t="n">
        <v>26358</v>
      </c>
    </row>
    <row r="1031">
      <c r="A1031" t="inlineStr">
        <is>
          <t>06/01/2026</t>
        </is>
      </c>
      <c r="B1031" t="inlineStr">
        <is>
          <t>Eximbank</t>
        </is>
      </c>
      <c r="C1031" t="n">
        <v>26048</v>
      </c>
      <c r="D1031" t="n">
        <v>26078</v>
      </c>
      <c r="E1031" t="n">
        <v>26358</v>
      </c>
    </row>
    <row r="1032">
      <c r="A1032" t="inlineStr">
        <is>
          <t>05/01/2026</t>
        </is>
      </c>
      <c r="B1032" t="inlineStr">
        <is>
          <t>Eximbank</t>
        </is>
      </c>
      <c r="C1032" t="n">
        <v>26050</v>
      </c>
      <c r="D1032" t="n">
        <v>26080</v>
      </c>
      <c r="E1032" t="n">
        <v>26360</v>
      </c>
    </row>
    <row r="1033">
      <c r="A1033" t="inlineStr">
        <is>
          <t>04/01/2026</t>
        </is>
      </c>
      <c r="B1033" t="inlineStr">
        <is>
          <t>Eximbank</t>
        </is>
      </c>
      <c r="C1033" t="n">
        <v>26047</v>
      </c>
      <c r="D1033" t="n">
        <v>26077</v>
      </c>
      <c r="E1033" t="n">
        <v>26357</v>
      </c>
    </row>
    <row r="1034">
      <c r="A1034" t="inlineStr">
        <is>
          <t>03/01/2026</t>
        </is>
      </c>
      <c r="B1034" t="inlineStr">
        <is>
          <t>Eximbank</t>
        </is>
      </c>
      <c r="C1034" t="n">
        <v>26047</v>
      </c>
      <c r="D1034" t="n">
        <v>26077</v>
      </c>
      <c r="E1034" t="n">
        <v>26357</v>
      </c>
    </row>
    <row r="1035">
      <c r="A1035" t="inlineStr">
        <is>
          <t>02/01/2026</t>
        </is>
      </c>
      <c r="B1035" t="inlineStr">
        <is>
          <t>Eximbank</t>
        </is>
      </c>
      <c r="C1035" t="n">
        <v>26047</v>
      </c>
      <c r="D1035" t="n">
        <v>26077</v>
      </c>
      <c r="E1035" t="n">
        <v>26357</v>
      </c>
    </row>
    <row r="1036">
      <c r="A1036" t="inlineStr">
        <is>
          <t>01/01/2026</t>
        </is>
      </c>
      <c r="B1036" t="inlineStr">
        <is>
          <t>Eximbank</t>
        </is>
      </c>
      <c r="C1036" t="n">
        <v>26047</v>
      </c>
      <c r="D1036" t="n">
        <v>26077</v>
      </c>
      <c r="E1036" t="n">
        <v>26357</v>
      </c>
    </row>
    <row r="1037">
      <c r="A1037" t="inlineStr">
        <is>
          <t>10/09/2026</t>
        </is>
      </c>
      <c r="B1037" t="inlineStr">
        <is>
          <t>Eximbank</t>
        </is>
      </c>
      <c r="C1037" t="n">
        <v>25680</v>
      </c>
      <c r="D1037" t="n">
        <v>25710</v>
      </c>
      <c r="E1037" t="n">
        <v>26070</v>
      </c>
    </row>
    <row r="1038">
      <c r="A1038" t="inlineStr">
        <is>
          <t>11/09/2026</t>
        </is>
      </c>
      <c r="B1038" t="inlineStr">
        <is>
          <t>Eximbank</t>
        </is>
      </c>
      <c r="C1038" t="n">
        <v>25700</v>
      </c>
      <c r="D1038" t="n">
        <v>25730</v>
      </c>
      <c r="E1038" t="n">
        <v>26090</v>
      </c>
    </row>
    <row r="1039">
      <c r="A1039" t="inlineStr">
        <is>
          <t>12/09/2026</t>
        </is>
      </c>
      <c r="B1039" t="inlineStr">
        <is>
          <t>Eximbank</t>
        </is>
      </c>
      <c r="C1039" t="n">
        <v>25700</v>
      </c>
      <c r="D1039" t="n">
        <v>25730</v>
      </c>
      <c r="E1039" t="n">
        <v>26090</v>
      </c>
    </row>
    <row r="1040">
      <c r="A1040" t="inlineStr">
        <is>
          <t>13/09/2026</t>
        </is>
      </c>
      <c r="B1040" t="inlineStr">
        <is>
          <t>Eximbank</t>
        </is>
      </c>
      <c r="C1040" t="n">
        <v>25700</v>
      </c>
      <c r="D1040" t="n">
        <v>25730</v>
      </c>
      <c r="E1040" t="n">
        <v>26090</v>
      </c>
    </row>
    <row r="1041">
      <c r="A1041" t="inlineStr">
        <is>
          <t>14/09/2026</t>
        </is>
      </c>
      <c r="B1041" t="inlineStr">
        <is>
          <t>Eximbank</t>
        </is>
      </c>
      <c r="C1041" t="n">
        <v>25770</v>
      </c>
      <c r="D1041" t="n">
        <v>25800</v>
      </c>
      <c r="E1041" t="n">
        <v>26160</v>
      </c>
    </row>
    <row r="1042">
      <c r="A1042" t="inlineStr">
        <is>
          <t>15/09/2026</t>
        </is>
      </c>
      <c r="B1042" t="inlineStr">
        <is>
          <t>Eximbank</t>
        </is>
      </c>
      <c r="C1042" t="n">
        <v>25730</v>
      </c>
      <c r="D1042" t="n">
        <v>25760</v>
      </c>
      <c r="E1042" t="n">
        <v>26120</v>
      </c>
    </row>
    <row r="1043">
      <c r="A1043" t="inlineStr">
        <is>
          <t>16/09/2026</t>
        </is>
      </c>
      <c r="B1043" t="inlineStr">
        <is>
          <t>Eximbank</t>
        </is>
      </c>
      <c r="C1043" t="n">
        <v>25770</v>
      </c>
      <c r="D1043" t="n">
        <v>25800</v>
      </c>
      <c r="E1043" t="n">
        <v>26160</v>
      </c>
    </row>
    <row r="1044">
      <c r="A1044" t="inlineStr">
        <is>
          <t>18/09/2026</t>
        </is>
      </c>
      <c r="B1044" t="inlineStr">
        <is>
          <t>Eximbank</t>
        </is>
      </c>
      <c r="C1044" t="n">
        <v>25780</v>
      </c>
      <c r="D1044" t="n">
        <v>25810</v>
      </c>
      <c r="E1044" t="n">
        <v>26170</v>
      </c>
    </row>
    <row r="1045">
      <c r="A1045" t="inlineStr">
        <is>
          <t>09/09/2026</t>
        </is>
      </c>
      <c r="B1045" t="inlineStr">
        <is>
          <t>HDBank</t>
        </is>
      </c>
      <c r="C1045" t="n">
        <v>25680</v>
      </c>
      <c r="D1045" t="n">
        <v>25710</v>
      </c>
      <c r="E1045" t="n">
        <v>26090</v>
      </c>
    </row>
    <row r="1046">
      <c r="A1046" t="inlineStr">
        <is>
          <t>08/09/2026</t>
        </is>
      </c>
      <c r="B1046" t="inlineStr">
        <is>
          <t>HDBank</t>
        </is>
      </c>
      <c r="C1046" t="n">
        <v>25750</v>
      </c>
      <c r="D1046" t="n">
        <v>25780</v>
      </c>
      <c r="E1046" t="n">
        <v>26160</v>
      </c>
    </row>
    <row r="1047">
      <c r="A1047" t="inlineStr">
        <is>
          <t>07/09/2026</t>
        </is>
      </c>
      <c r="B1047" t="inlineStr">
        <is>
          <t>HDBank</t>
        </is>
      </c>
      <c r="C1047" t="n">
        <v>25800</v>
      </c>
      <c r="D1047" t="n">
        <v>25830</v>
      </c>
      <c r="E1047" t="n">
        <v>26210</v>
      </c>
    </row>
    <row r="1048">
      <c r="A1048" t="inlineStr">
        <is>
          <t>06/09/2026</t>
        </is>
      </c>
      <c r="B1048" t="inlineStr">
        <is>
          <t>HDBank</t>
        </is>
      </c>
      <c r="C1048" t="n">
        <v>25845</v>
      </c>
      <c r="D1048" t="n">
        <v>25875</v>
      </c>
      <c r="E1048" t="n">
        <v>26255</v>
      </c>
    </row>
    <row r="1049">
      <c r="A1049" t="inlineStr">
        <is>
          <t>05/09/2026</t>
        </is>
      </c>
      <c r="B1049" t="inlineStr">
        <is>
          <t>HDBank</t>
        </is>
      </c>
      <c r="C1049" t="n">
        <v>25845</v>
      </c>
      <c r="D1049" t="n">
        <v>25875</v>
      </c>
      <c r="E1049" t="n">
        <v>26255</v>
      </c>
    </row>
    <row r="1050">
      <c r="A1050" t="inlineStr">
        <is>
          <t>04/09/2026</t>
        </is>
      </c>
      <c r="B1050" t="inlineStr">
        <is>
          <t>HDBank</t>
        </is>
      </c>
      <c r="C1050" t="n">
        <v>25845</v>
      </c>
      <c r="D1050" t="n">
        <v>25875</v>
      </c>
      <c r="E1050" t="n">
        <v>26255</v>
      </c>
    </row>
    <row r="1051">
      <c r="A1051" t="inlineStr">
        <is>
          <t>03/09/2026</t>
        </is>
      </c>
      <c r="B1051" t="inlineStr">
        <is>
          <t>HDBank</t>
        </is>
      </c>
      <c r="C1051" t="n">
        <v>25850</v>
      </c>
      <c r="D1051" t="n">
        <v>25880</v>
      </c>
      <c r="E1051" t="n">
        <v>26260</v>
      </c>
    </row>
    <row r="1052">
      <c r="A1052" t="inlineStr">
        <is>
          <t>02/09/2026</t>
        </is>
      </c>
      <c r="B1052" t="inlineStr">
        <is>
          <t>HDBank</t>
        </is>
      </c>
      <c r="C1052" t="n">
        <v>25850</v>
      </c>
      <c r="D1052" t="n">
        <v>25880</v>
      </c>
      <c r="E1052" t="n">
        <v>26260</v>
      </c>
    </row>
    <row r="1053">
      <c r="A1053" t="inlineStr">
        <is>
          <t>01/09/2026</t>
        </is>
      </c>
      <c r="B1053" t="inlineStr">
        <is>
          <t>HDBank</t>
        </is>
      </c>
      <c r="C1053" t="n">
        <v>25850</v>
      </c>
      <c r="D1053" t="n">
        <v>25880</v>
      </c>
      <c r="E1053" t="n">
        <v>26260</v>
      </c>
    </row>
    <row r="1054">
      <c r="A1054" t="inlineStr">
        <is>
          <t>31/08/2026</t>
        </is>
      </c>
      <c r="B1054" t="inlineStr">
        <is>
          <t>HDBank</t>
        </is>
      </c>
      <c r="C1054" t="n">
        <v>25850</v>
      </c>
      <c r="D1054" t="n">
        <v>25880</v>
      </c>
      <c r="E1054" t="n">
        <v>26260</v>
      </c>
    </row>
    <row r="1055">
      <c r="A1055" t="inlineStr">
        <is>
          <t>30/08/2026</t>
        </is>
      </c>
      <c r="B1055" t="inlineStr">
        <is>
          <t>HDBank</t>
        </is>
      </c>
      <c r="C1055" t="n">
        <v>25850</v>
      </c>
      <c r="D1055" t="n">
        <v>25880</v>
      </c>
      <c r="E1055" t="n">
        <v>26260</v>
      </c>
    </row>
    <row r="1056">
      <c r="A1056" t="inlineStr">
        <is>
          <t>29/08/2026</t>
        </is>
      </c>
      <c r="B1056" t="inlineStr">
        <is>
          <t>HDBank</t>
        </is>
      </c>
      <c r="C1056" t="n">
        <v>25850</v>
      </c>
      <c r="D1056" t="n">
        <v>25880</v>
      </c>
      <c r="E1056" t="n">
        <v>26260</v>
      </c>
    </row>
    <row r="1057">
      <c r="A1057" t="inlineStr">
        <is>
          <t>28/08/2026</t>
        </is>
      </c>
      <c r="B1057" t="inlineStr">
        <is>
          <t>HDBank</t>
        </is>
      </c>
      <c r="C1057" t="n">
        <v>25850</v>
      </c>
      <c r="D1057" t="n">
        <v>25880</v>
      </c>
      <c r="E1057" t="n">
        <v>26260</v>
      </c>
    </row>
    <row r="1058">
      <c r="A1058" t="inlineStr">
        <is>
          <t>27/08/2026</t>
        </is>
      </c>
      <c r="B1058" t="inlineStr">
        <is>
          <t>HDBank</t>
        </is>
      </c>
      <c r="C1058" t="n">
        <v>25860</v>
      </c>
      <c r="D1058" t="n">
        <v>25890</v>
      </c>
      <c r="E1058" t="n">
        <v>26270</v>
      </c>
    </row>
    <row r="1059">
      <c r="A1059" t="inlineStr">
        <is>
          <t>26/08/2026</t>
        </is>
      </c>
      <c r="B1059" t="inlineStr">
        <is>
          <t>HDBank</t>
        </is>
      </c>
      <c r="C1059" t="n">
        <v>25890</v>
      </c>
      <c r="D1059" t="n">
        <v>25920</v>
      </c>
      <c r="E1059" t="n">
        <v>26300</v>
      </c>
    </row>
    <row r="1060">
      <c r="A1060" t="inlineStr">
        <is>
          <t>25/08/2026</t>
        </is>
      </c>
      <c r="B1060" t="inlineStr">
        <is>
          <t>HDBank</t>
        </is>
      </c>
      <c r="C1060" t="n">
        <v>25900</v>
      </c>
      <c r="D1060" t="n">
        <v>25930</v>
      </c>
      <c r="E1060" t="n">
        <v>26310</v>
      </c>
    </row>
    <row r="1061">
      <c r="A1061" t="inlineStr">
        <is>
          <t>24/08/2026</t>
        </is>
      </c>
      <c r="B1061" t="inlineStr">
        <is>
          <t>HDBank</t>
        </is>
      </c>
      <c r="C1061" t="n">
        <v>25950</v>
      </c>
      <c r="D1061" t="n">
        <v>25980</v>
      </c>
      <c r="E1061" t="n">
        <v>26360</v>
      </c>
    </row>
    <row r="1062">
      <c r="A1062" t="inlineStr">
        <is>
          <t>23/08/2026</t>
        </is>
      </c>
      <c r="B1062" t="inlineStr">
        <is>
          <t>HDBank</t>
        </is>
      </c>
      <c r="C1062" t="n">
        <v>25900</v>
      </c>
      <c r="D1062" t="n">
        <v>25930</v>
      </c>
      <c r="E1062" t="n">
        <v>26310</v>
      </c>
    </row>
    <row r="1063">
      <c r="A1063" t="inlineStr">
        <is>
          <t>22/08/2026</t>
        </is>
      </c>
      <c r="B1063" t="inlineStr">
        <is>
          <t>HDBank</t>
        </is>
      </c>
      <c r="C1063" t="n">
        <v>25900</v>
      </c>
      <c r="D1063" t="n">
        <v>25930</v>
      </c>
      <c r="E1063" t="n">
        <v>26310</v>
      </c>
    </row>
    <row r="1064">
      <c r="A1064" t="inlineStr">
        <is>
          <t>21/08/2026</t>
        </is>
      </c>
      <c r="B1064" t="inlineStr">
        <is>
          <t>HDBank</t>
        </is>
      </c>
      <c r="C1064" t="n">
        <v>25870</v>
      </c>
      <c r="D1064" t="n">
        <v>25900</v>
      </c>
      <c r="E1064" t="n">
        <v>26280</v>
      </c>
    </row>
    <row r="1065">
      <c r="A1065" t="inlineStr">
        <is>
          <t>20/08/2026</t>
        </is>
      </c>
      <c r="B1065" t="inlineStr">
        <is>
          <t>HDBank</t>
        </is>
      </c>
      <c r="C1065" t="n">
        <v>25900</v>
      </c>
      <c r="D1065" t="n">
        <v>25930</v>
      </c>
      <c r="E1065" t="n">
        <v>26310</v>
      </c>
    </row>
    <row r="1066">
      <c r="A1066" t="inlineStr">
        <is>
          <t>19/08/2026</t>
        </is>
      </c>
      <c r="B1066" t="inlineStr">
        <is>
          <t>HDBank</t>
        </is>
      </c>
      <c r="C1066" t="n">
        <v>25960</v>
      </c>
      <c r="D1066" t="n">
        <v>25990</v>
      </c>
      <c r="E1066" t="n">
        <v>26370</v>
      </c>
    </row>
    <row r="1067">
      <c r="A1067" t="inlineStr">
        <is>
          <t>18/08/2026</t>
        </is>
      </c>
      <c r="B1067" t="inlineStr">
        <is>
          <t>HDBank</t>
        </is>
      </c>
      <c r="C1067" t="n">
        <v>25970</v>
      </c>
      <c r="D1067" t="n">
        <v>26000</v>
      </c>
      <c r="E1067" t="n">
        <v>26380</v>
      </c>
    </row>
    <row r="1068">
      <c r="A1068" t="inlineStr">
        <is>
          <t>17/08/2026</t>
        </is>
      </c>
      <c r="B1068" t="inlineStr">
        <is>
          <t>HDBank</t>
        </is>
      </c>
      <c r="C1068" t="n">
        <v>25990</v>
      </c>
      <c r="D1068" t="n">
        <v>26020</v>
      </c>
      <c r="E1068" t="n">
        <v>26400</v>
      </c>
    </row>
    <row r="1069">
      <c r="A1069" t="inlineStr">
        <is>
          <t>16/08/2026</t>
        </is>
      </c>
      <c r="B1069" t="inlineStr">
        <is>
          <t>HDBank</t>
        </is>
      </c>
      <c r="C1069" t="n">
        <v>25920</v>
      </c>
      <c r="D1069" t="n">
        <v>25950</v>
      </c>
      <c r="E1069" t="n">
        <v>26330</v>
      </c>
    </row>
    <row r="1070">
      <c r="A1070" t="inlineStr">
        <is>
          <t>15/08/2026</t>
        </is>
      </c>
      <c r="B1070" t="inlineStr">
        <is>
          <t>HDBank</t>
        </is>
      </c>
      <c r="C1070" t="n">
        <v>25920</v>
      </c>
      <c r="D1070" t="n">
        <v>25950</v>
      </c>
      <c r="E1070" t="n">
        <v>26330</v>
      </c>
    </row>
    <row r="1071">
      <c r="A1071" t="inlineStr">
        <is>
          <t>14/08/2026</t>
        </is>
      </c>
      <c r="B1071" t="inlineStr">
        <is>
          <t>HDBank</t>
        </is>
      </c>
      <c r="C1071" t="n">
        <v>25920</v>
      </c>
      <c r="D1071" t="n">
        <v>25950</v>
      </c>
      <c r="E1071" t="n">
        <v>26330</v>
      </c>
    </row>
    <row r="1072">
      <c r="A1072" t="inlineStr">
        <is>
          <t>13/08/2026</t>
        </is>
      </c>
      <c r="B1072" t="inlineStr">
        <is>
          <t>HDBank</t>
        </is>
      </c>
      <c r="C1072" t="n">
        <v>25840</v>
      </c>
      <c r="D1072" t="n">
        <v>25870</v>
      </c>
      <c r="E1072" t="n">
        <v>26250</v>
      </c>
    </row>
    <row r="1073">
      <c r="A1073" t="inlineStr">
        <is>
          <t>12/08/2026</t>
        </is>
      </c>
      <c r="B1073" t="inlineStr">
        <is>
          <t>HDBank</t>
        </is>
      </c>
      <c r="C1073" t="n">
        <v>25860</v>
      </c>
      <c r="D1073" t="n">
        <v>25890</v>
      </c>
      <c r="E1073" t="n">
        <v>26270</v>
      </c>
    </row>
    <row r="1074">
      <c r="A1074" t="inlineStr">
        <is>
          <t>11/08/2026</t>
        </is>
      </c>
      <c r="B1074" t="inlineStr">
        <is>
          <t>HDBank</t>
        </is>
      </c>
      <c r="C1074" t="n">
        <v>25910</v>
      </c>
      <c r="D1074" t="n">
        <v>25940</v>
      </c>
      <c r="E1074" t="n">
        <v>26320</v>
      </c>
    </row>
    <row r="1075">
      <c r="A1075" t="inlineStr">
        <is>
          <t>10/08/2026</t>
        </is>
      </c>
      <c r="B1075" t="inlineStr">
        <is>
          <t>HDBank</t>
        </is>
      </c>
      <c r="C1075" t="n">
        <v>25940</v>
      </c>
      <c r="D1075" t="n">
        <v>25970</v>
      </c>
      <c r="E1075" t="n">
        <v>26350</v>
      </c>
    </row>
    <row r="1076">
      <c r="A1076" t="inlineStr">
        <is>
          <t>09/08/2026</t>
        </is>
      </c>
      <c r="B1076" t="inlineStr">
        <is>
          <t>HDBank</t>
        </is>
      </c>
      <c r="C1076" t="n">
        <v>26000</v>
      </c>
      <c r="D1076" t="n">
        <v>26030</v>
      </c>
      <c r="E1076" t="n">
        <v>26410</v>
      </c>
    </row>
    <row r="1077">
      <c r="A1077" t="inlineStr">
        <is>
          <t>08/08/2026</t>
        </is>
      </c>
      <c r="B1077" t="inlineStr">
        <is>
          <t>HDBank</t>
        </is>
      </c>
      <c r="C1077" t="n">
        <v>26000</v>
      </c>
      <c r="D1077" t="n">
        <v>26030</v>
      </c>
      <c r="E1077" t="n">
        <v>26410</v>
      </c>
    </row>
    <row r="1078">
      <c r="A1078" t="inlineStr">
        <is>
          <t>07/08/2026</t>
        </is>
      </c>
      <c r="B1078" t="inlineStr">
        <is>
          <t>HDBank</t>
        </is>
      </c>
      <c r="C1078" t="n">
        <v>26000</v>
      </c>
      <c r="D1078" t="n">
        <v>26030</v>
      </c>
      <c r="E1078" t="n">
        <v>26410</v>
      </c>
    </row>
    <row r="1079">
      <c r="A1079" t="inlineStr">
        <is>
          <t>06/08/2026</t>
        </is>
      </c>
      <c r="B1079" t="inlineStr">
        <is>
          <t>HDBank</t>
        </is>
      </c>
      <c r="C1079" t="n">
        <v>26010</v>
      </c>
      <c r="D1079" t="n">
        <v>26040</v>
      </c>
      <c r="E1079" t="n">
        <v>26420</v>
      </c>
    </row>
    <row r="1080">
      <c r="A1080" t="inlineStr">
        <is>
          <t>05/08/2026</t>
        </is>
      </c>
      <c r="B1080" t="inlineStr">
        <is>
          <t>HDBank</t>
        </is>
      </c>
      <c r="C1080" t="n">
        <v>26050</v>
      </c>
      <c r="D1080" t="n">
        <v>26080</v>
      </c>
      <c r="E1080" t="n">
        <v>26460</v>
      </c>
    </row>
    <row r="1081">
      <c r="A1081" t="inlineStr">
        <is>
          <t>04/08/2026</t>
        </is>
      </c>
      <c r="B1081" t="inlineStr">
        <is>
          <t>HDBank</t>
        </is>
      </c>
      <c r="C1081" t="n">
        <v>26050</v>
      </c>
      <c r="D1081" t="n">
        <v>26080</v>
      </c>
      <c r="E1081" t="n">
        <v>26460</v>
      </c>
    </row>
    <row r="1082">
      <c r="A1082" t="inlineStr">
        <is>
          <t>03/08/2026</t>
        </is>
      </c>
      <c r="B1082" t="inlineStr">
        <is>
          <t>HDBank</t>
        </is>
      </c>
      <c r="C1082" t="n">
        <v>26070</v>
      </c>
      <c r="D1082" t="n">
        <v>26100</v>
      </c>
      <c r="E1082" t="n">
        <v>26480</v>
      </c>
    </row>
    <row r="1083">
      <c r="A1083" t="inlineStr">
        <is>
          <t>02/08/2026</t>
        </is>
      </c>
      <c r="B1083" t="inlineStr">
        <is>
          <t>HDBank</t>
        </is>
      </c>
      <c r="C1083" t="n">
        <v>26080</v>
      </c>
      <c r="D1083" t="n">
        <v>26110</v>
      </c>
      <c r="E1083" t="n">
        <v>26490</v>
      </c>
    </row>
    <row r="1084">
      <c r="A1084" t="inlineStr">
        <is>
          <t>01/08/2026</t>
        </is>
      </c>
      <c r="B1084" t="inlineStr">
        <is>
          <t>HDBank</t>
        </is>
      </c>
      <c r="C1084" t="n">
        <v>26080</v>
      </c>
      <c r="D1084" t="n">
        <v>26110</v>
      </c>
      <c r="E1084" t="n">
        <v>26490</v>
      </c>
    </row>
    <row r="1085">
      <c r="A1085" t="inlineStr">
        <is>
          <t>31/07/2026</t>
        </is>
      </c>
      <c r="B1085" t="inlineStr">
        <is>
          <t>HDBank</t>
        </is>
      </c>
      <c r="C1085" t="n">
        <v>26080</v>
      </c>
      <c r="D1085" t="n">
        <v>26110</v>
      </c>
      <c r="E1085" t="n">
        <v>26490</v>
      </c>
    </row>
    <row r="1086">
      <c r="A1086" t="inlineStr">
        <is>
          <t>30/07/2026</t>
        </is>
      </c>
      <c r="B1086" t="inlineStr">
        <is>
          <t>HDBank</t>
        </is>
      </c>
      <c r="C1086" t="n">
        <v>26080</v>
      </c>
      <c r="D1086" t="n">
        <v>26110</v>
      </c>
      <c r="E1086" t="n">
        <v>26490</v>
      </c>
    </row>
    <row r="1087">
      <c r="A1087" t="inlineStr">
        <is>
          <t>29/07/2026</t>
        </is>
      </c>
      <c r="B1087" t="inlineStr">
        <is>
          <t>HDBank</t>
        </is>
      </c>
      <c r="C1087" t="n">
        <v>26105</v>
      </c>
      <c r="D1087" t="n">
        <v>26135</v>
      </c>
      <c r="E1087" t="n">
        <v>26515</v>
      </c>
    </row>
    <row r="1088">
      <c r="A1088" t="inlineStr">
        <is>
          <t>28/07/2026</t>
        </is>
      </c>
      <c r="B1088" t="inlineStr">
        <is>
          <t>HDBank</t>
        </is>
      </c>
      <c r="C1088" t="n">
        <v>26115</v>
      </c>
      <c r="D1088" t="n">
        <v>26145</v>
      </c>
      <c r="E1088" t="n">
        <v>26525</v>
      </c>
    </row>
    <row r="1089">
      <c r="A1089" t="inlineStr">
        <is>
          <t>27/07/2026</t>
        </is>
      </c>
      <c r="B1089" t="inlineStr">
        <is>
          <t>HDBank</t>
        </is>
      </c>
      <c r="C1089" t="n">
        <v>26110</v>
      </c>
      <c r="D1089" t="n">
        <v>26140</v>
      </c>
      <c r="E1089" t="n">
        <v>26520</v>
      </c>
    </row>
    <row r="1090">
      <c r="A1090" t="inlineStr">
        <is>
          <t>26/07/2026</t>
        </is>
      </c>
      <c r="B1090" t="inlineStr">
        <is>
          <t>HDBank</t>
        </is>
      </c>
      <c r="C1090" t="n">
        <v>26100</v>
      </c>
      <c r="D1090" t="n">
        <v>26130</v>
      </c>
      <c r="E1090" t="n">
        <v>26510</v>
      </c>
    </row>
    <row r="1091">
      <c r="A1091" t="inlineStr">
        <is>
          <t>25/07/2026</t>
        </is>
      </c>
      <c r="B1091" t="inlineStr">
        <is>
          <t>HDBank</t>
        </is>
      </c>
      <c r="C1091" t="n">
        <v>26100</v>
      </c>
      <c r="D1091" t="n">
        <v>26130</v>
      </c>
      <c r="E1091" t="n">
        <v>26510</v>
      </c>
    </row>
    <row r="1092">
      <c r="A1092" t="inlineStr">
        <is>
          <t>24/07/2026</t>
        </is>
      </c>
      <c r="B1092" t="inlineStr">
        <is>
          <t>HDBank</t>
        </is>
      </c>
      <c r="C1092" t="n">
        <v>26100</v>
      </c>
      <c r="D1092" t="n">
        <v>26130</v>
      </c>
      <c r="E1092" t="n">
        <v>26510</v>
      </c>
    </row>
    <row r="1093">
      <c r="A1093" t="inlineStr">
        <is>
          <t>23/07/2026</t>
        </is>
      </c>
      <c r="B1093" t="inlineStr">
        <is>
          <t>HDBank</t>
        </is>
      </c>
      <c r="C1093" t="n">
        <v>26090</v>
      </c>
      <c r="D1093" t="n">
        <v>26120</v>
      </c>
      <c r="E1093" t="n">
        <v>26500</v>
      </c>
    </row>
    <row r="1094">
      <c r="A1094" t="inlineStr">
        <is>
          <t>22/07/2026</t>
        </is>
      </c>
      <c r="B1094" t="inlineStr">
        <is>
          <t>HDBank</t>
        </is>
      </c>
      <c r="C1094" t="n">
        <v>26090</v>
      </c>
      <c r="D1094" t="n">
        <v>26120</v>
      </c>
      <c r="E1094" t="n">
        <v>26500</v>
      </c>
    </row>
    <row r="1095">
      <c r="A1095" t="inlineStr">
        <is>
          <t>21/07/2026</t>
        </is>
      </c>
      <c r="B1095" t="inlineStr">
        <is>
          <t>HDBank</t>
        </is>
      </c>
      <c r="C1095" t="n">
        <v>26100</v>
      </c>
      <c r="D1095" t="n">
        <v>26130</v>
      </c>
      <c r="E1095" t="n">
        <v>26510</v>
      </c>
    </row>
    <row r="1096">
      <c r="A1096" t="inlineStr">
        <is>
          <t>20/07/2026</t>
        </is>
      </c>
      <c r="B1096" t="inlineStr">
        <is>
          <t>HDBank</t>
        </is>
      </c>
      <c r="C1096" t="n">
        <v>26080</v>
      </c>
      <c r="D1096" t="n">
        <v>26110</v>
      </c>
      <c r="E1096" t="n">
        <v>26490</v>
      </c>
    </row>
    <row r="1097">
      <c r="A1097" t="inlineStr">
        <is>
          <t>19/07/2026</t>
        </is>
      </c>
      <c r="B1097" t="inlineStr">
        <is>
          <t>HDBank</t>
        </is>
      </c>
      <c r="C1097" t="n">
        <v>26080</v>
      </c>
      <c r="D1097" t="n">
        <v>26110</v>
      </c>
      <c r="E1097" t="n">
        <v>26490</v>
      </c>
    </row>
    <row r="1098">
      <c r="A1098" t="inlineStr">
        <is>
          <t>18/07/2026</t>
        </is>
      </c>
      <c r="B1098" t="inlineStr">
        <is>
          <t>HDBank</t>
        </is>
      </c>
      <c r="C1098" t="n">
        <v>26080</v>
      </c>
      <c r="D1098" t="n">
        <v>26110</v>
      </c>
      <c r="E1098" t="n">
        <v>26490</v>
      </c>
    </row>
    <row r="1099">
      <c r="A1099" t="inlineStr">
        <is>
          <t>17/07/2026</t>
        </is>
      </c>
      <c r="B1099" t="inlineStr">
        <is>
          <t>HDBank</t>
        </is>
      </c>
      <c r="C1099" t="n">
        <v>26080</v>
      </c>
      <c r="D1099" t="n">
        <v>26110</v>
      </c>
      <c r="E1099" t="n">
        <v>26490</v>
      </c>
    </row>
    <row r="1100">
      <c r="A1100" t="inlineStr">
        <is>
          <t>16/07/2026</t>
        </is>
      </c>
      <c r="B1100" t="inlineStr">
        <is>
          <t>HDBank</t>
        </is>
      </c>
      <c r="C1100" t="n">
        <v>26040</v>
      </c>
      <c r="D1100" t="n">
        <v>26070</v>
      </c>
      <c r="E1100" t="n">
        <v>26450</v>
      </c>
    </row>
    <row r="1101">
      <c r="A1101" t="inlineStr">
        <is>
          <t>15/07/2026</t>
        </is>
      </c>
      <c r="B1101" t="inlineStr">
        <is>
          <t>HDBank</t>
        </is>
      </c>
      <c r="C1101" t="n">
        <v>26040</v>
      </c>
      <c r="D1101" t="n">
        <v>26070</v>
      </c>
      <c r="E1101" t="n">
        <v>26450</v>
      </c>
    </row>
    <row r="1102">
      <c r="A1102" t="inlineStr">
        <is>
          <t>14/07/2026</t>
        </is>
      </c>
      <c r="B1102" t="inlineStr">
        <is>
          <t>HDBank</t>
        </is>
      </c>
      <c r="C1102" t="n">
        <v>26040</v>
      </c>
      <c r="D1102" t="n">
        <v>26070</v>
      </c>
      <c r="E1102" t="n">
        <v>26450</v>
      </c>
    </row>
    <row r="1103">
      <c r="A1103" t="inlineStr">
        <is>
          <t>13/07/2026</t>
        </is>
      </c>
      <c r="B1103" t="inlineStr">
        <is>
          <t>HDBank</t>
        </is>
      </c>
      <c r="C1103" t="n">
        <v>26050</v>
      </c>
      <c r="D1103" t="n">
        <v>26080</v>
      </c>
      <c r="E1103" t="n">
        <v>26460</v>
      </c>
    </row>
    <row r="1104">
      <c r="A1104" t="inlineStr">
        <is>
          <t>12/07/2026</t>
        </is>
      </c>
      <c r="B1104" t="inlineStr">
        <is>
          <t>HDBank</t>
        </is>
      </c>
      <c r="C1104" t="n">
        <v>26060</v>
      </c>
      <c r="D1104" t="n">
        <v>26090</v>
      </c>
      <c r="E1104" t="n">
        <v>26470</v>
      </c>
    </row>
    <row r="1105">
      <c r="A1105" t="inlineStr">
        <is>
          <t>11/07/2026</t>
        </is>
      </c>
      <c r="B1105" t="inlineStr">
        <is>
          <t>HDBank</t>
        </is>
      </c>
      <c r="C1105" t="n">
        <v>26060</v>
      </c>
      <c r="D1105" t="n">
        <v>26090</v>
      </c>
      <c r="E1105" t="n">
        <v>26470</v>
      </c>
    </row>
    <row r="1106">
      <c r="A1106" t="inlineStr">
        <is>
          <t>10/07/2026</t>
        </is>
      </c>
      <c r="B1106" t="inlineStr">
        <is>
          <t>HDBank</t>
        </is>
      </c>
      <c r="C1106" t="n">
        <v>26060</v>
      </c>
      <c r="D1106" t="n">
        <v>26090</v>
      </c>
      <c r="E1106" t="n">
        <v>26470</v>
      </c>
    </row>
    <row r="1107">
      <c r="A1107" t="inlineStr">
        <is>
          <t>09/07/2026</t>
        </is>
      </c>
      <c r="B1107" t="inlineStr">
        <is>
          <t>HDBank</t>
        </is>
      </c>
      <c r="C1107" t="n">
        <v>26081</v>
      </c>
      <c r="D1107" t="n">
        <v>26111</v>
      </c>
      <c r="E1107" t="n">
        <v>26471</v>
      </c>
    </row>
    <row r="1108">
      <c r="A1108" t="inlineStr">
        <is>
          <t>08/07/2026</t>
        </is>
      </c>
      <c r="B1108" t="inlineStr">
        <is>
          <t>HDBank</t>
        </is>
      </c>
      <c r="C1108" t="n">
        <v>26076</v>
      </c>
      <c r="D1108" t="n">
        <v>26106</v>
      </c>
      <c r="E1108" t="n">
        <v>26466</v>
      </c>
    </row>
    <row r="1109">
      <c r="A1109" t="inlineStr">
        <is>
          <t>07/07/2026</t>
        </is>
      </c>
      <c r="B1109" t="inlineStr">
        <is>
          <t>HDBank</t>
        </is>
      </c>
      <c r="C1109" t="n">
        <v>26072</v>
      </c>
      <c r="D1109" t="n">
        <v>26102</v>
      </c>
      <c r="E1109" t="n">
        <v>26462</v>
      </c>
    </row>
    <row r="1110">
      <c r="A1110" t="inlineStr">
        <is>
          <t>06/07/2026</t>
        </is>
      </c>
      <c r="B1110" t="inlineStr">
        <is>
          <t>HDBank</t>
        </is>
      </c>
      <c r="C1110" t="n">
        <v>26072</v>
      </c>
      <c r="D1110" t="n">
        <v>26102</v>
      </c>
      <c r="E1110" t="n">
        <v>26462</v>
      </c>
    </row>
    <row r="1111">
      <c r="A1111" t="inlineStr">
        <is>
          <t>05/07/2026</t>
        </is>
      </c>
      <c r="B1111" t="inlineStr">
        <is>
          <t>HDBank</t>
        </is>
      </c>
      <c r="C1111" t="n">
        <v>26073</v>
      </c>
      <c r="D1111" t="n">
        <v>26103</v>
      </c>
      <c r="E1111" t="n">
        <v>26463</v>
      </c>
    </row>
    <row r="1112">
      <c r="A1112" t="inlineStr">
        <is>
          <t>04/07/2026</t>
        </is>
      </c>
      <c r="B1112" t="inlineStr">
        <is>
          <t>HDBank</t>
        </is>
      </c>
      <c r="C1112" t="n">
        <v>26073</v>
      </c>
      <c r="D1112" t="n">
        <v>26103</v>
      </c>
      <c r="E1112" t="n">
        <v>26463</v>
      </c>
    </row>
    <row r="1113">
      <c r="A1113" t="inlineStr">
        <is>
          <t>03/07/2026</t>
        </is>
      </c>
      <c r="B1113" t="inlineStr">
        <is>
          <t>HDBank</t>
        </is>
      </c>
      <c r="C1113" t="n">
        <v>26073</v>
      </c>
      <c r="D1113" t="n">
        <v>26103</v>
      </c>
      <c r="E1113" t="n">
        <v>26463</v>
      </c>
    </row>
    <row r="1114">
      <c r="A1114" t="inlineStr">
        <is>
          <t>02/07/2026</t>
        </is>
      </c>
      <c r="B1114" t="inlineStr">
        <is>
          <t>HDBank</t>
        </is>
      </c>
      <c r="C1114" t="n">
        <v>26075</v>
      </c>
      <c r="D1114" t="n">
        <v>26105</v>
      </c>
      <c r="E1114" t="n">
        <v>26465</v>
      </c>
    </row>
    <row r="1115">
      <c r="A1115" t="inlineStr">
        <is>
          <t>01/07/2026</t>
        </is>
      </c>
      <c r="B1115" t="inlineStr">
        <is>
          <t>HDBank</t>
        </is>
      </c>
      <c r="C1115" t="n">
        <v>26076</v>
      </c>
      <c r="D1115" t="n">
        <v>26106</v>
      </c>
      <c r="E1115" t="n">
        <v>26466</v>
      </c>
    </row>
    <row r="1116">
      <c r="A1116" t="inlineStr">
        <is>
          <t>30/06/2026</t>
        </is>
      </c>
      <c r="B1116" t="inlineStr">
        <is>
          <t>HDBank</t>
        </is>
      </c>
      <c r="C1116" t="n">
        <v>26076</v>
      </c>
      <c r="D1116" t="n">
        <v>26106</v>
      </c>
      <c r="E1116" t="n">
        <v>26466</v>
      </c>
    </row>
    <row r="1117">
      <c r="A1117" t="inlineStr">
        <is>
          <t>29/06/2026</t>
        </is>
      </c>
      <c r="B1117" t="inlineStr">
        <is>
          <t>HDBank</t>
        </is>
      </c>
      <c r="C1117" t="n">
        <v>26091</v>
      </c>
      <c r="D1117" t="n">
        <v>26121</v>
      </c>
      <c r="E1117" t="n">
        <v>26461</v>
      </c>
    </row>
    <row r="1118">
      <c r="A1118" t="inlineStr">
        <is>
          <t>28/06/2026</t>
        </is>
      </c>
      <c r="B1118" t="inlineStr">
        <is>
          <t>HDBank</t>
        </is>
      </c>
      <c r="C1118" t="n">
        <v>26084</v>
      </c>
      <c r="D1118" t="n">
        <v>26114</v>
      </c>
      <c r="E1118" t="n">
        <v>26454</v>
      </c>
    </row>
    <row r="1119">
      <c r="A1119" t="inlineStr">
        <is>
          <t>27/06/2026</t>
        </is>
      </c>
      <c r="B1119" t="inlineStr">
        <is>
          <t>HDBank</t>
        </is>
      </c>
      <c r="C1119" t="n">
        <v>26084</v>
      </c>
      <c r="D1119" t="n">
        <v>26114</v>
      </c>
      <c r="E1119" t="n">
        <v>26454</v>
      </c>
    </row>
    <row r="1120">
      <c r="A1120" t="inlineStr">
        <is>
          <t>26/06/2026</t>
        </is>
      </c>
      <c r="B1120" t="inlineStr">
        <is>
          <t>HDBank</t>
        </is>
      </c>
      <c r="C1120" t="n">
        <v>26084</v>
      </c>
      <c r="D1120" t="n">
        <v>26114</v>
      </c>
      <c r="E1120" t="n">
        <v>26454</v>
      </c>
    </row>
    <row r="1121">
      <c r="A1121" t="inlineStr">
        <is>
          <t>25/06/2026</t>
        </is>
      </c>
      <c r="B1121" t="inlineStr">
        <is>
          <t>HDBank</t>
        </is>
      </c>
      <c r="C1121" t="n">
        <v>26106</v>
      </c>
      <c r="D1121" t="n">
        <v>26136</v>
      </c>
      <c r="E1121" t="n">
        <v>26456</v>
      </c>
    </row>
    <row r="1122">
      <c r="A1122" t="inlineStr">
        <is>
          <t>24/06/2026</t>
        </is>
      </c>
      <c r="B1122" t="inlineStr">
        <is>
          <t>HDBank</t>
        </is>
      </c>
      <c r="C1122" t="n">
        <v>26101</v>
      </c>
      <c r="D1122" t="n">
        <v>26131</v>
      </c>
      <c r="E1122" t="n">
        <v>26451</v>
      </c>
    </row>
    <row r="1123">
      <c r="A1123" t="inlineStr">
        <is>
          <t>23/06/2026</t>
        </is>
      </c>
      <c r="B1123" t="inlineStr">
        <is>
          <t>HDBank</t>
        </is>
      </c>
      <c r="C1123" t="n">
        <v>26098</v>
      </c>
      <c r="D1123" t="n">
        <v>26128</v>
      </c>
      <c r="E1123" t="n">
        <v>26448</v>
      </c>
    </row>
    <row r="1124">
      <c r="A1124" t="inlineStr">
        <is>
          <t>22/06/2026</t>
        </is>
      </c>
      <c r="B1124" t="inlineStr">
        <is>
          <t>HDBank</t>
        </is>
      </c>
      <c r="C1124" t="n">
        <v>26092</v>
      </c>
      <c r="D1124" t="n">
        <v>26122</v>
      </c>
      <c r="E1124" t="n">
        <v>26442</v>
      </c>
    </row>
    <row r="1125">
      <c r="A1125" t="inlineStr">
        <is>
          <t>21/06/2026</t>
        </is>
      </c>
      <c r="B1125" t="inlineStr">
        <is>
          <t>HDBank</t>
        </is>
      </c>
      <c r="C1125" t="n">
        <v>26090</v>
      </c>
      <c r="D1125" t="n">
        <v>26120</v>
      </c>
      <c r="E1125" t="n">
        <v>26440</v>
      </c>
    </row>
    <row r="1126">
      <c r="A1126" t="inlineStr">
        <is>
          <t>20/06/2026</t>
        </is>
      </c>
      <c r="B1126" t="inlineStr">
        <is>
          <t>HDBank</t>
        </is>
      </c>
      <c r="C1126" t="n">
        <v>26090</v>
      </c>
      <c r="D1126" t="n">
        <v>26120</v>
      </c>
      <c r="E1126" t="n">
        <v>26440</v>
      </c>
    </row>
    <row r="1127">
      <c r="A1127" t="inlineStr">
        <is>
          <t>19/06/2026</t>
        </is>
      </c>
      <c r="B1127" t="inlineStr">
        <is>
          <t>HDBank</t>
        </is>
      </c>
      <c r="C1127" t="n">
        <v>26090</v>
      </c>
      <c r="D1127" t="n">
        <v>26120</v>
      </c>
      <c r="E1127" t="n">
        <v>26440</v>
      </c>
    </row>
    <row r="1128">
      <c r="A1128" t="inlineStr">
        <is>
          <t>18/06/2026</t>
        </is>
      </c>
      <c r="B1128" t="inlineStr">
        <is>
          <t>HDBank</t>
        </is>
      </c>
      <c r="C1128" t="n">
        <v>26081</v>
      </c>
      <c r="D1128" t="n">
        <v>26111</v>
      </c>
      <c r="E1128" t="n">
        <v>26431</v>
      </c>
    </row>
    <row r="1129">
      <c r="A1129" t="inlineStr">
        <is>
          <t>17/06/2026</t>
        </is>
      </c>
      <c r="B1129" t="inlineStr">
        <is>
          <t>HDBank</t>
        </is>
      </c>
      <c r="C1129" t="n">
        <v>26083</v>
      </c>
      <c r="D1129" t="n">
        <v>26113</v>
      </c>
      <c r="E1129" t="n">
        <v>26433</v>
      </c>
    </row>
    <row r="1130">
      <c r="A1130" t="inlineStr">
        <is>
          <t>16/06/2026</t>
        </is>
      </c>
      <c r="B1130" t="inlineStr">
        <is>
          <t>HDBank</t>
        </is>
      </c>
      <c r="C1130" t="n">
        <v>26073</v>
      </c>
      <c r="D1130" t="n">
        <v>26103</v>
      </c>
      <c r="E1130" t="n">
        <v>26423</v>
      </c>
    </row>
    <row r="1131">
      <c r="A1131" t="inlineStr">
        <is>
          <t>15/06/2026</t>
        </is>
      </c>
      <c r="B1131" t="inlineStr">
        <is>
          <t>HDBank</t>
        </is>
      </c>
      <c r="C1131" t="n">
        <v>26073</v>
      </c>
      <c r="D1131" t="n">
        <v>26103</v>
      </c>
      <c r="E1131" t="n">
        <v>26423</v>
      </c>
    </row>
    <row r="1132">
      <c r="A1132" t="inlineStr">
        <is>
          <t>14/06/2026</t>
        </is>
      </c>
      <c r="B1132" t="inlineStr">
        <is>
          <t>HDBank</t>
        </is>
      </c>
      <c r="C1132" t="n">
        <v>26092</v>
      </c>
      <c r="D1132" t="n">
        <v>26122</v>
      </c>
      <c r="E1132" t="n">
        <v>26412</v>
      </c>
    </row>
    <row r="1133">
      <c r="A1133" t="inlineStr">
        <is>
          <t>13/06/2026</t>
        </is>
      </c>
      <c r="B1133" t="inlineStr">
        <is>
          <t>HDBank</t>
        </is>
      </c>
      <c r="C1133" t="n">
        <v>26092</v>
      </c>
      <c r="D1133" t="n">
        <v>26122</v>
      </c>
      <c r="E1133" t="n">
        <v>26412</v>
      </c>
    </row>
    <row r="1134">
      <c r="A1134" t="inlineStr">
        <is>
          <t>12/06/2026</t>
        </is>
      </c>
      <c r="B1134" t="inlineStr">
        <is>
          <t>HDBank</t>
        </is>
      </c>
      <c r="C1134" t="n">
        <v>26092</v>
      </c>
      <c r="D1134" t="n">
        <v>26122</v>
      </c>
      <c r="E1134" t="n">
        <v>26412</v>
      </c>
    </row>
    <row r="1135">
      <c r="A1135" t="inlineStr">
        <is>
          <t>11/06/2026</t>
        </is>
      </c>
      <c r="B1135" t="inlineStr">
        <is>
          <t>HDBank</t>
        </is>
      </c>
      <c r="C1135" t="n">
        <v>26100</v>
      </c>
      <c r="D1135" t="n">
        <v>26130</v>
      </c>
      <c r="E1135" t="n">
        <v>26410</v>
      </c>
    </row>
    <row r="1136">
      <c r="A1136" t="inlineStr">
        <is>
          <t>10/06/2026</t>
        </is>
      </c>
      <c r="B1136" t="inlineStr">
        <is>
          <t>HDBank</t>
        </is>
      </c>
      <c r="C1136" t="n">
        <v>26100</v>
      </c>
      <c r="D1136" t="n">
        <v>26130</v>
      </c>
      <c r="E1136" t="n">
        <v>26410</v>
      </c>
    </row>
    <row r="1137">
      <c r="A1137" t="inlineStr">
        <is>
          <t>09/06/2026</t>
        </is>
      </c>
      <c r="B1137" t="inlineStr">
        <is>
          <t>HDBank</t>
        </is>
      </c>
      <c r="C1137" t="n">
        <v>26098</v>
      </c>
      <c r="D1137" t="n">
        <v>26128</v>
      </c>
      <c r="E1137" t="n">
        <v>26408</v>
      </c>
    </row>
    <row r="1138">
      <c r="A1138" t="inlineStr">
        <is>
          <t>08/06/2026</t>
        </is>
      </c>
      <c r="B1138" t="inlineStr">
        <is>
          <t>HDBank</t>
        </is>
      </c>
      <c r="C1138" t="n">
        <v>26097</v>
      </c>
      <c r="D1138" t="n">
        <v>26127</v>
      </c>
      <c r="E1138" t="n">
        <v>26407</v>
      </c>
    </row>
    <row r="1139">
      <c r="A1139" t="inlineStr">
        <is>
          <t>07/06/2026</t>
        </is>
      </c>
      <c r="B1139" t="inlineStr">
        <is>
          <t>HDBank</t>
        </is>
      </c>
      <c r="C1139" t="n">
        <v>26072</v>
      </c>
      <c r="D1139" t="n">
        <v>26102</v>
      </c>
      <c r="E1139" t="n">
        <v>26462</v>
      </c>
    </row>
    <row r="1140">
      <c r="A1140" t="inlineStr">
        <is>
          <t>06/06/2026</t>
        </is>
      </c>
      <c r="B1140" t="inlineStr">
        <is>
          <t>HDBank</t>
        </is>
      </c>
      <c r="C1140" t="n">
        <v>26094</v>
      </c>
      <c r="D1140" t="n">
        <v>26124</v>
      </c>
      <c r="E1140" t="n">
        <v>26404</v>
      </c>
    </row>
    <row r="1141">
      <c r="A1141" t="inlineStr">
        <is>
          <t>05/06/2026</t>
        </is>
      </c>
      <c r="B1141" t="inlineStr">
        <is>
          <t>HDBank</t>
        </is>
      </c>
      <c r="C1141" t="n">
        <v>26094</v>
      </c>
      <c r="D1141" t="n">
        <v>26124</v>
      </c>
      <c r="E1141" t="n">
        <v>26404</v>
      </c>
    </row>
    <row r="1142">
      <c r="A1142" t="inlineStr">
        <is>
          <t>04/06/2026</t>
        </is>
      </c>
      <c r="B1142" t="inlineStr">
        <is>
          <t>HDBank</t>
        </is>
      </c>
      <c r="C1142" t="n">
        <v>26092</v>
      </c>
      <c r="D1142" t="n">
        <v>26122</v>
      </c>
      <c r="E1142" t="n">
        <v>26402</v>
      </c>
    </row>
    <row r="1143">
      <c r="A1143" t="inlineStr">
        <is>
          <t>03/06/2026</t>
        </is>
      </c>
      <c r="B1143" t="inlineStr">
        <is>
          <t>HDBank</t>
        </is>
      </c>
      <c r="C1143" t="n">
        <v>26092</v>
      </c>
      <c r="D1143" t="n">
        <v>26122</v>
      </c>
      <c r="E1143" t="n">
        <v>26402</v>
      </c>
    </row>
    <row r="1144">
      <c r="A1144" t="inlineStr">
        <is>
          <t>02/06/2026</t>
        </is>
      </c>
      <c r="B1144" t="inlineStr">
        <is>
          <t>HDBank</t>
        </is>
      </c>
      <c r="C1144" t="n">
        <v>26088</v>
      </c>
      <c r="D1144" t="n">
        <v>26118</v>
      </c>
      <c r="E1144" t="n">
        <v>26398</v>
      </c>
    </row>
    <row r="1145">
      <c r="A1145" t="inlineStr">
        <is>
          <t>01/06/2026</t>
        </is>
      </c>
      <c r="B1145" t="inlineStr">
        <is>
          <t>HDBank</t>
        </is>
      </c>
      <c r="C1145" t="n">
        <v>26084</v>
      </c>
      <c r="D1145" t="n">
        <v>26114</v>
      </c>
      <c r="E1145" t="n">
        <v>26394</v>
      </c>
    </row>
    <row r="1146">
      <c r="A1146" t="inlineStr">
        <is>
          <t>31/05/2026</t>
        </is>
      </c>
      <c r="B1146" t="inlineStr">
        <is>
          <t>HDBank</t>
        </is>
      </c>
      <c r="C1146" t="n">
        <v>26085</v>
      </c>
      <c r="D1146" t="n">
        <v>26115</v>
      </c>
      <c r="E1146" t="n">
        <v>26395</v>
      </c>
    </row>
    <row r="1147">
      <c r="A1147" t="inlineStr">
        <is>
          <t>30/05/2026</t>
        </is>
      </c>
      <c r="B1147" t="inlineStr">
        <is>
          <t>HDBank</t>
        </is>
      </c>
      <c r="C1147" t="n">
        <v>26085</v>
      </c>
      <c r="D1147" t="n">
        <v>26115</v>
      </c>
      <c r="E1147" t="n">
        <v>26395</v>
      </c>
    </row>
    <row r="1148">
      <c r="A1148" t="inlineStr">
        <is>
          <t>29/05/2026</t>
        </is>
      </c>
      <c r="B1148" t="inlineStr">
        <is>
          <t>HDBank</t>
        </is>
      </c>
      <c r="C1148" t="n">
        <v>26085</v>
      </c>
      <c r="D1148" t="n">
        <v>26115</v>
      </c>
      <c r="E1148" t="n">
        <v>26395</v>
      </c>
    </row>
    <row r="1149">
      <c r="A1149" t="inlineStr">
        <is>
          <t>28/05/2026</t>
        </is>
      </c>
      <c r="B1149" t="inlineStr">
        <is>
          <t>HDBank</t>
        </is>
      </c>
      <c r="C1149" t="n">
        <v>26113</v>
      </c>
      <c r="D1149" t="n">
        <v>26143</v>
      </c>
      <c r="E1149" t="n">
        <v>26393</v>
      </c>
    </row>
    <row r="1150">
      <c r="A1150" t="inlineStr">
        <is>
          <t>27/05/2026</t>
        </is>
      </c>
      <c r="B1150" t="inlineStr">
        <is>
          <t>HDBank</t>
        </is>
      </c>
      <c r="C1150" t="n">
        <v>26113</v>
      </c>
      <c r="D1150" t="n">
        <v>26143</v>
      </c>
      <c r="E1150" t="n">
        <v>26393</v>
      </c>
    </row>
    <row r="1151">
      <c r="A1151" t="inlineStr">
        <is>
          <t>26/05/2026</t>
        </is>
      </c>
      <c r="B1151" t="inlineStr">
        <is>
          <t>HDBank</t>
        </is>
      </c>
      <c r="C1151" t="n">
        <v>26132</v>
      </c>
      <c r="D1151" t="n">
        <v>26162</v>
      </c>
      <c r="E1151" t="n">
        <v>26392</v>
      </c>
    </row>
    <row r="1152">
      <c r="A1152" t="inlineStr">
        <is>
          <t>25/05/2026</t>
        </is>
      </c>
      <c r="B1152" t="inlineStr">
        <is>
          <t>HDBank</t>
        </is>
      </c>
      <c r="C1152" t="n">
        <v>26132</v>
      </c>
      <c r="D1152" t="n">
        <v>26162</v>
      </c>
      <c r="E1152" t="n">
        <v>26392</v>
      </c>
    </row>
    <row r="1153">
      <c r="A1153" t="inlineStr">
        <is>
          <t>24/05/2026</t>
        </is>
      </c>
      <c r="B1153" t="inlineStr">
        <is>
          <t>HDBank</t>
        </is>
      </c>
      <c r="C1153" t="n">
        <v>26130</v>
      </c>
      <c r="D1153" t="n">
        <v>26160</v>
      </c>
      <c r="E1153" t="n">
        <v>26390</v>
      </c>
    </row>
    <row r="1154">
      <c r="A1154" t="inlineStr">
        <is>
          <t>23/05/2026</t>
        </is>
      </c>
      <c r="B1154" t="inlineStr">
        <is>
          <t>HDBank</t>
        </is>
      </c>
      <c r="C1154" t="n">
        <v>26130</v>
      </c>
      <c r="D1154" t="n">
        <v>26160</v>
      </c>
      <c r="E1154" t="n">
        <v>26390</v>
      </c>
    </row>
    <row r="1155">
      <c r="A1155" t="inlineStr">
        <is>
          <t>22/05/2026</t>
        </is>
      </c>
      <c r="B1155" t="inlineStr">
        <is>
          <t>HDBank</t>
        </is>
      </c>
      <c r="C1155" t="n">
        <v>26130</v>
      </c>
      <c r="D1155" t="n">
        <v>26160</v>
      </c>
      <c r="E1155" t="n">
        <v>26390</v>
      </c>
    </row>
    <row r="1156">
      <c r="A1156" t="inlineStr">
        <is>
          <t>21/05/2026</t>
        </is>
      </c>
      <c r="B1156" t="inlineStr">
        <is>
          <t>HDBank</t>
        </is>
      </c>
      <c r="C1156" t="n">
        <v>26131</v>
      </c>
      <c r="D1156" t="n">
        <v>26161</v>
      </c>
      <c r="E1156" t="n">
        <v>26391</v>
      </c>
    </row>
    <row r="1157">
      <c r="A1157" t="inlineStr">
        <is>
          <t>20/05/2026</t>
        </is>
      </c>
      <c r="B1157" t="inlineStr">
        <is>
          <t>HDBank</t>
        </is>
      </c>
      <c r="C1157" t="n">
        <v>26131</v>
      </c>
      <c r="D1157" t="n">
        <v>26161</v>
      </c>
      <c r="E1157" t="n">
        <v>26391</v>
      </c>
    </row>
    <row r="1158">
      <c r="A1158" t="inlineStr">
        <is>
          <t>19/05/2026</t>
        </is>
      </c>
      <c r="B1158" t="inlineStr">
        <is>
          <t>HDBank</t>
        </is>
      </c>
      <c r="C1158" t="n">
        <v>26119</v>
      </c>
      <c r="D1158" t="n">
        <v>26149</v>
      </c>
      <c r="E1158" t="n">
        <v>26389</v>
      </c>
    </row>
    <row r="1159">
      <c r="A1159" t="inlineStr">
        <is>
          <t>18/05/2026</t>
        </is>
      </c>
      <c r="B1159" t="inlineStr">
        <is>
          <t>HDBank</t>
        </is>
      </c>
      <c r="C1159" t="n">
        <v>26107</v>
      </c>
      <c r="D1159" t="n">
        <v>26137</v>
      </c>
      <c r="E1159" t="n">
        <v>26387</v>
      </c>
    </row>
    <row r="1160">
      <c r="A1160" t="inlineStr">
        <is>
          <t>17/05/2026</t>
        </is>
      </c>
      <c r="B1160" t="inlineStr">
        <is>
          <t>HDBank</t>
        </is>
      </c>
      <c r="C1160" t="n">
        <v>26107</v>
      </c>
      <c r="D1160" t="n">
        <v>26137</v>
      </c>
      <c r="E1160" t="n">
        <v>26387</v>
      </c>
    </row>
    <row r="1161">
      <c r="A1161" t="inlineStr">
        <is>
          <t>16/05/2026</t>
        </is>
      </c>
      <c r="B1161" t="inlineStr">
        <is>
          <t>HDBank</t>
        </is>
      </c>
      <c r="C1161" t="n">
        <v>26107</v>
      </c>
      <c r="D1161" t="n">
        <v>26137</v>
      </c>
      <c r="E1161" t="n">
        <v>26387</v>
      </c>
    </row>
    <row r="1162">
      <c r="A1162" t="inlineStr">
        <is>
          <t>15/05/2026</t>
        </is>
      </c>
      <c r="B1162" t="inlineStr">
        <is>
          <t>HDBank</t>
        </is>
      </c>
      <c r="C1162" t="n">
        <v>26107</v>
      </c>
      <c r="D1162" t="n">
        <v>26137</v>
      </c>
      <c r="E1162" t="n">
        <v>26387</v>
      </c>
    </row>
    <row r="1163">
      <c r="A1163" t="inlineStr">
        <is>
          <t>14/05/2026</t>
        </is>
      </c>
      <c r="B1163" t="inlineStr">
        <is>
          <t>HDBank</t>
        </is>
      </c>
      <c r="C1163" t="n">
        <v>26102</v>
      </c>
      <c r="D1163" t="n">
        <v>26132</v>
      </c>
      <c r="E1163" t="n">
        <v>26382</v>
      </c>
    </row>
    <row r="1164">
      <c r="A1164" t="inlineStr">
        <is>
          <t>13/05/2026</t>
        </is>
      </c>
      <c r="B1164" t="inlineStr">
        <is>
          <t>HDBank</t>
        </is>
      </c>
      <c r="C1164" t="n">
        <v>26099</v>
      </c>
      <c r="D1164" t="n">
        <v>26129</v>
      </c>
      <c r="E1164" t="n">
        <v>26379</v>
      </c>
    </row>
    <row r="1165">
      <c r="A1165" t="inlineStr">
        <is>
          <t>12/05/2026</t>
        </is>
      </c>
      <c r="B1165" t="inlineStr">
        <is>
          <t>HDBank</t>
        </is>
      </c>
      <c r="C1165" t="n">
        <v>26099</v>
      </c>
      <c r="D1165" t="n">
        <v>26129</v>
      </c>
      <c r="E1165" t="n">
        <v>26379</v>
      </c>
    </row>
    <row r="1166">
      <c r="A1166" t="inlineStr">
        <is>
          <t>11/05/2026</t>
        </is>
      </c>
      <c r="B1166" t="inlineStr">
        <is>
          <t>HDBank</t>
        </is>
      </c>
      <c r="C1166" t="n">
        <v>26093</v>
      </c>
      <c r="D1166" t="n">
        <v>26123</v>
      </c>
      <c r="E1166" t="n">
        <v>26373</v>
      </c>
    </row>
    <row r="1167">
      <c r="A1167" t="inlineStr">
        <is>
          <t>10/05/2026</t>
        </is>
      </c>
      <c r="B1167" t="inlineStr">
        <is>
          <t>HDBank</t>
        </is>
      </c>
      <c r="C1167" t="n">
        <v>26087</v>
      </c>
      <c r="D1167" t="n">
        <v>26117</v>
      </c>
      <c r="E1167" t="n">
        <v>26367</v>
      </c>
    </row>
    <row r="1168">
      <c r="A1168" t="inlineStr">
        <is>
          <t>09/05/2026</t>
        </is>
      </c>
      <c r="B1168" t="inlineStr">
        <is>
          <t>HDBank</t>
        </is>
      </c>
      <c r="C1168" t="n">
        <v>26087</v>
      </c>
      <c r="D1168" t="n">
        <v>26117</v>
      </c>
      <c r="E1168" t="n">
        <v>26367</v>
      </c>
    </row>
    <row r="1169">
      <c r="A1169" t="inlineStr">
        <is>
          <t>08/05/2026</t>
        </is>
      </c>
      <c r="B1169" t="inlineStr">
        <is>
          <t>HDBank</t>
        </is>
      </c>
      <c r="C1169" t="n">
        <v>26087</v>
      </c>
      <c r="D1169" t="n">
        <v>26117</v>
      </c>
      <c r="E1169" t="n">
        <v>26367</v>
      </c>
    </row>
    <row r="1170">
      <c r="A1170" t="inlineStr">
        <is>
          <t>07/05/2026</t>
        </is>
      </c>
      <c r="B1170" t="inlineStr">
        <is>
          <t>HDBank</t>
        </is>
      </c>
      <c r="C1170" t="n">
        <v>26088</v>
      </c>
      <c r="D1170" t="n">
        <v>26118</v>
      </c>
      <c r="E1170" t="n">
        <v>26368</v>
      </c>
    </row>
    <row r="1171">
      <c r="A1171" t="inlineStr">
        <is>
          <t>06/05/2026</t>
        </is>
      </c>
      <c r="B1171" t="inlineStr">
        <is>
          <t>HDBank</t>
        </is>
      </c>
      <c r="C1171" t="n">
        <v>26098</v>
      </c>
      <c r="D1171" t="n">
        <v>26128</v>
      </c>
      <c r="E1171" t="n">
        <v>26368</v>
      </c>
    </row>
    <row r="1172">
      <c r="A1172" t="inlineStr">
        <is>
          <t>05/05/2026</t>
        </is>
      </c>
      <c r="B1172" t="inlineStr">
        <is>
          <t>HDBank</t>
        </is>
      </c>
      <c r="C1172" t="n">
        <v>26096</v>
      </c>
      <c r="D1172" t="n">
        <v>26126</v>
      </c>
      <c r="E1172" t="n">
        <v>26366</v>
      </c>
    </row>
    <row r="1173">
      <c r="A1173" t="inlineStr">
        <is>
          <t>04/05/2026</t>
        </is>
      </c>
      <c r="B1173" t="inlineStr">
        <is>
          <t>HDBank</t>
        </is>
      </c>
      <c r="C1173" t="n">
        <v>26107</v>
      </c>
      <c r="D1173" t="n">
        <v>26137</v>
      </c>
      <c r="E1173" t="n">
        <v>26367</v>
      </c>
    </row>
    <row r="1174">
      <c r="A1174" t="inlineStr">
        <is>
          <t>03/05/2026</t>
        </is>
      </c>
      <c r="B1174" t="inlineStr">
        <is>
          <t>HDBank</t>
        </is>
      </c>
      <c r="C1174" t="n">
        <v>26108</v>
      </c>
      <c r="D1174" t="n">
        <v>26138</v>
      </c>
      <c r="E1174" t="n">
        <v>26368</v>
      </c>
    </row>
    <row r="1175">
      <c r="A1175" t="inlineStr">
        <is>
          <t>02/05/2026</t>
        </is>
      </c>
      <c r="B1175" t="inlineStr">
        <is>
          <t>HDBank</t>
        </is>
      </c>
      <c r="C1175" t="n">
        <v>26108</v>
      </c>
      <c r="D1175" t="n">
        <v>26138</v>
      </c>
      <c r="E1175" t="n">
        <v>26368</v>
      </c>
    </row>
    <row r="1176">
      <c r="A1176" t="inlineStr">
        <is>
          <t>01/05/2026</t>
        </is>
      </c>
      <c r="B1176" t="inlineStr">
        <is>
          <t>HDBank</t>
        </is>
      </c>
      <c r="C1176" t="n">
        <v>26108</v>
      </c>
      <c r="D1176" t="n">
        <v>26138</v>
      </c>
      <c r="E1176" t="n">
        <v>26368</v>
      </c>
    </row>
    <row r="1177">
      <c r="A1177" t="inlineStr">
        <is>
          <t>30/04/2026</t>
        </is>
      </c>
      <c r="B1177" t="inlineStr">
        <is>
          <t>HDBank</t>
        </is>
      </c>
      <c r="C1177" t="n">
        <v>26108</v>
      </c>
      <c r="D1177" t="n">
        <v>26138</v>
      </c>
      <c r="E1177" t="n">
        <v>26368</v>
      </c>
    </row>
    <row r="1178">
      <c r="A1178" t="inlineStr">
        <is>
          <t>29/04/2026</t>
        </is>
      </c>
      <c r="B1178" t="inlineStr">
        <is>
          <t>HDBank</t>
        </is>
      </c>
      <c r="C1178" t="n">
        <v>26108</v>
      </c>
      <c r="D1178" t="n">
        <v>26138</v>
      </c>
      <c r="E1178" t="n">
        <v>26368</v>
      </c>
    </row>
    <row r="1179">
      <c r="A1179" t="inlineStr">
        <is>
          <t>28/04/2026</t>
        </is>
      </c>
      <c r="B1179" t="inlineStr">
        <is>
          <t>HDBank</t>
        </is>
      </c>
      <c r="C1179" t="n">
        <v>26106</v>
      </c>
      <c r="D1179" t="n">
        <v>26136</v>
      </c>
      <c r="E1179" t="n">
        <v>26366</v>
      </c>
    </row>
    <row r="1180">
      <c r="A1180" t="inlineStr">
        <is>
          <t>27/04/2026</t>
        </is>
      </c>
      <c r="B1180" t="inlineStr">
        <is>
          <t>HDBank</t>
        </is>
      </c>
      <c r="C1180" t="n">
        <v>26108</v>
      </c>
      <c r="D1180" t="n">
        <v>26138</v>
      </c>
      <c r="E1180" t="n">
        <v>26368</v>
      </c>
    </row>
    <row r="1181">
      <c r="A1181" t="inlineStr">
        <is>
          <t>26/04/2026</t>
        </is>
      </c>
      <c r="B1181" t="inlineStr">
        <is>
          <t>HDBank</t>
        </is>
      </c>
      <c r="C1181" t="n">
        <v>26108</v>
      </c>
      <c r="D1181" t="n">
        <v>26138</v>
      </c>
      <c r="E1181" t="n">
        <v>26368</v>
      </c>
    </row>
    <row r="1182">
      <c r="A1182" t="inlineStr">
        <is>
          <t>25/04/2026</t>
        </is>
      </c>
      <c r="B1182" t="inlineStr">
        <is>
          <t>HDBank</t>
        </is>
      </c>
      <c r="C1182" t="n">
        <v>26108</v>
      </c>
      <c r="D1182" t="n">
        <v>26138</v>
      </c>
      <c r="E1182" t="n">
        <v>26368</v>
      </c>
    </row>
    <row r="1183">
      <c r="A1183" t="inlineStr">
        <is>
          <t>24/04/2026</t>
        </is>
      </c>
      <c r="B1183" t="inlineStr">
        <is>
          <t>HDBank</t>
        </is>
      </c>
      <c r="C1183" t="n">
        <v>26108</v>
      </c>
      <c r="D1183" t="n">
        <v>26138</v>
      </c>
      <c r="E1183" t="n">
        <v>26368</v>
      </c>
    </row>
    <row r="1184">
      <c r="A1184" t="inlineStr">
        <is>
          <t>23/04/2026</t>
        </is>
      </c>
      <c r="B1184" t="inlineStr">
        <is>
          <t>HDBank</t>
        </is>
      </c>
      <c r="C1184" t="n">
        <v>26100</v>
      </c>
      <c r="D1184" t="n">
        <v>26130</v>
      </c>
      <c r="E1184" t="n">
        <v>26360</v>
      </c>
    </row>
    <row r="1185">
      <c r="A1185" t="inlineStr">
        <is>
          <t>22/04/2026</t>
        </is>
      </c>
      <c r="B1185" t="inlineStr">
        <is>
          <t>HDBank</t>
        </is>
      </c>
      <c r="C1185" t="n">
        <v>26095</v>
      </c>
      <c r="D1185" t="n">
        <v>26125</v>
      </c>
      <c r="E1185" t="n">
        <v>26355</v>
      </c>
    </row>
    <row r="1186">
      <c r="A1186" t="inlineStr">
        <is>
          <t>21/04/2026</t>
        </is>
      </c>
      <c r="B1186" t="inlineStr">
        <is>
          <t>HDBank</t>
        </is>
      </c>
      <c r="C1186" t="n">
        <v>26097</v>
      </c>
      <c r="D1186" t="n">
        <v>26127</v>
      </c>
      <c r="E1186" t="n">
        <v>26357</v>
      </c>
    </row>
    <row r="1187">
      <c r="A1187" t="inlineStr">
        <is>
          <t>20/04/2026</t>
        </is>
      </c>
      <c r="B1187" t="inlineStr">
        <is>
          <t>HDBank</t>
        </is>
      </c>
      <c r="C1187" t="n">
        <v>26098</v>
      </c>
      <c r="D1187" t="n">
        <v>26128</v>
      </c>
      <c r="E1187" t="n">
        <v>26358</v>
      </c>
    </row>
    <row r="1188">
      <c r="A1188" t="inlineStr">
        <is>
          <t>19/04/2026</t>
        </is>
      </c>
      <c r="B1188" t="inlineStr">
        <is>
          <t>HDBank</t>
        </is>
      </c>
      <c r="C1188" t="n">
        <v>26097</v>
      </c>
      <c r="D1188" t="n">
        <v>26127</v>
      </c>
      <c r="E1188" t="n">
        <v>26357</v>
      </c>
    </row>
    <row r="1189">
      <c r="A1189" t="inlineStr">
        <is>
          <t>18/04/2026</t>
        </is>
      </c>
      <c r="B1189" t="inlineStr">
        <is>
          <t>HDBank</t>
        </is>
      </c>
      <c r="C1189" t="n">
        <v>26097</v>
      </c>
      <c r="D1189" t="n">
        <v>26127</v>
      </c>
      <c r="E1189" t="n">
        <v>26357</v>
      </c>
    </row>
    <row r="1190">
      <c r="A1190" t="inlineStr">
        <is>
          <t>17/04/2026</t>
        </is>
      </c>
      <c r="B1190" t="inlineStr">
        <is>
          <t>HDBank</t>
        </is>
      </c>
      <c r="C1190" t="n">
        <v>26097</v>
      </c>
      <c r="D1190" t="n">
        <v>26127</v>
      </c>
      <c r="E1190" t="n">
        <v>26357</v>
      </c>
    </row>
    <row r="1191">
      <c r="A1191" t="inlineStr">
        <is>
          <t>16/04/2026</t>
        </is>
      </c>
      <c r="B1191" t="inlineStr">
        <is>
          <t>HDBank</t>
        </is>
      </c>
      <c r="C1191" t="n">
        <v>26097</v>
      </c>
      <c r="D1191" t="n">
        <v>26127</v>
      </c>
      <c r="E1191" t="n">
        <v>26357</v>
      </c>
    </row>
    <row r="1192">
      <c r="A1192" t="inlineStr">
        <is>
          <t>15/04/2026</t>
        </is>
      </c>
      <c r="B1192" t="inlineStr">
        <is>
          <t>HDBank</t>
        </is>
      </c>
      <c r="C1192" t="n">
        <v>26108</v>
      </c>
      <c r="D1192" t="n">
        <v>26138</v>
      </c>
      <c r="E1192" t="n">
        <v>26358</v>
      </c>
    </row>
    <row r="1193">
      <c r="A1193" t="inlineStr">
        <is>
          <t>14/04/2026</t>
        </is>
      </c>
      <c r="B1193" t="inlineStr">
        <is>
          <t>HDBank</t>
        </is>
      </c>
      <c r="C1193" t="n">
        <v>26111</v>
      </c>
      <c r="D1193" t="n">
        <v>26141</v>
      </c>
      <c r="E1193" t="n">
        <v>26361</v>
      </c>
    </row>
    <row r="1194">
      <c r="A1194" t="inlineStr">
        <is>
          <t>13/04/2026</t>
        </is>
      </c>
      <c r="B1194" t="inlineStr">
        <is>
          <t>HDBank</t>
        </is>
      </c>
      <c r="C1194" t="n">
        <v>26111</v>
      </c>
      <c r="D1194" t="n">
        <v>26141</v>
      </c>
      <c r="E1194" t="n">
        <v>26361</v>
      </c>
    </row>
    <row r="1195">
      <c r="A1195" t="inlineStr">
        <is>
          <t>12/04/2026</t>
        </is>
      </c>
      <c r="B1195" t="inlineStr">
        <is>
          <t>HDBank</t>
        </is>
      </c>
      <c r="C1195" t="n">
        <v>26100</v>
      </c>
      <c r="D1195" t="n">
        <v>26130</v>
      </c>
      <c r="E1195" t="n">
        <v>26360</v>
      </c>
    </row>
    <row r="1196">
      <c r="A1196" t="inlineStr">
        <is>
          <t>11/04/2026</t>
        </is>
      </c>
      <c r="B1196" t="inlineStr">
        <is>
          <t>HDBank</t>
        </is>
      </c>
      <c r="C1196" t="n">
        <v>26100</v>
      </c>
      <c r="D1196" t="n">
        <v>26130</v>
      </c>
      <c r="E1196" t="n">
        <v>26360</v>
      </c>
    </row>
    <row r="1197">
      <c r="A1197" t="inlineStr">
        <is>
          <t>10/04/2026</t>
        </is>
      </c>
      <c r="B1197" t="inlineStr">
        <is>
          <t>HDBank</t>
        </is>
      </c>
      <c r="C1197" t="n">
        <v>26100</v>
      </c>
      <c r="D1197" t="n">
        <v>26130</v>
      </c>
      <c r="E1197" t="n">
        <v>26360</v>
      </c>
    </row>
    <row r="1198">
      <c r="A1198" t="inlineStr">
        <is>
          <t>09/04/2026</t>
        </is>
      </c>
      <c r="B1198" t="inlineStr">
        <is>
          <t>HDBank</t>
        </is>
      </c>
      <c r="C1198" t="n">
        <v>26087</v>
      </c>
      <c r="D1198" t="n">
        <v>26117</v>
      </c>
      <c r="E1198" t="n">
        <v>26357</v>
      </c>
    </row>
    <row r="1199">
      <c r="A1199" t="inlineStr">
        <is>
          <t>08/04/2026</t>
        </is>
      </c>
      <c r="B1199" t="inlineStr">
        <is>
          <t>HDBank</t>
        </is>
      </c>
      <c r="C1199" t="n">
        <v>26111</v>
      </c>
      <c r="D1199" t="n">
        <v>26141</v>
      </c>
      <c r="E1199" t="n">
        <v>26361</v>
      </c>
    </row>
    <row r="1200">
      <c r="A1200" t="inlineStr">
        <is>
          <t>07/04/2026</t>
        </is>
      </c>
      <c r="B1200" t="inlineStr">
        <is>
          <t>HDBank</t>
        </is>
      </c>
      <c r="C1200" t="n">
        <v>26113</v>
      </c>
      <c r="D1200" t="n">
        <v>26143</v>
      </c>
      <c r="E1200" t="n">
        <v>26363</v>
      </c>
    </row>
    <row r="1201">
      <c r="A1201" t="inlineStr">
        <is>
          <t>06/04/2026</t>
        </is>
      </c>
      <c r="B1201" t="inlineStr">
        <is>
          <t>HDBank</t>
        </is>
      </c>
      <c r="C1201" t="n">
        <v>26111</v>
      </c>
      <c r="D1201" t="n">
        <v>26141</v>
      </c>
      <c r="E1201" t="n">
        <v>26361</v>
      </c>
    </row>
    <row r="1202">
      <c r="A1202" t="inlineStr">
        <is>
          <t>05/04/2026</t>
        </is>
      </c>
      <c r="B1202" t="inlineStr">
        <is>
          <t>HDBank</t>
        </is>
      </c>
      <c r="C1202" t="n">
        <v>26112</v>
      </c>
      <c r="D1202" t="n">
        <v>26142</v>
      </c>
      <c r="E1202" t="n">
        <v>26362</v>
      </c>
    </row>
    <row r="1203">
      <c r="A1203" t="inlineStr">
        <is>
          <t>04/04/2026</t>
        </is>
      </c>
      <c r="B1203" t="inlineStr">
        <is>
          <t>HDBank</t>
        </is>
      </c>
      <c r="C1203" t="n">
        <v>26112</v>
      </c>
      <c r="D1203" t="n">
        <v>26142</v>
      </c>
      <c r="E1203" t="n">
        <v>26362</v>
      </c>
    </row>
    <row r="1204">
      <c r="A1204" t="inlineStr">
        <is>
          <t>03/04/2026</t>
        </is>
      </c>
      <c r="B1204" t="inlineStr">
        <is>
          <t>HDBank</t>
        </is>
      </c>
      <c r="C1204" t="n">
        <v>26112</v>
      </c>
      <c r="D1204" t="n">
        <v>26142</v>
      </c>
      <c r="E1204" t="n">
        <v>26362</v>
      </c>
    </row>
    <row r="1205">
      <c r="A1205" t="inlineStr">
        <is>
          <t>02/04/2026</t>
        </is>
      </c>
      <c r="B1205" t="inlineStr">
        <is>
          <t>HDBank</t>
        </is>
      </c>
      <c r="C1205" t="n">
        <v>26112</v>
      </c>
      <c r="D1205" t="n">
        <v>26142</v>
      </c>
      <c r="E1205" t="n">
        <v>26362</v>
      </c>
    </row>
    <row r="1206">
      <c r="A1206" t="inlineStr">
        <is>
          <t>01/04/2026</t>
        </is>
      </c>
      <c r="B1206" t="inlineStr">
        <is>
          <t>HDBank</t>
        </is>
      </c>
      <c r="C1206" t="n">
        <v>26110</v>
      </c>
      <c r="D1206" t="n">
        <v>26140</v>
      </c>
      <c r="E1206" t="n">
        <v>26360</v>
      </c>
    </row>
    <row r="1207">
      <c r="A1207" t="inlineStr">
        <is>
          <t>31/03/2026</t>
        </is>
      </c>
      <c r="B1207" t="inlineStr">
        <is>
          <t>HDBank</t>
        </is>
      </c>
      <c r="C1207" t="n">
        <v>26107</v>
      </c>
      <c r="D1207" t="n">
        <v>26137</v>
      </c>
      <c r="E1207" t="n">
        <v>26357</v>
      </c>
    </row>
    <row r="1208">
      <c r="A1208" t="inlineStr">
        <is>
          <t>30/03/2026</t>
        </is>
      </c>
      <c r="B1208" t="inlineStr">
        <is>
          <t>HDBank</t>
        </is>
      </c>
      <c r="C1208" t="n">
        <v>26105</v>
      </c>
      <c r="D1208" t="n">
        <v>26135</v>
      </c>
      <c r="E1208" t="n">
        <v>26355</v>
      </c>
    </row>
    <row r="1209">
      <c r="A1209" t="inlineStr">
        <is>
          <t>29/03/2026</t>
        </is>
      </c>
      <c r="B1209" t="inlineStr">
        <is>
          <t>HDBank</t>
        </is>
      </c>
      <c r="C1209" t="n">
        <v>26105</v>
      </c>
      <c r="D1209" t="n">
        <v>26135</v>
      </c>
      <c r="E1209" t="n">
        <v>26355</v>
      </c>
    </row>
    <row r="1210">
      <c r="A1210" t="inlineStr">
        <is>
          <t>28/03/2026</t>
        </is>
      </c>
      <c r="B1210" t="inlineStr">
        <is>
          <t>HDBank</t>
        </is>
      </c>
      <c r="C1210" t="n">
        <v>26105</v>
      </c>
      <c r="D1210" t="n">
        <v>26135</v>
      </c>
      <c r="E1210" t="n">
        <v>26355</v>
      </c>
    </row>
    <row r="1211">
      <c r="A1211" t="inlineStr">
        <is>
          <t>27/03/2026</t>
        </is>
      </c>
      <c r="B1211" t="inlineStr">
        <is>
          <t>HDBank</t>
        </is>
      </c>
      <c r="C1211" t="n">
        <v>26105</v>
      </c>
      <c r="D1211" t="n">
        <v>26135</v>
      </c>
      <c r="E1211" t="n">
        <v>26355</v>
      </c>
    </row>
    <row r="1212">
      <c r="A1212" t="inlineStr">
        <is>
          <t>26/03/2026</t>
        </is>
      </c>
      <c r="B1212" t="inlineStr">
        <is>
          <t>HDBank</t>
        </is>
      </c>
      <c r="C1212" t="n">
        <v>26107</v>
      </c>
      <c r="D1212" t="n">
        <v>26137</v>
      </c>
      <c r="E1212" t="n">
        <v>26357</v>
      </c>
    </row>
    <row r="1213">
      <c r="A1213" t="inlineStr">
        <is>
          <t>25/03/2026</t>
        </is>
      </c>
      <c r="B1213" t="inlineStr">
        <is>
          <t>HDBank</t>
        </is>
      </c>
      <c r="C1213" t="n">
        <v>26109</v>
      </c>
      <c r="D1213" t="n">
        <v>26139</v>
      </c>
      <c r="E1213" t="n">
        <v>26359</v>
      </c>
    </row>
    <row r="1214">
      <c r="A1214" t="inlineStr">
        <is>
          <t>24/03/2026</t>
        </is>
      </c>
      <c r="B1214" t="inlineStr">
        <is>
          <t>HDBank</t>
        </is>
      </c>
      <c r="C1214" t="n">
        <v>26114</v>
      </c>
      <c r="D1214" t="n">
        <v>26144</v>
      </c>
      <c r="E1214" t="n">
        <v>26364</v>
      </c>
    </row>
    <row r="1215">
      <c r="A1215" t="inlineStr">
        <is>
          <t>23/03/2026</t>
        </is>
      </c>
      <c r="B1215" t="inlineStr">
        <is>
          <t>HDBank</t>
        </is>
      </c>
      <c r="C1215" t="n">
        <v>26074</v>
      </c>
      <c r="D1215" t="n">
        <v>26104</v>
      </c>
      <c r="E1215" t="n">
        <v>26344</v>
      </c>
    </row>
    <row r="1216">
      <c r="A1216" t="inlineStr">
        <is>
          <t>22/03/2026</t>
        </is>
      </c>
      <c r="B1216" t="inlineStr">
        <is>
          <t>HDBank</t>
        </is>
      </c>
      <c r="C1216" t="n">
        <v>26069</v>
      </c>
      <c r="D1216" t="n">
        <v>26099</v>
      </c>
      <c r="E1216" t="n">
        <v>26339</v>
      </c>
    </row>
    <row r="1217">
      <c r="A1217" t="inlineStr">
        <is>
          <t>21/03/2026</t>
        </is>
      </c>
      <c r="B1217" t="inlineStr">
        <is>
          <t>HDBank</t>
        </is>
      </c>
      <c r="C1217" t="n">
        <v>26069</v>
      </c>
      <c r="D1217" t="n">
        <v>26099</v>
      </c>
      <c r="E1217" t="n">
        <v>26339</v>
      </c>
    </row>
    <row r="1218">
      <c r="A1218" t="inlineStr">
        <is>
          <t>20/03/2026</t>
        </is>
      </c>
      <c r="B1218" t="inlineStr">
        <is>
          <t>HDBank</t>
        </is>
      </c>
      <c r="C1218" t="n">
        <v>26069</v>
      </c>
      <c r="D1218" t="n">
        <v>26099</v>
      </c>
      <c r="E1218" t="n">
        <v>26339</v>
      </c>
    </row>
    <row r="1219">
      <c r="A1219" t="inlineStr">
        <is>
          <t>19/03/2026</t>
        </is>
      </c>
      <c r="B1219" t="inlineStr">
        <is>
          <t>HDBank</t>
        </is>
      </c>
      <c r="C1219" t="n">
        <v>26055</v>
      </c>
      <c r="D1219" t="n">
        <v>26085</v>
      </c>
      <c r="E1219" t="n">
        <v>26325</v>
      </c>
    </row>
    <row r="1220">
      <c r="A1220" t="inlineStr">
        <is>
          <t>18/03/2026</t>
        </is>
      </c>
      <c r="B1220" t="inlineStr">
        <is>
          <t>HDBank</t>
        </is>
      </c>
      <c r="C1220" t="n">
        <v>26050</v>
      </c>
      <c r="D1220" t="n">
        <v>26080</v>
      </c>
      <c r="E1220" t="n">
        <v>26320</v>
      </c>
    </row>
    <row r="1221">
      <c r="A1221" t="inlineStr">
        <is>
          <t>17/03/2026</t>
        </is>
      </c>
      <c r="B1221" t="inlineStr">
        <is>
          <t>HDBank</t>
        </is>
      </c>
      <c r="C1221" t="n">
        <v>26051</v>
      </c>
      <c r="D1221" t="n">
        <v>26081</v>
      </c>
      <c r="E1221" t="n">
        <v>26321</v>
      </c>
    </row>
    <row r="1222">
      <c r="A1222" t="inlineStr">
        <is>
          <t>16/03/2026</t>
        </is>
      </c>
      <c r="B1222" t="inlineStr">
        <is>
          <t>HDBank</t>
        </is>
      </c>
      <c r="C1222" t="n">
        <v>26051</v>
      </c>
      <c r="D1222" t="n">
        <v>26081</v>
      </c>
      <c r="E1222" t="n">
        <v>26321</v>
      </c>
    </row>
    <row r="1223">
      <c r="A1223" t="inlineStr">
        <is>
          <t>15/03/2026</t>
        </is>
      </c>
      <c r="B1223" t="inlineStr">
        <is>
          <t>HDBank</t>
        </is>
      </c>
      <c r="C1223" t="n">
        <v>26048</v>
      </c>
      <c r="D1223" t="n">
        <v>26078</v>
      </c>
      <c r="E1223" t="n">
        <v>26318</v>
      </c>
    </row>
    <row r="1224">
      <c r="A1224" t="inlineStr">
        <is>
          <t>14/03/2026</t>
        </is>
      </c>
      <c r="B1224" t="inlineStr">
        <is>
          <t>HDBank</t>
        </is>
      </c>
      <c r="C1224" t="n">
        <v>26048</v>
      </c>
      <c r="D1224" t="n">
        <v>26078</v>
      </c>
      <c r="E1224" t="n">
        <v>26318</v>
      </c>
    </row>
    <row r="1225">
      <c r="A1225" t="inlineStr">
        <is>
          <t>13/03/2026</t>
        </is>
      </c>
      <c r="B1225" t="inlineStr">
        <is>
          <t>HDBank</t>
        </is>
      </c>
      <c r="C1225" t="n">
        <v>26048</v>
      </c>
      <c r="D1225" t="n">
        <v>26078</v>
      </c>
      <c r="E1225" t="n">
        <v>26318</v>
      </c>
    </row>
    <row r="1226">
      <c r="A1226" t="inlineStr">
        <is>
          <t>12/03/2026</t>
        </is>
      </c>
      <c r="B1226" t="inlineStr">
        <is>
          <t>HDBank</t>
        </is>
      </c>
      <c r="C1226" t="n">
        <v>26044</v>
      </c>
      <c r="D1226" t="n">
        <v>26074</v>
      </c>
      <c r="E1226" t="n">
        <v>26314</v>
      </c>
    </row>
    <row r="1227">
      <c r="A1227" t="inlineStr">
        <is>
          <t>11/03/2026</t>
        </is>
      </c>
      <c r="B1227" t="inlineStr">
        <is>
          <t>HDBank</t>
        </is>
      </c>
      <c r="C1227" t="n">
        <v>26001</v>
      </c>
      <c r="D1227" t="n">
        <v>26031</v>
      </c>
      <c r="E1227" t="n">
        <v>26311</v>
      </c>
    </row>
    <row r="1228">
      <c r="A1228" t="inlineStr">
        <is>
          <t>10/03/2026</t>
        </is>
      </c>
      <c r="B1228" t="inlineStr">
        <is>
          <t>HDBank</t>
        </is>
      </c>
      <c r="C1228" t="n">
        <v>25985</v>
      </c>
      <c r="D1228" t="n">
        <v>26015</v>
      </c>
      <c r="E1228" t="n">
        <v>26315</v>
      </c>
    </row>
    <row r="1229">
      <c r="A1229" t="inlineStr">
        <is>
          <t>09/03/2026</t>
        </is>
      </c>
      <c r="B1229" t="inlineStr">
        <is>
          <t>HDBank</t>
        </is>
      </c>
      <c r="C1229" t="n">
        <v>26041</v>
      </c>
      <c r="D1229" t="n">
        <v>26071</v>
      </c>
      <c r="E1229" t="n">
        <v>26311</v>
      </c>
    </row>
    <row r="1230">
      <c r="A1230" t="inlineStr">
        <is>
          <t>08/03/2026</t>
        </is>
      </c>
      <c r="B1230" t="inlineStr">
        <is>
          <t>HDBank</t>
        </is>
      </c>
      <c r="C1230" t="n">
        <v>25999</v>
      </c>
      <c r="D1230" t="n">
        <v>26029</v>
      </c>
      <c r="E1230" t="n">
        <v>26309</v>
      </c>
    </row>
    <row r="1231">
      <c r="A1231" t="inlineStr">
        <is>
          <t>07/03/2026</t>
        </is>
      </c>
      <c r="B1231" t="inlineStr">
        <is>
          <t>HDBank</t>
        </is>
      </c>
      <c r="C1231" t="n">
        <v>25999</v>
      </c>
      <c r="D1231" t="n">
        <v>26029</v>
      </c>
      <c r="E1231" t="n">
        <v>26309</v>
      </c>
    </row>
    <row r="1232">
      <c r="A1232" t="inlineStr">
        <is>
          <t>06/03/2026</t>
        </is>
      </c>
      <c r="B1232" t="inlineStr">
        <is>
          <t>HDBank</t>
        </is>
      </c>
      <c r="C1232" t="n">
        <v>25999</v>
      </c>
      <c r="D1232" t="n">
        <v>26029</v>
      </c>
      <c r="E1232" t="n">
        <v>26309</v>
      </c>
    </row>
    <row r="1233">
      <c r="A1233" t="inlineStr">
        <is>
          <t>05/03/2026</t>
        </is>
      </c>
      <c r="B1233" t="inlineStr">
        <is>
          <t>HDBank</t>
        </is>
      </c>
      <c r="C1233" t="n">
        <v>25997</v>
      </c>
      <c r="D1233" t="n">
        <v>26027</v>
      </c>
      <c r="E1233" t="n">
        <v>26307</v>
      </c>
    </row>
    <row r="1234">
      <c r="A1234" t="inlineStr">
        <is>
          <t>04/03/2026</t>
        </is>
      </c>
      <c r="B1234" t="inlineStr">
        <is>
          <t>HDBank</t>
        </is>
      </c>
      <c r="C1234" t="n">
        <v>25974</v>
      </c>
      <c r="D1234" t="n">
        <v>26004</v>
      </c>
      <c r="E1234" t="n">
        <v>26304</v>
      </c>
    </row>
    <row r="1235">
      <c r="A1235" t="inlineStr">
        <is>
          <t>03/03/2026</t>
        </is>
      </c>
      <c r="B1235" t="inlineStr">
        <is>
          <t>HDBank</t>
        </is>
      </c>
      <c r="C1235" t="n">
        <v>25968</v>
      </c>
      <c r="D1235" t="n">
        <v>25998</v>
      </c>
      <c r="E1235" t="n">
        <v>26298</v>
      </c>
    </row>
    <row r="1236">
      <c r="A1236" t="inlineStr">
        <is>
          <t>02/03/2026</t>
        </is>
      </c>
      <c r="B1236" t="inlineStr">
        <is>
          <t>HDBank</t>
        </is>
      </c>
      <c r="C1236" t="n">
        <v>25959</v>
      </c>
      <c r="D1236" t="n">
        <v>25989</v>
      </c>
      <c r="E1236" t="n">
        <v>26289</v>
      </c>
    </row>
    <row r="1237">
      <c r="A1237" t="inlineStr">
        <is>
          <t>01/03/2026</t>
        </is>
      </c>
      <c r="B1237" t="inlineStr">
        <is>
          <t>HDBank</t>
        </is>
      </c>
      <c r="C1237" t="n">
        <v>25820</v>
      </c>
      <c r="D1237" t="n">
        <v>25850</v>
      </c>
      <c r="E1237" t="n">
        <v>26230</v>
      </c>
    </row>
    <row r="1238">
      <c r="A1238" t="inlineStr">
        <is>
          <t>28/02/2026</t>
        </is>
      </c>
      <c r="B1238" t="inlineStr">
        <is>
          <t>HDBank</t>
        </is>
      </c>
      <c r="C1238" t="n">
        <v>25820</v>
      </c>
      <c r="D1238" t="n">
        <v>25850</v>
      </c>
      <c r="E1238" t="n">
        <v>26230</v>
      </c>
    </row>
    <row r="1239">
      <c r="A1239" t="inlineStr">
        <is>
          <t>27/02/2026</t>
        </is>
      </c>
      <c r="B1239" t="inlineStr">
        <is>
          <t>HDBank</t>
        </is>
      </c>
      <c r="C1239" t="n">
        <v>25820</v>
      </c>
      <c r="D1239" t="n">
        <v>25850</v>
      </c>
      <c r="E1239" t="n">
        <v>26230</v>
      </c>
    </row>
    <row r="1240">
      <c r="A1240" t="inlineStr">
        <is>
          <t>26/02/2026</t>
        </is>
      </c>
      <c r="B1240" t="inlineStr">
        <is>
          <t>HDBank</t>
        </is>
      </c>
      <c r="C1240" t="n">
        <v>25850</v>
      </c>
      <c r="D1240" t="n">
        <v>25880</v>
      </c>
      <c r="E1240" t="n">
        <v>26260</v>
      </c>
    </row>
    <row r="1241">
      <c r="A1241" t="inlineStr">
        <is>
          <t>25/02/2026</t>
        </is>
      </c>
      <c r="B1241" t="inlineStr">
        <is>
          <t>HDBank</t>
        </is>
      </c>
      <c r="C1241" t="n">
        <v>25899</v>
      </c>
      <c r="D1241" t="n">
        <v>25929</v>
      </c>
      <c r="E1241" t="n">
        <v>26309</v>
      </c>
    </row>
    <row r="1242">
      <c r="A1242" t="inlineStr">
        <is>
          <t>24/02/2026</t>
        </is>
      </c>
      <c r="B1242" t="inlineStr">
        <is>
          <t>HDBank</t>
        </is>
      </c>
      <c r="C1242" t="n">
        <v>25955</v>
      </c>
      <c r="D1242" t="n">
        <v>25985</v>
      </c>
      <c r="E1242" t="n">
        <v>26305</v>
      </c>
    </row>
    <row r="1243">
      <c r="A1243" t="inlineStr">
        <is>
          <t>23/02/2026</t>
        </is>
      </c>
      <c r="B1243" t="inlineStr">
        <is>
          <t>HDBank</t>
        </is>
      </c>
      <c r="C1243" t="n">
        <v>25880</v>
      </c>
      <c r="D1243" t="n">
        <v>25910</v>
      </c>
      <c r="E1243" t="n">
        <v>26290</v>
      </c>
    </row>
    <row r="1244">
      <c r="A1244" t="inlineStr">
        <is>
          <t>22/02/2026</t>
        </is>
      </c>
      <c r="B1244" t="inlineStr">
        <is>
          <t>HDBank</t>
        </is>
      </c>
      <c r="C1244" t="n">
        <v>25750</v>
      </c>
      <c r="D1244" t="n">
        <v>25780</v>
      </c>
      <c r="E1244" t="n">
        <v>26160</v>
      </c>
    </row>
    <row r="1245">
      <c r="A1245" t="inlineStr">
        <is>
          <t>21/02/2026</t>
        </is>
      </c>
      <c r="B1245" t="inlineStr">
        <is>
          <t>HDBank</t>
        </is>
      </c>
      <c r="C1245" t="n">
        <v>25750</v>
      </c>
      <c r="D1245" t="n">
        <v>25780</v>
      </c>
      <c r="E1245" t="n">
        <v>26160</v>
      </c>
    </row>
    <row r="1246">
      <c r="A1246" t="inlineStr">
        <is>
          <t>20/02/2026</t>
        </is>
      </c>
      <c r="B1246" t="inlineStr">
        <is>
          <t>HDBank</t>
        </is>
      </c>
      <c r="C1246" t="n">
        <v>25750</v>
      </c>
      <c r="D1246" t="n">
        <v>25780</v>
      </c>
      <c r="E1246" t="n">
        <v>26160</v>
      </c>
    </row>
    <row r="1247">
      <c r="A1247" t="inlineStr">
        <is>
          <t>19/02/2026</t>
        </is>
      </c>
      <c r="B1247" t="inlineStr">
        <is>
          <t>HDBank</t>
        </is>
      </c>
      <c r="C1247" t="n">
        <v>25750</v>
      </c>
      <c r="D1247" t="n">
        <v>25780</v>
      </c>
      <c r="E1247" t="n">
        <v>26160</v>
      </c>
    </row>
    <row r="1248">
      <c r="A1248" t="inlineStr">
        <is>
          <t>18/02/2026</t>
        </is>
      </c>
      <c r="B1248" t="inlineStr">
        <is>
          <t>HDBank</t>
        </is>
      </c>
      <c r="C1248" t="n">
        <v>25750</v>
      </c>
      <c r="D1248" t="n">
        <v>25780</v>
      </c>
      <c r="E1248" t="n">
        <v>26160</v>
      </c>
    </row>
    <row r="1249">
      <c r="A1249" t="inlineStr">
        <is>
          <t>17/02/2026</t>
        </is>
      </c>
      <c r="B1249" t="inlineStr">
        <is>
          <t>HDBank</t>
        </is>
      </c>
      <c r="C1249" t="n">
        <v>25750</v>
      </c>
      <c r="D1249" t="n">
        <v>25780</v>
      </c>
      <c r="E1249" t="n">
        <v>26160</v>
      </c>
    </row>
    <row r="1250">
      <c r="A1250" t="inlineStr">
        <is>
          <t>16/02/2026</t>
        </is>
      </c>
      <c r="B1250" t="inlineStr">
        <is>
          <t>HDBank</t>
        </is>
      </c>
      <c r="C1250" t="n">
        <v>25750</v>
      </c>
      <c r="D1250" t="n">
        <v>25780</v>
      </c>
      <c r="E1250" t="n">
        <v>26160</v>
      </c>
    </row>
    <row r="1251">
      <c r="A1251" t="inlineStr">
        <is>
          <t>15/02/2026</t>
        </is>
      </c>
      <c r="B1251" t="inlineStr">
        <is>
          <t>HDBank</t>
        </is>
      </c>
      <c r="C1251" t="n">
        <v>25750</v>
      </c>
      <c r="D1251" t="n">
        <v>25780</v>
      </c>
      <c r="E1251" t="n">
        <v>26160</v>
      </c>
    </row>
    <row r="1252">
      <c r="A1252" t="inlineStr">
        <is>
          <t>14/02/2026</t>
        </is>
      </c>
      <c r="B1252" t="inlineStr">
        <is>
          <t>HDBank</t>
        </is>
      </c>
      <c r="C1252" t="n">
        <v>25750</v>
      </c>
      <c r="D1252" t="n">
        <v>25780</v>
      </c>
      <c r="E1252" t="n">
        <v>26160</v>
      </c>
    </row>
    <row r="1253">
      <c r="A1253" t="inlineStr">
        <is>
          <t>13/02/2026</t>
        </is>
      </c>
      <c r="B1253" t="inlineStr">
        <is>
          <t>HDBank</t>
        </is>
      </c>
      <c r="C1253" t="n">
        <v>25750</v>
      </c>
      <c r="D1253" t="n">
        <v>25780</v>
      </c>
      <c r="E1253" t="n">
        <v>26160</v>
      </c>
    </row>
    <row r="1254">
      <c r="A1254" t="inlineStr">
        <is>
          <t>12/02/2026</t>
        </is>
      </c>
      <c r="B1254" t="inlineStr">
        <is>
          <t>HDBank</t>
        </is>
      </c>
      <c r="C1254" t="n">
        <v>25750</v>
      </c>
      <c r="D1254" t="n">
        <v>25780</v>
      </c>
      <c r="E1254" t="n">
        <v>26160</v>
      </c>
    </row>
    <row r="1255">
      <c r="A1255" t="inlineStr">
        <is>
          <t>11/02/2026</t>
        </is>
      </c>
      <c r="B1255" t="inlineStr">
        <is>
          <t>HDBank</t>
        </is>
      </c>
      <c r="C1255" t="n">
        <v>25750</v>
      </c>
      <c r="D1255" t="n">
        <v>25780</v>
      </c>
      <c r="E1255" t="n">
        <v>26160</v>
      </c>
    </row>
    <row r="1256">
      <c r="A1256" t="inlineStr">
        <is>
          <t>10/02/2026</t>
        </is>
      </c>
      <c r="B1256" t="inlineStr">
        <is>
          <t>HDBank</t>
        </is>
      </c>
      <c r="C1256" t="n">
        <v>25650</v>
      </c>
      <c r="D1256" t="n">
        <v>25680</v>
      </c>
      <c r="E1256" t="n">
        <v>26060</v>
      </c>
    </row>
    <row r="1257">
      <c r="A1257" t="inlineStr">
        <is>
          <t>09/02/2026</t>
        </is>
      </c>
      <c r="B1257" t="inlineStr">
        <is>
          <t>HDBank</t>
        </is>
      </c>
      <c r="C1257" t="n">
        <v>25690</v>
      </c>
      <c r="D1257" t="n">
        <v>25720</v>
      </c>
      <c r="E1257" t="n">
        <v>26100</v>
      </c>
    </row>
    <row r="1258">
      <c r="A1258" t="inlineStr">
        <is>
          <t>08/02/2026</t>
        </is>
      </c>
      <c r="B1258" t="inlineStr">
        <is>
          <t>HDBank</t>
        </is>
      </c>
      <c r="C1258" t="n">
        <v>25730</v>
      </c>
      <c r="D1258" t="n">
        <v>25760</v>
      </c>
      <c r="E1258" t="n">
        <v>26140</v>
      </c>
    </row>
    <row r="1259">
      <c r="A1259" t="inlineStr">
        <is>
          <t>07/02/2026</t>
        </is>
      </c>
      <c r="B1259" t="inlineStr">
        <is>
          <t>HDBank</t>
        </is>
      </c>
      <c r="C1259" t="n">
        <v>25730</v>
      </c>
      <c r="D1259" t="n">
        <v>25760</v>
      </c>
      <c r="E1259" t="n">
        <v>26140</v>
      </c>
    </row>
    <row r="1260">
      <c r="A1260" t="inlineStr">
        <is>
          <t>06/02/2026</t>
        </is>
      </c>
      <c r="B1260" t="inlineStr">
        <is>
          <t>HDBank</t>
        </is>
      </c>
      <c r="C1260" t="n">
        <v>25730</v>
      </c>
      <c r="D1260" t="n">
        <v>25760</v>
      </c>
      <c r="E1260" t="n">
        <v>26140</v>
      </c>
    </row>
    <row r="1261">
      <c r="A1261" t="inlineStr">
        <is>
          <t>05/02/2026</t>
        </is>
      </c>
      <c r="B1261" t="inlineStr">
        <is>
          <t>HDBank</t>
        </is>
      </c>
      <c r="C1261" t="n">
        <v>25760</v>
      </c>
      <c r="D1261" t="n">
        <v>25790</v>
      </c>
      <c r="E1261" t="n">
        <v>26150</v>
      </c>
    </row>
    <row r="1262">
      <c r="A1262" t="inlineStr">
        <is>
          <t>04/02/2026</t>
        </is>
      </c>
      <c r="B1262" t="inlineStr">
        <is>
          <t>HDBank</t>
        </is>
      </c>
      <c r="C1262" t="n">
        <v>25790</v>
      </c>
      <c r="D1262" t="n">
        <v>25820</v>
      </c>
      <c r="E1262" t="n">
        <v>26180</v>
      </c>
    </row>
    <row r="1263">
      <c r="A1263" t="inlineStr">
        <is>
          <t>03/02/2026</t>
        </is>
      </c>
      <c r="B1263" t="inlineStr">
        <is>
          <t>HDBank</t>
        </is>
      </c>
      <c r="C1263" t="n">
        <v>25790</v>
      </c>
      <c r="D1263" t="n">
        <v>25820</v>
      </c>
      <c r="E1263" t="n">
        <v>26180</v>
      </c>
    </row>
    <row r="1264">
      <c r="A1264" t="inlineStr">
        <is>
          <t>02/02/2026</t>
        </is>
      </c>
      <c r="B1264" t="inlineStr">
        <is>
          <t>HDBank</t>
        </is>
      </c>
      <c r="C1264" t="n">
        <v>25790</v>
      </c>
      <c r="D1264" t="n">
        <v>25820</v>
      </c>
      <c r="E1264" t="n">
        <v>26180</v>
      </c>
    </row>
    <row r="1265">
      <c r="A1265" t="inlineStr">
        <is>
          <t>01/02/2026</t>
        </is>
      </c>
      <c r="B1265" t="inlineStr">
        <is>
          <t>HDBank</t>
        </is>
      </c>
      <c r="C1265" t="n">
        <v>25720</v>
      </c>
      <c r="D1265" t="n">
        <v>25750</v>
      </c>
      <c r="E1265" t="n">
        <v>26110</v>
      </c>
    </row>
    <row r="1266">
      <c r="A1266" t="inlineStr">
        <is>
          <t>31/01/2026</t>
        </is>
      </c>
      <c r="B1266" t="inlineStr">
        <is>
          <t>HDBank</t>
        </is>
      </c>
      <c r="C1266" t="n">
        <v>25720</v>
      </c>
      <c r="D1266" t="n">
        <v>25750</v>
      </c>
      <c r="E1266" t="n">
        <v>26110</v>
      </c>
    </row>
    <row r="1267">
      <c r="A1267" t="inlineStr">
        <is>
          <t>30/01/2026</t>
        </is>
      </c>
      <c r="B1267" t="inlineStr">
        <is>
          <t>HDBank</t>
        </is>
      </c>
      <c r="C1267" t="n">
        <v>25720</v>
      </c>
      <c r="D1267" t="n">
        <v>25750</v>
      </c>
      <c r="E1267" t="n">
        <v>26110</v>
      </c>
    </row>
    <row r="1268">
      <c r="A1268" t="inlineStr">
        <is>
          <t>29/01/2026</t>
        </is>
      </c>
      <c r="B1268" t="inlineStr">
        <is>
          <t>HDBank</t>
        </is>
      </c>
      <c r="C1268" t="n">
        <v>25810</v>
      </c>
      <c r="D1268" t="n">
        <v>25840</v>
      </c>
      <c r="E1268" t="n">
        <v>26200</v>
      </c>
    </row>
    <row r="1269">
      <c r="A1269" t="inlineStr">
        <is>
          <t>28/01/2026</t>
        </is>
      </c>
      <c r="B1269" t="inlineStr">
        <is>
          <t>HDBank</t>
        </is>
      </c>
      <c r="C1269" t="n">
        <v>25870</v>
      </c>
      <c r="D1269" t="n">
        <v>25900</v>
      </c>
      <c r="E1269" t="n">
        <v>26260</v>
      </c>
    </row>
    <row r="1270">
      <c r="A1270" t="inlineStr">
        <is>
          <t>27/01/2026</t>
        </is>
      </c>
      <c r="B1270" t="inlineStr">
        <is>
          <t>HDBank</t>
        </is>
      </c>
      <c r="C1270" t="n">
        <v>25940</v>
      </c>
      <c r="D1270" t="n">
        <v>25970</v>
      </c>
      <c r="E1270" t="n">
        <v>26330</v>
      </c>
    </row>
    <row r="1271">
      <c r="A1271" t="inlineStr">
        <is>
          <t>26/01/2026</t>
        </is>
      </c>
      <c r="B1271" t="inlineStr">
        <is>
          <t>HDBank</t>
        </is>
      </c>
      <c r="C1271" t="n">
        <v>25978</v>
      </c>
      <c r="D1271" t="n">
        <v>26008</v>
      </c>
      <c r="E1271" t="n">
        <v>26368</v>
      </c>
    </row>
    <row r="1272">
      <c r="A1272" t="inlineStr">
        <is>
          <t>25/01/2026</t>
        </is>
      </c>
      <c r="B1272" t="inlineStr">
        <is>
          <t>HDBank</t>
        </is>
      </c>
      <c r="C1272" t="n">
        <v>26031</v>
      </c>
      <c r="D1272" t="n">
        <v>26061</v>
      </c>
      <c r="E1272" t="n">
        <v>26381</v>
      </c>
    </row>
    <row r="1273">
      <c r="A1273" t="inlineStr">
        <is>
          <t>24/01/2026</t>
        </is>
      </c>
      <c r="B1273" t="inlineStr">
        <is>
          <t>HDBank</t>
        </is>
      </c>
      <c r="C1273" t="n">
        <v>26031</v>
      </c>
      <c r="D1273" t="n">
        <v>26061</v>
      </c>
      <c r="E1273" t="n">
        <v>26381</v>
      </c>
    </row>
    <row r="1274">
      <c r="A1274" t="inlineStr">
        <is>
          <t>23/01/2026</t>
        </is>
      </c>
      <c r="B1274" t="inlineStr">
        <is>
          <t>HDBank</t>
        </is>
      </c>
      <c r="C1274" t="n">
        <v>26031</v>
      </c>
      <c r="D1274" t="n">
        <v>26061</v>
      </c>
      <c r="E1274" t="n">
        <v>26381</v>
      </c>
    </row>
    <row r="1275">
      <c r="A1275" t="inlineStr">
        <is>
          <t>22/01/2026</t>
        </is>
      </c>
      <c r="B1275" t="inlineStr">
        <is>
          <t>HDBank</t>
        </is>
      </c>
      <c r="C1275" t="n">
        <v>26051</v>
      </c>
      <c r="D1275" t="n">
        <v>26081</v>
      </c>
      <c r="E1275" t="n">
        <v>26381</v>
      </c>
    </row>
    <row r="1276">
      <c r="A1276" t="inlineStr">
        <is>
          <t>21/01/2026</t>
        </is>
      </c>
      <c r="B1276" t="inlineStr">
        <is>
          <t>HDBank</t>
        </is>
      </c>
      <c r="C1276" t="n">
        <v>26050</v>
      </c>
      <c r="D1276" t="n">
        <v>26080</v>
      </c>
      <c r="E1276" t="n">
        <v>26380</v>
      </c>
    </row>
    <row r="1277">
      <c r="A1277" t="inlineStr">
        <is>
          <t>20/01/2026</t>
        </is>
      </c>
      <c r="B1277" t="inlineStr">
        <is>
          <t>HDBank</t>
        </is>
      </c>
      <c r="C1277" t="n">
        <v>26056</v>
      </c>
      <c r="D1277" t="n">
        <v>26086</v>
      </c>
      <c r="E1277" t="n">
        <v>26386</v>
      </c>
    </row>
    <row r="1278">
      <c r="A1278" t="inlineStr">
        <is>
          <t>19/01/2026</t>
        </is>
      </c>
      <c r="B1278" t="inlineStr">
        <is>
          <t>HDBank</t>
        </is>
      </c>
      <c r="C1278" t="n">
        <v>26058</v>
      </c>
      <c r="D1278" t="n">
        <v>26088</v>
      </c>
      <c r="E1278" t="n">
        <v>26388</v>
      </c>
    </row>
    <row r="1279">
      <c r="A1279" t="inlineStr">
        <is>
          <t>18/01/2026</t>
        </is>
      </c>
      <c r="B1279" t="inlineStr">
        <is>
          <t>HDBank</t>
        </is>
      </c>
      <c r="C1279" t="n">
        <v>26057</v>
      </c>
      <c r="D1279" t="n">
        <v>26087</v>
      </c>
      <c r="E1279" t="n">
        <v>26387</v>
      </c>
    </row>
    <row r="1280">
      <c r="A1280" t="inlineStr">
        <is>
          <t>17/01/2026</t>
        </is>
      </c>
      <c r="B1280" t="inlineStr">
        <is>
          <t>HDBank</t>
        </is>
      </c>
      <c r="C1280" t="n">
        <v>26057</v>
      </c>
      <c r="D1280" t="n">
        <v>26087</v>
      </c>
      <c r="E1280" t="n">
        <v>26387</v>
      </c>
    </row>
    <row r="1281">
      <c r="A1281" t="inlineStr">
        <is>
          <t>16/01/2026</t>
        </is>
      </c>
      <c r="B1281" t="inlineStr">
        <is>
          <t>HDBank</t>
        </is>
      </c>
      <c r="C1281" t="n">
        <v>26057</v>
      </c>
      <c r="D1281" t="n">
        <v>26087</v>
      </c>
      <c r="E1281" t="n">
        <v>26387</v>
      </c>
    </row>
    <row r="1282">
      <c r="A1282" t="inlineStr">
        <is>
          <t>15/01/2026</t>
        </is>
      </c>
      <c r="B1282" t="inlineStr">
        <is>
          <t>HDBank</t>
        </is>
      </c>
      <c r="C1282" t="n">
        <v>26061</v>
      </c>
      <c r="D1282" t="n">
        <v>26091</v>
      </c>
      <c r="E1282" t="n">
        <v>26391</v>
      </c>
    </row>
    <row r="1283">
      <c r="A1283" t="inlineStr">
        <is>
          <t>14/01/2026</t>
        </is>
      </c>
      <c r="B1283" t="inlineStr">
        <is>
          <t>HDBank</t>
        </is>
      </c>
      <c r="C1283" t="n">
        <v>26061</v>
      </c>
      <c r="D1283" t="n">
        <v>26091</v>
      </c>
      <c r="E1283" t="n">
        <v>26391</v>
      </c>
    </row>
    <row r="1284">
      <c r="A1284" t="inlineStr">
        <is>
          <t>13/01/2026</t>
        </is>
      </c>
      <c r="B1284" t="inlineStr">
        <is>
          <t>HDBank</t>
        </is>
      </c>
      <c r="C1284" t="n">
        <v>26055</v>
      </c>
      <c r="D1284" t="n">
        <v>26085</v>
      </c>
      <c r="E1284" t="n">
        <v>26385</v>
      </c>
    </row>
    <row r="1285">
      <c r="A1285" t="inlineStr">
        <is>
          <t>12/01/2026</t>
        </is>
      </c>
      <c r="B1285" t="inlineStr">
        <is>
          <t>HDBank</t>
        </is>
      </c>
      <c r="C1285" t="n">
        <v>26055</v>
      </c>
      <c r="D1285" t="n">
        <v>26085</v>
      </c>
      <c r="E1285" t="n">
        <v>26385</v>
      </c>
    </row>
    <row r="1286">
      <c r="A1286" t="inlineStr">
        <is>
          <t>11/01/2026</t>
        </is>
      </c>
      <c r="B1286" t="inlineStr">
        <is>
          <t>HDBank</t>
        </is>
      </c>
      <c r="C1286" t="n">
        <v>26057</v>
      </c>
      <c r="D1286" t="n">
        <v>26087</v>
      </c>
      <c r="E1286" t="n">
        <v>26387</v>
      </c>
    </row>
    <row r="1287">
      <c r="A1287" t="inlineStr">
        <is>
          <t>10/01/2026</t>
        </is>
      </c>
      <c r="B1287" t="inlineStr">
        <is>
          <t>HDBank</t>
        </is>
      </c>
      <c r="C1287" t="n">
        <v>26057</v>
      </c>
      <c r="D1287" t="n">
        <v>26087</v>
      </c>
      <c r="E1287" t="n">
        <v>26387</v>
      </c>
    </row>
    <row r="1288">
      <c r="A1288" t="inlineStr">
        <is>
          <t>09/01/2026</t>
        </is>
      </c>
      <c r="B1288" t="inlineStr">
        <is>
          <t>HDBank</t>
        </is>
      </c>
      <c r="C1288" t="n">
        <v>26053</v>
      </c>
      <c r="D1288" t="n">
        <v>26083</v>
      </c>
      <c r="E1288" t="n">
        <v>26383</v>
      </c>
    </row>
    <row r="1289">
      <c r="A1289" t="inlineStr">
        <is>
          <t>08/01/2026</t>
        </is>
      </c>
      <c r="B1289" t="inlineStr">
        <is>
          <t>HDBank</t>
        </is>
      </c>
      <c r="C1289" t="n">
        <v>26051</v>
      </c>
      <c r="D1289" t="n">
        <v>26081</v>
      </c>
      <c r="E1289" t="n">
        <v>26381</v>
      </c>
    </row>
    <row r="1290">
      <c r="A1290" t="inlineStr">
        <is>
          <t>07/01/2026</t>
        </is>
      </c>
      <c r="B1290" t="inlineStr">
        <is>
          <t>HDBank</t>
        </is>
      </c>
      <c r="C1290" t="n">
        <v>26048</v>
      </c>
      <c r="D1290" t="n">
        <v>26078</v>
      </c>
      <c r="E1290" t="n">
        <v>26378</v>
      </c>
    </row>
    <row r="1291">
      <c r="A1291" t="inlineStr">
        <is>
          <t>06/01/2026</t>
        </is>
      </c>
      <c r="B1291" t="inlineStr">
        <is>
          <t>HDBank</t>
        </is>
      </c>
      <c r="C1291" t="n">
        <v>26048</v>
      </c>
      <c r="D1291" t="n">
        <v>26078</v>
      </c>
      <c r="E1291" t="n">
        <v>26378</v>
      </c>
    </row>
    <row r="1292">
      <c r="A1292" t="inlineStr">
        <is>
          <t>05/01/2026</t>
        </is>
      </c>
      <c r="B1292" t="inlineStr">
        <is>
          <t>HDBank</t>
        </is>
      </c>
      <c r="C1292" t="n">
        <v>26050</v>
      </c>
      <c r="D1292" t="n">
        <v>26080</v>
      </c>
      <c r="E1292" t="n">
        <v>26380</v>
      </c>
    </row>
    <row r="1293">
      <c r="A1293" t="inlineStr">
        <is>
          <t>04/01/2026</t>
        </is>
      </c>
      <c r="B1293" t="inlineStr">
        <is>
          <t>HDBank</t>
        </is>
      </c>
      <c r="C1293" t="n">
        <v>26047</v>
      </c>
      <c r="D1293" t="n">
        <v>26077</v>
      </c>
      <c r="E1293" t="n">
        <v>26377</v>
      </c>
    </row>
    <row r="1294">
      <c r="A1294" t="inlineStr">
        <is>
          <t>03/01/2026</t>
        </is>
      </c>
      <c r="B1294" t="inlineStr">
        <is>
          <t>HDBank</t>
        </is>
      </c>
      <c r="C1294" t="n">
        <v>26047</v>
      </c>
      <c r="D1294" t="n">
        <v>26077</v>
      </c>
      <c r="E1294" t="n">
        <v>26377</v>
      </c>
    </row>
    <row r="1295">
      <c r="A1295" t="inlineStr">
        <is>
          <t>02/01/2026</t>
        </is>
      </c>
      <c r="B1295" t="inlineStr">
        <is>
          <t>HDBank</t>
        </is>
      </c>
      <c r="C1295" t="n">
        <v>26047</v>
      </c>
      <c r="D1295" t="n">
        <v>26077</v>
      </c>
      <c r="E1295" t="n">
        <v>26377</v>
      </c>
    </row>
    <row r="1296">
      <c r="A1296" t="inlineStr">
        <is>
          <t>01/01/2026</t>
        </is>
      </c>
      <c r="B1296" t="inlineStr">
        <is>
          <t>HDBank</t>
        </is>
      </c>
      <c r="C1296" t="n">
        <v>26047</v>
      </c>
      <c r="D1296" t="n">
        <v>26077</v>
      </c>
      <c r="E1296" t="n">
        <v>26377</v>
      </c>
    </row>
    <row r="1297">
      <c r="A1297" t="inlineStr">
        <is>
          <t>10/09/2026</t>
        </is>
      </c>
      <c r="B1297" t="inlineStr">
        <is>
          <t>HDBank</t>
        </is>
      </c>
      <c r="C1297" t="n">
        <v>25680</v>
      </c>
      <c r="D1297" t="n">
        <v>25710</v>
      </c>
      <c r="E1297" t="n">
        <v>26090</v>
      </c>
    </row>
    <row r="1298">
      <c r="A1298" t="inlineStr">
        <is>
          <t>11/09/2026</t>
        </is>
      </c>
      <c r="B1298" t="inlineStr">
        <is>
          <t>HDBank</t>
        </is>
      </c>
      <c r="C1298" t="n">
        <v>25700</v>
      </c>
      <c r="D1298" t="n">
        <v>25730</v>
      </c>
      <c r="E1298" t="n">
        <v>26100</v>
      </c>
    </row>
    <row r="1299">
      <c r="A1299" t="inlineStr">
        <is>
          <t>12/09/2026</t>
        </is>
      </c>
      <c r="B1299" t="inlineStr">
        <is>
          <t>HDBank</t>
        </is>
      </c>
      <c r="C1299" t="n">
        <v>25700</v>
      </c>
      <c r="D1299" t="n">
        <v>25730</v>
      </c>
      <c r="E1299" t="n">
        <v>26100</v>
      </c>
    </row>
    <row r="1300">
      <c r="A1300" t="inlineStr">
        <is>
          <t>13/09/2026</t>
        </is>
      </c>
      <c r="B1300" t="inlineStr">
        <is>
          <t>HDBank</t>
        </is>
      </c>
      <c r="C1300" t="n">
        <v>25700</v>
      </c>
      <c r="D1300" t="n">
        <v>25730</v>
      </c>
      <c r="E1300" t="n">
        <v>26100</v>
      </c>
    </row>
    <row r="1301">
      <c r="A1301" t="inlineStr">
        <is>
          <t>14/09/2026</t>
        </is>
      </c>
      <c r="B1301" t="inlineStr">
        <is>
          <t>HDBank</t>
        </is>
      </c>
      <c r="C1301" t="n">
        <v>25770</v>
      </c>
      <c r="D1301" t="n">
        <v>25800</v>
      </c>
      <c r="E1301" t="n">
        <v>26160</v>
      </c>
    </row>
    <row r="1302">
      <c r="A1302" t="inlineStr">
        <is>
          <t>15/09/2026</t>
        </is>
      </c>
      <c r="B1302" t="inlineStr">
        <is>
          <t>HDBank</t>
        </is>
      </c>
      <c r="C1302" t="n">
        <v>25710</v>
      </c>
      <c r="D1302" t="n">
        <v>25740</v>
      </c>
      <c r="E1302" t="n">
        <v>26120</v>
      </c>
    </row>
    <row r="1303">
      <c r="A1303" t="inlineStr">
        <is>
          <t>16/09/2026</t>
        </is>
      </c>
      <c r="B1303" t="inlineStr">
        <is>
          <t>HDBank</t>
        </is>
      </c>
      <c r="C1303" t="n">
        <v>25780</v>
      </c>
      <c r="D1303" t="n">
        <v>25810</v>
      </c>
      <c r="E1303" t="n">
        <v>26160</v>
      </c>
    </row>
    <row r="1304">
      <c r="A1304" t="inlineStr">
        <is>
          <t>18/09/2026</t>
        </is>
      </c>
      <c r="B1304" t="inlineStr">
        <is>
          <t>HDBank</t>
        </is>
      </c>
      <c r="C1304" t="n">
        <v>25780</v>
      </c>
      <c r="D1304" t="n">
        <v>25810</v>
      </c>
      <c r="E1304" t="n">
        <v>26170</v>
      </c>
    </row>
    <row r="1305">
      <c r="A1305" t="inlineStr">
        <is>
          <t>09/09/2026</t>
        </is>
      </c>
      <c r="B1305" t="inlineStr">
        <is>
          <t>OCB</t>
        </is>
      </c>
      <c r="C1305" t="n">
        <v>25737</v>
      </c>
      <c r="D1305" t="n">
        <v>25787</v>
      </c>
      <c r="E1305" t="n">
        <v>26180</v>
      </c>
    </row>
    <row r="1306">
      <c r="A1306" t="inlineStr">
        <is>
          <t>08/09/2026</t>
        </is>
      </c>
      <c r="B1306" t="inlineStr">
        <is>
          <t>OCB</t>
        </is>
      </c>
      <c r="C1306" t="n">
        <v>25807</v>
      </c>
      <c r="D1306" t="n">
        <v>25857</v>
      </c>
      <c r="E1306" t="n">
        <v>26250</v>
      </c>
    </row>
    <row r="1307">
      <c r="A1307" t="inlineStr">
        <is>
          <t>07/09/2026</t>
        </is>
      </c>
      <c r="B1307" t="inlineStr">
        <is>
          <t>OCB</t>
        </is>
      </c>
      <c r="C1307" t="n">
        <v>25857</v>
      </c>
      <c r="D1307" t="n">
        <v>25907</v>
      </c>
      <c r="E1307" t="n">
        <v>26300</v>
      </c>
    </row>
    <row r="1308">
      <c r="A1308" t="inlineStr">
        <is>
          <t>06/09/2026</t>
        </is>
      </c>
      <c r="B1308" t="inlineStr">
        <is>
          <t>OCB</t>
        </is>
      </c>
      <c r="C1308" t="n">
        <v>25902</v>
      </c>
      <c r="D1308" t="n">
        <v>25952</v>
      </c>
      <c r="E1308" t="n">
        <v>26345</v>
      </c>
    </row>
    <row r="1309">
      <c r="A1309" t="inlineStr">
        <is>
          <t>05/09/2026</t>
        </is>
      </c>
      <c r="B1309" t="inlineStr">
        <is>
          <t>OCB</t>
        </is>
      </c>
      <c r="C1309" t="n">
        <v>25902</v>
      </c>
      <c r="D1309" t="n">
        <v>25952</v>
      </c>
      <c r="E1309" t="n">
        <v>26345</v>
      </c>
    </row>
    <row r="1310">
      <c r="A1310" t="inlineStr">
        <is>
          <t>04/09/2026</t>
        </is>
      </c>
      <c r="B1310" t="inlineStr">
        <is>
          <t>OCB</t>
        </is>
      </c>
      <c r="C1310" t="n">
        <v>25902</v>
      </c>
      <c r="D1310" t="n">
        <v>25952</v>
      </c>
      <c r="E1310" t="n">
        <v>26345</v>
      </c>
    </row>
    <row r="1311">
      <c r="A1311" t="inlineStr">
        <is>
          <t>03/09/2026</t>
        </is>
      </c>
      <c r="B1311" t="inlineStr">
        <is>
          <t>OCB</t>
        </is>
      </c>
      <c r="C1311" t="n">
        <v>25907</v>
      </c>
      <c r="D1311" t="n">
        <v>25957</v>
      </c>
      <c r="E1311" t="n">
        <v>26350</v>
      </c>
    </row>
    <row r="1312">
      <c r="A1312" t="inlineStr">
        <is>
          <t>02/09/2026</t>
        </is>
      </c>
      <c r="B1312" t="inlineStr">
        <is>
          <t>OCB</t>
        </is>
      </c>
      <c r="C1312" t="n">
        <v>25907</v>
      </c>
      <c r="D1312" t="n">
        <v>25957</v>
      </c>
      <c r="E1312" t="n">
        <v>26350</v>
      </c>
    </row>
    <row r="1313">
      <c r="A1313" t="inlineStr">
        <is>
          <t>01/09/2026</t>
        </is>
      </c>
      <c r="B1313" t="inlineStr">
        <is>
          <t>OCB</t>
        </is>
      </c>
      <c r="C1313" t="n">
        <v>25907</v>
      </c>
      <c r="D1313" t="n">
        <v>25957</v>
      </c>
      <c r="E1313" t="n">
        <v>26350</v>
      </c>
    </row>
    <row r="1314">
      <c r="A1314" t="inlineStr">
        <is>
          <t>31/08/2026</t>
        </is>
      </c>
      <c r="B1314" t="inlineStr">
        <is>
          <t>OCB</t>
        </is>
      </c>
      <c r="C1314" t="n">
        <v>25907</v>
      </c>
      <c r="D1314" t="n">
        <v>25957</v>
      </c>
      <c r="E1314" t="n">
        <v>26350</v>
      </c>
    </row>
    <row r="1315">
      <c r="A1315" t="inlineStr">
        <is>
          <t>30/08/2026</t>
        </is>
      </c>
      <c r="B1315" t="inlineStr">
        <is>
          <t>OCB</t>
        </is>
      </c>
      <c r="C1315" t="n">
        <v>25907</v>
      </c>
      <c r="D1315" t="n">
        <v>25957</v>
      </c>
      <c r="E1315" t="n">
        <v>26350</v>
      </c>
    </row>
    <row r="1316">
      <c r="A1316" t="inlineStr">
        <is>
          <t>29/08/2026</t>
        </is>
      </c>
      <c r="B1316" t="inlineStr">
        <is>
          <t>OCB</t>
        </is>
      </c>
      <c r="C1316" t="n">
        <v>25907</v>
      </c>
      <c r="D1316" t="n">
        <v>25957</v>
      </c>
      <c r="E1316" t="n">
        <v>26350</v>
      </c>
    </row>
    <row r="1317">
      <c r="A1317" t="inlineStr">
        <is>
          <t>28/08/2026</t>
        </is>
      </c>
      <c r="B1317" t="inlineStr">
        <is>
          <t>OCB</t>
        </is>
      </c>
      <c r="C1317" t="n">
        <v>25907</v>
      </c>
      <c r="D1317" t="n">
        <v>25957</v>
      </c>
      <c r="E1317" t="n">
        <v>26350</v>
      </c>
    </row>
    <row r="1318">
      <c r="A1318" t="inlineStr">
        <is>
          <t>27/08/2026</t>
        </is>
      </c>
      <c r="B1318" t="inlineStr">
        <is>
          <t>OCB</t>
        </is>
      </c>
      <c r="C1318" t="n">
        <v>25917</v>
      </c>
      <c r="D1318" t="n">
        <v>25967</v>
      </c>
      <c r="E1318" t="n">
        <v>26360</v>
      </c>
    </row>
    <row r="1319">
      <c r="A1319" t="inlineStr">
        <is>
          <t>26/08/2026</t>
        </is>
      </c>
      <c r="B1319" t="inlineStr">
        <is>
          <t>OCB</t>
        </is>
      </c>
      <c r="C1319" t="n">
        <v>25947</v>
      </c>
      <c r="D1319" t="n">
        <v>25997</v>
      </c>
      <c r="E1319" t="n">
        <v>26390</v>
      </c>
    </row>
    <row r="1320">
      <c r="A1320" t="inlineStr">
        <is>
          <t>25/08/2026</t>
        </is>
      </c>
      <c r="B1320" t="inlineStr">
        <is>
          <t>OCB</t>
        </is>
      </c>
      <c r="C1320" t="n">
        <v>25957</v>
      </c>
      <c r="D1320" t="n">
        <v>26007</v>
      </c>
      <c r="E1320" t="n">
        <v>26400</v>
      </c>
    </row>
    <row r="1321">
      <c r="A1321" t="inlineStr">
        <is>
          <t>24/08/2026</t>
        </is>
      </c>
      <c r="B1321" t="inlineStr">
        <is>
          <t>OCB</t>
        </is>
      </c>
      <c r="C1321" t="n">
        <v>26007</v>
      </c>
      <c r="D1321" t="n">
        <v>26057</v>
      </c>
      <c r="E1321" t="n">
        <v>26450</v>
      </c>
    </row>
    <row r="1322">
      <c r="A1322" t="inlineStr">
        <is>
          <t>23/08/2026</t>
        </is>
      </c>
      <c r="B1322" t="inlineStr">
        <is>
          <t>OCB</t>
        </is>
      </c>
      <c r="C1322" t="n">
        <v>25957</v>
      </c>
      <c r="D1322" t="n">
        <v>26007</v>
      </c>
      <c r="E1322" t="n">
        <v>26400</v>
      </c>
    </row>
    <row r="1323">
      <c r="A1323" t="inlineStr">
        <is>
          <t>22/08/2026</t>
        </is>
      </c>
      <c r="B1323" t="inlineStr">
        <is>
          <t>OCB</t>
        </is>
      </c>
      <c r="C1323" t="n">
        <v>25957</v>
      </c>
      <c r="D1323" t="n">
        <v>26007</v>
      </c>
      <c r="E1323" t="n">
        <v>26400</v>
      </c>
    </row>
    <row r="1324">
      <c r="A1324" t="inlineStr">
        <is>
          <t>21/08/2026</t>
        </is>
      </c>
      <c r="B1324" t="inlineStr">
        <is>
          <t>OCB</t>
        </is>
      </c>
      <c r="C1324" t="n">
        <v>25927</v>
      </c>
      <c r="D1324" t="n">
        <v>25977</v>
      </c>
      <c r="E1324" t="n">
        <v>26370</v>
      </c>
    </row>
    <row r="1325">
      <c r="A1325" t="inlineStr">
        <is>
          <t>20/08/2026</t>
        </is>
      </c>
      <c r="B1325" t="inlineStr">
        <is>
          <t>OCB</t>
        </is>
      </c>
      <c r="C1325" t="n">
        <v>25957</v>
      </c>
      <c r="D1325" t="n">
        <v>26007</v>
      </c>
      <c r="E1325" t="n">
        <v>26400</v>
      </c>
    </row>
    <row r="1326">
      <c r="A1326" t="inlineStr">
        <is>
          <t>19/08/2026</t>
        </is>
      </c>
      <c r="B1326" t="inlineStr">
        <is>
          <t>OCB</t>
        </is>
      </c>
      <c r="C1326" t="n">
        <v>26017</v>
      </c>
      <c r="D1326" t="n">
        <v>26067</v>
      </c>
      <c r="E1326" t="n">
        <v>26460</v>
      </c>
    </row>
    <row r="1327">
      <c r="A1327" t="inlineStr">
        <is>
          <t>18/08/2026</t>
        </is>
      </c>
      <c r="B1327" t="inlineStr">
        <is>
          <t>OCB</t>
        </is>
      </c>
      <c r="C1327" t="n">
        <v>26027</v>
      </c>
      <c r="D1327" t="n">
        <v>26077</v>
      </c>
      <c r="E1327" t="n">
        <v>26470</v>
      </c>
    </row>
    <row r="1328">
      <c r="A1328" t="inlineStr">
        <is>
          <t>17/08/2026</t>
        </is>
      </c>
      <c r="B1328" t="inlineStr">
        <is>
          <t>OCB</t>
        </is>
      </c>
      <c r="C1328" t="n">
        <v>26047</v>
      </c>
      <c r="D1328" t="n">
        <v>26097</v>
      </c>
      <c r="E1328" t="n">
        <v>26490</v>
      </c>
    </row>
    <row r="1329">
      <c r="A1329" t="inlineStr">
        <is>
          <t>16/08/2026</t>
        </is>
      </c>
      <c r="B1329" t="inlineStr">
        <is>
          <t>OCB</t>
        </is>
      </c>
      <c r="C1329" t="n">
        <v>25977</v>
      </c>
      <c r="D1329" t="n">
        <v>26027</v>
      </c>
      <c r="E1329" t="n">
        <v>26420</v>
      </c>
    </row>
    <row r="1330">
      <c r="A1330" t="inlineStr">
        <is>
          <t>15/08/2026</t>
        </is>
      </c>
      <c r="B1330" t="inlineStr">
        <is>
          <t>OCB</t>
        </is>
      </c>
      <c r="C1330" t="n">
        <v>25977</v>
      </c>
      <c r="D1330" t="n">
        <v>26027</v>
      </c>
      <c r="E1330" t="n">
        <v>26420</v>
      </c>
    </row>
    <row r="1331">
      <c r="A1331" t="inlineStr">
        <is>
          <t>14/08/2026</t>
        </is>
      </c>
      <c r="B1331" t="inlineStr">
        <is>
          <t>OCB</t>
        </is>
      </c>
      <c r="C1331" t="n">
        <v>25977</v>
      </c>
      <c r="D1331" t="n">
        <v>26027</v>
      </c>
      <c r="E1331" t="n">
        <v>26420</v>
      </c>
    </row>
    <row r="1332">
      <c r="A1332" t="inlineStr">
        <is>
          <t>13/08/2026</t>
        </is>
      </c>
      <c r="B1332" t="inlineStr">
        <is>
          <t>OCB</t>
        </is>
      </c>
      <c r="C1332" t="n">
        <v>25897</v>
      </c>
      <c r="D1332" t="n">
        <v>25947</v>
      </c>
      <c r="E1332" t="n">
        <v>26340</v>
      </c>
    </row>
    <row r="1333">
      <c r="A1333" t="inlineStr">
        <is>
          <t>12/08/2026</t>
        </is>
      </c>
      <c r="B1333" t="inlineStr">
        <is>
          <t>OCB</t>
        </is>
      </c>
      <c r="C1333" t="n">
        <v>25917</v>
      </c>
      <c r="D1333" t="n">
        <v>25967</v>
      </c>
      <c r="E1333" t="n">
        <v>26360</v>
      </c>
    </row>
    <row r="1334">
      <c r="A1334" t="inlineStr">
        <is>
          <t>11/08/2026</t>
        </is>
      </c>
      <c r="B1334" t="inlineStr">
        <is>
          <t>OCB</t>
        </is>
      </c>
      <c r="C1334" t="n">
        <v>25967</v>
      </c>
      <c r="D1334" t="n">
        <v>26017</v>
      </c>
      <c r="E1334" t="n">
        <v>26410</v>
      </c>
    </row>
    <row r="1335">
      <c r="A1335" t="inlineStr">
        <is>
          <t>10/08/2026</t>
        </is>
      </c>
      <c r="B1335" t="inlineStr">
        <is>
          <t>OCB</t>
        </is>
      </c>
      <c r="C1335" t="n">
        <v>25997</v>
      </c>
      <c r="D1335" t="n">
        <v>26047</v>
      </c>
      <c r="E1335" t="n">
        <v>26440</v>
      </c>
    </row>
    <row r="1336">
      <c r="A1336" t="inlineStr">
        <is>
          <t>09/08/2026</t>
        </is>
      </c>
      <c r="B1336" t="inlineStr">
        <is>
          <t>OCB</t>
        </is>
      </c>
      <c r="C1336" t="n">
        <v>26057</v>
      </c>
      <c r="D1336" t="n">
        <v>26107</v>
      </c>
      <c r="E1336" t="n">
        <v>26500</v>
      </c>
    </row>
    <row r="1337">
      <c r="A1337" t="inlineStr">
        <is>
          <t>08/08/2026</t>
        </is>
      </c>
      <c r="B1337" t="inlineStr">
        <is>
          <t>OCB</t>
        </is>
      </c>
      <c r="C1337" t="n">
        <v>26057</v>
      </c>
      <c r="D1337" t="n">
        <v>26107</v>
      </c>
      <c r="E1337" t="n">
        <v>26500</v>
      </c>
    </row>
    <row r="1338">
      <c r="A1338" t="inlineStr">
        <is>
          <t>07/08/2026</t>
        </is>
      </c>
      <c r="B1338" t="inlineStr">
        <is>
          <t>OCB</t>
        </is>
      </c>
      <c r="C1338" t="n">
        <v>26057</v>
      </c>
      <c r="D1338" t="n">
        <v>26107</v>
      </c>
      <c r="E1338" t="n">
        <v>26500</v>
      </c>
    </row>
    <row r="1339">
      <c r="A1339" t="inlineStr">
        <is>
          <t>06/08/2026</t>
        </is>
      </c>
      <c r="B1339" t="inlineStr">
        <is>
          <t>OCB</t>
        </is>
      </c>
      <c r="C1339" t="n">
        <v>26067</v>
      </c>
      <c r="D1339" t="n">
        <v>26117</v>
      </c>
      <c r="E1339" t="n">
        <v>26510</v>
      </c>
    </row>
    <row r="1340">
      <c r="A1340" t="inlineStr">
        <is>
          <t>05/08/2026</t>
        </is>
      </c>
      <c r="B1340" t="inlineStr">
        <is>
          <t>OCB</t>
        </is>
      </c>
      <c r="C1340" t="n">
        <v>26107</v>
      </c>
      <c r="D1340" t="n">
        <v>26157</v>
      </c>
      <c r="E1340" t="n">
        <v>26550</v>
      </c>
    </row>
    <row r="1341">
      <c r="A1341" t="inlineStr">
        <is>
          <t>04/08/2026</t>
        </is>
      </c>
      <c r="B1341" t="inlineStr">
        <is>
          <t>OCB</t>
        </is>
      </c>
      <c r="C1341" t="n">
        <v>26107</v>
      </c>
      <c r="D1341" t="n">
        <v>26157</v>
      </c>
      <c r="E1341" t="n">
        <v>26550</v>
      </c>
    </row>
    <row r="1342">
      <c r="A1342" t="inlineStr">
        <is>
          <t>03/08/2026</t>
        </is>
      </c>
      <c r="B1342" t="inlineStr">
        <is>
          <t>OCB</t>
        </is>
      </c>
      <c r="C1342" t="n">
        <v>26127</v>
      </c>
      <c r="D1342" t="n">
        <v>26177</v>
      </c>
      <c r="E1342" t="n">
        <v>26570</v>
      </c>
    </row>
    <row r="1343">
      <c r="A1343" t="inlineStr">
        <is>
          <t>02/08/2026</t>
        </is>
      </c>
      <c r="B1343" t="inlineStr">
        <is>
          <t>OCB</t>
        </is>
      </c>
      <c r="C1343" t="n">
        <v>26137</v>
      </c>
      <c r="D1343" t="n">
        <v>26187</v>
      </c>
      <c r="E1343" t="n">
        <v>26580</v>
      </c>
    </row>
    <row r="1344">
      <c r="A1344" t="inlineStr">
        <is>
          <t>01/08/2026</t>
        </is>
      </c>
      <c r="B1344" t="inlineStr">
        <is>
          <t>OCB</t>
        </is>
      </c>
      <c r="C1344" t="n">
        <v>26137</v>
      </c>
      <c r="D1344" t="n">
        <v>26187</v>
      </c>
      <c r="E1344" t="n">
        <v>26580</v>
      </c>
    </row>
    <row r="1345">
      <c r="A1345" t="inlineStr">
        <is>
          <t>31/07/2026</t>
        </is>
      </c>
      <c r="B1345" t="inlineStr">
        <is>
          <t>OCB</t>
        </is>
      </c>
      <c r="C1345" t="n">
        <v>26137</v>
      </c>
      <c r="D1345" t="n">
        <v>26187</v>
      </c>
      <c r="E1345" t="n">
        <v>26580</v>
      </c>
    </row>
    <row r="1346">
      <c r="A1346" t="inlineStr">
        <is>
          <t>30/07/2026</t>
        </is>
      </c>
      <c r="B1346" t="inlineStr">
        <is>
          <t>OCB</t>
        </is>
      </c>
      <c r="C1346" t="n">
        <v>26137</v>
      </c>
      <c r="D1346" t="n">
        <v>26187</v>
      </c>
      <c r="E1346" t="n">
        <v>26580</v>
      </c>
    </row>
    <row r="1347">
      <c r="A1347" t="inlineStr">
        <is>
          <t>29/07/2026</t>
        </is>
      </c>
      <c r="B1347" t="inlineStr">
        <is>
          <t>OCB</t>
        </is>
      </c>
      <c r="C1347" t="n">
        <v>26162</v>
      </c>
      <c r="D1347" t="n">
        <v>26212</v>
      </c>
      <c r="E1347" t="n">
        <v>26605</v>
      </c>
    </row>
    <row r="1348">
      <c r="A1348" t="inlineStr">
        <is>
          <t>28/07/2026</t>
        </is>
      </c>
      <c r="B1348" t="inlineStr">
        <is>
          <t>OCB</t>
        </is>
      </c>
      <c r="C1348" t="n">
        <v>26172</v>
      </c>
      <c r="D1348" t="n">
        <v>26222</v>
      </c>
      <c r="E1348" t="n">
        <v>26615</v>
      </c>
    </row>
    <row r="1349">
      <c r="A1349" t="inlineStr">
        <is>
          <t>27/07/2026</t>
        </is>
      </c>
      <c r="B1349" t="inlineStr">
        <is>
          <t>OCB</t>
        </is>
      </c>
      <c r="C1349" t="n">
        <v>26167</v>
      </c>
      <c r="D1349" t="n">
        <v>26217</v>
      </c>
      <c r="E1349" t="n">
        <v>26610</v>
      </c>
    </row>
    <row r="1350">
      <c r="A1350" t="inlineStr">
        <is>
          <t>26/07/2026</t>
        </is>
      </c>
      <c r="B1350" t="inlineStr">
        <is>
          <t>OCB</t>
        </is>
      </c>
      <c r="C1350" t="n">
        <v>26157</v>
      </c>
      <c r="D1350" t="n">
        <v>26207</v>
      </c>
      <c r="E1350" t="n">
        <v>26600</v>
      </c>
    </row>
    <row r="1351">
      <c r="A1351" t="inlineStr">
        <is>
          <t>25/07/2026</t>
        </is>
      </c>
      <c r="B1351" t="inlineStr">
        <is>
          <t>OCB</t>
        </is>
      </c>
      <c r="C1351" t="n">
        <v>26157</v>
      </c>
      <c r="D1351" t="n">
        <v>26207</v>
      </c>
      <c r="E1351" t="n">
        <v>26600</v>
      </c>
    </row>
    <row r="1352">
      <c r="A1352" t="inlineStr">
        <is>
          <t>24/07/2026</t>
        </is>
      </c>
      <c r="B1352" t="inlineStr">
        <is>
          <t>OCB</t>
        </is>
      </c>
      <c r="C1352" t="n">
        <v>26157</v>
      </c>
      <c r="D1352" t="n">
        <v>26207</v>
      </c>
      <c r="E1352" t="n">
        <v>26600</v>
      </c>
    </row>
    <row r="1353">
      <c r="A1353" t="inlineStr">
        <is>
          <t>23/07/2026</t>
        </is>
      </c>
      <c r="B1353" t="inlineStr">
        <is>
          <t>OCB</t>
        </is>
      </c>
      <c r="C1353" t="n">
        <v>26147</v>
      </c>
      <c r="D1353" t="n">
        <v>26197</v>
      </c>
      <c r="E1353" t="n">
        <v>26590</v>
      </c>
    </row>
    <row r="1354">
      <c r="A1354" t="inlineStr">
        <is>
          <t>22/07/2026</t>
        </is>
      </c>
      <c r="B1354" t="inlineStr">
        <is>
          <t>OCB</t>
        </is>
      </c>
      <c r="C1354" t="n">
        <v>26147</v>
      </c>
      <c r="D1354" t="n">
        <v>26197</v>
      </c>
      <c r="E1354" t="n">
        <v>26590</v>
      </c>
    </row>
    <row r="1355">
      <c r="A1355" t="inlineStr">
        <is>
          <t>21/07/2026</t>
        </is>
      </c>
      <c r="B1355" t="inlineStr">
        <is>
          <t>OCB</t>
        </is>
      </c>
      <c r="C1355" t="n">
        <v>26157</v>
      </c>
      <c r="D1355" t="n">
        <v>26207</v>
      </c>
      <c r="E1355" t="n">
        <v>26600</v>
      </c>
    </row>
    <row r="1356">
      <c r="A1356" t="inlineStr">
        <is>
          <t>20/07/2026</t>
        </is>
      </c>
      <c r="B1356" t="inlineStr">
        <is>
          <t>OCB</t>
        </is>
      </c>
      <c r="C1356" t="n">
        <v>26137</v>
      </c>
      <c r="D1356" t="n">
        <v>26187</v>
      </c>
      <c r="E1356" t="n">
        <v>26580</v>
      </c>
    </row>
    <row r="1357">
      <c r="A1357" t="inlineStr">
        <is>
          <t>19/07/2026</t>
        </is>
      </c>
      <c r="B1357" t="inlineStr">
        <is>
          <t>OCB</t>
        </is>
      </c>
      <c r="C1357" t="n">
        <v>26137</v>
      </c>
      <c r="D1357" t="n">
        <v>26187</v>
      </c>
      <c r="E1357" t="n">
        <v>26580</v>
      </c>
    </row>
    <row r="1358">
      <c r="A1358" t="inlineStr">
        <is>
          <t>18/07/2026</t>
        </is>
      </c>
      <c r="B1358" t="inlineStr">
        <is>
          <t>OCB</t>
        </is>
      </c>
      <c r="C1358" t="n">
        <v>26137</v>
      </c>
      <c r="D1358" t="n">
        <v>26187</v>
      </c>
      <c r="E1358" t="n">
        <v>26580</v>
      </c>
    </row>
    <row r="1359">
      <c r="A1359" t="inlineStr">
        <is>
          <t>17/07/2026</t>
        </is>
      </c>
      <c r="B1359" t="inlineStr">
        <is>
          <t>OCB</t>
        </is>
      </c>
      <c r="C1359" t="n">
        <v>26137</v>
      </c>
      <c r="D1359" t="n">
        <v>26187</v>
      </c>
      <c r="E1359" t="n">
        <v>26580</v>
      </c>
    </row>
    <row r="1360">
      <c r="A1360" t="inlineStr">
        <is>
          <t>16/07/2026</t>
        </is>
      </c>
      <c r="B1360" t="inlineStr">
        <is>
          <t>OCB</t>
        </is>
      </c>
      <c r="C1360" t="n">
        <v>26097</v>
      </c>
      <c r="D1360" t="n">
        <v>26147</v>
      </c>
      <c r="E1360" t="n">
        <v>26540</v>
      </c>
    </row>
    <row r="1361">
      <c r="A1361" t="inlineStr">
        <is>
          <t>15/07/2026</t>
        </is>
      </c>
      <c r="B1361" t="inlineStr">
        <is>
          <t>OCB</t>
        </is>
      </c>
      <c r="C1361" t="n">
        <v>26097</v>
      </c>
      <c r="D1361" t="n">
        <v>26147</v>
      </c>
      <c r="E1361" t="n">
        <v>26540</v>
      </c>
    </row>
    <row r="1362">
      <c r="A1362" t="inlineStr">
        <is>
          <t>14/07/2026</t>
        </is>
      </c>
      <c r="B1362" t="inlineStr">
        <is>
          <t>OCB</t>
        </is>
      </c>
      <c r="C1362" t="n">
        <v>26097</v>
      </c>
      <c r="D1362" t="n">
        <v>26147</v>
      </c>
      <c r="E1362" t="n">
        <v>26540</v>
      </c>
    </row>
    <row r="1363">
      <c r="A1363" t="inlineStr">
        <is>
          <t>13/07/2026</t>
        </is>
      </c>
      <c r="B1363" t="inlineStr">
        <is>
          <t>OCB</t>
        </is>
      </c>
      <c r="C1363" t="n">
        <v>26107</v>
      </c>
      <c r="D1363" t="n">
        <v>26157</v>
      </c>
      <c r="E1363" t="n">
        <v>26550</v>
      </c>
    </row>
    <row r="1364">
      <c r="A1364" t="inlineStr">
        <is>
          <t>12/07/2026</t>
        </is>
      </c>
      <c r="B1364" t="inlineStr">
        <is>
          <t>OCB</t>
        </is>
      </c>
      <c r="C1364" t="n">
        <v>26117</v>
      </c>
      <c r="D1364" t="n">
        <v>26167</v>
      </c>
      <c r="E1364" t="n">
        <v>26560</v>
      </c>
    </row>
    <row r="1365">
      <c r="A1365" t="inlineStr">
        <is>
          <t>11/07/2026</t>
        </is>
      </c>
      <c r="B1365" t="inlineStr">
        <is>
          <t>OCB</t>
        </is>
      </c>
      <c r="C1365" t="n">
        <v>26117</v>
      </c>
      <c r="D1365" t="n">
        <v>26167</v>
      </c>
      <c r="E1365" t="n">
        <v>26560</v>
      </c>
    </row>
    <row r="1366">
      <c r="A1366" t="inlineStr">
        <is>
          <t>10/07/2026</t>
        </is>
      </c>
      <c r="B1366" t="inlineStr">
        <is>
          <t>OCB</t>
        </is>
      </c>
      <c r="C1366" t="n">
        <v>26117</v>
      </c>
      <c r="D1366" t="n">
        <v>26167</v>
      </c>
      <c r="E1366" t="n">
        <v>26560</v>
      </c>
    </row>
    <row r="1367">
      <c r="A1367" t="inlineStr">
        <is>
          <t>09/07/2026</t>
        </is>
      </c>
      <c r="B1367" t="inlineStr">
        <is>
          <t>OCB</t>
        </is>
      </c>
      <c r="C1367" t="n">
        <v>26138</v>
      </c>
      <c r="D1367" t="n">
        <v>26188</v>
      </c>
      <c r="E1367" t="n">
        <v>26561</v>
      </c>
    </row>
    <row r="1368">
      <c r="A1368" t="inlineStr">
        <is>
          <t>08/07/2026</t>
        </is>
      </c>
      <c r="B1368" t="inlineStr">
        <is>
          <t>OCB</t>
        </is>
      </c>
      <c r="C1368" t="n">
        <v>26133</v>
      </c>
      <c r="D1368" t="n">
        <v>26183</v>
      </c>
      <c r="E1368" t="n">
        <v>26556</v>
      </c>
    </row>
    <row r="1369">
      <c r="A1369" t="inlineStr">
        <is>
          <t>07/07/2026</t>
        </is>
      </c>
      <c r="B1369" t="inlineStr">
        <is>
          <t>OCB</t>
        </is>
      </c>
      <c r="C1369" t="n">
        <v>26129</v>
      </c>
      <c r="D1369" t="n">
        <v>26179</v>
      </c>
      <c r="E1369" t="n">
        <v>26552</v>
      </c>
    </row>
    <row r="1370">
      <c r="A1370" t="inlineStr">
        <is>
          <t>06/07/2026</t>
        </is>
      </c>
      <c r="B1370" t="inlineStr">
        <is>
          <t>OCB</t>
        </is>
      </c>
      <c r="C1370" t="n">
        <v>26129</v>
      </c>
      <c r="D1370" t="n">
        <v>26179</v>
      </c>
      <c r="E1370" t="n">
        <v>26552</v>
      </c>
    </row>
    <row r="1371">
      <c r="A1371" t="inlineStr">
        <is>
          <t>05/07/2026</t>
        </is>
      </c>
      <c r="B1371" t="inlineStr">
        <is>
          <t>OCB</t>
        </is>
      </c>
      <c r="C1371" t="n">
        <v>26130</v>
      </c>
      <c r="D1371" t="n">
        <v>26180</v>
      </c>
      <c r="E1371" t="n">
        <v>26553</v>
      </c>
    </row>
    <row r="1372">
      <c r="A1372" t="inlineStr">
        <is>
          <t>04/07/2026</t>
        </is>
      </c>
      <c r="B1372" t="inlineStr">
        <is>
          <t>OCB</t>
        </is>
      </c>
      <c r="C1372" t="n">
        <v>26130</v>
      </c>
      <c r="D1372" t="n">
        <v>26180</v>
      </c>
      <c r="E1372" t="n">
        <v>26553</v>
      </c>
    </row>
    <row r="1373">
      <c r="A1373" t="inlineStr">
        <is>
          <t>03/07/2026</t>
        </is>
      </c>
      <c r="B1373" t="inlineStr">
        <is>
          <t>OCB</t>
        </is>
      </c>
      <c r="C1373" t="n">
        <v>26130</v>
      </c>
      <c r="D1373" t="n">
        <v>26180</v>
      </c>
      <c r="E1373" t="n">
        <v>26553</v>
      </c>
    </row>
    <row r="1374">
      <c r="A1374" t="inlineStr">
        <is>
          <t>02/07/2026</t>
        </is>
      </c>
      <c r="B1374" t="inlineStr">
        <is>
          <t>OCB</t>
        </is>
      </c>
      <c r="C1374" t="n">
        <v>26132</v>
      </c>
      <c r="D1374" t="n">
        <v>26182</v>
      </c>
      <c r="E1374" t="n">
        <v>26555</v>
      </c>
    </row>
    <row r="1375">
      <c r="A1375" t="inlineStr">
        <is>
          <t>01/07/2026</t>
        </is>
      </c>
      <c r="B1375" t="inlineStr">
        <is>
          <t>OCB</t>
        </is>
      </c>
      <c r="C1375" t="n">
        <v>26133</v>
      </c>
      <c r="D1375" t="n">
        <v>26183</v>
      </c>
      <c r="E1375" t="n">
        <v>26556</v>
      </c>
    </row>
    <row r="1376">
      <c r="A1376" t="inlineStr">
        <is>
          <t>30/06/2026</t>
        </is>
      </c>
      <c r="B1376" t="inlineStr">
        <is>
          <t>OCB</t>
        </is>
      </c>
      <c r="C1376" t="n">
        <v>26133</v>
      </c>
      <c r="D1376" t="n">
        <v>26183</v>
      </c>
      <c r="E1376" t="n">
        <v>26556</v>
      </c>
    </row>
    <row r="1377">
      <c r="A1377" t="inlineStr">
        <is>
          <t>29/06/2026</t>
        </is>
      </c>
      <c r="B1377" t="inlineStr">
        <is>
          <t>OCB</t>
        </is>
      </c>
      <c r="C1377" t="n">
        <v>26148</v>
      </c>
      <c r="D1377" t="n">
        <v>26198</v>
      </c>
      <c r="E1377" t="n">
        <v>26551</v>
      </c>
    </row>
    <row r="1378">
      <c r="A1378" t="inlineStr">
        <is>
          <t>28/06/2026</t>
        </is>
      </c>
      <c r="B1378" t="inlineStr">
        <is>
          <t>OCB</t>
        </is>
      </c>
      <c r="C1378" t="n">
        <v>26141</v>
      </c>
      <c r="D1378" t="n">
        <v>26191</v>
      </c>
      <c r="E1378" t="n">
        <v>26544</v>
      </c>
    </row>
    <row r="1379">
      <c r="A1379" t="inlineStr">
        <is>
          <t>27/06/2026</t>
        </is>
      </c>
      <c r="B1379" t="inlineStr">
        <is>
          <t>OCB</t>
        </is>
      </c>
      <c r="C1379" t="n">
        <v>26141</v>
      </c>
      <c r="D1379" t="n">
        <v>26191</v>
      </c>
      <c r="E1379" t="n">
        <v>26544</v>
      </c>
    </row>
    <row r="1380">
      <c r="A1380" t="inlineStr">
        <is>
          <t>26/06/2026</t>
        </is>
      </c>
      <c r="B1380" t="inlineStr">
        <is>
          <t>OCB</t>
        </is>
      </c>
      <c r="C1380" t="n">
        <v>26141</v>
      </c>
      <c r="D1380" t="n">
        <v>26191</v>
      </c>
      <c r="E1380" t="n">
        <v>26544</v>
      </c>
    </row>
    <row r="1381">
      <c r="A1381" t="inlineStr">
        <is>
          <t>25/06/2026</t>
        </is>
      </c>
      <c r="B1381" t="inlineStr">
        <is>
          <t>OCB</t>
        </is>
      </c>
      <c r="C1381" t="n">
        <v>26163</v>
      </c>
      <c r="D1381" t="n">
        <v>26213</v>
      </c>
      <c r="E1381" t="n">
        <v>26546</v>
      </c>
    </row>
    <row r="1382">
      <c r="A1382" t="inlineStr">
        <is>
          <t>24/06/2026</t>
        </is>
      </c>
      <c r="B1382" t="inlineStr">
        <is>
          <t>OCB</t>
        </is>
      </c>
      <c r="C1382" t="n">
        <v>26158</v>
      </c>
      <c r="D1382" t="n">
        <v>26208</v>
      </c>
      <c r="E1382" t="n">
        <v>26541</v>
      </c>
    </row>
    <row r="1383">
      <c r="A1383" t="inlineStr">
        <is>
          <t>23/06/2026</t>
        </is>
      </c>
      <c r="B1383" t="inlineStr">
        <is>
          <t>OCB</t>
        </is>
      </c>
      <c r="C1383" t="n">
        <v>26155</v>
      </c>
      <c r="D1383" t="n">
        <v>26205</v>
      </c>
      <c r="E1383" t="n">
        <v>26538</v>
      </c>
    </row>
    <row r="1384">
      <c r="A1384" t="inlineStr">
        <is>
          <t>22/06/2026</t>
        </is>
      </c>
      <c r="B1384" t="inlineStr">
        <is>
          <t>OCB</t>
        </is>
      </c>
      <c r="C1384" t="n">
        <v>26149</v>
      </c>
      <c r="D1384" t="n">
        <v>26199</v>
      </c>
      <c r="E1384" t="n">
        <v>26532</v>
      </c>
    </row>
    <row r="1385">
      <c r="A1385" t="inlineStr">
        <is>
          <t>21/06/2026</t>
        </is>
      </c>
      <c r="B1385" t="inlineStr">
        <is>
          <t>OCB</t>
        </is>
      </c>
      <c r="C1385" t="n">
        <v>26147</v>
      </c>
      <c r="D1385" t="n">
        <v>26197</v>
      </c>
      <c r="E1385" t="n">
        <v>26530</v>
      </c>
    </row>
    <row r="1386">
      <c r="A1386" t="inlineStr">
        <is>
          <t>20/06/2026</t>
        </is>
      </c>
      <c r="B1386" t="inlineStr">
        <is>
          <t>OCB</t>
        </is>
      </c>
      <c r="C1386" t="n">
        <v>26147</v>
      </c>
      <c r="D1386" t="n">
        <v>26197</v>
      </c>
      <c r="E1386" t="n">
        <v>26530</v>
      </c>
    </row>
    <row r="1387">
      <c r="A1387" t="inlineStr">
        <is>
          <t>19/06/2026</t>
        </is>
      </c>
      <c r="B1387" t="inlineStr">
        <is>
          <t>OCB</t>
        </is>
      </c>
      <c r="C1387" t="n">
        <v>26147</v>
      </c>
      <c r="D1387" t="n">
        <v>26197</v>
      </c>
      <c r="E1387" t="n">
        <v>26530</v>
      </c>
    </row>
    <row r="1388">
      <c r="A1388" t="inlineStr">
        <is>
          <t>18/06/2026</t>
        </is>
      </c>
      <c r="B1388" t="inlineStr">
        <is>
          <t>OCB</t>
        </is>
      </c>
      <c r="C1388" t="n">
        <v>26138</v>
      </c>
      <c r="D1388" t="n">
        <v>26188</v>
      </c>
      <c r="E1388" t="n">
        <v>26521</v>
      </c>
    </row>
    <row r="1389">
      <c r="A1389" t="inlineStr">
        <is>
          <t>17/06/2026</t>
        </is>
      </c>
      <c r="B1389" t="inlineStr">
        <is>
          <t>OCB</t>
        </is>
      </c>
      <c r="C1389" t="n">
        <v>26140</v>
      </c>
      <c r="D1389" t="n">
        <v>26190</v>
      </c>
      <c r="E1389" t="n">
        <v>26523</v>
      </c>
    </row>
    <row r="1390">
      <c r="A1390" t="inlineStr">
        <is>
          <t>16/06/2026</t>
        </is>
      </c>
      <c r="B1390" t="inlineStr">
        <is>
          <t>OCB</t>
        </is>
      </c>
      <c r="C1390" t="n">
        <v>26130</v>
      </c>
      <c r="D1390" t="n">
        <v>26180</v>
      </c>
      <c r="E1390" t="n">
        <v>26513</v>
      </c>
    </row>
    <row r="1391">
      <c r="A1391" t="inlineStr">
        <is>
          <t>15/06/2026</t>
        </is>
      </c>
      <c r="B1391" t="inlineStr">
        <is>
          <t>OCB</t>
        </is>
      </c>
      <c r="C1391" t="n">
        <v>26130</v>
      </c>
      <c r="D1391" t="n">
        <v>26180</v>
      </c>
      <c r="E1391" t="n">
        <v>26513</v>
      </c>
    </row>
    <row r="1392">
      <c r="A1392" t="inlineStr">
        <is>
          <t>14/06/2026</t>
        </is>
      </c>
      <c r="B1392" t="inlineStr">
        <is>
          <t>OCB</t>
        </is>
      </c>
      <c r="C1392" t="n">
        <v>26149</v>
      </c>
      <c r="D1392" t="n">
        <v>26199</v>
      </c>
      <c r="E1392" t="n">
        <v>26502</v>
      </c>
    </row>
    <row r="1393">
      <c r="A1393" t="inlineStr">
        <is>
          <t>13/06/2026</t>
        </is>
      </c>
      <c r="B1393" t="inlineStr">
        <is>
          <t>OCB</t>
        </is>
      </c>
      <c r="C1393" t="n">
        <v>26149</v>
      </c>
      <c r="D1393" t="n">
        <v>26199</v>
      </c>
      <c r="E1393" t="n">
        <v>26502</v>
      </c>
    </row>
    <row r="1394">
      <c r="A1394" t="inlineStr">
        <is>
          <t>12/06/2026</t>
        </is>
      </c>
      <c r="B1394" t="inlineStr">
        <is>
          <t>OCB</t>
        </is>
      </c>
      <c r="C1394" t="n">
        <v>26149</v>
      </c>
      <c r="D1394" t="n">
        <v>26199</v>
      </c>
      <c r="E1394" t="n">
        <v>26502</v>
      </c>
    </row>
    <row r="1395">
      <c r="A1395" t="inlineStr">
        <is>
          <t>11/06/2026</t>
        </is>
      </c>
      <c r="B1395" t="inlineStr">
        <is>
          <t>OCB</t>
        </is>
      </c>
      <c r="C1395" t="n">
        <v>26157</v>
      </c>
      <c r="D1395" t="n">
        <v>26207</v>
      </c>
      <c r="E1395" t="n">
        <v>26500</v>
      </c>
    </row>
    <row r="1396">
      <c r="A1396" t="inlineStr">
        <is>
          <t>10/06/2026</t>
        </is>
      </c>
      <c r="B1396" t="inlineStr">
        <is>
          <t>OCB</t>
        </is>
      </c>
      <c r="C1396" t="n">
        <v>26157</v>
      </c>
      <c r="D1396" t="n">
        <v>26207</v>
      </c>
      <c r="E1396" t="n">
        <v>26500</v>
      </c>
    </row>
    <row r="1397">
      <c r="A1397" t="inlineStr">
        <is>
          <t>09/06/2026</t>
        </is>
      </c>
      <c r="B1397" t="inlineStr">
        <is>
          <t>OCB</t>
        </is>
      </c>
      <c r="C1397" t="n">
        <v>26155</v>
      </c>
      <c r="D1397" t="n">
        <v>26205</v>
      </c>
      <c r="E1397" t="n">
        <v>26498</v>
      </c>
    </row>
    <row r="1398">
      <c r="A1398" t="inlineStr">
        <is>
          <t>08/06/2026</t>
        </is>
      </c>
      <c r="B1398" t="inlineStr">
        <is>
          <t>OCB</t>
        </is>
      </c>
      <c r="C1398" t="n">
        <v>26154</v>
      </c>
      <c r="D1398" t="n">
        <v>26204</v>
      </c>
      <c r="E1398" t="n">
        <v>26497</v>
      </c>
    </row>
    <row r="1399">
      <c r="A1399" t="inlineStr">
        <is>
          <t>07/06/2026</t>
        </is>
      </c>
      <c r="B1399" t="inlineStr">
        <is>
          <t>OCB</t>
        </is>
      </c>
      <c r="C1399" t="n">
        <v>26129</v>
      </c>
      <c r="D1399" t="n">
        <v>26179</v>
      </c>
      <c r="E1399" t="n">
        <v>26552</v>
      </c>
    </row>
    <row r="1400">
      <c r="A1400" t="inlineStr">
        <is>
          <t>06/06/2026</t>
        </is>
      </c>
      <c r="B1400" t="inlineStr">
        <is>
          <t>OCB</t>
        </is>
      </c>
      <c r="C1400" t="n">
        <v>26151</v>
      </c>
      <c r="D1400" t="n">
        <v>26201</v>
      </c>
      <c r="E1400" t="n">
        <v>26494</v>
      </c>
    </row>
    <row r="1401">
      <c r="A1401" t="inlineStr">
        <is>
          <t>05/06/2026</t>
        </is>
      </c>
      <c r="B1401" t="inlineStr">
        <is>
          <t>OCB</t>
        </is>
      </c>
      <c r="C1401" t="n">
        <v>26151</v>
      </c>
      <c r="D1401" t="n">
        <v>26201</v>
      </c>
      <c r="E1401" t="n">
        <v>26494</v>
      </c>
    </row>
    <row r="1402">
      <c r="A1402" t="inlineStr">
        <is>
          <t>04/06/2026</t>
        </is>
      </c>
      <c r="B1402" t="inlineStr">
        <is>
          <t>OCB</t>
        </is>
      </c>
      <c r="C1402" t="n">
        <v>26149</v>
      </c>
      <c r="D1402" t="n">
        <v>26199</v>
      </c>
      <c r="E1402" t="n">
        <v>26492</v>
      </c>
    </row>
    <row r="1403">
      <c r="A1403" t="inlineStr">
        <is>
          <t>03/06/2026</t>
        </is>
      </c>
      <c r="B1403" t="inlineStr">
        <is>
          <t>OCB</t>
        </is>
      </c>
      <c r="C1403" t="n">
        <v>26149</v>
      </c>
      <c r="D1403" t="n">
        <v>26199</v>
      </c>
      <c r="E1403" t="n">
        <v>26492</v>
      </c>
    </row>
    <row r="1404">
      <c r="A1404" t="inlineStr">
        <is>
          <t>02/06/2026</t>
        </is>
      </c>
      <c r="B1404" t="inlineStr">
        <is>
          <t>OCB</t>
        </is>
      </c>
      <c r="C1404" t="n">
        <v>26145</v>
      </c>
      <c r="D1404" t="n">
        <v>26195</v>
      </c>
      <c r="E1404" t="n">
        <v>26488</v>
      </c>
    </row>
    <row r="1405">
      <c r="A1405" t="inlineStr">
        <is>
          <t>01/06/2026</t>
        </is>
      </c>
      <c r="B1405" t="inlineStr">
        <is>
          <t>OCB</t>
        </is>
      </c>
      <c r="C1405" t="n">
        <v>26141</v>
      </c>
      <c r="D1405" t="n">
        <v>26191</v>
      </c>
      <c r="E1405" t="n">
        <v>26484</v>
      </c>
    </row>
    <row r="1406">
      <c r="A1406" t="inlineStr">
        <is>
          <t>31/05/2026</t>
        </is>
      </c>
      <c r="B1406" t="inlineStr">
        <is>
          <t>OCB</t>
        </is>
      </c>
      <c r="C1406" t="n">
        <v>26142</v>
      </c>
      <c r="D1406" t="n">
        <v>26192</v>
      </c>
      <c r="E1406" t="n">
        <v>26485</v>
      </c>
    </row>
    <row r="1407">
      <c r="A1407" t="inlineStr">
        <is>
          <t>30/05/2026</t>
        </is>
      </c>
      <c r="B1407" t="inlineStr">
        <is>
          <t>OCB</t>
        </is>
      </c>
      <c r="C1407" t="n">
        <v>26142</v>
      </c>
      <c r="D1407" t="n">
        <v>26192</v>
      </c>
      <c r="E1407" t="n">
        <v>26485</v>
      </c>
    </row>
    <row r="1408">
      <c r="A1408" t="inlineStr">
        <is>
          <t>29/05/2026</t>
        </is>
      </c>
      <c r="B1408" t="inlineStr">
        <is>
          <t>OCB</t>
        </is>
      </c>
      <c r="C1408" t="n">
        <v>26142</v>
      </c>
      <c r="D1408" t="n">
        <v>26192</v>
      </c>
      <c r="E1408" t="n">
        <v>26485</v>
      </c>
    </row>
    <row r="1409">
      <c r="A1409" t="inlineStr">
        <is>
          <t>28/05/2026</t>
        </is>
      </c>
      <c r="B1409" t="inlineStr">
        <is>
          <t>OCB</t>
        </is>
      </c>
      <c r="C1409" t="n">
        <v>26170</v>
      </c>
      <c r="D1409" t="n">
        <v>26220</v>
      </c>
      <c r="E1409" t="n">
        <v>26483</v>
      </c>
    </row>
    <row r="1410">
      <c r="A1410" t="inlineStr">
        <is>
          <t>27/05/2026</t>
        </is>
      </c>
      <c r="B1410" t="inlineStr">
        <is>
          <t>OCB</t>
        </is>
      </c>
      <c r="C1410" t="n">
        <v>26170</v>
      </c>
      <c r="D1410" t="n">
        <v>26220</v>
      </c>
      <c r="E1410" t="n">
        <v>26483</v>
      </c>
    </row>
    <row r="1411">
      <c r="A1411" t="inlineStr">
        <is>
          <t>26/05/2026</t>
        </is>
      </c>
      <c r="B1411" t="inlineStr">
        <is>
          <t>OCB</t>
        </is>
      </c>
      <c r="C1411" t="n">
        <v>26189</v>
      </c>
      <c r="D1411" t="n">
        <v>26239</v>
      </c>
      <c r="E1411" t="n">
        <v>26482</v>
      </c>
    </row>
    <row r="1412">
      <c r="A1412" t="inlineStr">
        <is>
          <t>25/05/2026</t>
        </is>
      </c>
      <c r="B1412" t="inlineStr">
        <is>
          <t>OCB</t>
        </is>
      </c>
      <c r="C1412" t="n">
        <v>26189</v>
      </c>
      <c r="D1412" t="n">
        <v>26239</v>
      </c>
      <c r="E1412" t="n">
        <v>26482</v>
      </c>
    </row>
    <row r="1413">
      <c r="A1413" t="inlineStr">
        <is>
          <t>24/05/2026</t>
        </is>
      </c>
      <c r="B1413" t="inlineStr">
        <is>
          <t>OCB</t>
        </is>
      </c>
      <c r="C1413" t="n">
        <v>26187</v>
      </c>
      <c r="D1413" t="n">
        <v>26237</v>
      </c>
      <c r="E1413" t="n">
        <v>26480</v>
      </c>
    </row>
    <row r="1414">
      <c r="A1414" t="inlineStr">
        <is>
          <t>23/05/2026</t>
        </is>
      </c>
      <c r="B1414" t="inlineStr">
        <is>
          <t>OCB</t>
        </is>
      </c>
      <c r="C1414" t="n">
        <v>26187</v>
      </c>
      <c r="D1414" t="n">
        <v>26237</v>
      </c>
      <c r="E1414" t="n">
        <v>26480</v>
      </c>
    </row>
    <row r="1415">
      <c r="A1415" t="inlineStr">
        <is>
          <t>22/05/2026</t>
        </is>
      </c>
      <c r="B1415" t="inlineStr">
        <is>
          <t>OCB</t>
        </is>
      </c>
      <c r="C1415" t="n">
        <v>26187</v>
      </c>
      <c r="D1415" t="n">
        <v>26237</v>
      </c>
      <c r="E1415" t="n">
        <v>26480</v>
      </c>
    </row>
    <row r="1416">
      <c r="A1416" t="inlineStr">
        <is>
          <t>21/05/2026</t>
        </is>
      </c>
      <c r="B1416" t="inlineStr">
        <is>
          <t>OCB</t>
        </is>
      </c>
      <c r="C1416" t="n">
        <v>26188</v>
      </c>
      <c r="D1416" t="n">
        <v>26238</v>
      </c>
      <c r="E1416" t="n">
        <v>26481</v>
      </c>
    </row>
    <row r="1417">
      <c r="A1417" t="inlineStr">
        <is>
          <t>20/05/2026</t>
        </is>
      </c>
      <c r="B1417" t="inlineStr">
        <is>
          <t>OCB</t>
        </is>
      </c>
      <c r="C1417" t="n">
        <v>26188</v>
      </c>
      <c r="D1417" t="n">
        <v>26238</v>
      </c>
      <c r="E1417" t="n">
        <v>26481</v>
      </c>
    </row>
    <row r="1418">
      <c r="A1418" t="inlineStr">
        <is>
          <t>19/05/2026</t>
        </is>
      </c>
      <c r="B1418" t="inlineStr">
        <is>
          <t>OCB</t>
        </is>
      </c>
      <c r="C1418" t="n">
        <v>26176</v>
      </c>
      <c r="D1418" t="n">
        <v>26226</v>
      </c>
      <c r="E1418" t="n">
        <v>26479</v>
      </c>
    </row>
    <row r="1419">
      <c r="A1419" t="inlineStr">
        <is>
          <t>18/05/2026</t>
        </is>
      </c>
      <c r="B1419" t="inlineStr">
        <is>
          <t>OCB</t>
        </is>
      </c>
      <c r="C1419" t="n">
        <v>26164</v>
      </c>
      <c r="D1419" t="n">
        <v>26214</v>
      </c>
      <c r="E1419" t="n">
        <v>26477</v>
      </c>
    </row>
    <row r="1420">
      <c r="A1420" t="inlineStr">
        <is>
          <t>17/05/2026</t>
        </is>
      </c>
      <c r="B1420" t="inlineStr">
        <is>
          <t>OCB</t>
        </is>
      </c>
      <c r="C1420" t="n">
        <v>26164</v>
      </c>
      <c r="D1420" t="n">
        <v>26214</v>
      </c>
      <c r="E1420" t="n">
        <v>26477</v>
      </c>
    </row>
    <row r="1421">
      <c r="A1421" t="inlineStr">
        <is>
          <t>16/05/2026</t>
        </is>
      </c>
      <c r="B1421" t="inlineStr">
        <is>
          <t>OCB</t>
        </is>
      </c>
      <c r="C1421" t="n">
        <v>26164</v>
      </c>
      <c r="D1421" t="n">
        <v>26214</v>
      </c>
      <c r="E1421" t="n">
        <v>26477</v>
      </c>
    </row>
    <row r="1422">
      <c r="A1422" t="inlineStr">
        <is>
          <t>15/05/2026</t>
        </is>
      </c>
      <c r="B1422" t="inlineStr">
        <is>
          <t>OCB</t>
        </is>
      </c>
      <c r="C1422" t="n">
        <v>26164</v>
      </c>
      <c r="D1422" t="n">
        <v>26214</v>
      </c>
      <c r="E1422" t="n">
        <v>26477</v>
      </c>
    </row>
    <row r="1423">
      <c r="A1423" t="inlineStr">
        <is>
          <t>14/05/2026</t>
        </is>
      </c>
      <c r="B1423" t="inlineStr">
        <is>
          <t>OCB</t>
        </is>
      </c>
      <c r="C1423" t="n">
        <v>26159</v>
      </c>
      <c r="D1423" t="n">
        <v>26209</v>
      </c>
      <c r="E1423" t="n">
        <v>26472</v>
      </c>
    </row>
    <row r="1424">
      <c r="A1424" t="inlineStr">
        <is>
          <t>13/05/2026</t>
        </is>
      </c>
      <c r="B1424" t="inlineStr">
        <is>
          <t>OCB</t>
        </is>
      </c>
      <c r="C1424" t="n">
        <v>26156</v>
      </c>
      <c r="D1424" t="n">
        <v>26206</v>
      </c>
      <c r="E1424" t="n">
        <v>26469</v>
      </c>
    </row>
    <row r="1425">
      <c r="A1425" t="inlineStr">
        <is>
          <t>12/05/2026</t>
        </is>
      </c>
      <c r="B1425" t="inlineStr">
        <is>
          <t>OCB</t>
        </is>
      </c>
      <c r="C1425" t="n">
        <v>26156</v>
      </c>
      <c r="D1425" t="n">
        <v>26206</v>
      </c>
      <c r="E1425" t="n">
        <v>26469</v>
      </c>
    </row>
    <row r="1426">
      <c r="A1426" t="inlineStr">
        <is>
          <t>11/05/2026</t>
        </is>
      </c>
      <c r="B1426" t="inlineStr">
        <is>
          <t>OCB</t>
        </is>
      </c>
      <c r="C1426" t="n">
        <v>26150</v>
      </c>
      <c r="D1426" t="n">
        <v>26200</v>
      </c>
      <c r="E1426" t="n">
        <v>26463</v>
      </c>
    </row>
    <row r="1427">
      <c r="A1427" t="inlineStr">
        <is>
          <t>10/05/2026</t>
        </is>
      </c>
      <c r="B1427" t="inlineStr">
        <is>
          <t>OCB</t>
        </is>
      </c>
      <c r="C1427" t="n">
        <v>26144</v>
      </c>
      <c r="D1427" t="n">
        <v>26194</v>
      </c>
      <c r="E1427" t="n">
        <v>26457</v>
      </c>
    </row>
    <row r="1428">
      <c r="A1428" t="inlineStr">
        <is>
          <t>09/05/2026</t>
        </is>
      </c>
      <c r="B1428" t="inlineStr">
        <is>
          <t>OCB</t>
        </is>
      </c>
      <c r="C1428" t="n">
        <v>26144</v>
      </c>
      <c r="D1428" t="n">
        <v>26194</v>
      </c>
      <c r="E1428" t="n">
        <v>26457</v>
      </c>
    </row>
    <row r="1429">
      <c r="A1429" t="inlineStr">
        <is>
          <t>08/05/2026</t>
        </is>
      </c>
      <c r="B1429" t="inlineStr">
        <is>
          <t>OCB</t>
        </is>
      </c>
      <c r="C1429" t="n">
        <v>26144</v>
      </c>
      <c r="D1429" t="n">
        <v>26194</v>
      </c>
      <c r="E1429" t="n">
        <v>26457</v>
      </c>
    </row>
    <row r="1430">
      <c r="A1430" t="inlineStr">
        <is>
          <t>07/05/2026</t>
        </is>
      </c>
      <c r="B1430" t="inlineStr">
        <is>
          <t>OCB</t>
        </is>
      </c>
      <c r="C1430" t="n">
        <v>26145</v>
      </c>
      <c r="D1430" t="n">
        <v>26195</v>
      </c>
      <c r="E1430" t="n">
        <v>26458</v>
      </c>
    </row>
    <row r="1431">
      <c r="A1431" t="inlineStr">
        <is>
          <t>06/05/2026</t>
        </is>
      </c>
      <c r="B1431" t="inlineStr">
        <is>
          <t>OCB</t>
        </is>
      </c>
      <c r="C1431" t="n">
        <v>26155</v>
      </c>
      <c r="D1431" t="n">
        <v>26205</v>
      </c>
      <c r="E1431" t="n">
        <v>26458</v>
      </c>
    </row>
    <row r="1432">
      <c r="A1432" t="inlineStr">
        <is>
          <t>05/05/2026</t>
        </is>
      </c>
      <c r="B1432" t="inlineStr">
        <is>
          <t>OCB</t>
        </is>
      </c>
      <c r="C1432" t="n">
        <v>26153</v>
      </c>
      <c r="D1432" t="n">
        <v>26203</v>
      </c>
      <c r="E1432" t="n">
        <v>26456</v>
      </c>
    </row>
    <row r="1433">
      <c r="A1433" t="inlineStr">
        <is>
          <t>04/05/2026</t>
        </is>
      </c>
      <c r="B1433" t="inlineStr">
        <is>
          <t>OCB</t>
        </is>
      </c>
      <c r="C1433" t="n">
        <v>26164</v>
      </c>
      <c r="D1433" t="n">
        <v>26214</v>
      </c>
      <c r="E1433" t="n">
        <v>26457</v>
      </c>
    </row>
    <row r="1434">
      <c r="A1434" t="inlineStr">
        <is>
          <t>03/05/2026</t>
        </is>
      </c>
      <c r="B1434" t="inlineStr">
        <is>
          <t>OCB</t>
        </is>
      </c>
      <c r="C1434" t="n">
        <v>26165</v>
      </c>
      <c r="D1434" t="n">
        <v>26215</v>
      </c>
      <c r="E1434" t="n">
        <v>26458</v>
      </c>
    </row>
    <row r="1435">
      <c r="A1435" t="inlineStr">
        <is>
          <t>02/05/2026</t>
        </is>
      </c>
      <c r="B1435" t="inlineStr">
        <is>
          <t>OCB</t>
        </is>
      </c>
      <c r="C1435" t="n">
        <v>26165</v>
      </c>
      <c r="D1435" t="n">
        <v>26215</v>
      </c>
      <c r="E1435" t="n">
        <v>26458</v>
      </c>
    </row>
    <row r="1436">
      <c r="A1436" t="inlineStr">
        <is>
          <t>01/05/2026</t>
        </is>
      </c>
      <c r="B1436" t="inlineStr">
        <is>
          <t>OCB</t>
        </is>
      </c>
      <c r="C1436" t="n">
        <v>26165</v>
      </c>
      <c r="D1436" t="n">
        <v>26215</v>
      </c>
      <c r="E1436" t="n">
        <v>26458</v>
      </c>
    </row>
    <row r="1437">
      <c r="A1437" t="inlineStr">
        <is>
          <t>30/04/2026</t>
        </is>
      </c>
      <c r="B1437" t="inlineStr">
        <is>
          <t>OCB</t>
        </is>
      </c>
      <c r="C1437" t="n">
        <v>26165</v>
      </c>
      <c r="D1437" t="n">
        <v>26215</v>
      </c>
      <c r="E1437" t="n">
        <v>26458</v>
      </c>
    </row>
    <row r="1438">
      <c r="A1438" t="inlineStr">
        <is>
          <t>29/04/2026</t>
        </is>
      </c>
      <c r="B1438" t="inlineStr">
        <is>
          <t>OCB</t>
        </is>
      </c>
      <c r="C1438" t="n">
        <v>26165</v>
      </c>
      <c r="D1438" t="n">
        <v>26215</v>
      </c>
      <c r="E1438" t="n">
        <v>26458</v>
      </c>
    </row>
    <row r="1439">
      <c r="A1439" t="inlineStr">
        <is>
          <t>28/04/2026</t>
        </is>
      </c>
      <c r="B1439" t="inlineStr">
        <is>
          <t>OCB</t>
        </is>
      </c>
      <c r="C1439" t="n">
        <v>26163</v>
      </c>
      <c r="D1439" t="n">
        <v>26213</v>
      </c>
      <c r="E1439" t="n">
        <v>26456</v>
      </c>
    </row>
    <row r="1440">
      <c r="A1440" t="inlineStr">
        <is>
          <t>27/04/2026</t>
        </is>
      </c>
      <c r="B1440" t="inlineStr">
        <is>
          <t>OCB</t>
        </is>
      </c>
      <c r="C1440" t="n">
        <v>26165</v>
      </c>
      <c r="D1440" t="n">
        <v>26215</v>
      </c>
      <c r="E1440" t="n">
        <v>26458</v>
      </c>
    </row>
    <row r="1441">
      <c r="A1441" t="inlineStr">
        <is>
          <t>26/04/2026</t>
        </is>
      </c>
      <c r="B1441" t="inlineStr">
        <is>
          <t>OCB</t>
        </is>
      </c>
      <c r="C1441" t="n">
        <v>26165</v>
      </c>
      <c r="D1441" t="n">
        <v>26215</v>
      </c>
      <c r="E1441" t="n">
        <v>26458</v>
      </c>
    </row>
    <row r="1442">
      <c r="A1442" t="inlineStr">
        <is>
          <t>25/04/2026</t>
        </is>
      </c>
      <c r="B1442" t="inlineStr">
        <is>
          <t>OCB</t>
        </is>
      </c>
      <c r="C1442" t="n">
        <v>26165</v>
      </c>
      <c r="D1442" t="n">
        <v>26215</v>
      </c>
      <c r="E1442" t="n">
        <v>26458</v>
      </c>
    </row>
    <row r="1443">
      <c r="A1443" t="inlineStr">
        <is>
          <t>24/04/2026</t>
        </is>
      </c>
      <c r="B1443" t="inlineStr">
        <is>
          <t>OCB</t>
        </is>
      </c>
      <c r="C1443" t="n">
        <v>26165</v>
      </c>
      <c r="D1443" t="n">
        <v>26215</v>
      </c>
      <c r="E1443" t="n">
        <v>26458</v>
      </c>
    </row>
    <row r="1444">
      <c r="A1444" t="inlineStr">
        <is>
          <t>23/04/2026</t>
        </is>
      </c>
      <c r="B1444" t="inlineStr">
        <is>
          <t>OCB</t>
        </is>
      </c>
      <c r="C1444" t="n">
        <v>26157</v>
      </c>
      <c r="D1444" t="n">
        <v>26207</v>
      </c>
      <c r="E1444" t="n">
        <v>26450</v>
      </c>
    </row>
    <row r="1445">
      <c r="A1445" t="inlineStr">
        <is>
          <t>22/04/2026</t>
        </is>
      </c>
      <c r="B1445" t="inlineStr">
        <is>
          <t>OCB</t>
        </is>
      </c>
      <c r="C1445" t="n">
        <v>26152</v>
      </c>
      <c r="D1445" t="n">
        <v>26202</v>
      </c>
      <c r="E1445" t="n">
        <v>26445</v>
      </c>
    </row>
    <row r="1446">
      <c r="A1446" t="inlineStr">
        <is>
          <t>21/04/2026</t>
        </is>
      </c>
      <c r="B1446" t="inlineStr">
        <is>
          <t>OCB</t>
        </is>
      </c>
      <c r="C1446" t="n">
        <v>26154</v>
      </c>
      <c r="D1446" t="n">
        <v>26204</v>
      </c>
      <c r="E1446" t="n">
        <v>26447</v>
      </c>
    </row>
    <row r="1447">
      <c r="A1447" t="inlineStr">
        <is>
          <t>20/04/2026</t>
        </is>
      </c>
      <c r="B1447" t="inlineStr">
        <is>
          <t>OCB</t>
        </is>
      </c>
      <c r="C1447" t="n">
        <v>26155</v>
      </c>
      <c r="D1447" t="n">
        <v>26205</v>
      </c>
      <c r="E1447" t="n">
        <v>26448</v>
      </c>
    </row>
    <row r="1448">
      <c r="A1448" t="inlineStr">
        <is>
          <t>19/04/2026</t>
        </is>
      </c>
      <c r="B1448" t="inlineStr">
        <is>
          <t>OCB</t>
        </is>
      </c>
      <c r="C1448" t="n">
        <v>26154</v>
      </c>
      <c r="D1448" t="n">
        <v>26204</v>
      </c>
      <c r="E1448" t="n">
        <v>26447</v>
      </c>
    </row>
    <row r="1449">
      <c r="A1449" t="inlineStr">
        <is>
          <t>18/04/2026</t>
        </is>
      </c>
      <c r="B1449" t="inlineStr">
        <is>
          <t>OCB</t>
        </is>
      </c>
      <c r="C1449" t="n">
        <v>26154</v>
      </c>
      <c r="D1449" t="n">
        <v>26204</v>
      </c>
      <c r="E1449" t="n">
        <v>26447</v>
      </c>
    </row>
    <row r="1450">
      <c r="A1450" t="inlineStr">
        <is>
          <t>17/04/2026</t>
        </is>
      </c>
      <c r="B1450" t="inlineStr">
        <is>
          <t>OCB</t>
        </is>
      </c>
      <c r="C1450" t="n">
        <v>26154</v>
      </c>
      <c r="D1450" t="n">
        <v>26204</v>
      </c>
      <c r="E1450" t="n">
        <v>26447</v>
      </c>
    </row>
    <row r="1451">
      <c r="A1451" t="inlineStr">
        <is>
          <t>16/04/2026</t>
        </is>
      </c>
      <c r="B1451" t="inlineStr">
        <is>
          <t>OCB</t>
        </is>
      </c>
      <c r="C1451" t="n">
        <v>26154</v>
      </c>
      <c r="D1451" t="n">
        <v>26204</v>
      </c>
      <c r="E1451" t="n">
        <v>26447</v>
      </c>
    </row>
    <row r="1452">
      <c r="A1452" t="inlineStr">
        <is>
          <t>15/04/2026</t>
        </is>
      </c>
      <c r="B1452" t="inlineStr">
        <is>
          <t>OCB</t>
        </is>
      </c>
      <c r="C1452" t="n">
        <v>26165</v>
      </c>
      <c r="D1452" t="n">
        <v>26215</v>
      </c>
      <c r="E1452" t="n">
        <v>26448</v>
      </c>
    </row>
    <row r="1453">
      <c r="A1453" t="inlineStr">
        <is>
          <t>14/04/2026</t>
        </is>
      </c>
      <c r="B1453" t="inlineStr">
        <is>
          <t>OCB</t>
        </is>
      </c>
      <c r="C1453" t="n">
        <v>26168</v>
      </c>
      <c r="D1453" t="n">
        <v>26218</v>
      </c>
      <c r="E1453" t="n">
        <v>26451</v>
      </c>
    </row>
    <row r="1454">
      <c r="A1454" t="inlineStr">
        <is>
          <t>13/04/2026</t>
        </is>
      </c>
      <c r="B1454" t="inlineStr">
        <is>
          <t>OCB</t>
        </is>
      </c>
      <c r="C1454" t="n">
        <v>26168</v>
      </c>
      <c r="D1454" t="n">
        <v>26218</v>
      </c>
      <c r="E1454" t="n">
        <v>26451</v>
      </c>
    </row>
    <row r="1455">
      <c r="A1455" t="inlineStr">
        <is>
          <t>12/04/2026</t>
        </is>
      </c>
      <c r="B1455" t="inlineStr">
        <is>
          <t>OCB</t>
        </is>
      </c>
      <c r="C1455" t="n">
        <v>26157</v>
      </c>
      <c r="D1455" t="n">
        <v>26207</v>
      </c>
      <c r="E1455" t="n">
        <v>26450</v>
      </c>
    </row>
    <row r="1456">
      <c r="A1456" t="inlineStr">
        <is>
          <t>11/04/2026</t>
        </is>
      </c>
      <c r="B1456" t="inlineStr">
        <is>
          <t>OCB</t>
        </is>
      </c>
      <c r="C1456" t="n">
        <v>26157</v>
      </c>
      <c r="D1456" t="n">
        <v>26207</v>
      </c>
      <c r="E1456" t="n">
        <v>26450</v>
      </c>
    </row>
    <row r="1457">
      <c r="A1457" t="inlineStr">
        <is>
          <t>10/04/2026</t>
        </is>
      </c>
      <c r="B1457" t="inlineStr">
        <is>
          <t>OCB</t>
        </is>
      </c>
      <c r="C1457" t="n">
        <v>26157</v>
      </c>
      <c r="D1457" t="n">
        <v>26207</v>
      </c>
      <c r="E1457" t="n">
        <v>26450</v>
      </c>
    </row>
    <row r="1458">
      <c r="A1458" t="inlineStr">
        <is>
          <t>09/04/2026</t>
        </is>
      </c>
      <c r="B1458" t="inlineStr">
        <is>
          <t>OCB</t>
        </is>
      </c>
      <c r="C1458" t="n">
        <v>26144</v>
      </c>
      <c r="D1458" t="n">
        <v>26194</v>
      </c>
      <c r="E1458" t="n">
        <v>26447</v>
      </c>
    </row>
    <row r="1459">
      <c r="A1459" t="inlineStr">
        <is>
          <t>08/04/2026</t>
        </is>
      </c>
      <c r="B1459" t="inlineStr">
        <is>
          <t>OCB</t>
        </is>
      </c>
      <c r="C1459" t="n">
        <v>26168</v>
      </c>
      <c r="D1459" t="n">
        <v>26218</v>
      </c>
      <c r="E1459" t="n">
        <v>26451</v>
      </c>
    </row>
    <row r="1460">
      <c r="A1460" t="inlineStr">
        <is>
          <t>07/04/2026</t>
        </is>
      </c>
      <c r="B1460" t="inlineStr">
        <is>
          <t>OCB</t>
        </is>
      </c>
      <c r="C1460" t="n">
        <v>26170</v>
      </c>
      <c r="D1460" t="n">
        <v>26220</v>
      </c>
      <c r="E1460" t="n">
        <v>26453</v>
      </c>
    </row>
    <row r="1461">
      <c r="A1461" t="inlineStr">
        <is>
          <t>06/04/2026</t>
        </is>
      </c>
      <c r="B1461" t="inlineStr">
        <is>
          <t>OCB</t>
        </is>
      </c>
      <c r="C1461" t="n">
        <v>26168</v>
      </c>
      <c r="D1461" t="n">
        <v>26218</v>
      </c>
      <c r="E1461" t="n">
        <v>26451</v>
      </c>
    </row>
    <row r="1462">
      <c r="A1462" t="inlineStr">
        <is>
          <t>05/04/2026</t>
        </is>
      </c>
      <c r="B1462" t="inlineStr">
        <is>
          <t>OCB</t>
        </is>
      </c>
      <c r="C1462" t="n">
        <v>26169</v>
      </c>
      <c r="D1462" t="n">
        <v>26219</v>
      </c>
      <c r="E1462" t="n">
        <v>26452</v>
      </c>
    </row>
    <row r="1463">
      <c r="A1463" t="inlineStr">
        <is>
          <t>04/04/2026</t>
        </is>
      </c>
      <c r="B1463" t="inlineStr">
        <is>
          <t>OCB</t>
        </is>
      </c>
      <c r="C1463" t="n">
        <v>26169</v>
      </c>
      <c r="D1463" t="n">
        <v>26219</v>
      </c>
      <c r="E1463" t="n">
        <v>26452</v>
      </c>
    </row>
    <row r="1464">
      <c r="A1464" t="inlineStr">
        <is>
          <t>03/04/2026</t>
        </is>
      </c>
      <c r="B1464" t="inlineStr">
        <is>
          <t>OCB</t>
        </is>
      </c>
      <c r="C1464" t="n">
        <v>26169</v>
      </c>
      <c r="D1464" t="n">
        <v>26219</v>
      </c>
      <c r="E1464" t="n">
        <v>26452</v>
      </c>
    </row>
    <row r="1465">
      <c r="A1465" t="inlineStr">
        <is>
          <t>02/04/2026</t>
        </is>
      </c>
      <c r="B1465" t="inlineStr">
        <is>
          <t>OCB</t>
        </is>
      </c>
      <c r="C1465" t="n">
        <v>26169</v>
      </c>
      <c r="D1465" t="n">
        <v>26219</v>
      </c>
      <c r="E1465" t="n">
        <v>26452</v>
      </c>
    </row>
    <row r="1466">
      <c r="A1466" t="inlineStr">
        <is>
          <t>01/04/2026</t>
        </is>
      </c>
      <c r="B1466" t="inlineStr">
        <is>
          <t>OCB</t>
        </is>
      </c>
      <c r="C1466" t="n">
        <v>26167</v>
      </c>
      <c r="D1466" t="n">
        <v>26217</v>
      </c>
      <c r="E1466" t="n">
        <v>26450</v>
      </c>
    </row>
    <row r="1467">
      <c r="A1467" t="inlineStr">
        <is>
          <t>31/03/2026</t>
        </is>
      </c>
      <c r="B1467" t="inlineStr">
        <is>
          <t>OCB</t>
        </is>
      </c>
      <c r="C1467" t="n">
        <v>26164</v>
      </c>
      <c r="D1467" t="n">
        <v>26214</v>
      </c>
      <c r="E1467" t="n">
        <v>26447</v>
      </c>
    </row>
    <row r="1468">
      <c r="A1468" t="inlineStr">
        <is>
          <t>30/03/2026</t>
        </is>
      </c>
      <c r="B1468" t="inlineStr">
        <is>
          <t>OCB</t>
        </is>
      </c>
      <c r="C1468" t="n">
        <v>26162</v>
      </c>
      <c r="D1468" t="n">
        <v>26212</v>
      </c>
      <c r="E1468" t="n">
        <v>26445</v>
      </c>
    </row>
    <row r="1469">
      <c r="A1469" t="inlineStr">
        <is>
          <t>29/03/2026</t>
        </is>
      </c>
      <c r="B1469" t="inlineStr">
        <is>
          <t>OCB</t>
        </is>
      </c>
      <c r="C1469" t="n">
        <v>26162</v>
      </c>
      <c r="D1469" t="n">
        <v>26212</v>
      </c>
      <c r="E1469" t="n">
        <v>26445</v>
      </c>
    </row>
    <row r="1470">
      <c r="A1470" t="inlineStr">
        <is>
          <t>28/03/2026</t>
        </is>
      </c>
      <c r="B1470" t="inlineStr">
        <is>
          <t>OCB</t>
        </is>
      </c>
      <c r="C1470" t="n">
        <v>26162</v>
      </c>
      <c r="D1470" t="n">
        <v>26212</v>
      </c>
      <c r="E1470" t="n">
        <v>26445</v>
      </c>
    </row>
    <row r="1471">
      <c r="A1471" t="inlineStr">
        <is>
          <t>27/03/2026</t>
        </is>
      </c>
      <c r="B1471" t="inlineStr">
        <is>
          <t>OCB</t>
        </is>
      </c>
      <c r="C1471" t="n">
        <v>26162</v>
      </c>
      <c r="D1471" t="n">
        <v>26212</v>
      </c>
      <c r="E1471" t="n">
        <v>26445</v>
      </c>
    </row>
    <row r="1472">
      <c r="A1472" t="inlineStr">
        <is>
          <t>26/03/2026</t>
        </is>
      </c>
      <c r="B1472" t="inlineStr">
        <is>
          <t>OCB</t>
        </is>
      </c>
      <c r="C1472" t="n">
        <v>26164</v>
      </c>
      <c r="D1472" t="n">
        <v>26214</v>
      </c>
      <c r="E1472" t="n">
        <v>26447</v>
      </c>
    </row>
    <row r="1473">
      <c r="A1473" t="inlineStr">
        <is>
          <t>25/03/2026</t>
        </is>
      </c>
      <c r="B1473" t="inlineStr">
        <is>
          <t>OCB</t>
        </is>
      </c>
      <c r="C1473" t="n">
        <v>26166</v>
      </c>
      <c r="D1473" t="n">
        <v>26216</v>
      </c>
      <c r="E1473" t="n">
        <v>26449</v>
      </c>
    </row>
    <row r="1474">
      <c r="A1474" t="inlineStr">
        <is>
          <t>24/03/2026</t>
        </is>
      </c>
      <c r="B1474" t="inlineStr">
        <is>
          <t>OCB</t>
        </is>
      </c>
      <c r="C1474" t="n">
        <v>26171</v>
      </c>
      <c r="D1474" t="n">
        <v>26221</v>
      </c>
      <c r="E1474" t="n">
        <v>26454</v>
      </c>
    </row>
    <row r="1475">
      <c r="A1475" t="inlineStr">
        <is>
          <t>23/03/2026</t>
        </is>
      </c>
      <c r="B1475" t="inlineStr">
        <is>
          <t>OCB</t>
        </is>
      </c>
      <c r="C1475" t="n">
        <v>26131</v>
      </c>
      <c r="D1475" t="n">
        <v>26181</v>
      </c>
      <c r="E1475" t="n">
        <v>26434</v>
      </c>
    </row>
    <row r="1476">
      <c r="A1476" t="inlineStr">
        <is>
          <t>22/03/2026</t>
        </is>
      </c>
      <c r="B1476" t="inlineStr">
        <is>
          <t>OCB</t>
        </is>
      </c>
      <c r="C1476" t="n">
        <v>26126</v>
      </c>
      <c r="D1476" t="n">
        <v>26176</v>
      </c>
      <c r="E1476" t="n">
        <v>26429</v>
      </c>
    </row>
    <row r="1477">
      <c r="A1477" t="inlineStr">
        <is>
          <t>21/03/2026</t>
        </is>
      </c>
      <c r="B1477" t="inlineStr">
        <is>
          <t>OCB</t>
        </is>
      </c>
      <c r="C1477" t="n">
        <v>26126</v>
      </c>
      <c r="D1477" t="n">
        <v>26176</v>
      </c>
      <c r="E1477" t="n">
        <v>26429</v>
      </c>
    </row>
    <row r="1478">
      <c r="A1478" t="inlineStr">
        <is>
          <t>20/03/2026</t>
        </is>
      </c>
      <c r="B1478" t="inlineStr">
        <is>
          <t>OCB</t>
        </is>
      </c>
      <c r="C1478" t="n">
        <v>26126</v>
      </c>
      <c r="D1478" t="n">
        <v>26176</v>
      </c>
      <c r="E1478" t="n">
        <v>26429</v>
      </c>
    </row>
    <row r="1479">
      <c r="A1479" t="inlineStr">
        <is>
          <t>19/03/2026</t>
        </is>
      </c>
      <c r="B1479" t="inlineStr">
        <is>
          <t>OCB</t>
        </is>
      </c>
      <c r="C1479" t="n">
        <v>26112</v>
      </c>
      <c r="D1479" t="n">
        <v>26162</v>
      </c>
      <c r="E1479" t="n">
        <v>26415</v>
      </c>
    </row>
    <row r="1480">
      <c r="A1480" t="inlineStr">
        <is>
          <t>18/03/2026</t>
        </is>
      </c>
      <c r="B1480" t="inlineStr">
        <is>
          <t>OCB</t>
        </is>
      </c>
      <c r="C1480" t="n">
        <v>26107</v>
      </c>
      <c r="D1480" t="n">
        <v>26157</v>
      </c>
      <c r="E1480" t="n">
        <v>26410</v>
      </c>
    </row>
    <row r="1481">
      <c r="A1481" t="inlineStr">
        <is>
          <t>17/03/2026</t>
        </is>
      </c>
      <c r="B1481" t="inlineStr">
        <is>
          <t>OCB</t>
        </is>
      </c>
      <c r="C1481" t="n">
        <v>26108</v>
      </c>
      <c r="D1481" t="n">
        <v>26158</v>
      </c>
      <c r="E1481" t="n">
        <v>26411</v>
      </c>
    </row>
    <row r="1482">
      <c r="A1482" t="inlineStr">
        <is>
          <t>16/03/2026</t>
        </is>
      </c>
      <c r="B1482" t="inlineStr">
        <is>
          <t>OCB</t>
        </is>
      </c>
      <c r="C1482" t="n">
        <v>26108</v>
      </c>
      <c r="D1482" t="n">
        <v>26158</v>
      </c>
      <c r="E1482" t="n">
        <v>26411</v>
      </c>
    </row>
    <row r="1483">
      <c r="A1483" t="inlineStr">
        <is>
          <t>15/03/2026</t>
        </is>
      </c>
      <c r="B1483" t="inlineStr">
        <is>
          <t>OCB</t>
        </is>
      </c>
      <c r="C1483" t="n">
        <v>26105</v>
      </c>
      <c r="D1483" t="n">
        <v>26155</v>
      </c>
      <c r="E1483" t="n">
        <v>26408</v>
      </c>
    </row>
    <row r="1484">
      <c r="A1484" t="inlineStr">
        <is>
          <t>14/03/2026</t>
        </is>
      </c>
      <c r="B1484" t="inlineStr">
        <is>
          <t>OCB</t>
        </is>
      </c>
      <c r="C1484" t="n">
        <v>26105</v>
      </c>
      <c r="D1484" t="n">
        <v>26155</v>
      </c>
      <c r="E1484" t="n">
        <v>26408</v>
      </c>
    </row>
    <row r="1485">
      <c r="A1485" t="inlineStr">
        <is>
          <t>13/03/2026</t>
        </is>
      </c>
      <c r="B1485" t="inlineStr">
        <is>
          <t>OCB</t>
        </is>
      </c>
      <c r="C1485" t="n">
        <v>26105</v>
      </c>
      <c r="D1485" t="n">
        <v>26155</v>
      </c>
      <c r="E1485" t="n">
        <v>26408</v>
      </c>
    </row>
    <row r="1486">
      <c r="A1486" t="inlineStr">
        <is>
          <t>12/03/2026</t>
        </is>
      </c>
      <c r="B1486" t="inlineStr">
        <is>
          <t>OCB</t>
        </is>
      </c>
      <c r="C1486" t="n">
        <v>26101</v>
      </c>
      <c r="D1486" t="n">
        <v>26151</v>
      </c>
      <c r="E1486" t="n">
        <v>26404</v>
      </c>
    </row>
    <row r="1487">
      <c r="A1487" t="inlineStr">
        <is>
          <t>11/03/2026</t>
        </is>
      </c>
      <c r="B1487" t="inlineStr">
        <is>
          <t>OCB</t>
        </is>
      </c>
      <c r="C1487" t="n">
        <v>26058</v>
      </c>
      <c r="D1487" t="n">
        <v>26108</v>
      </c>
      <c r="E1487" t="n">
        <v>26401</v>
      </c>
    </row>
    <row r="1488">
      <c r="A1488" t="inlineStr">
        <is>
          <t>10/03/2026</t>
        </is>
      </c>
      <c r="B1488" t="inlineStr">
        <is>
          <t>OCB</t>
        </is>
      </c>
      <c r="C1488" t="n">
        <v>26042</v>
      </c>
      <c r="D1488" t="n">
        <v>26092</v>
      </c>
      <c r="E1488" t="n">
        <v>26405</v>
      </c>
    </row>
    <row r="1489">
      <c r="A1489" t="inlineStr">
        <is>
          <t>09/03/2026</t>
        </is>
      </c>
      <c r="B1489" t="inlineStr">
        <is>
          <t>OCB</t>
        </is>
      </c>
      <c r="C1489" t="n">
        <v>26098</v>
      </c>
      <c r="D1489" t="n">
        <v>26148</v>
      </c>
      <c r="E1489" t="n">
        <v>26401</v>
      </c>
    </row>
    <row r="1490">
      <c r="A1490" t="inlineStr">
        <is>
          <t>08/03/2026</t>
        </is>
      </c>
      <c r="B1490" t="inlineStr">
        <is>
          <t>OCB</t>
        </is>
      </c>
      <c r="C1490" t="n">
        <v>26056</v>
      </c>
      <c r="D1490" t="n">
        <v>26106</v>
      </c>
      <c r="E1490" t="n">
        <v>26399</v>
      </c>
    </row>
    <row r="1491">
      <c r="A1491" t="inlineStr">
        <is>
          <t>07/03/2026</t>
        </is>
      </c>
      <c r="B1491" t="inlineStr">
        <is>
          <t>OCB</t>
        </is>
      </c>
      <c r="C1491" t="n">
        <v>26056</v>
      </c>
      <c r="D1491" t="n">
        <v>26106</v>
      </c>
      <c r="E1491" t="n">
        <v>26399</v>
      </c>
    </row>
    <row r="1492">
      <c r="A1492" t="inlineStr">
        <is>
          <t>06/03/2026</t>
        </is>
      </c>
      <c r="B1492" t="inlineStr">
        <is>
          <t>OCB</t>
        </is>
      </c>
      <c r="C1492" t="n">
        <v>26056</v>
      </c>
      <c r="D1492" t="n">
        <v>26106</v>
      </c>
      <c r="E1492" t="n">
        <v>26399</v>
      </c>
    </row>
    <row r="1493">
      <c r="A1493" t="inlineStr">
        <is>
          <t>05/03/2026</t>
        </is>
      </c>
      <c r="B1493" t="inlineStr">
        <is>
          <t>OCB</t>
        </is>
      </c>
      <c r="C1493" t="n">
        <v>26054</v>
      </c>
      <c r="D1493" t="n">
        <v>26104</v>
      </c>
      <c r="E1493" t="n">
        <v>26397</v>
      </c>
    </row>
    <row r="1494">
      <c r="A1494" t="inlineStr">
        <is>
          <t>04/03/2026</t>
        </is>
      </c>
      <c r="B1494" t="inlineStr">
        <is>
          <t>OCB</t>
        </is>
      </c>
      <c r="C1494" t="n">
        <v>26031</v>
      </c>
      <c r="D1494" t="n">
        <v>26081</v>
      </c>
      <c r="E1494" t="n">
        <v>26394</v>
      </c>
    </row>
    <row r="1495">
      <c r="A1495" t="inlineStr">
        <is>
          <t>03/03/2026</t>
        </is>
      </c>
      <c r="B1495" t="inlineStr">
        <is>
          <t>OCB</t>
        </is>
      </c>
      <c r="C1495" t="n">
        <v>26025</v>
      </c>
      <c r="D1495" t="n">
        <v>26075</v>
      </c>
      <c r="E1495" t="n">
        <v>26388</v>
      </c>
    </row>
    <row r="1496">
      <c r="A1496" t="inlineStr">
        <is>
          <t>02/03/2026</t>
        </is>
      </c>
      <c r="B1496" t="inlineStr">
        <is>
          <t>OCB</t>
        </is>
      </c>
      <c r="C1496" t="n">
        <v>26016</v>
      </c>
      <c r="D1496" t="n">
        <v>26066</v>
      </c>
      <c r="E1496" t="n">
        <v>26379</v>
      </c>
    </row>
    <row r="1497">
      <c r="A1497" t="inlineStr">
        <is>
          <t>01/03/2026</t>
        </is>
      </c>
      <c r="B1497" t="inlineStr">
        <is>
          <t>OCB</t>
        </is>
      </c>
      <c r="C1497" t="n">
        <v>25877</v>
      </c>
      <c r="D1497" t="n">
        <v>25927</v>
      </c>
      <c r="E1497" t="n">
        <v>26320</v>
      </c>
    </row>
    <row r="1498">
      <c r="A1498" t="inlineStr">
        <is>
          <t>28/02/2026</t>
        </is>
      </c>
      <c r="B1498" t="inlineStr">
        <is>
          <t>OCB</t>
        </is>
      </c>
      <c r="C1498" t="n">
        <v>25877</v>
      </c>
      <c r="D1498" t="n">
        <v>25927</v>
      </c>
      <c r="E1498" t="n">
        <v>26320</v>
      </c>
    </row>
    <row r="1499">
      <c r="A1499" t="inlineStr">
        <is>
          <t>27/02/2026</t>
        </is>
      </c>
      <c r="B1499" t="inlineStr">
        <is>
          <t>OCB</t>
        </is>
      </c>
      <c r="C1499" t="n">
        <v>25877</v>
      </c>
      <c r="D1499" t="n">
        <v>25927</v>
      </c>
      <c r="E1499" t="n">
        <v>26320</v>
      </c>
    </row>
    <row r="1500">
      <c r="A1500" t="inlineStr">
        <is>
          <t>26/02/2026</t>
        </is>
      </c>
      <c r="B1500" t="inlineStr">
        <is>
          <t>OCB</t>
        </is>
      </c>
      <c r="C1500" t="n">
        <v>25907</v>
      </c>
      <c r="D1500" t="n">
        <v>25957</v>
      </c>
      <c r="E1500" t="n">
        <v>26350</v>
      </c>
    </row>
    <row r="1501">
      <c r="A1501" t="inlineStr">
        <is>
          <t>25/02/2026</t>
        </is>
      </c>
      <c r="B1501" t="inlineStr">
        <is>
          <t>OCB</t>
        </is>
      </c>
      <c r="C1501" t="n">
        <v>25956</v>
      </c>
      <c r="D1501" t="n">
        <v>26006</v>
      </c>
      <c r="E1501" t="n">
        <v>26399</v>
      </c>
    </row>
    <row r="1502">
      <c r="A1502" t="inlineStr">
        <is>
          <t>24/02/2026</t>
        </is>
      </c>
      <c r="B1502" t="inlineStr">
        <is>
          <t>OCB</t>
        </is>
      </c>
      <c r="C1502" t="n">
        <v>26012</v>
      </c>
      <c r="D1502" t="n">
        <v>26062</v>
      </c>
      <c r="E1502" t="n">
        <v>26395</v>
      </c>
    </row>
    <row r="1503">
      <c r="A1503" t="inlineStr">
        <is>
          <t>23/02/2026</t>
        </is>
      </c>
      <c r="B1503" t="inlineStr">
        <is>
          <t>OCB</t>
        </is>
      </c>
      <c r="C1503" t="n">
        <v>25937</v>
      </c>
      <c r="D1503" t="n">
        <v>25987</v>
      </c>
      <c r="E1503" t="n">
        <v>26380</v>
      </c>
    </row>
    <row r="1504">
      <c r="A1504" t="inlineStr">
        <is>
          <t>22/02/2026</t>
        </is>
      </c>
      <c r="B1504" t="inlineStr">
        <is>
          <t>OCB</t>
        </is>
      </c>
      <c r="C1504" t="n">
        <v>25807</v>
      </c>
      <c r="D1504" t="n">
        <v>25857</v>
      </c>
      <c r="E1504" t="n">
        <v>26250</v>
      </c>
    </row>
    <row r="1505">
      <c r="A1505" t="inlineStr">
        <is>
          <t>21/02/2026</t>
        </is>
      </c>
      <c r="B1505" t="inlineStr">
        <is>
          <t>OCB</t>
        </is>
      </c>
      <c r="C1505" t="n">
        <v>25807</v>
      </c>
      <c r="D1505" t="n">
        <v>25857</v>
      </c>
      <c r="E1505" t="n">
        <v>26250</v>
      </c>
    </row>
    <row r="1506">
      <c r="A1506" t="inlineStr">
        <is>
          <t>20/02/2026</t>
        </is>
      </c>
      <c r="B1506" t="inlineStr">
        <is>
          <t>OCB</t>
        </is>
      </c>
      <c r="C1506" t="n">
        <v>25807</v>
      </c>
      <c r="D1506" t="n">
        <v>25857</v>
      </c>
      <c r="E1506" t="n">
        <v>26250</v>
      </c>
    </row>
    <row r="1507">
      <c r="A1507" t="inlineStr">
        <is>
          <t>19/02/2026</t>
        </is>
      </c>
      <c r="B1507" t="inlineStr">
        <is>
          <t>OCB</t>
        </is>
      </c>
      <c r="C1507" t="n">
        <v>25807</v>
      </c>
      <c r="D1507" t="n">
        <v>25857</v>
      </c>
      <c r="E1507" t="n">
        <v>26250</v>
      </c>
    </row>
    <row r="1508">
      <c r="A1508" t="inlineStr">
        <is>
          <t>18/02/2026</t>
        </is>
      </c>
      <c r="B1508" t="inlineStr">
        <is>
          <t>OCB</t>
        </is>
      </c>
      <c r="C1508" t="n">
        <v>25807</v>
      </c>
      <c r="D1508" t="n">
        <v>25857</v>
      </c>
      <c r="E1508" t="n">
        <v>26250</v>
      </c>
    </row>
    <row r="1509">
      <c r="A1509" t="inlineStr">
        <is>
          <t>17/02/2026</t>
        </is>
      </c>
      <c r="B1509" t="inlineStr">
        <is>
          <t>OCB</t>
        </is>
      </c>
      <c r="C1509" t="n">
        <v>25807</v>
      </c>
      <c r="D1509" t="n">
        <v>25857</v>
      </c>
      <c r="E1509" t="n">
        <v>26250</v>
      </c>
    </row>
    <row r="1510">
      <c r="A1510" t="inlineStr">
        <is>
          <t>16/02/2026</t>
        </is>
      </c>
      <c r="B1510" t="inlineStr">
        <is>
          <t>OCB</t>
        </is>
      </c>
      <c r="C1510" t="n">
        <v>25807</v>
      </c>
      <c r="D1510" t="n">
        <v>25857</v>
      </c>
      <c r="E1510" t="n">
        <v>26250</v>
      </c>
    </row>
    <row r="1511">
      <c r="A1511" t="inlineStr">
        <is>
          <t>15/02/2026</t>
        </is>
      </c>
      <c r="B1511" t="inlineStr">
        <is>
          <t>OCB</t>
        </is>
      </c>
      <c r="C1511" t="n">
        <v>25807</v>
      </c>
      <c r="D1511" t="n">
        <v>25857</v>
      </c>
      <c r="E1511" t="n">
        <v>26250</v>
      </c>
    </row>
    <row r="1512">
      <c r="A1512" t="inlineStr">
        <is>
          <t>14/02/2026</t>
        </is>
      </c>
      <c r="B1512" t="inlineStr">
        <is>
          <t>OCB</t>
        </is>
      </c>
      <c r="C1512" t="n">
        <v>25807</v>
      </c>
      <c r="D1512" t="n">
        <v>25857</v>
      </c>
      <c r="E1512" t="n">
        <v>26250</v>
      </c>
    </row>
    <row r="1513">
      <c r="A1513" t="inlineStr">
        <is>
          <t>13/02/2026</t>
        </is>
      </c>
      <c r="B1513" t="inlineStr">
        <is>
          <t>OCB</t>
        </is>
      </c>
      <c r="C1513" t="n">
        <v>25807</v>
      </c>
      <c r="D1513" t="n">
        <v>25857</v>
      </c>
      <c r="E1513" t="n">
        <v>26250</v>
      </c>
    </row>
    <row r="1514">
      <c r="A1514" t="inlineStr">
        <is>
          <t>12/02/2026</t>
        </is>
      </c>
      <c r="B1514" t="inlineStr">
        <is>
          <t>OCB</t>
        </is>
      </c>
      <c r="C1514" t="n">
        <v>25807</v>
      </c>
      <c r="D1514" t="n">
        <v>25857</v>
      </c>
      <c r="E1514" t="n">
        <v>26250</v>
      </c>
    </row>
    <row r="1515">
      <c r="A1515" t="inlineStr">
        <is>
          <t>11/02/2026</t>
        </is>
      </c>
      <c r="B1515" t="inlineStr">
        <is>
          <t>OCB</t>
        </is>
      </c>
      <c r="C1515" t="n">
        <v>25807</v>
      </c>
      <c r="D1515" t="n">
        <v>25857</v>
      </c>
      <c r="E1515" t="n">
        <v>26250</v>
      </c>
    </row>
    <row r="1516">
      <c r="A1516" t="inlineStr">
        <is>
          <t>10/02/2026</t>
        </is>
      </c>
      <c r="B1516" t="inlineStr">
        <is>
          <t>OCB</t>
        </is>
      </c>
      <c r="C1516" t="n">
        <v>25707</v>
      </c>
      <c r="D1516" t="n">
        <v>25757</v>
      </c>
      <c r="E1516" t="n">
        <v>26150</v>
      </c>
    </row>
    <row r="1517">
      <c r="A1517" t="inlineStr">
        <is>
          <t>09/02/2026</t>
        </is>
      </c>
      <c r="B1517" t="inlineStr">
        <is>
          <t>OCB</t>
        </is>
      </c>
      <c r="C1517" t="n">
        <v>25747</v>
      </c>
      <c r="D1517" t="n">
        <v>25797</v>
      </c>
      <c r="E1517" t="n">
        <v>26190</v>
      </c>
    </row>
    <row r="1518">
      <c r="A1518" t="inlineStr">
        <is>
          <t>08/02/2026</t>
        </is>
      </c>
      <c r="B1518" t="inlineStr">
        <is>
          <t>OCB</t>
        </is>
      </c>
      <c r="C1518" t="n">
        <v>25787</v>
      </c>
      <c r="D1518" t="n">
        <v>25837</v>
      </c>
      <c r="E1518" t="n">
        <v>26230</v>
      </c>
    </row>
    <row r="1519">
      <c r="A1519" t="inlineStr">
        <is>
          <t>07/02/2026</t>
        </is>
      </c>
      <c r="B1519" t="inlineStr">
        <is>
          <t>OCB</t>
        </is>
      </c>
      <c r="C1519" t="n">
        <v>25787</v>
      </c>
      <c r="D1519" t="n">
        <v>25837</v>
      </c>
      <c r="E1519" t="n">
        <v>26230</v>
      </c>
    </row>
    <row r="1520">
      <c r="A1520" t="inlineStr">
        <is>
          <t>06/02/2026</t>
        </is>
      </c>
      <c r="B1520" t="inlineStr">
        <is>
          <t>OCB</t>
        </is>
      </c>
      <c r="C1520" t="n">
        <v>25787</v>
      </c>
      <c r="D1520" t="n">
        <v>25837</v>
      </c>
      <c r="E1520" t="n">
        <v>26230</v>
      </c>
    </row>
    <row r="1521">
      <c r="A1521" t="inlineStr">
        <is>
          <t>05/02/2026</t>
        </is>
      </c>
      <c r="B1521" t="inlineStr">
        <is>
          <t>OCB</t>
        </is>
      </c>
      <c r="C1521" t="n">
        <v>25817</v>
      </c>
      <c r="D1521" t="n">
        <v>25867</v>
      </c>
      <c r="E1521" t="n">
        <v>26240</v>
      </c>
    </row>
    <row r="1522">
      <c r="A1522" t="inlineStr">
        <is>
          <t>04/02/2026</t>
        </is>
      </c>
      <c r="B1522" t="inlineStr">
        <is>
          <t>OCB</t>
        </is>
      </c>
      <c r="C1522" t="n">
        <v>25847</v>
      </c>
      <c r="D1522" t="n">
        <v>25897</v>
      </c>
      <c r="E1522" t="n">
        <v>26270</v>
      </c>
    </row>
    <row r="1523">
      <c r="A1523" t="inlineStr">
        <is>
          <t>03/02/2026</t>
        </is>
      </c>
      <c r="B1523" t="inlineStr">
        <is>
          <t>OCB</t>
        </is>
      </c>
      <c r="C1523" t="n">
        <v>25847</v>
      </c>
      <c r="D1523" t="n">
        <v>25897</v>
      </c>
      <c r="E1523" t="n">
        <v>26270</v>
      </c>
    </row>
    <row r="1524">
      <c r="A1524" t="inlineStr">
        <is>
          <t>02/02/2026</t>
        </is>
      </c>
      <c r="B1524" t="inlineStr">
        <is>
          <t>OCB</t>
        </is>
      </c>
      <c r="C1524" t="n">
        <v>25847</v>
      </c>
      <c r="D1524" t="n">
        <v>25897</v>
      </c>
      <c r="E1524" t="n">
        <v>26270</v>
      </c>
    </row>
    <row r="1525">
      <c r="A1525" t="inlineStr">
        <is>
          <t>01/02/2026</t>
        </is>
      </c>
      <c r="B1525" t="inlineStr">
        <is>
          <t>OCB</t>
        </is>
      </c>
      <c r="C1525" t="n">
        <v>25777</v>
      </c>
      <c r="D1525" t="n">
        <v>25827</v>
      </c>
      <c r="E1525" t="n">
        <v>26200</v>
      </c>
    </row>
    <row r="1526">
      <c r="A1526" t="inlineStr">
        <is>
          <t>31/01/2026</t>
        </is>
      </c>
      <c r="B1526" t="inlineStr">
        <is>
          <t>OCB</t>
        </is>
      </c>
      <c r="C1526" t="n">
        <v>25777</v>
      </c>
      <c r="D1526" t="n">
        <v>25827</v>
      </c>
      <c r="E1526" t="n">
        <v>26200</v>
      </c>
    </row>
    <row r="1527">
      <c r="A1527" t="inlineStr">
        <is>
          <t>30/01/2026</t>
        </is>
      </c>
      <c r="B1527" t="inlineStr">
        <is>
          <t>OCB</t>
        </is>
      </c>
      <c r="C1527" t="n">
        <v>25777</v>
      </c>
      <c r="D1527" t="n">
        <v>25827</v>
      </c>
      <c r="E1527" t="n">
        <v>26200</v>
      </c>
    </row>
    <row r="1528">
      <c r="A1528" t="inlineStr">
        <is>
          <t>29/01/2026</t>
        </is>
      </c>
      <c r="B1528" t="inlineStr">
        <is>
          <t>OCB</t>
        </is>
      </c>
      <c r="C1528" t="n">
        <v>25867</v>
      </c>
      <c r="D1528" t="n">
        <v>25917</v>
      </c>
      <c r="E1528" t="n">
        <v>26290</v>
      </c>
    </row>
    <row r="1529">
      <c r="A1529" t="inlineStr">
        <is>
          <t>28/01/2026</t>
        </is>
      </c>
      <c r="B1529" t="inlineStr">
        <is>
          <t>OCB</t>
        </is>
      </c>
      <c r="C1529" t="n">
        <v>25927</v>
      </c>
      <c r="D1529" t="n">
        <v>25977</v>
      </c>
      <c r="E1529" t="n">
        <v>26350</v>
      </c>
    </row>
    <row r="1530">
      <c r="A1530" t="inlineStr">
        <is>
          <t>27/01/2026</t>
        </is>
      </c>
      <c r="B1530" t="inlineStr">
        <is>
          <t>OCB</t>
        </is>
      </c>
      <c r="C1530" t="n">
        <v>25997</v>
      </c>
      <c r="D1530" t="n">
        <v>26047</v>
      </c>
      <c r="E1530" t="n">
        <v>26420</v>
      </c>
    </row>
    <row r="1531">
      <c r="A1531" t="inlineStr">
        <is>
          <t>26/01/2026</t>
        </is>
      </c>
      <c r="B1531" t="inlineStr">
        <is>
          <t>OCB</t>
        </is>
      </c>
      <c r="C1531" t="n">
        <v>26035</v>
      </c>
      <c r="D1531" t="n">
        <v>26085</v>
      </c>
      <c r="E1531" t="n">
        <v>26458</v>
      </c>
    </row>
    <row r="1532">
      <c r="A1532" t="inlineStr">
        <is>
          <t>25/01/2026</t>
        </is>
      </c>
      <c r="B1532" t="inlineStr">
        <is>
          <t>OCB</t>
        </is>
      </c>
      <c r="C1532" t="n">
        <v>26088</v>
      </c>
      <c r="D1532" t="n">
        <v>26138</v>
      </c>
      <c r="E1532" t="n">
        <v>26471</v>
      </c>
    </row>
    <row r="1533">
      <c r="A1533" t="inlineStr">
        <is>
          <t>24/01/2026</t>
        </is>
      </c>
      <c r="B1533" t="inlineStr">
        <is>
          <t>OCB</t>
        </is>
      </c>
      <c r="C1533" t="n">
        <v>26088</v>
      </c>
      <c r="D1533" t="n">
        <v>26138</v>
      </c>
      <c r="E1533" t="n">
        <v>26471</v>
      </c>
    </row>
    <row r="1534">
      <c r="A1534" t="inlineStr">
        <is>
          <t>23/01/2026</t>
        </is>
      </c>
      <c r="B1534" t="inlineStr">
        <is>
          <t>OCB</t>
        </is>
      </c>
      <c r="C1534" t="n">
        <v>26088</v>
      </c>
      <c r="D1534" t="n">
        <v>26138</v>
      </c>
      <c r="E1534" t="n">
        <v>26471</v>
      </c>
    </row>
    <row r="1535">
      <c r="A1535" t="inlineStr">
        <is>
          <t>22/01/2026</t>
        </is>
      </c>
      <c r="B1535" t="inlineStr">
        <is>
          <t>OCB</t>
        </is>
      </c>
      <c r="C1535" t="n">
        <v>26108</v>
      </c>
      <c r="D1535" t="n">
        <v>26158</v>
      </c>
      <c r="E1535" t="n">
        <v>26471</v>
      </c>
    </row>
    <row r="1536">
      <c r="A1536" t="inlineStr">
        <is>
          <t>21/01/2026</t>
        </is>
      </c>
      <c r="B1536" t="inlineStr">
        <is>
          <t>OCB</t>
        </is>
      </c>
      <c r="C1536" t="n">
        <v>26107</v>
      </c>
      <c r="D1536" t="n">
        <v>26157</v>
      </c>
      <c r="E1536" t="n">
        <v>26470</v>
      </c>
    </row>
    <row r="1537">
      <c r="A1537" t="inlineStr">
        <is>
          <t>20/01/2026</t>
        </is>
      </c>
      <c r="B1537" t="inlineStr">
        <is>
          <t>OCB</t>
        </is>
      </c>
      <c r="C1537" t="n">
        <v>26113</v>
      </c>
      <c r="D1537" t="n">
        <v>26163</v>
      </c>
      <c r="E1537" t="n">
        <v>26476</v>
      </c>
    </row>
    <row r="1538">
      <c r="A1538" t="inlineStr">
        <is>
          <t>19/01/2026</t>
        </is>
      </c>
      <c r="B1538" t="inlineStr">
        <is>
          <t>OCB</t>
        </is>
      </c>
      <c r="C1538" t="n">
        <v>26115</v>
      </c>
      <c r="D1538" t="n">
        <v>26165</v>
      </c>
      <c r="E1538" t="n">
        <v>26478</v>
      </c>
    </row>
    <row r="1539">
      <c r="A1539" t="inlineStr">
        <is>
          <t>18/01/2026</t>
        </is>
      </c>
      <c r="B1539" t="inlineStr">
        <is>
          <t>OCB</t>
        </is>
      </c>
      <c r="C1539" t="n">
        <v>26114</v>
      </c>
      <c r="D1539" t="n">
        <v>26164</v>
      </c>
      <c r="E1539" t="n">
        <v>26477</v>
      </c>
    </row>
    <row r="1540">
      <c r="A1540" t="inlineStr">
        <is>
          <t>17/01/2026</t>
        </is>
      </c>
      <c r="B1540" t="inlineStr">
        <is>
          <t>OCB</t>
        </is>
      </c>
      <c r="C1540" t="n">
        <v>26114</v>
      </c>
      <c r="D1540" t="n">
        <v>26164</v>
      </c>
      <c r="E1540" t="n">
        <v>26477</v>
      </c>
    </row>
    <row r="1541">
      <c r="A1541" t="inlineStr">
        <is>
          <t>16/01/2026</t>
        </is>
      </c>
      <c r="B1541" t="inlineStr">
        <is>
          <t>OCB</t>
        </is>
      </c>
      <c r="C1541" t="n">
        <v>26114</v>
      </c>
      <c r="D1541" t="n">
        <v>26164</v>
      </c>
      <c r="E1541" t="n">
        <v>26477</v>
      </c>
    </row>
    <row r="1542">
      <c r="A1542" t="inlineStr">
        <is>
          <t>15/01/2026</t>
        </is>
      </c>
      <c r="B1542" t="inlineStr">
        <is>
          <t>OCB</t>
        </is>
      </c>
      <c r="C1542" t="n">
        <v>26118</v>
      </c>
      <c r="D1542" t="n">
        <v>26168</v>
      </c>
      <c r="E1542" t="n">
        <v>26481</v>
      </c>
    </row>
    <row r="1543">
      <c r="A1543" t="inlineStr">
        <is>
          <t>14/01/2026</t>
        </is>
      </c>
      <c r="B1543" t="inlineStr">
        <is>
          <t>OCB</t>
        </is>
      </c>
      <c r="C1543" t="n">
        <v>26118</v>
      </c>
      <c r="D1543" t="n">
        <v>26168</v>
      </c>
      <c r="E1543" t="n">
        <v>26481</v>
      </c>
    </row>
    <row r="1544">
      <c r="A1544" t="inlineStr">
        <is>
          <t>13/01/2026</t>
        </is>
      </c>
      <c r="B1544" t="inlineStr">
        <is>
          <t>OCB</t>
        </is>
      </c>
      <c r="C1544" t="n">
        <v>26112</v>
      </c>
      <c r="D1544" t="n">
        <v>26162</v>
      </c>
      <c r="E1544" t="n">
        <v>26475</v>
      </c>
    </row>
    <row r="1545">
      <c r="A1545" t="inlineStr">
        <is>
          <t>12/01/2026</t>
        </is>
      </c>
      <c r="B1545" t="inlineStr">
        <is>
          <t>OCB</t>
        </is>
      </c>
      <c r="C1545" t="n">
        <v>26112</v>
      </c>
      <c r="D1545" t="n">
        <v>26162</v>
      </c>
      <c r="E1545" t="n">
        <v>26475</v>
      </c>
    </row>
    <row r="1546">
      <c r="A1546" t="inlineStr">
        <is>
          <t>11/01/2026</t>
        </is>
      </c>
      <c r="B1546" t="inlineStr">
        <is>
          <t>OCB</t>
        </is>
      </c>
      <c r="C1546" t="n">
        <v>26114</v>
      </c>
      <c r="D1546" t="n">
        <v>26164</v>
      </c>
      <c r="E1546" t="n">
        <v>26477</v>
      </c>
    </row>
    <row r="1547">
      <c r="A1547" t="inlineStr">
        <is>
          <t>10/01/2026</t>
        </is>
      </c>
      <c r="B1547" t="inlineStr">
        <is>
          <t>OCB</t>
        </is>
      </c>
      <c r="C1547" t="n">
        <v>26114</v>
      </c>
      <c r="D1547" t="n">
        <v>26164</v>
      </c>
      <c r="E1547" t="n">
        <v>26477</v>
      </c>
    </row>
    <row r="1548">
      <c r="A1548" t="inlineStr">
        <is>
          <t>09/01/2026</t>
        </is>
      </c>
      <c r="B1548" t="inlineStr">
        <is>
          <t>OCB</t>
        </is>
      </c>
      <c r="C1548" t="n">
        <v>26110</v>
      </c>
      <c r="D1548" t="n">
        <v>26160</v>
      </c>
      <c r="E1548" t="n">
        <v>26473</v>
      </c>
    </row>
    <row r="1549">
      <c r="A1549" t="inlineStr">
        <is>
          <t>08/01/2026</t>
        </is>
      </c>
      <c r="B1549" t="inlineStr">
        <is>
          <t>OCB</t>
        </is>
      </c>
      <c r="C1549" t="n">
        <v>26108</v>
      </c>
      <c r="D1549" t="n">
        <v>26158</v>
      </c>
      <c r="E1549" t="n">
        <v>26471</v>
      </c>
    </row>
    <row r="1550">
      <c r="A1550" t="inlineStr">
        <is>
          <t>07/01/2026</t>
        </is>
      </c>
      <c r="B1550" t="inlineStr">
        <is>
          <t>OCB</t>
        </is>
      </c>
      <c r="C1550" t="n">
        <v>26105</v>
      </c>
      <c r="D1550" t="n">
        <v>26155</v>
      </c>
      <c r="E1550" t="n">
        <v>26468</v>
      </c>
    </row>
    <row r="1551">
      <c r="A1551" t="inlineStr">
        <is>
          <t>06/01/2026</t>
        </is>
      </c>
      <c r="B1551" t="inlineStr">
        <is>
          <t>OCB</t>
        </is>
      </c>
      <c r="C1551" t="n">
        <v>26105</v>
      </c>
      <c r="D1551" t="n">
        <v>26155</v>
      </c>
      <c r="E1551" t="n">
        <v>26468</v>
      </c>
    </row>
    <row r="1552">
      <c r="A1552" t="inlineStr">
        <is>
          <t>05/01/2026</t>
        </is>
      </c>
      <c r="B1552" t="inlineStr">
        <is>
          <t>OCB</t>
        </is>
      </c>
      <c r="C1552" t="n">
        <v>26107</v>
      </c>
      <c r="D1552" t="n">
        <v>26157</v>
      </c>
      <c r="E1552" t="n">
        <v>26470</v>
      </c>
    </row>
    <row r="1553">
      <c r="A1553" t="inlineStr">
        <is>
          <t>04/01/2026</t>
        </is>
      </c>
      <c r="B1553" t="inlineStr">
        <is>
          <t>OCB</t>
        </is>
      </c>
      <c r="C1553" t="n">
        <v>26104</v>
      </c>
      <c r="D1553" t="n">
        <v>26154</v>
      </c>
      <c r="E1553" t="n">
        <v>26467</v>
      </c>
    </row>
    <row r="1554">
      <c r="A1554" t="inlineStr">
        <is>
          <t>03/01/2026</t>
        </is>
      </c>
      <c r="B1554" t="inlineStr">
        <is>
          <t>OCB</t>
        </is>
      </c>
      <c r="C1554" t="n">
        <v>26104</v>
      </c>
      <c r="D1554" t="n">
        <v>26154</v>
      </c>
      <c r="E1554" t="n">
        <v>26467</v>
      </c>
    </row>
    <row r="1555">
      <c r="A1555" t="inlineStr">
        <is>
          <t>02/01/2026</t>
        </is>
      </c>
      <c r="B1555" t="inlineStr">
        <is>
          <t>OCB</t>
        </is>
      </c>
      <c r="C1555" t="n">
        <v>26104</v>
      </c>
      <c r="D1555" t="n">
        <v>26154</v>
      </c>
      <c r="E1555" t="n">
        <v>26467</v>
      </c>
    </row>
    <row r="1556">
      <c r="A1556" t="inlineStr">
        <is>
          <t>01/01/2026</t>
        </is>
      </c>
      <c r="B1556" t="inlineStr">
        <is>
          <t>OCB</t>
        </is>
      </c>
      <c r="C1556" t="n">
        <v>26104</v>
      </c>
      <c r="D1556" t="n">
        <v>26154</v>
      </c>
      <c r="E1556" t="n">
        <v>26467</v>
      </c>
    </row>
    <row r="1557">
      <c r="A1557" t="inlineStr">
        <is>
          <t>10/09/2026</t>
        </is>
      </c>
      <c r="B1557" t="inlineStr">
        <is>
          <t>OCB</t>
        </is>
      </c>
      <c r="C1557" t="n">
        <v>25681</v>
      </c>
      <c r="D1557" t="n">
        <v>25731</v>
      </c>
      <c r="E1557" t="n">
        <v>26110</v>
      </c>
    </row>
    <row r="1558">
      <c r="A1558" t="inlineStr">
        <is>
          <t>11/09/2026</t>
        </is>
      </c>
      <c r="B1558" t="inlineStr">
        <is>
          <t>OCB</t>
        </is>
      </c>
      <c r="C1558" t="n">
        <v>25695</v>
      </c>
      <c r="D1558" t="n">
        <v>25745</v>
      </c>
      <c r="E1558" t="n">
        <v>26130</v>
      </c>
    </row>
    <row r="1559">
      <c r="A1559" t="inlineStr">
        <is>
          <t>12/09/2026</t>
        </is>
      </c>
      <c r="B1559" t="inlineStr">
        <is>
          <t>OCB</t>
        </is>
      </c>
      <c r="C1559" t="n">
        <v>25695</v>
      </c>
      <c r="D1559" t="n">
        <v>25745</v>
      </c>
      <c r="E1559" t="n">
        <v>26130</v>
      </c>
    </row>
    <row r="1560">
      <c r="A1560" t="inlineStr">
        <is>
          <t>13/09/2026</t>
        </is>
      </c>
      <c r="B1560" t="inlineStr">
        <is>
          <t>OCB</t>
        </is>
      </c>
      <c r="C1560" t="n">
        <v>25695</v>
      </c>
      <c r="D1560" t="n">
        <v>25745</v>
      </c>
      <c r="E1560" t="n">
        <v>26130</v>
      </c>
    </row>
    <row r="1561">
      <c r="A1561" t="inlineStr">
        <is>
          <t>14/09/2026</t>
        </is>
      </c>
      <c r="B1561" t="inlineStr">
        <is>
          <t>OCB</t>
        </is>
      </c>
      <c r="C1561" t="n">
        <v>25692</v>
      </c>
      <c r="D1561" t="n">
        <v>25812</v>
      </c>
      <c r="E1561" t="n">
        <v>26160</v>
      </c>
    </row>
    <row r="1562">
      <c r="A1562" t="inlineStr">
        <is>
          <t>15/09/2026</t>
        </is>
      </c>
      <c r="B1562" t="inlineStr">
        <is>
          <t>OCB</t>
        </is>
      </c>
      <c r="C1562" t="n">
        <v>25708</v>
      </c>
      <c r="D1562" t="n">
        <v>25828</v>
      </c>
      <c r="E1562" t="n">
        <v>26897</v>
      </c>
    </row>
    <row r="1563">
      <c r="A1563" t="inlineStr">
        <is>
          <t>16/09/2026</t>
        </is>
      </c>
      <c r="B1563" t="inlineStr">
        <is>
          <t>OCB</t>
        </is>
      </c>
      <c r="C1563" t="n">
        <v>25708</v>
      </c>
      <c r="D1563" t="n">
        <v>25828</v>
      </c>
      <c r="E1563" t="n">
        <v>26897</v>
      </c>
    </row>
    <row r="1564">
      <c r="A1564" t="inlineStr">
        <is>
          <t>18/09/2026</t>
        </is>
      </c>
      <c r="B1564" t="inlineStr">
        <is>
          <t>OCB</t>
        </is>
      </c>
      <c r="C1564" t="n">
        <v>25708</v>
      </c>
      <c r="D1564" t="n">
        <v>25828</v>
      </c>
      <c r="E1564" t="n">
        <v>26250</v>
      </c>
    </row>
    <row r="1565">
      <c r="A1565" t="inlineStr">
        <is>
          <t>09/09/2026</t>
        </is>
      </c>
      <c r="B1565" t="inlineStr">
        <is>
          <t>PVcomBank</t>
        </is>
      </c>
      <c r="C1565" t="n">
        <v>25680</v>
      </c>
      <c r="D1565" t="n">
        <v>25710</v>
      </c>
      <c r="E1565" t="n">
        <v>26160</v>
      </c>
    </row>
    <row r="1566">
      <c r="A1566" t="inlineStr">
        <is>
          <t>08/09/2026</t>
        </is>
      </c>
      <c r="B1566" t="inlineStr">
        <is>
          <t>PVcomBank</t>
        </is>
      </c>
      <c r="C1566" t="n">
        <v>25810</v>
      </c>
      <c r="D1566" t="n">
        <v>25810</v>
      </c>
      <c r="E1566" t="n">
        <v>26180</v>
      </c>
    </row>
    <row r="1567">
      <c r="A1567" t="inlineStr">
        <is>
          <t>07/09/2026</t>
        </is>
      </c>
      <c r="B1567" t="inlineStr">
        <is>
          <t>PVcomBank</t>
        </is>
      </c>
      <c r="C1567" t="n">
        <v>25850</v>
      </c>
      <c r="D1567" t="n">
        <v>25880</v>
      </c>
      <c r="E1567" t="n">
        <v>26250</v>
      </c>
    </row>
    <row r="1568">
      <c r="A1568" t="inlineStr">
        <is>
          <t>06/09/2026</t>
        </is>
      </c>
      <c r="B1568" t="inlineStr">
        <is>
          <t>PVcomBank</t>
        </is>
      </c>
      <c r="C1568" t="n">
        <v>25800</v>
      </c>
      <c r="D1568" t="n">
        <v>25830</v>
      </c>
      <c r="E1568" t="n">
        <v>26280</v>
      </c>
    </row>
    <row r="1569">
      <c r="A1569" t="inlineStr">
        <is>
          <t>05/09/2026</t>
        </is>
      </c>
      <c r="B1569" t="inlineStr">
        <is>
          <t>PVcomBank</t>
        </is>
      </c>
      <c r="C1569" t="n">
        <v>25800</v>
      </c>
      <c r="D1569" t="n">
        <v>25830</v>
      </c>
      <c r="E1569" t="n">
        <v>26280</v>
      </c>
    </row>
    <row r="1570">
      <c r="A1570" t="inlineStr">
        <is>
          <t>04/09/2026</t>
        </is>
      </c>
      <c r="B1570" t="inlineStr">
        <is>
          <t>PVcomBank</t>
        </is>
      </c>
      <c r="C1570" t="n">
        <v>25800</v>
      </c>
      <c r="D1570" t="n">
        <v>25830</v>
      </c>
      <c r="E1570" t="n">
        <v>26280</v>
      </c>
    </row>
    <row r="1571">
      <c r="A1571" t="inlineStr">
        <is>
          <t>03/09/2026</t>
        </is>
      </c>
      <c r="B1571" t="inlineStr">
        <is>
          <t>PVcomBank</t>
        </is>
      </c>
      <c r="C1571" t="n">
        <v>25850</v>
      </c>
      <c r="D1571" t="n">
        <v>25870</v>
      </c>
      <c r="E1571" t="n">
        <v>26270</v>
      </c>
    </row>
    <row r="1572">
      <c r="A1572" t="inlineStr">
        <is>
          <t>02/09/2026</t>
        </is>
      </c>
      <c r="B1572" t="inlineStr">
        <is>
          <t>PVcomBank</t>
        </is>
      </c>
      <c r="C1572" t="n">
        <v>25870</v>
      </c>
      <c r="D1572" t="n">
        <v>25900</v>
      </c>
      <c r="E1572" t="n">
        <v>26300</v>
      </c>
    </row>
    <row r="1573">
      <c r="A1573" t="inlineStr">
        <is>
          <t>01/09/2026</t>
        </is>
      </c>
      <c r="B1573" t="inlineStr">
        <is>
          <t>PVcomBank</t>
        </is>
      </c>
      <c r="C1573" t="n">
        <v>25870</v>
      </c>
      <c r="D1573" t="n">
        <v>25900</v>
      </c>
      <c r="E1573" t="n">
        <v>26300</v>
      </c>
    </row>
    <row r="1574">
      <c r="A1574" t="inlineStr">
        <is>
          <t>31/08/2026</t>
        </is>
      </c>
      <c r="B1574" t="inlineStr">
        <is>
          <t>PVcomBank</t>
        </is>
      </c>
      <c r="C1574" t="n">
        <v>25870</v>
      </c>
      <c r="D1574" t="n">
        <v>25900</v>
      </c>
      <c r="E1574" t="n">
        <v>26300</v>
      </c>
    </row>
    <row r="1575">
      <c r="A1575" t="inlineStr">
        <is>
          <t>30/08/2026</t>
        </is>
      </c>
      <c r="B1575" t="inlineStr">
        <is>
          <t>PVcomBank</t>
        </is>
      </c>
      <c r="C1575" t="n">
        <v>25870</v>
      </c>
      <c r="D1575" t="n">
        <v>25900</v>
      </c>
      <c r="E1575" t="n">
        <v>26300</v>
      </c>
    </row>
    <row r="1576">
      <c r="A1576" t="inlineStr">
        <is>
          <t>29/08/2026</t>
        </is>
      </c>
      <c r="B1576" t="inlineStr">
        <is>
          <t>PVcomBank</t>
        </is>
      </c>
      <c r="C1576" t="n">
        <v>25870</v>
      </c>
      <c r="D1576" t="n">
        <v>25900</v>
      </c>
      <c r="E1576" t="n">
        <v>26300</v>
      </c>
    </row>
    <row r="1577">
      <c r="A1577" t="inlineStr">
        <is>
          <t>28/08/2026</t>
        </is>
      </c>
      <c r="B1577" t="inlineStr">
        <is>
          <t>PVcomBank</t>
        </is>
      </c>
      <c r="C1577" t="n">
        <v>25870</v>
      </c>
      <c r="D1577" t="n">
        <v>25900</v>
      </c>
      <c r="E1577" t="n">
        <v>26300</v>
      </c>
    </row>
    <row r="1578">
      <c r="A1578" t="inlineStr">
        <is>
          <t>27/08/2026</t>
        </is>
      </c>
      <c r="B1578" t="inlineStr">
        <is>
          <t>PVcomBank</t>
        </is>
      </c>
      <c r="C1578" t="n">
        <v>25820</v>
      </c>
      <c r="D1578" t="n">
        <v>25850</v>
      </c>
      <c r="E1578" t="n">
        <v>26300</v>
      </c>
    </row>
    <row r="1579">
      <c r="A1579" t="inlineStr">
        <is>
          <t>26/08/2026</t>
        </is>
      </c>
      <c r="B1579" t="inlineStr">
        <is>
          <t>PVcomBank</t>
        </is>
      </c>
      <c r="C1579" t="n">
        <v>25830</v>
      </c>
      <c r="D1579" t="n">
        <v>25860</v>
      </c>
      <c r="E1579" t="n">
        <v>26310</v>
      </c>
    </row>
    <row r="1580">
      <c r="A1580" t="inlineStr">
        <is>
          <t>25/08/2026</t>
        </is>
      </c>
      <c r="B1580" t="inlineStr">
        <is>
          <t>PVcomBank</t>
        </is>
      </c>
      <c r="C1580" t="n">
        <v>25880</v>
      </c>
      <c r="D1580" t="n">
        <v>25910</v>
      </c>
      <c r="E1580" t="n">
        <v>26360</v>
      </c>
    </row>
    <row r="1581">
      <c r="A1581" t="inlineStr">
        <is>
          <t>24/08/2026</t>
        </is>
      </c>
      <c r="B1581" t="inlineStr">
        <is>
          <t>PVcomBank</t>
        </is>
      </c>
      <c r="C1581" t="n">
        <v>25920</v>
      </c>
      <c r="D1581" t="n">
        <v>25950</v>
      </c>
      <c r="E1581" t="n">
        <v>26360</v>
      </c>
    </row>
    <row r="1582">
      <c r="A1582" t="inlineStr">
        <is>
          <t>23/08/2026</t>
        </is>
      </c>
      <c r="B1582" t="inlineStr">
        <is>
          <t>PVcomBank</t>
        </is>
      </c>
      <c r="C1582" t="n">
        <v>25830</v>
      </c>
      <c r="D1582" t="n">
        <v>25860</v>
      </c>
      <c r="E1582" t="n">
        <v>26310</v>
      </c>
    </row>
    <row r="1583">
      <c r="A1583" t="inlineStr">
        <is>
          <t>22/08/2026</t>
        </is>
      </c>
      <c r="B1583" t="inlineStr">
        <is>
          <t>PVcomBank</t>
        </is>
      </c>
      <c r="C1583" t="n">
        <v>25830</v>
      </c>
      <c r="D1583" t="n">
        <v>25860</v>
      </c>
      <c r="E1583" t="n">
        <v>26310</v>
      </c>
    </row>
    <row r="1584">
      <c r="A1584" t="inlineStr">
        <is>
          <t>21/08/2026</t>
        </is>
      </c>
      <c r="B1584" t="inlineStr">
        <is>
          <t>PVcomBank</t>
        </is>
      </c>
      <c r="C1584" t="n">
        <v>25800</v>
      </c>
      <c r="D1584" t="n">
        <v>25830</v>
      </c>
      <c r="E1584" t="n">
        <v>26280</v>
      </c>
    </row>
    <row r="1585">
      <c r="A1585" t="inlineStr">
        <is>
          <t>20/08/2026</t>
        </is>
      </c>
      <c r="B1585" t="inlineStr">
        <is>
          <t>PVcomBank</t>
        </is>
      </c>
      <c r="C1585" t="n">
        <v>25900</v>
      </c>
      <c r="D1585" t="n">
        <v>25930</v>
      </c>
      <c r="E1585" t="n">
        <v>26380</v>
      </c>
    </row>
    <row r="1586">
      <c r="A1586" t="inlineStr">
        <is>
          <t>19/08/2026</t>
        </is>
      </c>
      <c r="B1586" t="inlineStr">
        <is>
          <t>PVcomBank</t>
        </is>
      </c>
      <c r="C1586" t="n">
        <v>25905</v>
      </c>
      <c r="D1586" t="n">
        <v>25935</v>
      </c>
      <c r="E1586" t="n">
        <v>26385</v>
      </c>
    </row>
    <row r="1587">
      <c r="A1587" t="inlineStr">
        <is>
          <t>18/08/2026</t>
        </is>
      </c>
      <c r="B1587" t="inlineStr">
        <is>
          <t>PVcomBank</t>
        </is>
      </c>
      <c r="C1587" t="n">
        <v>25940</v>
      </c>
      <c r="D1587" t="n">
        <v>25970</v>
      </c>
      <c r="E1587" t="n">
        <v>26420</v>
      </c>
    </row>
    <row r="1588">
      <c r="A1588" t="inlineStr">
        <is>
          <t>17/08/2026</t>
        </is>
      </c>
      <c r="B1588" t="inlineStr">
        <is>
          <t>PVcomBank</t>
        </is>
      </c>
      <c r="C1588" t="n">
        <v>25875</v>
      </c>
      <c r="D1588" t="n">
        <v>25905</v>
      </c>
      <c r="E1588" t="n">
        <v>26355</v>
      </c>
    </row>
    <row r="1589">
      <c r="A1589" t="inlineStr">
        <is>
          <t>16/08/2026</t>
        </is>
      </c>
      <c r="B1589" t="inlineStr">
        <is>
          <t>PVcomBank</t>
        </is>
      </c>
      <c r="C1589" t="n">
        <v>25805</v>
      </c>
      <c r="D1589" t="n">
        <v>25835</v>
      </c>
      <c r="E1589" t="n">
        <v>26285</v>
      </c>
    </row>
    <row r="1590">
      <c r="A1590" t="inlineStr">
        <is>
          <t>15/08/2026</t>
        </is>
      </c>
      <c r="B1590" t="inlineStr">
        <is>
          <t>PVcomBank</t>
        </is>
      </c>
      <c r="C1590" t="n">
        <v>25805</v>
      </c>
      <c r="D1590" t="n">
        <v>25835</v>
      </c>
      <c r="E1590" t="n">
        <v>26285</v>
      </c>
    </row>
    <row r="1591">
      <c r="A1591" t="inlineStr">
        <is>
          <t>14/08/2026</t>
        </is>
      </c>
      <c r="B1591" t="inlineStr">
        <is>
          <t>PVcomBank</t>
        </is>
      </c>
      <c r="C1591" t="n">
        <v>25805</v>
      </c>
      <c r="D1591" t="n">
        <v>25835</v>
      </c>
      <c r="E1591" t="n">
        <v>26285</v>
      </c>
    </row>
    <row r="1592">
      <c r="A1592" t="inlineStr">
        <is>
          <t>13/08/2026</t>
        </is>
      </c>
      <c r="B1592" t="inlineStr">
        <is>
          <t>PVcomBank</t>
        </is>
      </c>
      <c r="C1592" t="n">
        <v>25780</v>
      </c>
      <c r="D1592" t="n">
        <v>25810</v>
      </c>
      <c r="E1592" t="n">
        <v>26260</v>
      </c>
    </row>
    <row r="1593">
      <c r="A1593" t="inlineStr">
        <is>
          <t>12/08/2026</t>
        </is>
      </c>
      <c r="B1593" t="inlineStr">
        <is>
          <t>PVcomBank</t>
        </is>
      </c>
      <c r="C1593" t="n">
        <v>25850</v>
      </c>
      <c r="D1593" t="n">
        <v>25880</v>
      </c>
      <c r="E1593" t="n">
        <v>26330</v>
      </c>
    </row>
    <row r="1594">
      <c r="A1594" t="inlineStr">
        <is>
          <t>11/08/2026</t>
        </is>
      </c>
      <c r="B1594" t="inlineStr">
        <is>
          <t>PVcomBank</t>
        </is>
      </c>
      <c r="C1594" t="n">
        <v>25845</v>
      </c>
      <c r="D1594" t="n">
        <v>25875</v>
      </c>
      <c r="E1594" t="n">
        <v>26335</v>
      </c>
    </row>
    <row r="1595">
      <c r="A1595" t="inlineStr">
        <is>
          <t>10/08/2026</t>
        </is>
      </c>
      <c r="B1595" t="inlineStr">
        <is>
          <t>PVcomBank</t>
        </is>
      </c>
      <c r="C1595" t="n">
        <v>25845</v>
      </c>
      <c r="D1595" t="n">
        <v>25875</v>
      </c>
      <c r="E1595" t="n">
        <v>26325</v>
      </c>
    </row>
    <row r="1596">
      <c r="A1596" t="inlineStr">
        <is>
          <t>09/08/2026</t>
        </is>
      </c>
      <c r="B1596" t="inlineStr">
        <is>
          <t>PVcomBank</t>
        </is>
      </c>
      <c r="C1596" t="n">
        <v>25965</v>
      </c>
      <c r="D1596" t="n">
        <v>25995</v>
      </c>
      <c r="E1596" t="n">
        <v>26445</v>
      </c>
    </row>
    <row r="1597">
      <c r="A1597" t="inlineStr">
        <is>
          <t>08/08/2026</t>
        </is>
      </c>
      <c r="B1597" t="inlineStr">
        <is>
          <t>PVcomBank</t>
        </is>
      </c>
      <c r="C1597" t="n">
        <v>25965</v>
      </c>
      <c r="D1597" t="n">
        <v>25995</v>
      </c>
      <c r="E1597" t="n">
        <v>26445</v>
      </c>
    </row>
    <row r="1598">
      <c r="A1598" t="inlineStr">
        <is>
          <t>07/08/2026</t>
        </is>
      </c>
      <c r="B1598" t="inlineStr">
        <is>
          <t>PVcomBank</t>
        </is>
      </c>
      <c r="C1598" t="n">
        <v>25965</v>
      </c>
      <c r="D1598" t="n">
        <v>25995</v>
      </c>
      <c r="E1598" t="n">
        <v>26445</v>
      </c>
    </row>
    <row r="1599">
      <c r="A1599" t="inlineStr">
        <is>
          <t>06/08/2026</t>
        </is>
      </c>
      <c r="B1599" t="inlineStr">
        <is>
          <t>PVcomBank</t>
        </is>
      </c>
      <c r="C1599" t="n">
        <v>25970</v>
      </c>
      <c r="D1599" t="n">
        <v>26000</v>
      </c>
      <c r="E1599" t="n">
        <v>26450</v>
      </c>
    </row>
    <row r="1600">
      <c r="A1600" t="inlineStr">
        <is>
          <t>05/08/2026</t>
        </is>
      </c>
      <c r="B1600" t="inlineStr">
        <is>
          <t>PVcomBank</t>
        </is>
      </c>
      <c r="C1600" t="n">
        <v>26040</v>
      </c>
      <c r="D1600" t="n">
        <v>26070</v>
      </c>
      <c r="E1600" t="n">
        <v>26470</v>
      </c>
    </row>
    <row r="1601">
      <c r="A1601" t="inlineStr">
        <is>
          <t>04/08/2026</t>
        </is>
      </c>
      <c r="B1601" t="inlineStr">
        <is>
          <t>PVcomBank</t>
        </is>
      </c>
      <c r="C1601" t="n">
        <v>26045</v>
      </c>
      <c r="D1601" t="n">
        <v>26075</v>
      </c>
      <c r="E1601" t="n">
        <v>26475</v>
      </c>
    </row>
    <row r="1602">
      <c r="A1602" t="inlineStr">
        <is>
          <t>03/08/2026</t>
        </is>
      </c>
      <c r="B1602" t="inlineStr">
        <is>
          <t>PVcomBank</t>
        </is>
      </c>
      <c r="C1602" t="n">
        <v>26060</v>
      </c>
      <c r="D1602" t="n">
        <v>26090</v>
      </c>
      <c r="E1602" t="n">
        <v>26490</v>
      </c>
    </row>
    <row r="1603">
      <c r="A1603" t="inlineStr">
        <is>
          <t>02/08/2026</t>
        </is>
      </c>
      <c r="B1603" t="inlineStr">
        <is>
          <t>PVcomBank</t>
        </is>
      </c>
      <c r="C1603" t="n">
        <v>25790</v>
      </c>
      <c r="D1603" t="n">
        <v>25820</v>
      </c>
      <c r="E1603" t="n">
        <v>26500</v>
      </c>
    </row>
    <row r="1604">
      <c r="A1604" t="inlineStr">
        <is>
          <t>01/08/2026</t>
        </is>
      </c>
      <c r="B1604" t="inlineStr">
        <is>
          <t>PVcomBank</t>
        </is>
      </c>
      <c r="C1604" t="n">
        <v>25790</v>
      </c>
      <c r="D1604" t="n">
        <v>25820</v>
      </c>
      <c r="E1604" t="n">
        <v>26500</v>
      </c>
    </row>
    <row r="1605">
      <c r="A1605" t="inlineStr">
        <is>
          <t>31/07/2026</t>
        </is>
      </c>
      <c r="B1605" t="inlineStr">
        <is>
          <t>PVcomBank</t>
        </is>
      </c>
      <c r="C1605" t="n">
        <v>25790</v>
      </c>
      <c r="D1605" t="n">
        <v>25820</v>
      </c>
      <c r="E1605" t="n">
        <v>26500</v>
      </c>
    </row>
    <row r="1606">
      <c r="A1606" t="inlineStr">
        <is>
          <t>30/07/2026</t>
        </is>
      </c>
      <c r="B1606" t="inlineStr">
        <is>
          <t>PVcomBank</t>
        </is>
      </c>
      <c r="C1606" t="n">
        <v>25790</v>
      </c>
      <c r="D1606" t="n">
        <v>25820</v>
      </c>
      <c r="E1606" t="n">
        <v>26480</v>
      </c>
    </row>
    <row r="1607">
      <c r="A1607" t="inlineStr">
        <is>
          <t>29/07/2026</t>
        </is>
      </c>
      <c r="B1607" t="inlineStr">
        <is>
          <t>PVcomBank</t>
        </is>
      </c>
      <c r="C1607" t="n">
        <v>26070</v>
      </c>
      <c r="D1607" t="n">
        <v>26100</v>
      </c>
      <c r="E1607" t="n">
        <v>26540</v>
      </c>
    </row>
    <row r="1608">
      <c r="A1608" t="inlineStr">
        <is>
          <t>28/07/2026</t>
        </is>
      </c>
      <c r="B1608" t="inlineStr">
        <is>
          <t>PVcomBank</t>
        </is>
      </c>
      <c r="C1608" t="n">
        <v>26095</v>
      </c>
      <c r="D1608" t="n">
        <v>26125</v>
      </c>
      <c r="E1608" t="n">
        <v>26525</v>
      </c>
    </row>
    <row r="1609">
      <c r="A1609" t="inlineStr">
        <is>
          <t>27/07/2026</t>
        </is>
      </c>
      <c r="B1609" t="inlineStr">
        <is>
          <t>PVcomBank</t>
        </is>
      </c>
      <c r="C1609" t="n">
        <v>26100</v>
      </c>
      <c r="D1609" t="n">
        <v>26130</v>
      </c>
      <c r="E1609" t="n">
        <v>26530</v>
      </c>
    </row>
    <row r="1610">
      <c r="A1610" t="inlineStr">
        <is>
          <t>26/07/2026</t>
        </is>
      </c>
      <c r="B1610" t="inlineStr">
        <is>
          <t>PVcomBank</t>
        </is>
      </c>
      <c r="C1610" t="n">
        <v>26090</v>
      </c>
      <c r="D1610" t="n">
        <v>26120</v>
      </c>
      <c r="E1610" t="n">
        <v>26520</v>
      </c>
    </row>
    <row r="1611">
      <c r="A1611" t="inlineStr">
        <is>
          <t>25/07/2026</t>
        </is>
      </c>
      <c r="B1611" t="inlineStr">
        <is>
          <t>PVcomBank</t>
        </is>
      </c>
      <c r="C1611" t="n">
        <v>26090</v>
      </c>
      <c r="D1611" t="n">
        <v>26120</v>
      </c>
      <c r="E1611" t="n">
        <v>26520</v>
      </c>
    </row>
    <row r="1612">
      <c r="A1612" t="inlineStr">
        <is>
          <t>24/07/2026</t>
        </is>
      </c>
      <c r="B1612" t="inlineStr">
        <is>
          <t>PVcomBank</t>
        </is>
      </c>
      <c r="C1612" t="n">
        <v>26090</v>
      </c>
      <c r="D1612" t="n">
        <v>26120</v>
      </c>
      <c r="E1612" t="n">
        <v>26520</v>
      </c>
    </row>
    <row r="1613">
      <c r="A1613" t="inlineStr">
        <is>
          <t>23/07/2026</t>
        </is>
      </c>
      <c r="B1613" t="inlineStr">
        <is>
          <t>PVcomBank</t>
        </is>
      </c>
      <c r="C1613" t="n">
        <v>26080</v>
      </c>
      <c r="D1613" t="n">
        <v>26110</v>
      </c>
      <c r="E1613" t="n">
        <v>26510</v>
      </c>
    </row>
    <row r="1614">
      <c r="A1614" t="inlineStr">
        <is>
          <t>22/07/2026</t>
        </is>
      </c>
      <c r="B1614" t="inlineStr">
        <is>
          <t>PVcomBank</t>
        </is>
      </c>
      <c r="C1614" t="n">
        <v>26080</v>
      </c>
      <c r="D1614" t="n">
        <v>26110</v>
      </c>
      <c r="E1614" t="n">
        <v>26510</v>
      </c>
    </row>
    <row r="1615">
      <c r="A1615" t="inlineStr">
        <is>
          <t>21/07/2026</t>
        </is>
      </c>
      <c r="B1615" t="inlineStr">
        <is>
          <t>PVcomBank</t>
        </is>
      </c>
      <c r="C1615" t="n">
        <v>26070</v>
      </c>
      <c r="D1615" t="n">
        <v>26100</v>
      </c>
      <c r="E1615" t="n">
        <v>26500</v>
      </c>
    </row>
    <row r="1616">
      <c r="A1616" t="inlineStr">
        <is>
          <t>20/07/2026</t>
        </is>
      </c>
      <c r="B1616" t="inlineStr">
        <is>
          <t>PVcomBank</t>
        </is>
      </c>
      <c r="C1616" t="n">
        <v>26070</v>
      </c>
      <c r="D1616" t="n">
        <v>26100</v>
      </c>
      <c r="E1616" t="n">
        <v>26500</v>
      </c>
    </row>
    <row r="1617">
      <c r="A1617" t="inlineStr">
        <is>
          <t>19/07/2026</t>
        </is>
      </c>
      <c r="B1617" t="inlineStr">
        <is>
          <t>PVcomBank</t>
        </is>
      </c>
      <c r="C1617" t="n">
        <v>26020</v>
      </c>
      <c r="D1617" t="n">
        <v>26050</v>
      </c>
      <c r="E1617" t="n">
        <v>26450</v>
      </c>
    </row>
    <row r="1618">
      <c r="A1618" t="inlineStr">
        <is>
          <t>18/07/2026</t>
        </is>
      </c>
      <c r="B1618" t="inlineStr">
        <is>
          <t>PVcomBank</t>
        </is>
      </c>
      <c r="C1618" t="n">
        <v>26020</v>
      </c>
      <c r="D1618" t="n">
        <v>26050</v>
      </c>
      <c r="E1618" t="n">
        <v>26450</v>
      </c>
    </row>
    <row r="1619">
      <c r="A1619" t="inlineStr">
        <is>
          <t>17/07/2026</t>
        </is>
      </c>
      <c r="B1619" t="inlineStr">
        <is>
          <t>PVcomBank</t>
        </is>
      </c>
      <c r="C1619" t="n">
        <v>26020</v>
      </c>
      <c r="D1619" t="n">
        <v>26050</v>
      </c>
      <c r="E1619" t="n">
        <v>26450</v>
      </c>
    </row>
    <row r="1620">
      <c r="A1620" t="inlineStr">
        <is>
          <t>16/07/2026</t>
        </is>
      </c>
      <c r="B1620" t="inlineStr">
        <is>
          <t>PVcomBank</t>
        </is>
      </c>
      <c r="C1620" t="n">
        <v>26030</v>
      </c>
      <c r="D1620" t="n">
        <v>26060</v>
      </c>
      <c r="E1620" t="n">
        <v>26460</v>
      </c>
    </row>
    <row r="1621">
      <c r="A1621" t="inlineStr">
        <is>
          <t>15/07/2026</t>
        </is>
      </c>
      <c r="B1621" t="inlineStr">
        <is>
          <t>PVcomBank</t>
        </is>
      </c>
      <c r="C1621" t="n">
        <v>26030</v>
      </c>
      <c r="D1621" t="n">
        <v>26060</v>
      </c>
      <c r="E1621" t="n">
        <v>26460</v>
      </c>
    </row>
    <row r="1622">
      <c r="A1622" t="inlineStr">
        <is>
          <t>14/07/2026</t>
        </is>
      </c>
      <c r="B1622" t="inlineStr">
        <is>
          <t>PVcomBank</t>
        </is>
      </c>
      <c r="C1622" t="n">
        <v>26030</v>
      </c>
      <c r="D1622" t="n">
        <v>26060</v>
      </c>
      <c r="E1622" t="n">
        <v>26430</v>
      </c>
    </row>
    <row r="1623">
      <c r="A1623" t="inlineStr">
        <is>
          <t>13/07/2026</t>
        </is>
      </c>
      <c r="B1623" t="inlineStr">
        <is>
          <t>PVcomBank</t>
        </is>
      </c>
      <c r="C1623" t="n">
        <v>26061</v>
      </c>
      <c r="D1623" t="n">
        <v>26091</v>
      </c>
      <c r="E1623" t="n">
        <v>26481</v>
      </c>
    </row>
    <row r="1624">
      <c r="A1624" t="inlineStr">
        <is>
          <t>12/07/2026</t>
        </is>
      </c>
      <c r="B1624" t="inlineStr">
        <is>
          <t>PVcomBank</t>
        </is>
      </c>
      <c r="C1624" t="n">
        <v>26064</v>
      </c>
      <c r="D1624" t="n">
        <v>26094</v>
      </c>
      <c r="E1624" t="n">
        <v>26474</v>
      </c>
    </row>
    <row r="1625">
      <c r="A1625" t="inlineStr">
        <is>
          <t>11/07/2026</t>
        </is>
      </c>
      <c r="B1625" t="inlineStr">
        <is>
          <t>PVcomBank</t>
        </is>
      </c>
      <c r="C1625" t="n">
        <v>26064</v>
      </c>
      <c r="D1625" t="n">
        <v>26094</v>
      </c>
      <c r="E1625" t="n">
        <v>26474</v>
      </c>
    </row>
    <row r="1626">
      <c r="A1626" t="inlineStr">
        <is>
          <t>10/07/2026</t>
        </is>
      </c>
      <c r="B1626" t="inlineStr">
        <is>
          <t>PVcomBank</t>
        </is>
      </c>
      <c r="C1626" t="n">
        <v>26064</v>
      </c>
      <c r="D1626" t="n">
        <v>26094</v>
      </c>
      <c r="E1626" t="n">
        <v>26474</v>
      </c>
    </row>
    <row r="1627">
      <c r="A1627" t="inlineStr">
        <is>
          <t>09/07/2026</t>
        </is>
      </c>
      <c r="B1627" t="inlineStr">
        <is>
          <t>PVcomBank</t>
        </is>
      </c>
      <c r="C1627" t="n">
        <v>26071</v>
      </c>
      <c r="D1627" t="n">
        <v>26101</v>
      </c>
      <c r="E1627" t="n">
        <v>26471</v>
      </c>
    </row>
    <row r="1628">
      <c r="A1628" t="inlineStr">
        <is>
          <t>08/07/2026</t>
        </is>
      </c>
      <c r="B1628" t="inlineStr">
        <is>
          <t>PVcomBank</t>
        </is>
      </c>
      <c r="C1628" t="n">
        <v>26066</v>
      </c>
      <c r="D1628" t="n">
        <v>26096</v>
      </c>
      <c r="E1628" t="n">
        <v>26466</v>
      </c>
    </row>
    <row r="1629">
      <c r="A1629" t="inlineStr">
        <is>
          <t>07/07/2026</t>
        </is>
      </c>
      <c r="B1629" t="inlineStr">
        <is>
          <t>PVcomBank</t>
        </is>
      </c>
      <c r="C1629" t="n">
        <v>26062</v>
      </c>
      <c r="D1629" t="n">
        <v>26092</v>
      </c>
      <c r="E1629" t="n">
        <v>26462</v>
      </c>
    </row>
    <row r="1630">
      <c r="A1630" t="inlineStr">
        <is>
          <t>06/07/2026</t>
        </is>
      </c>
      <c r="B1630" t="inlineStr">
        <is>
          <t>PVcomBank</t>
        </is>
      </c>
      <c r="C1630" t="n">
        <v>26062</v>
      </c>
      <c r="D1630" t="n">
        <v>26092</v>
      </c>
      <c r="E1630" t="n">
        <v>26462</v>
      </c>
    </row>
    <row r="1631">
      <c r="A1631" t="inlineStr">
        <is>
          <t>05/07/2026</t>
        </is>
      </c>
      <c r="B1631" t="inlineStr">
        <is>
          <t>PVcomBank</t>
        </is>
      </c>
      <c r="C1631" t="n">
        <v>26063</v>
      </c>
      <c r="D1631" t="n">
        <v>26093</v>
      </c>
      <c r="E1631" t="n">
        <v>26463</v>
      </c>
    </row>
    <row r="1632">
      <c r="A1632" t="inlineStr">
        <is>
          <t>04/07/2026</t>
        </is>
      </c>
      <c r="B1632" t="inlineStr">
        <is>
          <t>PVcomBank</t>
        </is>
      </c>
      <c r="C1632" t="n">
        <v>26063</v>
      </c>
      <c r="D1632" t="n">
        <v>26093</v>
      </c>
      <c r="E1632" t="n">
        <v>26463</v>
      </c>
    </row>
    <row r="1633">
      <c r="A1633" t="inlineStr">
        <is>
          <t>03/07/2026</t>
        </is>
      </c>
      <c r="B1633" t="inlineStr">
        <is>
          <t>PVcomBank</t>
        </is>
      </c>
      <c r="C1633" t="n">
        <v>26063</v>
      </c>
      <c r="D1633" t="n">
        <v>26093</v>
      </c>
      <c r="E1633" t="n">
        <v>26463</v>
      </c>
    </row>
    <row r="1634">
      <c r="A1634" t="inlineStr">
        <is>
          <t>02/07/2026</t>
        </is>
      </c>
      <c r="B1634" t="inlineStr">
        <is>
          <t>PVcomBank</t>
        </is>
      </c>
      <c r="C1634" t="n">
        <v>26065</v>
      </c>
      <c r="D1634" t="n">
        <v>26095</v>
      </c>
      <c r="E1634" t="n">
        <v>26465</v>
      </c>
    </row>
    <row r="1635">
      <c r="A1635" t="inlineStr">
        <is>
          <t>01/07/2026</t>
        </is>
      </c>
      <c r="B1635" t="inlineStr">
        <is>
          <t>PVcomBank</t>
        </is>
      </c>
      <c r="C1635" t="n">
        <v>26066</v>
      </c>
      <c r="D1635" t="n">
        <v>26096</v>
      </c>
      <c r="E1635" t="n">
        <v>26466</v>
      </c>
    </row>
    <row r="1636">
      <c r="A1636" t="inlineStr">
        <is>
          <t>30/06/2026</t>
        </is>
      </c>
      <c r="B1636" t="inlineStr">
        <is>
          <t>PVcomBank</t>
        </is>
      </c>
      <c r="C1636" t="n">
        <v>25666</v>
      </c>
      <c r="D1636" t="n">
        <v>25698</v>
      </c>
      <c r="E1636" t="n">
        <v>26466</v>
      </c>
    </row>
    <row r="1637">
      <c r="A1637" t="inlineStr">
        <is>
          <t>29/06/2026</t>
        </is>
      </c>
      <c r="B1637" t="inlineStr">
        <is>
          <t>PVcomBank</t>
        </is>
      </c>
      <c r="C1637" t="n">
        <v>26081</v>
      </c>
      <c r="D1637" t="n">
        <v>26111</v>
      </c>
      <c r="E1637" t="n">
        <v>26461</v>
      </c>
    </row>
    <row r="1638">
      <c r="A1638" t="inlineStr">
        <is>
          <t>28/06/2026</t>
        </is>
      </c>
      <c r="B1638" t="inlineStr">
        <is>
          <t>PVcomBank</t>
        </is>
      </c>
      <c r="C1638" t="n">
        <v>26094</v>
      </c>
      <c r="D1638" t="n">
        <v>26124</v>
      </c>
      <c r="E1638" t="n">
        <v>26454</v>
      </c>
    </row>
    <row r="1639">
      <c r="A1639" t="inlineStr">
        <is>
          <t>27/06/2026</t>
        </is>
      </c>
      <c r="B1639" t="inlineStr">
        <is>
          <t>PVcomBank</t>
        </is>
      </c>
      <c r="C1639" t="n">
        <v>26094</v>
      </c>
      <c r="D1639" t="n">
        <v>26124</v>
      </c>
      <c r="E1639" t="n">
        <v>26454</v>
      </c>
    </row>
    <row r="1640">
      <c r="A1640" t="inlineStr">
        <is>
          <t>26/06/2026</t>
        </is>
      </c>
      <c r="B1640" t="inlineStr">
        <is>
          <t>PVcomBank</t>
        </is>
      </c>
      <c r="C1640" t="n">
        <v>26094</v>
      </c>
      <c r="D1640" t="n">
        <v>26124</v>
      </c>
      <c r="E1640" t="n">
        <v>26454</v>
      </c>
    </row>
    <row r="1641">
      <c r="A1641" t="inlineStr">
        <is>
          <t>25/06/2026</t>
        </is>
      </c>
      <c r="B1641" t="inlineStr">
        <is>
          <t>PVcomBank</t>
        </is>
      </c>
      <c r="C1641" t="n">
        <v>26096</v>
      </c>
      <c r="D1641" t="n">
        <v>26126</v>
      </c>
      <c r="E1641" t="n">
        <v>26456</v>
      </c>
    </row>
    <row r="1642">
      <c r="A1642" t="inlineStr">
        <is>
          <t>24/06/2026</t>
        </is>
      </c>
      <c r="B1642" t="inlineStr">
        <is>
          <t>PVcomBank</t>
        </is>
      </c>
      <c r="C1642" t="n">
        <v>26091</v>
      </c>
      <c r="D1642" t="n">
        <v>26121</v>
      </c>
      <c r="E1642" t="n">
        <v>26451</v>
      </c>
    </row>
    <row r="1643">
      <c r="A1643" t="inlineStr">
        <is>
          <t>23/06/2026</t>
        </is>
      </c>
      <c r="B1643" t="inlineStr">
        <is>
          <t>PVcomBank</t>
        </is>
      </c>
      <c r="C1643" t="n">
        <v>26088</v>
      </c>
      <c r="D1643" t="n">
        <v>26118</v>
      </c>
      <c r="E1643" t="n">
        <v>26448</v>
      </c>
    </row>
    <row r="1644">
      <c r="A1644" t="inlineStr">
        <is>
          <t>22/06/2026</t>
        </is>
      </c>
      <c r="B1644" t="inlineStr">
        <is>
          <t>PVcomBank</t>
        </is>
      </c>
      <c r="C1644" t="n">
        <v>26082</v>
      </c>
      <c r="D1644" t="n">
        <v>26112</v>
      </c>
      <c r="E1644" t="n">
        <v>26442</v>
      </c>
    </row>
    <row r="1645">
      <c r="A1645" t="inlineStr">
        <is>
          <t>21/06/2026</t>
        </is>
      </c>
      <c r="B1645" t="inlineStr">
        <is>
          <t>PVcomBank</t>
        </is>
      </c>
      <c r="C1645" t="n">
        <v>26080</v>
      </c>
      <c r="D1645" t="n">
        <v>26110</v>
      </c>
      <c r="E1645" t="n">
        <v>26440</v>
      </c>
    </row>
    <row r="1646">
      <c r="A1646" t="inlineStr">
        <is>
          <t>20/06/2026</t>
        </is>
      </c>
      <c r="B1646" t="inlineStr">
        <is>
          <t>PVcomBank</t>
        </is>
      </c>
      <c r="C1646" t="n">
        <v>26080</v>
      </c>
      <c r="D1646" t="n">
        <v>26110</v>
      </c>
      <c r="E1646" t="n">
        <v>26440</v>
      </c>
    </row>
    <row r="1647">
      <c r="A1647" t="inlineStr">
        <is>
          <t>19/06/2026</t>
        </is>
      </c>
      <c r="B1647" t="inlineStr">
        <is>
          <t>PVcomBank</t>
        </is>
      </c>
      <c r="C1647" t="n">
        <v>26080</v>
      </c>
      <c r="D1647" t="n">
        <v>26110</v>
      </c>
      <c r="E1647" t="n">
        <v>26440</v>
      </c>
    </row>
    <row r="1648">
      <c r="A1648" t="inlineStr">
        <is>
          <t>18/06/2026</t>
        </is>
      </c>
      <c r="B1648" t="inlineStr">
        <is>
          <t>PVcomBank</t>
        </is>
      </c>
      <c r="C1648" t="n">
        <v>26071</v>
      </c>
      <c r="D1648" t="n">
        <v>26101</v>
      </c>
      <c r="E1648" t="n">
        <v>26431</v>
      </c>
    </row>
    <row r="1649">
      <c r="A1649" t="inlineStr">
        <is>
          <t>17/06/2026</t>
        </is>
      </c>
      <c r="B1649" t="inlineStr">
        <is>
          <t>PVcomBank</t>
        </is>
      </c>
      <c r="C1649" t="n">
        <v>26073</v>
      </c>
      <c r="D1649" t="n">
        <v>26103</v>
      </c>
      <c r="E1649" t="n">
        <v>26433</v>
      </c>
    </row>
    <row r="1650">
      <c r="A1650" t="inlineStr">
        <is>
          <t>16/06/2026</t>
        </is>
      </c>
      <c r="B1650" t="inlineStr">
        <is>
          <t>PVcomBank</t>
        </is>
      </c>
      <c r="C1650" t="n">
        <v>26063</v>
      </c>
      <c r="D1650" t="n">
        <v>26093</v>
      </c>
      <c r="E1650" t="n">
        <v>26423</v>
      </c>
    </row>
    <row r="1651">
      <c r="A1651" t="inlineStr">
        <is>
          <t>15/06/2026</t>
        </is>
      </c>
      <c r="B1651" t="inlineStr">
        <is>
          <t>PVcomBank</t>
        </is>
      </c>
      <c r="C1651" t="n">
        <v>26083</v>
      </c>
      <c r="D1651" t="n">
        <v>26113</v>
      </c>
      <c r="E1651" t="n">
        <v>26423</v>
      </c>
    </row>
    <row r="1652">
      <c r="A1652" t="inlineStr">
        <is>
          <t>14/06/2026</t>
        </is>
      </c>
      <c r="B1652" t="inlineStr">
        <is>
          <t>PVcomBank</t>
        </is>
      </c>
      <c r="C1652" t="n">
        <v>26092</v>
      </c>
      <c r="D1652" t="n">
        <v>26122</v>
      </c>
      <c r="E1652" t="n">
        <v>26412</v>
      </c>
    </row>
    <row r="1653">
      <c r="A1653" t="inlineStr">
        <is>
          <t>13/06/2026</t>
        </is>
      </c>
      <c r="B1653" t="inlineStr">
        <is>
          <t>PVcomBank</t>
        </is>
      </c>
      <c r="C1653" t="n">
        <v>26092</v>
      </c>
      <c r="D1653" t="n">
        <v>26122</v>
      </c>
      <c r="E1653" t="n">
        <v>26412</v>
      </c>
    </row>
    <row r="1654">
      <c r="A1654" t="inlineStr">
        <is>
          <t>12/06/2026</t>
        </is>
      </c>
      <c r="B1654" t="inlineStr">
        <is>
          <t>PVcomBank</t>
        </is>
      </c>
      <c r="C1654" t="n">
        <v>26092</v>
      </c>
      <c r="D1654" t="n">
        <v>26122</v>
      </c>
      <c r="E1654" t="n">
        <v>26412</v>
      </c>
    </row>
    <row r="1655">
      <c r="A1655" t="inlineStr">
        <is>
          <t>11/06/2026</t>
        </is>
      </c>
      <c r="B1655" t="inlineStr">
        <is>
          <t>PVcomBank</t>
        </is>
      </c>
      <c r="C1655" t="n">
        <v>26090</v>
      </c>
      <c r="D1655" t="n">
        <v>26120</v>
      </c>
      <c r="E1655" t="n">
        <v>26410</v>
      </c>
    </row>
    <row r="1656">
      <c r="A1656" t="inlineStr">
        <is>
          <t>10/06/2026</t>
        </is>
      </c>
      <c r="B1656" t="inlineStr">
        <is>
          <t>PVcomBank</t>
        </is>
      </c>
      <c r="C1656" t="n">
        <v>26090</v>
      </c>
      <c r="D1656" t="n">
        <v>26120</v>
      </c>
      <c r="E1656" t="n">
        <v>26410</v>
      </c>
    </row>
    <row r="1657">
      <c r="A1657" t="inlineStr">
        <is>
          <t>09/06/2026</t>
        </is>
      </c>
      <c r="B1657" t="inlineStr">
        <is>
          <t>PVcomBank</t>
        </is>
      </c>
      <c r="C1657" t="n">
        <v>26088</v>
      </c>
      <c r="D1657" t="n">
        <v>26118</v>
      </c>
      <c r="E1657" t="n">
        <v>26408</v>
      </c>
    </row>
    <row r="1658">
      <c r="A1658" t="inlineStr">
        <is>
          <t>08/06/2026</t>
        </is>
      </c>
      <c r="B1658" t="inlineStr">
        <is>
          <t>PVcomBank</t>
        </is>
      </c>
      <c r="C1658" t="n">
        <v>26087</v>
      </c>
      <c r="D1658" t="n">
        <v>26117</v>
      </c>
      <c r="E1658" t="n">
        <v>26407</v>
      </c>
    </row>
    <row r="1659">
      <c r="A1659" t="inlineStr">
        <is>
          <t>07/06/2026</t>
        </is>
      </c>
      <c r="B1659" t="inlineStr">
        <is>
          <t>PVcomBank</t>
        </is>
      </c>
      <c r="C1659" t="n">
        <v>26084</v>
      </c>
      <c r="D1659" t="n">
        <v>26114</v>
      </c>
      <c r="E1659" t="n">
        <v>26404</v>
      </c>
    </row>
    <row r="1660">
      <c r="A1660" t="inlineStr">
        <is>
          <t>06/06/2026</t>
        </is>
      </c>
      <c r="B1660" t="inlineStr">
        <is>
          <t>PVcomBank</t>
        </is>
      </c>
      <c r="C1660" t="n">
        <v>26084</v>
      </c>
      <c r="D1660" t="n">
        <v>26114</v>
      </c>
      <c r="E1660" t="n">
        <v>26404</v>
      </c>
    </row>
    <row r="1661">
      <c r="A1661" t="inlineStr">
        <is>
          <t>05/06/2026</t>
        </is>
      </c>
      <c r="B1661" t="inlineStr">
        <is>
          <t>PVcomBank</t>
        </is>
      </c>
      <c r="C1661" t="n">
        <v>26084</v>
      </c>
      <c r="D1661" t="n">
        <v>26114</v>
      </c>
      <c r="E1661" t="n">
        <v>26404</v>
      </c>
    </row>
    <row r="1662">
      <c r="A1662" t="inlineStr">
        <is>
          <t>04/06/2026</t>
        </is>
      </c>
      <c r="B1662" t="inlineStr">
        <is>
          <t>PVcomBank</t>
        </is>
      </c>
      <c r="C1662" t="n">
        <v>26082</v>
      </c>
      <c r="D1662" t="n">
        <v>26112</v>
      </c>
      <c r="E1662" t="n">
        <v>26402</v>
      </c>
    </row>
    <row r="1663">
      <c r="A1663" t="inlineStr">
        <is>
          <t>03/06/2026</t>
        </is>
      </c>
      <c r="B1663" t="inlineStr">
        <is>
          <t>PVcomBank</t>
        </is>
      </c>
      <c r="C1663" t="n">
        <v>26082</v>
      </c>
      <c r="D1663" t="n">
        <v>26112</v>
      </c>
      <c r="E1663" t="n">
        <v>26402</v>
      </c>
    </row>
    <row r="1664">
      <c r="A1664" t="inlineStr">
        <is>
          <t>02/06/2026</t>
        </is>
      </c>
      <c r="B1664" t="inlineStr">
        <is>
          <t>PVcomBank</t>
        </is>
      </c>
      <c r="C1664" t="n">
        <v>26078</v>
      </c>
      <c r="D1664" t="n">
        <v>26108</v>
      </c>
      <c r="E1664" t="n">
        <v>26398</v>
      </c>
    </row>
    <row r="1665">
      <c r="A1665" t="inlineStr">
        <is>
          <t>01/06/2026</t>
        </is>
      </c>
      <c r="B1665" t="inlineStr">
        <is>
          <t>PVcomBank</t>
        </is>
      </c>
      <c r="C1665" t="n">
        <v>26074</v>
      </c>
      <c r="D1665" t="n">
        <v>26104</v>
      </c>
      <c r="E1665" t="n">
        <v>26394</v>
      </c>
    </row>
    <row r="1666">
      <c r="A1666" t="inlineStr">
        <is>
          <t>31/05/2026</t>
        </is>
      </c>
      <c r="B1666" t="inlineStr">
        <is>
          <t>PVcomBank</t>
        </is>
      </c>
      <c r="C1666" t="n">
        <v>25875</v>
      </c>
      <c r="D1666" t="n">
        <v>25905</v>
      </c>
      <c r="E1666" t="n">
        <v>26395</v>
      </c>
    </row>
    <row r="1667">
      <c r="A1667" t="inlineStr">
        <is>
          <t>30/05/2026</t>
        </is>
      </c>
      <c r="B1667" t="inlineStr">
        <is>
          <t>PVcomBank</t>
        </is>
      </c>
      <c r="C1667" t="n">
        <v>25875</v>
      </c>
      <c r="D1667" t="n">
        <v>25905</v>
      </c>
      <c r="E1667" t="n">
        <v>26395</v>
      </c>
    </row>
    <row r="1668">
      <c r="A1668" t="inlineStr">
        <is>
          <t>29/05/2026</t>
        </is>
      </c>
      <c r="B1668" t="inlineStr">
        <is>
          <t>PVcomBank</t>
        </is>
      </c>
      <c r="C1668" t="n">
        <v>25875</v>
      </c>
      <c r="D1668" t="n">
        <v>25905</v>
      </c>
      <c r="E1668" t="n">
        <v>26395</v>
      </c>
    </row>
    <row r="1669">
      <c r="A1669" t="inlineStr">
        <is>
          <t>28/05/2026</t>
        </is>
      </c>
      <c r="B1669" t="inlineStr">
        <is>
          <t>PVcomBank</t>
        </is>
      </c>
      <c r="C1669" t="n">
        <v>26113</v>
      </c>
      <c r="D1669" t="n">
        <v>26143</v>
      </c>
      <c r="E1669" t="n">
        <v>26393</v>
      </c>
    </row>
    <row r="1670">
      <c r="A1670" t="inlineStr">
        <is>
          <t>27/05/2026</t>
        </is>
      </c>
      <c r="B1670" t="inlineStr">
        <is>
          <t>PVcomBank</t>
        </is>
      </c>
      <c r="C1670" t="n">
        <v>26113</v>
      </c>
      <c r="D1670" t="n">
        <v>26143</v>
      </c>
      <c r="E1670" t="n">
        <v>26393</v>
      </c>
    </row>
    <row r="1671">
      <c r="A1671" t="inlineStr">
        <is>
          <t>26/05/2026</t>
        </is>
      </c>
      <c r="B1671" t="inlineStr">
        <is>
          <t>PVcomBank</t>
        </is>
      </c>
      <c r="C1671" t="n">
        <v>26124</v>
      </c>
      <c r="D1671" t="n">
        <v>26154</v>
      </c>
      <c r="E1671" t="n">
        <v>26394</v>
      </c>
    </row>
    <row r="1672">
      <c r="A1672" t="inlineStr">
        <is>
          <t>25/05/2026</t>
        </is>
      </c>
      <c r="B1672" t="inlineStr">
        <is>
          <t>PVcomBank</t>
        </is>
      </c>
      <c r="C1672" t="n">
        <v>26122</v>
      </c>
      <c r="D1672" t="n">
        <v>26152</v>
      </c>
      <c r="E1672" t="n">
        <v>26392</v>
      </c>
    </row>
    <row r="1673">
      <c r="A1673" t="inlineStr">
        <is>
          <t>24/05/2026</t>
        </is>
      </c>
      <c r="B1673" t="inlineStr">
        <is>
          <t>PVcomBank</t>
        </is>
      </c>
      <c r="C1673" t="n">
        <v>26120</v>
      </c>
      <c r="D1673" t="n">
        <v>26150</v>
      </c>
      <c r="E1673" t="n">
        <v>26390</v>
      </c>
    </row>
    <row r="1674">
      <c r="A1674" t="inlineStr">
        <is>
          <t>23/05/2026</t>
        </is>
      </c>
      <c r="B1674" t="inlineStr">
        <is>
          <t>PVcomBank</t>
        </is>
      </c>
      <c r="C1674" t="n">
        <v>26120</v>
      </c>
      <c r="D1674" t="n">
        <v>26150</v>
      </c>
      <c r="E1674" t="n">
        <v>26390</v>
      </c>
    </row>
    <row r="1675">
      <c r="A1675" t="inlineStr">
        <is>
          <t>22/05/2026</t>
        </is>
      </c>
      <c r="B1675" t="inlineStr">
        <is>
          <t>PVcomBank</t>
        </is>
      </c>
      <c r="C1675" t="n">
        <v>26120</v>
      </c>
      <c r="D1675" t="n">
        <v>26150</v>
      </c>
      <c r="E1675" t="n">
        <v>26390</v>
      </c>
    </row>
    <row r="1676">
      <c r="A1676" t="inlineStr">
        <is>
          <t>21/05/2026</t>
        </is>
      </c>
      <c r="B1676" t="inlineStr">
        <is>
          <t>PVcomBank</t>
        </is>
      </c>
      <c r="C1676" t="n">
        <v>26121</v>
      </c>
      <c r="D1676" t="n">
        <v>26151</v>
      </c>
      <c r="E1676" t="n">
        <v>26391</v>
      </c>
    </row>
    <row r="1677">
      <c r="A1677" t="inlineStr">
        <is>
          <t>20/05/2026</t>
        </is>
      </c>
      <c r="B1677" t="inlineStr">
        <is>
          <t>PVcomBank</t>
        </is>
      </c>
      <c r="C1677" t="n">
        <v>26111</v>
      </c>
      <c r="D1677" t="n">
        <v>26141</v>
      </c>
      <c r="E1677" t="n">
        <v>26391</v>
      </c>
    </row>
    <row r="1678">
      <c r="A1678" t="inlineStr">
        <is>
          <t>19/05/2026</t>
        </is>
      </c>
      <c r="B1678" t="inlineStr">
        <is>
          <t>PVcomBank</t>
        </is>
      </c>
      <c r="C1678" t="n">
        <v>26099</v>
      </c>
      <c r="D1678" t="n">
        <v>26129</v>
      </c>
      <c r="E1678" t="n">
        <v>26389</v>
      </c>
    </row>
    <row r="1679">
      <c r="A1679" t="inlineStr">
        <is>
          <t>18/05/2026</t>
        </is>
      </c>
      <c r="B1679" t="inlineStr">
        <is>
          <t>PVcomBank</t>
        </is>
      </c>
      <c r="C1679" t="n">
        <v>26097</v>
      </c>
      <c r="D1679" t="n">
        <v>26127</v>
      </c>
      <c r="E1679" t="n">
        <v>26387</v>
      </c>
    </row>
    <row r="1680">
      <c r="A1680" t="inlineStr">
        <is>
          <t>17/05/2026</t>
        </is>
      </c>
      <c r="B1680" t="inlineStr">
        <is>
          <t>PVcomBank</t>
        </is>
      </c>
      <c r="C1680" t="n">
        <v>26097</v>
      </c>
      <c r="D1680" t="n">
        <v>26127</v>
      </c>
      <c r="E1680" t="n">
        <v>26387</v>
      </c>
    </row>
    <row r="1681">
      <c r="A1681" t="inlineStr">
        <is>
          <t>16/05/2026</t>
        </is>
      </c>
      <c r="B1681" t="inlineStr">
        <is>
          <t>PVcomBank</t>
        </is>
      </c>
      <c r="C1681" t="n">
        <v>26097</v>
      </c>
      <c r="D1681" t="n">
        <v>26127</v>
      </c>
      <c r="E1681" t="n">
        <v>26387</v>
      </c>
    </row>
    <row r="1682">
      <c r="A1682" t="inlineStr">
        <is>
          <t>15/05/2026</t>
        </is>
      </c>
      <c r="B1682" t="inlineStr">
        <is>
          <t>PVcomBank</t>
        </is>
      </c>
      <c r="C1682" t="n">
        <v>26097</v>
      </c>
      <c r="D1682" t="n">
        <v>26127</v>
      </c>
      <c r="E1682" t="n">
        <v>26387</v>
      </c>
    </row>
    <row r="1683">
      <c r="A1683" t="inlineStr">
        <is>
          <t>14/05/2026</t>
        </is>
      </c>
      <c r="B1683" t="inlineStr">
        <is>
          <t>PVcomBank</t>
        </is>
      </c>
      <c r="C1683" t="n">
        <v>26092</v>
      </c>
      <c r="D1683" t="n">
        <v>26122</v>
      </c>
      <c r="E1683" t="n">
        <v>26382</v>
      </c>
    </row>
    <row r="1684">
      <c r="A1684" t="inlineStr">
        <is>
          <t>13/05/2026</t>
        </is>
      </c>
      <c r="B1684" t="inlineStr">
        <is>
          <t>PVcomBank</t>
        </is>
      </c>
      <c r="C1684" t="n">
        <v>26089</v>
      </c>
      <c r="D1684" t="n">
        <v>26119</v>
      </c>
      <c r="E1684" t="n">
        <v>26379</v>
      </c>
    </row>
    <row r="1685">
      <c r="A1685" t="inlineStr">
        <is>
          <t>12/05/2026</t>
        </is>
      </c>
      <c r="B1685" t="inlineStr">
        <is>
          <t>PVcomBank</t>
        </is>
      </c>
      <c r="C1685" t="n">
        <v>26089</v>
      </c>
      <c r="D1685" t="n">
        <v>26119</v>
      </c>
      <c r="E1685" t="n">
        <v>26379</v>
      </c>
    </row>
    <row r="1686">
      <c r="A1686" t="inlineStr">
        <is>
          <t>11/05/2026</t>
        </is>
      </c>
      <c r="B1686" t="inlineStr">
        <is>
          <t>PVcomBank</t>
        </is>
      </c>
      <c r="C1686" t="n">
        <v>26083</v>
      </c>
      <c r="D1686" t="n">
        <v>26113</v>
      </c>
      <c r="E1686" t="n">
        <v>26373</v>
      </c>
    </row>
    <row r="1687">
      <c r="A1687" t="inlineStr">
        <is>
          <t>10/05/2026</t>
        </is>
      </c>
      <c r="B1687" t="inlineStr">
        <is>
          <t>PVcomBank</t>
        </is>
      </c>
      <c r="C1687" t="n">
        <v>26077</v>
      </c>
      <c r="D1687" t="n">
        <v>26107</v>
      </c>
      <c r="E1687" t="n">
        <v>26367</v>
      </c>
    </row>
    <row r="1688">
      <c r="A1688" t="inlineStr">
        <is>
          <t>09/05/2026</t>
        </is>
      </c>
      <c r="B1688" t="inlineStr">
        <is>
          <t>PVcomBank</t>
        </is>
      </c>
      <c r="C1688" t="n">
        <v>26077</v>
      </c>
      <c r="D1688" t="n">
        <v>26107</v>
      </c>
      <c r="E1688" t="n">
        <v>26367</v>
      </c>
    </row>
    <row r="1689">
      <c r="A1689" t="inlineStr">
        <is>
          <t>08/05/2026</t>
        </is>
      </c>
      <c r="B1689" t="inlineStr">
        <is>
          <t>PVcomBank</t>
        </is>
      </c>
      <c r="C1689" t="n">
        <v>26077</v>
      </c>
      <c r="D1689" t="n">
        <v>26107</v>
      </c>
      <c r="E1689" t="n">
        <v>26367</v>
      </c>
    </row>
    <row r="1690">
      <c r="A1690" t="inlineStr">
        <is>
          <t>07/05/2026</t>
        </is>
      </c>
      <c r="B1690" t="inlineStr">
        <is>
          <t>PVcomBank</t>
        </is>
      </c>
      <c r="C1690" t="n">
        <v>26088</v>
      </c>
      <c r="D1690" t="n">
        <v>26118</v>
      </c>
      <c r="E1690" t="n">
        <v>26368</v>
      </c>
    </row>
    <row r="1691">
      <c r="A1691" t="inlineStr">
        <is>
          <t>06/05/2026</t>
        </is>
      </c>
      <c r="B1691" t="inlineStr">
        <is>
          <t>PVcomBank</t>
        </is>
      </c>
      <c r="C1691" t="n">
        <v>26088</v>
      </c>
      <c r="D1691" t="n">
        <v>26118</v>
      </c>
      <c r="E1691" t="n">
        <v>26368</v>
      </c>
    </row>
    <row r="1692">
      <c r="A1692" t="inlineStr">
        <is>
          <t>05/05/2026</t>
        </is>
      </c>
      <c r="B1692" t="inlineStr">
        <is>
          <t>PVcomBank</t>
        </is>
      </c>
      <c r="C1692" t="n">
        <v>26096</v>
      </c>
      <c r="D1692" t="n">
        <v>26126</v>
      </c>
      <c r="E1692" t="n">
        <v>26366</v>
      </c>
    </row>
    <row r="1693">
      <c r="A1693" t="inlineStr">
        <is>
          <t>04/05/2026</t>
        </is>
      </c>
      <c r="B1693" t="inlineStr">
        <is>
          <t>PVcomBank</t>
        </is>
      </c>
      <c r="C1693" t="n">
        <v>26097</v>
      </c>
      <c r="D1693" t="n">
        <v>26127</v>
      </c>
      <c r="E1693" t="n">
        <v>26367</v>
      </c>
    </row>
    <row r="1694">
      <c r="A1694" t="inlineStr">
        <is>
          <t>03/05/2026</t>
        </is>
      </c>
      <c r="B1694" t="inlineStr">
        <is>
          <t>PVcomBank</t>
        </is>
      </c>
      <c r="C1694" t="n">
        <v>26028</v>
      </c>
      <c r="D1694" t="n">
        <v>26048</v>
      </c>
      <c r="E1694" t="n">
        <v>26368</v>
      </c>
    </row>
    <row r="1695">
      <c r="A1695" t="inlineStr">
        <is>
          <t>02/05/2026</t>
        </is>
      </c>
      <c r="B1695" t="inlineStr">
        <is>
          <t>PVcomBank</t>
        </is>
      </c>
      <c r="C1695" t="n">
        <v>26028</v>
      </c>
      <c r="D1695" t="n">
        <v>26048</v>
      </c>
      <c r="E1695" t="n">
        <v>26368</v>
      </c>
    </row>
    <row r="1696">
      <c r="A1696" t="inlineStr">
        <is>
          <t>01/05/2026</t>
        </is>
      </c>
      <c r="B1696" t="inlineStr">
        <is>
          <t>PVcomBank</t>
        </is>
      </c>
      <c r="C1696" t="n">
        <v>26028</v>
      </c>
      <c r="D1696" t="n">
        <v>26048</v>
      </c>
      <c r="E1696" t="n">
        <v>26368</v>
      </c>
    </row>
    <row r="1697">
      <c r="A1697" t="inlineStr">
        <is>
          <t>30/04/2026</t>
        </is>
      </c>
      <c r="B1697" t="inlineStr">
        <is>
          <t>PVcomBank</t>
        </is>
      </c>
      <c r="C1697" t="n">
        <v>26028</v>
      </c>
      <c r="D1697" t="n">
        <v>26048</v>
      </c>
      <c r="E1697" t="n">
        <v>26368</v>
      </c>
    </row>
    <row r="1698">
      <c r="A1698" t="inlineStr">
        <is>
          <t>29/04/2026</t>
        </is>
      </c>
      <c r="B1698" t="inlineStr">
        <is>
          <t>PVcomBank</t>
        </is>
      </c>
      <c r="C1698" t="n">
        <v>26028</v>
      </c>
      <c r="D1698" t="n">
        <v>26048</v>
      </c>
      <c r="E1698" t="n">
        <v>26368</v>
      </c>
    </row>
    <row r="1699">
      <c r="A1699" t="inlineStr">
        <is>
          <t>28/04/2026</t>
        </is>
      </c>
      <c r="B1699" t="inlineStr">
        <is>
          <t>PVcomBank</t>
        </is>
      </c>
      <c r="C1699" t="n">
        <v>26096</v>
      </c>
      <c r="D1699" t="n">
        <v>26126</v>
      </c>
      <c r="E1699" t="n">
        <v>26366</v>
      </c>
    </row>
    <row r="1700">
      <c r="A1700" t="inlineStr">
        <is>
          <t>27/04/2026</t>
        </is>
      </c>
      <c r="B1700" t="inlineStr">
        <is>
          <t>PVcomBank</t>
        </is>
      </c>
      <c r="C1700" t="n">
        <v>26098</v>
      </c>
      <c r="D1700" t="n">
        <v>26128</v>
      </c>
      <c r="E1700" t="n">
        <v>26368</v>
      </c>
    </row>
    <row r="1701">
      <c r="A1701" t="inlineStr">
        <is>
          <t>26/04/2026</t>
        </is>
      </c>
      <c r="B1701" t="inlineStr">
        <is>
          <t>PVcomBank</t>
        </is>
      </c>
      <c r="C1701" t="n">
        <v>26098</v>
      </c>
      <c r="D1701" t="n">
        <v>26128</v>
      </c>
      <c r="E1701" t="n">
        <v>26368</v>
      </c>
    </row>
    <row r="1702">
      <c r="A1702" t="inlineStr">
        <is>
          <t>25/04/2026</t>
        </is>
      </c>
      <c r="B1702" t="inlineStr">
        <is>
          <t>PVcomBank</t>
        </is>
      </c>
      <c r="C1702" t="n">
        <v>26098</v>
      </c>
      <c r="D1702" t="n">
        <v>26128</v>
      </c>
      <c r="E1702" t="n">
        <v>26368</v>
      </c>
    </row>
    <row r="1703">
      <c r="A1703" t="inlineStr">
        <is>
          <t>24/04/2026</t>
        </is>
      </c>
      <c r="B1703" t="inlineStr">
        <is>
          <t>PVcomBank</t>
        </is>
      </c>
      <c r="C1703" t="n">
        <v>26098</v>
      </c>
      <c r="D1703" t="n">
        <v>26128</v>
      </c>
      <c r="E1703" t="n">
        <v>26368</v>
      </c>
    </row>
    <row r="1704">
      <c r="A1704" t="inlineStr">
        <is>
          <t>23/04/2026</t>
        </is>
      </c>
      <c r="B1704" t="inlineStr">
        <is>
          <t>PVcomBank</t>
        </is>
      </c>
      <c r="C1704" t="n">
        <v>26090</v>
      </c>
      <c r="D1704" t="n">
        <v>26120</v>
      </c>
      <c r="E1704" t="n">
        <v>26360</v>
      </c>
    </row>
    <row r="1705">
      <c r="A1705" t="inlineStr">
        <is>
          <t>22/04/2026</t>
        </is>
      </c>
      <c r="B1705" t="inlineStr">
        <is>
          <t>PVcomBank</t>
        </is>
      </c>
      <c r="C1705" t="n">
        <v>26085</v>
      </c>
      <c r="D1705" t="n">
        <v>26115</v>
      </c>
      <c r="E1705" t="n">
        <v>26355</v>
      </c>
    </row>
    <row r="1706">
      <c r="A1706" t="inlineStr">
        <is>
          <t>21/04/2026</t>
        </is>
      </c>
      <c r="B1706" t="inlineStr">
        <is>
          <t>PVcomBank</t>
        </is>
      </c>
      <c r="C1706" t="n">
        <v>26087</v>
      </c>
      <c r="D1706" t="n">
        <v>26117</v>
      </c>
      <c r="E1706" t="n">
        <v>26357</v>
      </c>
    </row>
    <row r="1707">
      <c r="A1707" t="inlineStr">
        <is>
          <t>20/04/2026</t>
        </is>
      </c>
      <c r="B1707" t="inlineStr">
        <is>
          <t>PVcomBank</t>
        </is>
      </c>
      <c r="C1707" t="n">
        <v>26088</v>
      </c>
      <c r="D1707" t="n">
        <v>26118</v>
      </c>
      <c r="E1707" t="n">
        <v>26358</v>
      </c>
    </row>
    <row r="1708">
      <c r="A1708" t="inlineStr">
        <is>
          <t>19/04/2026</t>
        </is>
      </c>
      <c r="B1708" t="inlineStr">
        <is>
          <t>PVcomBank</t>
        </is>
      </c>
      <c r="C1708" t="n">
        <v>26087</v>
      </c>
      <c r="D1708" t="n">
        <v>26117</v>
      </c>
      <c r="E1708" t="n">
        <v>26357</v>
      </c>
    </row>
    <row r="1709">
      <c r="A1709" t="inlineStr">
        <is>
          <t>18/04/2026</t>
        </is>
      </c>
      <c r="B1709" t="inlineStr">
        <is>
          <t>PVcomBank</t>
        </is>
      </c>
      <c r="C1709" t="n">
        <v>26087</v>
      </c>
      <c r="D1709" t="n">
        <v>26117</v>
      </c>
      <c r="E1709" t="n">
        <v>26357</v>
      </c>
    </row>
    <row r="1710">
      <c r="A1710" t="inlineStr">
        <is>
          <t>17/04/2026</t>
        </is>
      </c>
      <c r="B1710" t="inlineStr">
        <is>
          <t>PVcomBank</t>
        </is>
      </c>
      <c r="C1710" t="n">
        <v>26087</v>
      </c>
      <c r="D1710" t="n">
        <v>26117</v>
      </c>
      <c r="E1710" t="n">
        <v>26357</v>
      </c>
    </row>
    <row r="1711">
      <c r="A1711" t="inlineStr">
        <is>
          <t>16/04/2026</t>
        </is>
      </c>
      <c r="B1711" t="inlineStr">
        <is>
          <t>PVcomBank</t>
        </is>
      </c>
      <c r="C1711" t="n">
        <v>26087</v>
      </c>
      <c r="D1711" t="n">
        <v>26117</v>
      </c>
      <c r="E1711" t="n">
        <v>26357</v>
      </c>
    </row>
    <row r="1712">
      <c r="A1712" t="inlineStr">
        <is>
          <t>15/04/2026</t>
        </is>
      </c>
      <c r="B1712" t="inlineStr">
        <is>
          <t>PVcomBank</t>
        </is>
      </c>
      <c r="C1712" t="n">
        <v>26098</v>
      </c>
      <c r="D1712" t="n">
        <v>26128</v>
      </c>
      <c r="E1712" t="n">
        <v>26358</v>
      </c>
    </row>
    <row r="1713">
      <c r="A1713" t="inlineStr">
        <is>
          <t>14/04/2026</t>
        </is>
      </c>
      <c r="B1713" t="inlineStr">
        <is>
          <t>PVcomBank</t>
        </is>
      </c>
      <c r="C1713" t="n">
        <v>26101</v>
      </c>
      <c r="D1713" t="n">
        <v>26131</v>
      </c>
      <c r="E1713" t="n">
        <v>26361</v>
      </c>
    </row>
    <row r="1714">
      <c r="A1714" t="inlineStr">
        <is>
          <t>13/04/2026</t>
        </is>
      </c>
      <c r="B1714" t="inlineStr">
        <is>
          <t>PVcomBank</t>
        </is>
      </c>
      <c r="C1714" t="n">
        <v>26091</v>
      </c>
      <c r="D1714" t="n">
        <v>26121</v>
      </c>
      <c r="E1714" t="n">
        <v>26361</v>
      </c>
    </row>
    <row r="1715">
      <c r="A1715" t="inlineStr">
        <is>
          <t>12/04/2026</t>
        </is>
      </c>
      <c r="B1715" t="inlineStr">
        <is>
          <t>PVcomBank</t>
        </is>
      </c>
      <c r="C1715" t="n">
        <v>26090</v>
      </c>
      <c r="D1715" t="n">
        <v>26120</v>
      </c>
      <c r="E1715" t="n">
        <v>26360</v>
      </c>
    </row>
    <row r="1716">
      <c r="A1716" t="inlineStr">
        <is>
          <t>11/04/2026</t>
        </is>
      </c>
      <c r="B1716" t="inlineStr">
        <is>
          <t>PVcomBank</t>
        </is>
      </c>
      <c r="C1716" t="n">
        <v>26090</v>
      </c>
      <c r="D1716" t="n">
        <v>26120</v>
      </c>
      <c r="E1716" t="n">
        <v>26360</v>
      </c>
    </row>
    <row r="1717">
      <c r="A1717" t="inlineStr">
        <is>
          <t>10/04/2026</t>
        </is>
      </c>
      <c r="B1717" t="inlineStr">
        <is>
          <t>PVcomBank</t>
        </is>
      </c>
      <c r="C1717" t="n">
        <v>26090</v>
      </c>
      <c r="D1717" t="n">
        <v>26120</v>
      </c>
      <c r="E1717" t="n">
        <v>26360</v>
      </c>
    </row>
    <row r="1718">
      <c r="A1718" t="inlineStr">
        <is>
          <t>09/04/2026</t>
        </is>
      </c>
      <c r="B1718" t="inlineStr">
        <is>
          <t>PVcomBank</t>
        </is>
      </c>
      <c r="C1718" t="n">
        <v>26097</v>
      </c>
      <c r="D1718" t="n">
        <v>26127</v>
      </c>
      <c r="E1718" t="n">
        <v>26357</v>
      </c>
    </row>
    <row r="1719">
      <c r="A1719" t="inlineStr">
        <is>
          <t>08/04/2026</t>
        </is>
      </c>
      <c r="B1719" t="inlineStr">
        <is>
          <t>PVcomBank</t>
        </is>
      </c>
      <c r="C1719" t="n">
        <v>26101</v>
      </c>
      <c r="D1719" t="n">
        <v>26131</v>
      </c>
      <c r="E1719" t="n">
        <v>26361</v>
      </c>
    </row>
    <row r="1720">
      <c r="A1720" t="inlineStr">
        <is>
          <t>07/04/2026</t>
        </is>
      </c>
      <c r="B1720" t="inlineStr">
        <is>
          <t>PVcomBank</t>
        </is>
      </c>
      <c r="C1720" t="n">
        <v>26103</v>
      </c>
      <c r="D1720" t="n">
        <v>26133</v>
      </c>
      <c r="E1720" t="n">
        <v>26363</v>
      </c>
    </row>
    <row r="1721">
      <c r="A1721" t="inlineStr">
        <is>
          <t>06/04/2026</t>
        </is>
      </c>
      <c r="B1721" t="inlineStr">
        <is>
          <t>PVcomBank</t>
        </is>
      </c>
      <c r="C1721" t="n">
        <v>26101</v>
      </c>
      <c r="D1721" t="n">
        <v>26131</v>
      </c>
      <c r="E1721" t="n">
        <v>26361</v>
      </c>
    </row>
    <row r="1722">
      <c r="A1722" t="inlineStr">
        <is>
          <t>05/04/2026</t>
        </is>
      </c>
      <c r="B1722" t="inlineStr">
        <is>
          <t>PVcomBank</t>
        </is>
      </c>
      <c r="C1722" t="n">
        <v>26102</v>
      </c>
      <c r="D1722" t="n">
        <v>26132</v>
      </c>
      <c r="E1722" t="n">
        <v>26362</v>
      </c>
    </row>
    <row r="1723">
      <c r="A1723" t="inlineStr">
        <is>
          <t>04/04/2026</t>
        </is>
      </c>
      <c r="B1723" t="inlineStr">
        <is>
          <t>PVcomBank</t>
        </is>
      </c>
      <c r="C1723" t="n">
        <v>26102</v>
      </c>
      <c r="D1723" t="n">
        <v>26132</v>
      </c>
      <c r="E1723" t="n">
        <v>26362</v>
      </c>
    </row>
    <row r="1724">
      <c r="A1724" t="inlineStr">
        <is>
          <t>03/04/2026</t>
        </is>
      </c>
      <c r="B1724" t="inlineStr">
        <is>
          <t>PVcomBank</t>
        </is>
      </c>
      <c r="C1724" t="n">
        <v>26102</v>
      </c>
      <c r="D1724" t="n">
        <v>26132</v>
      </c>
      <c r="E1724" t="n">
        <v>26362</v>
      </c>
    </row>
    <row r="1725">
      <c r="A1725" t="inlineStr">
        <is>
          <t>02/04/2026</t>
        </is>
      </c>
      <c r="B1725" t="inlineStr">
        <is>
          <t>PVcomBank</t>
        </is>
      </c>
      <c r="C1725" t="n">
        <v>26102</v>
      </c>
      <c r="D1725" t="n">
        <v>26132</v>
      </c>
      <c r="E1725" t="n">
        <v>26362</v>
      </c>
    </row>
    <row r="1726">
      <c r="A1726" t="inlineStr">
        <is>
          <t>01/04/2026</t>
        </is>
      </c>
      <c r="B1726" t="inlineStr">
        <is>
          <t>PVcomBank</t>
        </is>
      </c>
      <c r="C1726" t="n">
        <v>26100</v>
      </c>
      <c r="D1726" t="n">
        <v>26130</v>
      </c>
      <c r="E1726" t="n">
        <v>26360</v>
      </c>
    </row>
    <row r="1727">
      <c r="A1727" t="inlineStr">
        <is>
          <t>31/03/2026</t>
        </is>
      </c>
      <c r="B1727" t="inlineStr">
        <is>
          <t>PVcomBank</t>
        </is>
      </c>
      <c r="C1727" t="n">
        <v>25927</v>
      </c>
      <c r="D1727" t="n">
        <v>25957</v>
      </c>
      <c r="E1727" t="n">
        <v>26357</v>
      </c>
    </row>
    <row r="1728">
      <c r="A1728" t="inlineStr">
        <is>
          <t>30/03/2026</t>
        </is>
      </c>
      <c r="B1728" t="inlineStr">
        <is>
          <t>PVcomBank</t>
        </is>
      </c>
      <c r="C1728" t="n">
        <v>26095</v>
      </c>
      <c r="D1728" t="n">
        <v>26125</v>
      </c>
      <c r="E1728" t="n">
        <v>26355</v>
      </c>
    </row>
    <row r="1729">
      <c r="A1729" t="inlineStr">
        <is>
          <t>29/03/2026</t>
        </is>
      </c>
      <c r="B1729" t="inlineStr">
        <is>
          <t>PVcomBank</t>
        </is>
      </c>
      <c r="C1729" t="n">
        <v>26095</v>
      </c>
      <c r="D1729" t="n">
        <v>26125</v>
      </c>
      <c r="E1729" t="n">
        <v>26355</v>
      </c>
    </row>
    <row r="1730">
      <c r="A1730" t="inlineStr">
        <is>
          <t>28/03/2026</t>
        </is>
      </c>
      <c r="B1730" t="inlineStr">
        <is>
          <t>PVcomBank</t>
        </is>
      </c>
      <c r="C1730" t="n">
        <v>26095</v>
      </c>
      <c r="D1730" t="n">
        <v>26125</v>
      </c>
      <c r="E1730" t="n">
        <v>26355</v>
      </c>
    </row>
    <row r="1731">
      <c r="A1731" t="inlineStr">
        <is>
          <t>27/03/2026</t>
        </is>
      </c>
      <c r="B1731" t="inlineStr">
        <is>
          <t>PVcomBank</t>
        </is>
      </c>
      <c r="C1731" t="n">
        <v>26095</v>
      </c>
      <c r="D1731" t="n">
        <v>26125</v>
      </c>
      <c r="E1731" t="n">
        <v>26355</v>
      </c>
    </row>
    <row r="1732">
      <c r="A1732" t="inlineStr">
        <is>
          <t>26/03/2026</t>
        </is>
      </c>
      <c r="B1732" t="inlineStr">
        <is>
          <t>PVcomBank</t>
        </is>
      </c>
      <c r="C1732" t="n">
        <v>26097</v>
      </c>
      <c r="D1732" t="n">
        <v>26127</v>
      </c>
      <c r="E1732" t="n">
        <v>26357</v>
      </c>
    </row>
    <row r="1733">
      <c r="A1733" t="inlineStr">
        <is>
          <t>25/03/2026</t>
        </is>
      </c>
      <c r="B1733" t="inlineStr">
        <is>
          <t>PVcomBank</t>
        </is>
      </c>
      <c r="C1733" t="n">
        <v>26099</v>
      </c>
      <c r="D1733" t="n">
        <v>26129</v>
      </c>
      <c r="E1733" t="n">
        <v>26359</v>
      </c>
    </row>
    <row r="1734">
      <c r="A1734" t="inlineStr">
        <is>
          <t>24/03/2026</t>
        </is>
      </c>
      <c r="B1734" t="inlineStr">
        <is>
          <t>PVcomBank</t>
        </is>
      </c>
      <c r="C1734" t="n">
        <v>26084</v>
      </c>
      <c r="D1734" t="n">
        <v>26114</v>
      </c>
      <c r="E1734" t="n">
        <v>26364</v>
      </c>
    </row>
    <row r="1735">
      <c r="A1735" t="inlineStr">
        <is>
          <t>23/03/2026</t>
        </is>
      </c>
      <c r="B1735" t="inlineStr">
        <is>
          <t>PVcomBank</t>
        </is>
      </c>
      <c r="C1735" t="n">
        <v>26064</v>
      </c>
      <c r="D1735" t="n">
        <v>26094</v>
      </c>
      <c r="E1735" t="n">
        <v>26344</v>
      </c>
    </row>
    <row r="1736">
      <c r="A1736" t="inlineStr">
        <is>
          <t>22/03/2026</t>
        </is>
      </c>
      <c r="B1736" t="inlineStr">
        <is>
          <t>PVcomBank</t>
        </is>
      </c>
      <c r="C1736" t="n">
        <v>26050</v>
      </c>
      <c r="D1736" t="n">
        <v>26100</v>
      </c>
      <c r="E1736" t="n">
        <v>26339</v>
      </c>
    </row>
    <row r="1737">
      <c r="A1737" t="inlineStr">
        <is>
          <t>21/03/2026</t>
        </is>
      </c>
      <c r="B1737" t="inlineStr">
        <is>
          <t>PVcomBank</t>
        </is>
      </c>
      <c r="C1737" t="n">
        <v>26050</v>
      </c>
      <c r="D1737" t="n">
        <v>26100</v>
      </c>
      <c r="E1737" t="n">
        <v>26339</v>
      </c>
    </row>
    <row r="1738">
      <c r="A1738" t="inlineStr">
        <is>
          <t>20/03/2026</t>
        </is>
      </c>
      <c r="B1738" t="inlineStr">
        <is>
          <t>PVcomBank</t>
        </is>
      </c>
      <c r="C1738" t="n">
        <v>26050</v>
      </c>
      <c r="D1738" t="n">
        <v>26100</v>
      </c>
      <c r="E1738" t="n">
        <v>26339</v>
      </c>
    </row>
    <row r="1739">
      <c r="A1739" t="inlineStr">
        <is>
          <t>19/03/2026</t>
        </is>
      </c>
      <c r="B1739" t="inlineStr">
        <is>
          <t>PVcomBank</t>
        </is>
      </c>
      <c r="C1739" t="n">
        <v>26045</v>
      </c>
      <c r="D1739" t="n">
        <v>26075</v>
      </c>
      <c r="E1739" t="n">
        <v>26325</v>
      </c>
    </row>
    <row r="1740">
      <c r="A1740" t="inlineStr">
        <is>
          <t>18/03/2026</t>
        </is>
      </c>
      <c r="B1740" t="inlineStr">
        <is>
          <t>PVcomBank</t>
        </is>
      </c>
      <c r="C1740" t="n">
        <v>26040</v>
      </c>
      <c r="D1740" t="n">
        <v>26070</v>
      </c>
      <c r="E1740" t="n">
        <v>26320</v>
      </c>
    </row>
    <row r="1741">
      <c r="A1741" t="inlineStr">
        <is>
          <t>17/03/2026</t>
        </is>
      </c>
      <c r="B1741" t="inlineStr">
        <is>
          <t>PVcomBank</t>
        </is>
      </c>
      <c r="C1741" t="n">
        <v>26041</v>
      </c>
      <c r="D1741" t="n">
        <v>26071</v>
      </c>
      <c r="E1741" t="n">
        <v>26321</v>
      </c>
    </row>
    <row r="1742">
      <c r="A1742" t="inlineStr">
        <is>
          <t>16/03/2026</t>
        </is>
      </c>
      <c r="B1742" t="inlineStr">
        <is>
          <t>PVcomBank</t>
        </is>
      </c>
      <c r="C1742" t="n">
        <v>26041</v>
      </c>
      <c r="D1742" t="n">
        <v>26071</v>
      </c>
      <c r="E1742" t="n">
        <v>26321</v>
      </c>
    </row>
    <row r="1743">
      <c r="A1743" t="inlineStr">
        <is>
          <t>15/03/2026</t>
        </is>
      </c>
      <c r="B1743" t="inlineStr">
        <is>
          <t>PVcomBank</t>
        </is>
      </c>
      <c r="C1743" t="n">
        <v>26038</v>
      </c>
      <c r="D1743" t="n">
        <v>26068</v>
      </c>
      <c r="E1743" t="n">
        <v>26318</v>
      </c>
    </row>
    <row r="1744">
      <c r="A1744" t="inlineStr">
        <is>
          <t>14/03/2026</t>
        </is>
      </c>
      <c r="B1744" t="inlineStr">
        <is>
          <t>PVcomBank</t>
        </is>
      </c>
      <c r="C1744" t="n">
        <v>26038</v>
      </c>
      <c r="D1744" t="n">
        <v>26068</v>
      </c>
      <c r="E1744" t="n">
        <v>26318</v>
      </c>
    </row>
    <row r="1745">
      <c r="A1745" t="inlineStr">
        <is>
          <t>13/03/2026</t>
        </is>
      </c>
      <c r="B1745" t="inlineStr">
        <is>
          <t>PVcomBank</t>
        </is>
      </c>
      <c r="C1745" t="n">
        <v>26038</v>
      </c>
      <c r="D1745" t="n">
        <v>26068</v>
      </c>
      <c r="E1745" t="n">
        <v>26318</v>
      </c>
    </row>
    <row r="1746">
      <c r="A1746" t="inlineStr">
        <is>
          <t>12/03/2026</t>
        </is>
      </c>
      <c r="B1746" t="inlineStr">
        <is>
          <t>PVcomBank</t>
        </is>
      </c>
      <c r="C1746" t="n">
        <v>25994</v>
      </c>
      <c r="D1746" t="n">
        <v>26024</v>
      </c>
      <c r="E1746" t="n">
        <v>26314</v>
      </c>
    </row>
    <row r="1747">
      <c r="A1747" t="inlineStr">
        <is>
          <t>11/03/2026</t>
        </is>
      </c>
      <c r="B1747" t="inlineStr">
        <is>
          <t>PVcomBank</t>
        </is>
      </c>
      <c r="C1747" t="n">
        <v>25971</v>
      </c>
      <c r="D1747" t="n">
        <v>26001</v>
      </c>
      <c r="E1747" t="n">
        <v>26311</v>
      </c>
    </row>
    <row r="1748">
      <c r="A1748" t="inlineStr">
        <is>
          <t>10/03/2026</t>
        </is>
      </c>
      <c r="B1748" t="inlineStr">
        <is>
          <t>PVcomBank</t>
        </is>
      </c>
      <c r="C1748" t="n">
        <v>25790</v>
      </c>
      <c r="D1748" t="n">
        <v>25800</v>
      </c>
      <c r="E1748" t="n">
        <v>26315</v>
      </c>
    </row>
    <row r="1749">
      <c r="A1749" t="inlineStr">
        <is>
          <t>09/03/2026</t>
        </is>
      </c>
      <c r="B1749" t="inlineStr">
        <is>
          <t>PVcomBank</t>
        </is>
      </c>
      <c r="C1749" t="n">
        <v>25991</v>
      </c>
      <c r="D1749" t="n">
        <v>26021</v>
      </c>
      <c r="E1749" t="n">
        <v>26311</v>
      </c>
    </row>
    <row r="1750">
      <c r="A1750" t="inlineStr">
        <is>
          <t>08/03/2026</t>
        </is>
      </c>
      <c r="B1750" t="inlineStr">
        <is>
          <t>PVcomBank</t>
        </is>
      </c>
      <c r="C1750" t="n">
        <v>25989</v>
      </c>
      <c r="D1750" t="n">
        <v>26019</v>
      </c>
      <c r="E1750" t="n">
        <v>26309</v>
      </c>
    </row>
    <row r="1751">
      <c r="A1751" t="inlineStr">
        <is>
          <t>07/03/2026</t>
        </is>
      </c>
      <c r="B1751" t="inlineStr">
        <is>
          <t>PVcomBank</t>
        </is>
      </c>
      <c r="C1751" t="n">
        <v>25989</v>
      </c>
      <c r="D1751" t="n">
        <v>26019</v>
      </c>
      <c r="E1751" t="n">
        <v>26309</v>
      </c>
    </row>
    <row r="1752">
      <c r="A1752" t="inlineStr">
        <is>
          <t>06/03/2026</t>
        </is>
      </c>
      <c r="B1752" t="inlineStr">
        <is>
          <t>PVcomBank</t>
        </is>
      </c>
      <c r="C1752" t="n">
        <v>25989</v>
      </c>
      <c r="D1752" t="n">
        <v>26019</v>
      </c>
      <c r="E1752" t="n">
        <v>26309</v>
      </c>
    </row>
    <row r="1753">
      <c r="A1753" t="inlineStr">
        <is>
          <t>05/03/2026</t>
        </is>
      </c>
      <c r="B1753" t="inlineStr">
        <is>
          <t>PVcomBank</t>
        </is>
      </c>
      <c r="C1753" t="n">
        <v>25967</v>
      </c>
      <c r="D1753" t="n">
        <v>25997</v>
      </c>
      <c r="E1753" t="n">
        <v>26307</v>
      </c>
    </row>
    <row r="1754">
      <c r="A1754" t="inlineStr">
        <is>
          <t>04/03/2026</t>
        </is>
      </c>
      <c r="B1754" t="inlineStr">
        <is>
          <t>PVcomBank</t>
        </is>
      </c>
      <c r="C1754" t="n">
        <v>25964</v>
      </c>
      <c r="D1754" t="n">
        <v>25994</v>
      </c>
      <c r="E1754" t="n">
        <v>26304</v>
      </c>
    </row>
    <row r="1755">
      <c r="A1755" t="inlineStr">
        <is>
          <t>03/03/2026</t>
        </is>
      </c>
      <c r="B1755" t="inlineStr">
        <is>
          <t>PVcomBank</t>
        </is>
      </c>
      <c r="C1755" t="n">
        <v>25958</v>
      </c>
      <c r="D1755" t="n">
        <v>25988</v>
      </c>
      <c r="E1755" t="n">
        <v>26298</v>
      </c>
    </row>
    <row r="1756">
      <c r="A1756" t="inlineStr">
        <is>
          <t>02/03/2026</t>
        </is>
      </c>
      <c r="B1756" t="inlineStr">
        <is>
          <t>PVcomBank</t>
        </is>
      </c>
      <c r="C1756" t="n">
        <v>25830</v>
      </c>
      <c r="D1756" t="n">
        <v>25860</v>
      </c>
      <c r="E1756" t="n">
        <v>26260</v>
      </c>
    </row>
    <row r="1757">
      <c r="A1757" t="inlineStr">
        <is>
          <t>01/03/2026</t>
        </is>
      </c>
      <c r="B1757" t="inlineStr">
        <is>
          <t>PVcomBank</t>
        </is>
      </c>
      <c r="C1757" t="n">
        <v>25720</v>
      </c>
      <c r="D1757" t="n">
        <v>25750</v>
      </c>
      <c r="E1757" t="n">
        <v>26170</v>
      </c>
    </row>
    <row r="1758">
      <c r="A1758" t="inlineStr">
        <is>
          <t>28/02/2026</t>
        </is>
      </c>
      <c r="B1758" t="inlineStr">
        <is>
          <t>PVcomBank</t>
        </is>
      </c>
      <c r="C1758" t="n">
        <v>25720</v>
      </c>
      <c r="D1758" t="n">
        <v>25750</v>
      </c>
      <c r="E1758" t="n">
        <v>26170</v>
      </c>
    </row>
    <row r="1759">
      <c r="A1759" t="inlineStr">
        <is>
          <t>27/02/2026</t>
        </is>
      </c>
      <c r="B1759" t="inlineStr">
        <is>
          <t>PVcomBank</t>
        </is>
      </c>
      <c r="C1759" t="n">
        <v>25720</v>
      </c>
      <c r="D1759" t="n">
        <v>25750</v>
      </c>
      <c r="E1759" t="n">
        <v>26170</v>
      </c>
    </row>
    <row r="1760">
      <c r="A1760" t="inlineStr">
        <is>
          <t>26/02/2026</t>
        </is>
      </c>
      <c r="B1760" t="inlineStr">
        <is>
          <t>PVcomBank</t>
        </is>
      </c>
      <c r="C1760" t="n">
        <v>25870</v>
      </c>
      <c r="D1760" t="n">
        <v>25900</v>
      </c>
      <c r="E1760" t="n">
        <v>26300</v>
      </c>
    </row>
    <row r="1761">
      <c r="A1761" t="inlineStr">
        <is>
          <t>25/02/2026</t>
        </is>
      </c>
      <c r="B1761" t="inlineStr">
        <is>
          <t>PVcomBank</t>
        </is>
      </c>
      <c r="C1761" t="n">
        <v>25969</v>
      </c>
      <c r="D1761" t="n">
        <v>25999</v>
      </c>
      <c r="E1761" t="n">
        <v>26299</v>
      </c>
    </row>
    <row r="1762">
      <c r="A1762" t="inlineStr">
        <is>
          <t>24/02/2026</t>
        </is>
      </c>
      <c r="B1762" t="inlineStr">
        <is>
          <t>PVcomBank</t>
        </is>
      </c>
      <c r="C1762" t="n">
        <v>25900</v>
      </c>
      <c r="D1762" t="n">
        <v>25930</v>
      </c>
      <c r="E1762" t="n">
        <v>26290</v>
      </c>
    </row>
    <row r="1763">
      <c r="A1763" t="inlineStr">
        <is>
          <t>23/02/2026</t>
        </is>
      </c>
      <c r="B1763" t="inlineStr">
        <is>
          <t>PVcomBank</t>
        </is>
      </c>
      <c r="C1763" t="n">
        <v>25770</v>
      </c>
      <c r="D1763" t="n">
        <v>25800</v>
      </c>
      <c r="E1763" t="n">
        <v>26160</v>
      </c>
    </row>
    <row r="1764">
      <c r="A1764" t="inlineStr">
        <is>
          <t>22/02/2026</t>
        </is>
      </c>
      <c r="B1764" t="inlineStr">
        <is>
          <t>PVcomBank</t>
        </is>
      </c>
      <c r="C1764" t="n">
        <v>25760</v>
      </c>
      <c r="D1764" t="n">
        <v>25790</v>
      </c>
      <c r="E1764" t="n">
        <v>26150</v>
      </c>
    </row>
    <row r="1765">
      <c r="A1765" t="inlineStr">
        <is>
          <t>21/02/2026</t>
        </is>
      </c>
      <c r="B1765" t="inlineStr">
        <is>
          <t>PVcomBank</t>
        </is>
      </c>
      <c r="C1765" t="n">
        <v>25760</v>
      </c>
      <c r="D1765" t="n">
        <v>25790</v>
      </c>
      <c r="E1765" t="n">
        <v>26150</v>
      </c>
    </row>
    <row r="1766">
      <c r="A1766" t="inlineStr">
        <is>
          <t>20/02/2026</t>
        </is>
      </c>
      <c r="B1766" t="inlineStr">
        <is>
          <t>PVcomBank</t>
        </is>
      </c>
      <c r="C1766" t="n">
        <v>25760</v>
      </c>
      <c r="D1766" t="n">
        <v>25790</v>
      </c>
      <c r="E1766" t="n">
        <v>26150</v>
      </c>
    </row>
    <row r="1767">
      <c r="A1767" t="inlineStr">
        <is>
          <t>19/02/2026</t>
        </is>
      </c>
      <c r="B1767" t="inlineStr">
        <is>
          <t>PVcomBank</t>
        </is>
      </c>
      <c r="C1767" t="n">
        <v>25760</v>
      </c>
      <c r="D1767" t="n">
        <v>25790</v>
      </c>
      <c r="E1767" t="n">
        <v>26150</v>
      </c>
    </row>
    <row r="1768">
      <c r="A1768" t="inlineStr">
        <is>
          <t>18/02/2026</t>
        </is>
      </c>
      <c r="B1768" t="inlineStr">
        <is>
          <t>PVcomBank</t>
        </is>
      </c>
      <c r="C1768" t="n">
        <v>25760</v>
      </c>
      <c r="D1768" t="n">
        <v>25790</v>
      </c>
      <c r="E1768" t="n">
        <v>26150</v>
      </c>
    </row>
    <row r="1769">
      <c r="A1769" t="inlineStr">
        <is>
          <t>17/02/2026</t>
        </is>
      </c>
      <c r="B1769" t="inlineStr">
        <is>
          <t>PVcomBank</t>
        </is>
      </c>
      <c r="C1769" t="n">
        <v>25760</v>
      </c>
      <c r="D1769" t="n">
        <v>25790</v>
      </c>
      <c r="E1769" t="n">
        <v>26150</v>
      </c>
    </row>
    <row r="1770">
      <c r="A1770" t="inlineStr">
        <is>
          <t>16/02/2026</t>
        </is>
      </c>
      <c r="B1770" t="inlineStr">
        <is>
          <t>PVcomBank</t>
        </is>
      </c>
      <c r="C1770" t="n">
        <v>25760</v>
      </c>
      <c r="D1770" t="n">
        <v>25790</v>
      </c>
      <c r="E1770" t="n">
        <v>26150</v>
      </c>
    </row>
    <row r="1771">
      <c r="A1771" t="inlineStr">
        <is>
          <t>15/02/2026</t>
        </is>
      </c>
      <c r="B1771" t="inlineStr">
        <is>
          <t>PVcomBank</t>
        </is>
      </c>
      <c r="C1771" t="n">
        <v>25760</v>
      </c>
      <c r="D1771" t="n">
        <v>25790</v>
      </c>
      <c r="E1771" t="n">
        <v>26150</v>
      </c>
    </row>
    <row r="1772">
      <c r="A1772" t="inlineStr">
        <is>
          <t>14/02/2026</t>
        </is>
      </c>
      <c r="B1772" t="inlineStr">
        <is>
          <t>PVcomBank</t>
        </is>
      </c>
      <c r="C1772" t="n">
        <v>25760</v>
      </c>
      <c r="D1772" t="n">
        <v>25790</v>
      </c>
      <c r="E1772" t="n">
        <v>26150</v>
      </c>
    </row>
    <row r="1773">
      <c r="A1773" t="inlineStr">
        <is>
          <t>13/02/2026</t>
        </is>
      </c>
      <c r="B1773" t="inlineStr">
        <is>
          <t>PVcomBank</t>
        </is>
      </c>
      <c r="C1773" t="n">
        <v>25760</v>
      </c>
      <c r="D1773" t="n">
        <v>25790</v>
      </c>
      <c r="E1773" t="n">
        <v>26150</v>
      </c>
    </row>
    <row r="1774">
      <c r="A1774" t="inlineStr">
        <is>
          <t>12/02/2026</t>
        </is>
      </c>
      <c r="B1774" t="inlineStr">
        <is>
          <t>PVcomBank</t>
        </is>
      </c>
      <c r="C1774" t="n">
        <v>25780</v>
      </c>
      <c r="D1774" t="n">
        <v>25810</v>
      </c>
      <c r="E1774" t="n">
        <v>26170</v>
      </c>
    </row>
    <row r="1775">
      <c r="A1775" t="inlineStr">
        <is>
          <t>11/02/2026</t>
        </is>
      </c>
      <c r="B1775" t="inlineStr">
        <is>
          <t>PVcomBank</t>
        </is>
      </c>
      <c r="C1775" t="n">
        <v>25590</v>
      </c>
      <c r="D1775" t="n">
        <v>25620</v>
      </c>
      <c r="E1775" t="n">
        <v>26090</v>
      </c>
    </row>
    <row r="1776">
      <c r="A1776" t="inlineStr">
        <is>
          <t>10/02/2026</t>
        </is>
      </c>
      <c r="B1776" t="inlineStr">
        <is>
          <t>PVcomBank</t>
        </is>
      </c>
      <c r="C1776" t="n">
        <v>25670</v>
      </c>
      <c r="D1776" t="n">
        <v>25710</v>
      </c>
      <c r="E1776" t="n">
        <v>26100</v>
      </c>
    </row>
    <row r="1777">
      <c r="A1777" t="inlineStr">
        <is>
          <t>09/02/2026</t>
        </is>
      </c>
      <c r="B1777" t="inlineStr">
        <is>
          <t>PVcomBank</t>
        </is>
      </c>
      <c r="C1777" t="n">
        <v>25700</v>
      </c>
      <c r="D1777" t="n">
        <v>25740</v>
      </c>
      <c r="E1777" t="n">
        <v>26160</v>
      </c>
    </row>
    <row r="1778">
      <c r="A1778" t="inlineStr">
        <is>
          <t>08/02/2026</t>
        </is>
      </c>
      <c r="B1778" t="inlineStr">
        <is>
          <t>PVcomBank</t>
        </is>
      </c>
      <c r="C1778" t="n">
        <v>25740</v>
      </c>
      <c r="D1778" t="n">
        <v>25780</v>
      </c>
      <c r="E1778" t="n">
        <v>26160</v>
      </c>
    </row>
    <row r="1779">
      <c r="A1779" t="inlineStr">
        <is>
          <t>07/02/2026</t>
        </is>
      </c>
      <c r="B1779" t="inlineStr">
        <is>
          <t>PVcomBank</t>
        </is>
      </c>
      <c r="C1779" t="n">
        <v>25740</v>
      </c>
      <c r="D1779" t="n">
        <v>25780</v>
      </c>
      <c r="E1779" t="n">
        <v>26160</v>
      </c>
    </row>
    <row r="1780">
      <c r="A1780" t="inlineStr">
        <is>
          <t>06/02/2026</t>
        </is>
      </c>
      <c r="B1780" t="inlineStr">
        <is>
          <t>PVcomBank</t>
        </is>
      </c>
      <c r="C1780" t="n">
        <v>25740</v>
      </c>
      <c r="D1780" t="n">
        <v>25780</v>
      </c>
      <c r="E1780" t="n">
        <v>26160</v>
      </c>
    </row>
    <row r="1781">
      <c r="A1781" t="inlineStr">
        <is>
          <t>05/02/2026</t>
        </is>
      </c>
      <c r="B1781" t="inlineStr">
        <is>
          <t>PVcomBank</t>
        </is>
      </c>
      <c r="C1781" t="n">
        <v>25770</v>
      </c>
      <c r="D1781" t="n">
        <v>25810</v>
      </c>
      <c r="E1781" t="n">
        <v>26190</v>
      </c>
    </row>
    <row r="1782">
      <c r="A1782" t="inlineStr">
        <is>
          <t>04/02/2026</t>
        </is>
      </c>
      <c r="B1782" t="inlineStr">
        <is>
          <t>PVcomBank</t>
        </is>
      </c>
      <c r="C1782" t="n">
        <v>25760</v>
      </c>
      <c r="D1782" t="n">
        <v>25810</v>
      </c>
      <c r="E1782" t="n">
        <v>26200</v>
      </c>
    </row>
    <row r="1783">
      <c r="A1783" t="inlineStr">
        <is>
          <t>03/02/2026</t>
        </is>
      </c>
      <c r="B1783" t="inlineStr">
        <is>
          <t>PVcomBank</t>
        </is>
      </c>
      <c r="C1783" t="n">
        <v>25780</v>
      </c>
      <c r="D1783" t="n">
        <v>25830</v>
      </c>
      <c r="E1783" t="n">
        <v>26230</v>
      </c>
    </row>
    <row r="1784">
      <c r="A1784" t="inlineStr">
        <is>
          <t>02/02/2026</t>
        </is>
      </c>
      <c r="B1784" t="inlineStr">
        <is>
          <t>PVcomBank</t>
        </is>
      </c>
      <c r="C1784" t="n">
        <v>25700</v>
      </c>
      <c r="D1784" t="n">
        <v>25750</v>
      </c>
      <c r="E1784" t="n">
        <v>26150</v>
      </c>
    </row>
    <row r="1785">
      <c r="A1785" t="inlineStr">
        <is>
          <t>01/02/2026</t>
        </is>
      </c>
      <c r="B1785" t="inlineStr">
        <is>
          <t>PVcomBank</t>
        </is>
      </c>
      <c r="C1785" t="n">
        <v>25900</v>
      </c>
      <c r="D1785" t="n">
        <v>25920</v>
      </c>
      <c r="E1785" t="n">
        <v>26325</v>
      </c>
    </row>
    <row r="1786">
      <c r="A1786" t="inlineStr">
        <is>
          <t>31/01/2026</t>
        </is>
      </c>
      <c r="B1786" t="inlineStr">
        <is>
          <t>PVcomBank</t>
        </is>
      </c>
      <c r="C1786" t="n">
        <v>25900</v>
      </c>
      <c r="D1786" t="n">
        <v>25920</v>
      </c>
      <c r="E1786" t="n">
        <v>26325</v>
      </c>
    </row>
    <row r="1787">
      <c r="A1787" t="inlineStr">
        <is>
          <t>30/01/2026</t>
        </is>
      </c>
      <c r="B1787" t="inlineStr">
        <is>
          <t>PVcomBank</t>
        </is>
      </c>
      <c r="C1787" t="n">
        <v>25900</v>
      </c>
      <c r="D1787" t="n">
        <v>25920</v>
      </c>
      <c r="E1787" t="n">
        <v>26325</v>
      </c>
    </row>
    <row r="1788">
      <c r="A1788" t="inlineStr">
        <is>
          <t>29/01/2026</t>
        </is>
      </c>
      <c r="B1788" t="inlineStr">
        <is>
          <t>PVcomBank</t>
        </is>
      </c>
      <c r="C1788" t="n">
        <v>25750</v>
      </c>
      <c r="D1788" t="n">
        <v>25800</v>
      </c>
      <c r="E1788" t="n">
        <v>26250</v>
      </c>
    </row>
    <row r="1789">
      <c r="A1789" t="inlineStr">
        <is>
          <t>28/01/2026</t>
        </is>
      </c>
      <c r="B1789" t="inlineStr">
        <is>
          <t>PVcomBank</t>
        </is>
      </c>
      <c r="C1789" t="n">
        <v>25932</v>
      </c>
      <c r="D1789" t="n">
        <v>25962</v>
      </c>
      <c r="E1789" t="n">
        <v>26342</v>
      </c>
    </row>
    <row r="1790">
      <c r="A1790" t="inlineStr">
        <is>
          <t>27/01/2026</t>
        </is>
      </c>
      <c r="B1790" t="inlineStr">
        <is>
          <t>PVcomBank</t>
        </is>
      </c>
      <c r="C1790" t="n">
        <v>25942</v>
      </c>
      <c r="D1790" t="n">
        <v>25972</v>
      </c>
      <c r="E1790" t="n">
        <v>26352</v>
      </c>
    </row>
    <row r="1791">
      <c r="A1791" t="inlineStr">
        <is>
          <t>26/01/2026</t>
        </is>
      </c>
      <c r="B1791" t="inlineStr">
        <is>
          <t>PVcomBank</t>
        </is>
      </c>
      <c r="C1791" t="n">
        <v>25998</v>
      </c>
      <c r="D1791" t="n">
        <v>26028</v>
      </c>
      <c r="E1791" t="n">
        <v>26368</v>
      </c>
    </row>
    <row r="1792">
      <c r="A1792" t="inlineStr">
        <is>
          <t>25/01/2026</t>
        </is>
      </c>
      <c r="B1792" t="inlineStr">
        <is>
          <t>PVcomBank</t>
        </is>
      </c>
      <c r="C1792" t="n">
        <v>25880</v>
      </c>
      <c r="D1792" t="n">
        <v>25900</v>
      </c>
      <c r="E1792" t="n">
        <v>26381</v>
      </c>
    </row>
    <row r="1793">
      <c r="A1793" t="inlineStr">
        <is>
          <t>24/01/2026</t>
        </is>
      </c>
      <c r="B1793" t="inlineStr">
        <is>
          <t>PVcomBank</t>
        </is>
      </c>
      <c r="C1793" t="n">
        <v>25880</v>
      </c>
      <c r="D1793" t="n">
        <v>25900</v>
      </c>
      <c r="E1793" t="n">
        <v>26381</v>
      </c>
    </row>
    <row r="1794">
      <c r="A1794" t="inlineStr">
        <is>
          <t>23/01/2026</t>
        </is>
      </c>
      <c r="B1794" t="inlineStr">
        <is>
          <t>PVcomBank</t>
        </is>
      </c>
      <c r="C1794" t="n">
        <v>25880</v>
      </c>
      <c r="D1794" t="n">
        <v>25900</v>
      </c>
      <c r="E1794" t="n">
        <v>26381</v>
      </c>
    </row>
    <row r="1795">
      <c r="A1795" t="inlineStr">
        <is>
          <t>22/01/2026</t>
        </is>
      </c>
      <c r="B1795" t="inlineStr">
        <is>
          <t>PVcomBank</t>
        </is>
      </c>
      <c r="C1795" t="n">
        <v>26031</v>
      </c>
      <c r="D1795" t="n">
        <v>26061</v>
      </c>
      <c r="E1795" t="n">
        <v>26381</v>
      </c>
    </row>
    <row r="1796">
      <c r="A1796" t="inlineStr">
        <is>
          <t>21/01/2026</t>
        </is>
      </c>
      <c r="B1796" t="inlineStr">
        <is>
          <t>PVcomBank</t>
        </is>
      </c>
      <c r="C1796" t="n">
        <v>26030</v>
      </c>
      <c r="D1796" t="n">
        <v>26060</v>
      </c>
      <c r="E1796" t="n">
        <v>26380</v>
      </c>
    </row>
    <row r="1797">
      <c r="A1797" t="inlineStr">
        <is>
          <t>20/01/2026</t>
        </is>
      </c>
      <c r="B1797" t="inlineStr">
        <is>
          <t>PVcomBank</t>
        </is>
      </c>
      <c r="C1797" t="n">
        <v>26036</v>
      </c>
      <c r="D1797" t="n">
        <v>26066</v>
      </c>
      <c r="E1797" t="n">
        <v>26386</v>
      </c>
    </row>
    <row r="1798">
      <c r="A1798" t="inlineStr">
        <is>
          <t>19/01/2026</t>
        </is>
      </c>
      <c r="B1798" t="inlineStr">
        <is>
          <t>PVcomBank</t>
        </is>
      </c>
      <c r="C1798" t="n">
        <v>26038</v>
      </c>
      <c r="D1798" t="n">
        <v>26068</v>
      </c>
      <c r="E1798" t="n">
        <v>26388</v>
      </c>
    </row>
    <row r="1799">
      <c r="A1799" t="inlineStr">
        <is>
          <t>18/01/2026</t>
        </is>
      </c>
      <c r="B1799" t="inlineStr">
        <is>
          <t>PVcomBank</t>
        </is>
      </c>
      <c r="C1799" t="n">
        <v>26037</v>
      </c>
      <c r="D1799" t="n">
        <v>26067</v>
      </c>
      <c r="E1799" t="n">
        <v>26387</v>
      </c>
    </row>
    <row r="1800">
      <c r="A1800" t="inlineStr">
        <is>
          <t>17/01/2026</t>
        </is>
      </c>
      <c r="B1800" t="inlineStr">
        <is>
          <t>PVcomBank</t>
        </is>
      </c>
      <c r="C1800" t="n">
        <v>26037</v>
      </c>
      <c r="D1800" t="n">
        <v>26067</v>
      </c>
      <c r="E1800" t="n">
        <v>26387</v>
      </c>
    </row>
    <row r="1801">
      <c r="A1801" t="inlineStr">
        <is>
          <t>16/01/2026</t>
        </is>
      </c>
      <c r="B1801" t="inlineStr">
        <is>
          <t>PVcomBank</t>
        </is>
      </c>
      <c r="C1801" t="n">
        <v>26037</v>
      </c>
      <c r="D1801" t="n">
        <v>26067</v>
      </c>
      <c r="E1801" t="n">
        <v>26387</v>
      </c>
    </row>
    <row r="1802">
      <c r="A1802" t="inlineStr">
        <is>
          <t>15/01/2026</t>
        </is>
      </c>
      <c r="B1802" t="inlineStr">
        <is>
          <t>PVcomBank</t>
        </is>
      </c>
      <c r="C1802" t="n">
        <v>26041</v>
      </c>
      <c r="D1802" t="n">
        <v>26071</v>
      </c>
      <c r="E1802" t="n">
        <v>26391</v>
      </c>
    </row>
    <row r="1803">
      <c r="A1803" t="inlineStr">
        <is>
          <t>14/01/2026</t>
        </is>
      </c>
      <c r="B1803" t="inlineStr">
        <is>
          <t>PVcomBank</t>
        </is>
      </c>
      <c r="C1803" t="n">
        <v>26041</v>
      </c>
      <c r="D1803" t="n">
        <v>26071</v>
      </c>
      <c r="E1803" t="n">
        <v>26391</v>
      </c>
    </row>
    <row r="1804">
      <c r="A1804" t="inlineStr">
        <is>
          <t>13/01/2026</t>
        </is>
      </c>
      <c r="B1804" t="inlineStr">
        <is>
          <t>PVcomBank</t>
        </is>
      </c>
      <c r="C1804" t="n">
        <v>26035</v>
      </c>
      <c r="D1804" t="n">
        <v>26065</v>
      </c>
      <c r="E1804" t="n">
        <v>26385</v>
      </c>
    </row>
    <row r="1805">
      <c r="A1805" t="inlineStr">
        <is>
          <t>12/01/2026</t>
        </is>
      </c>
      <c r="B1805" t="inlineStr">
        <is>
          <t>PVcomBank</t>
        </is>
      </c>
      <c r="C1805" t="n">
        <v>26035</v>
      </c>
      <c r="D1805" t="n">
        <v>26065</v>
      </c>
      <c r="E1805" t="n">
        <v>26385</v>
      </c>
    </row>
    <row r="1806">
      <c r="A1806" t="inlineStr">
        <is>
          <t>11/01/2026</t>
        </is>
      </c>
      <c r="B1806" t="inlineStr">
        <is>
          <t>PVcomBank</t>
        </is>
      </c>
      <c r="C1806" t="n">
        <v>25370</v>
      </c>
      <c r="D1806" t="n">
        <v>25400</v>
      </c>
      <c r="E1806" t="n">
        <v>26387</v>
      </c>
    </row>
    <row r="1807">
      <c r="A1807" t="inlineStr">
        <is>
          <t>10/01/2026</t>
        </is>
      </c>
      <c r="B1807" t="inlineStr">
        <is>
          <t>PVcomBank</t>
        </is>
      </c>
      <c r="C1807" t="n">
        <v>25370</v>
      </c>
      <c r="D1807" t="n">
        <v>25400</v>
      </c>
      <c r="E1807" t="n">
        <v>26387</v>
      </c>
    </row>
    <row r="1808">
      <c r="A1808" t="inlineStr">
        <is>
          <t>09/01/2026</t>
        </is>
      </c>
      <c r="B1808" t="inlineStr">
        <is>
          <t>PVcomBank</t>
        </is>
      </c>
      <c r="C1808" t="n">
        <v>26033</v>
      </c>
      <c r="D1808" t="n">
        <v>26063</v>
      </c>
      <c r="E1808" t="n">
        <v>26383</v>
      </c>
    </row>
    <row r="1809">
      <c r="A1809" t="inlineStr">
        <is>
          <t>08/01/2026</t>
        </is>
      </c>
      <c r="B1809" t="inlineStr">
        <is>
          <t>PVcomBank</t>
        </is>
      </c>
      <c r="C1809" t="n">
        <v>26031</v>
      </c>
      <c r="D1809" t="n">
        <v>26061</v>
      </c>
      <c r="E1809" t="n">
        <v>26381</v>
      </c>
    </row>
    <row r="1810">
      <c r="A1810" t="inlineStr">
        <is>
          <t>07/01/2026</t>
        </is>
      </c>
      <c r="B1810" t="inlineStr">
        <is>
          <t>PVcomBank</t>
        </is>
      </c>
      <c r="C1810" t="n">
        <v>26028</v>
      </c>
      <c r="D1810" t="n">
        <v>26058</v>
      </c>
      <c r="E1810" t="n">
        <v>26378</v>
      </c>
    </row>
    <row r="1811">
      <c r="A1811" t="inlineStr">
        <is>
          <t>06/01/2026</t>
        </is>
      </c>
      <c r="B1811" t="inlineStr">
        <is>
          <t>PVcomBank</t>
        </is>
      </c>
      <c r="C1811" t="n">
        <v>26028</v>
      </c>
      <c r="D1811" t="n">
        <v>26058</v>
      </c>
      <c r="E1811" t="n">
        <v>26378</v>
      </c>
    </row>
    <row r="1812">
      <c r="A1812" t="inlineStr">
        <is>
          <t>05/01/2026</t>
        </is>
      </c>
      <c r="B1812" t="inlineStr">
        <is>
          <t>PVcomBank</t>
        </is>
      </c>
      <c r="C1812" t="n">
        <v>26030</v>
      </c>
      <c r="D1812" t="n">
        <v>26060</v>
      </c>
      <c r="E1812" t="n">
        <v>26380</v>
      </c>
    </row>
    <row r="1813">
      <c r="A1813" t="inlineStr">
        <is>
          <t>04/01/2026</t>
        </is>
      </c>
      <c r="B1813" t="inlineStr">
        <is>
          <t>PVcomBank</t>
        </is>
      </c>
      <c r="C1813" t="n">
        <v>25850</v>
      </c>
      <c r="D1813" t="n">
        <v>25870</v>
      </c>
      <c r="E1813" t="n">
        <v>26360</v>
      </c>
    </row>
    <row r="1814">
      <c r="A1814" t="inlineStr">
        <is>
          <t>03/01/2026</t>
        </is>
      </c>
      <c r="B1814" t="inlineStr">
        <is>
          <t>PVcomBank</t>
        </is>
      </c>
      <c r="C1814" t="n">
        <v>25850</v>
      </c>
      <c r="D1814" t="n">
        <v>25870</v>
      </c>
      <c r="E1814" t="n">
        <v>26360</v>
      </c>
    </row>
    <row r="1815">
      <c r="A1815" t="inlineStr">
        <is>
          <t>02/01/2026</t>
        </is>
      </c>
      <c r="B1815" t="inlineStr">
        <is>
          <t>PVcomBank</t>
        </is>
      </c>
      <c r="C1815" t="n">
        <v>25850</v>
      </c>
      <c r="D1815" t="n">
        <v>25870</v>
      </c>
      <c r="E1815" t="n">
        <v>26360</v>
      </c>
    </row>
    <row r="1816">
      <c r="A1816" t="inlineStr">
        <is>
          <t>01/01/2026</t>
        </is>
      </c>
      <c r="B1816" t="inlineStr">
        <is>
          <t>PVcomBank</t>
        </is>
      </c>
      <c r="C1816" t="n">
        <v>25850</v>
      </c>
      <c r="D1816" t="n">
        <v>25870</v>
      </c>
      <c r="E1816" t="n">
        <v>26360</v>
      </c>
    </row>
    <row r="1817">
      <c r="A1817" t="inlineStr">
        <is>
          <t>10/09/2026</t>
        </is>
      </c>
      <c r="B1817" t="inlineStr">
        <is>
          <t>PVcomBank</t>
        </is>
      </c>
      <c r="C1817" t="n">
        <v>25620</v>
      </c>
      <c r="D1817" t="n">
        <v>25650</v>
      </c>
      <c r="E1817" t="n">
        <v>26100</v>
      </c>
    </row>
    <row r="1818">
      <c r="A1818" t="inlineStr">
        <is>
          <t>11/09/2026</t>
        </is>
      </c>
      <c r="B1818" t="inlineStr">
        <is>
          <t>PVcomBank</t>
        </is>
      </c>
      <c r="C1818" t="n">
        <v>25640</v>
      </c>
      <c r="D1818" t="n">
        <v>25670</v>
      </c>
      <c r="E1818" t="n">
        <v>26120</v>
      </c>
    </row>
    <row r="1819">
      <c r="A1819" t="inlineStr">
        <is>
          <t>12/09/2026</t>
        </is>
      </c>
      <c r="B1819" t="inlineStr">
        <is>
          <t>PVcomBank</t>
        </is>
      </c>
      <c r="C1819" t="n">
        <v>25640</v>
      </c>
      <c r="D1819" t="n">
        <v>25670</v>
      </c>
      <c r="E1819" t="n">
        <v>26120</v>
      </c>
    </row>
    <row r="1820">
      <c r="A1820" t="inlineStr">
        <is>
          <t>13/09/2026</t>
        </is>
      </c>
      <c r="B1820" t="inlineStr">
        <is>
          <t>PVcomBank</t>
        </is>
      </c>
      <c r="C1820" t="n">
        <v>25640</v>
      </c>
      <c r="D1820" t="n">
        <v>25670</v>
      </c>
      <c r="E1820" t="n">
        <v>26120</v>
      </c>
    </row>
    <row r="1821">
      <c r="A1821" t="inlineStr">
        <is>
          <t>14/09/2026</t>
        </is>
      </c>
      <c r="B1821" t="inlineStr">
        <is>
          <t>PVcomBank</t>
        </is>
      </c>
      <c r="C1821" t="n">
        <v>25760</v>
      </c>
      <c r="D1821" t="n">
        <v>25790</v>
      </c>
      <c r="E1821" t="n">
        <v>26160</v>
      </c>
    </row>
    <row r="1822">
      <c r="A1822" t="inlineStr">
        <is>
          <t>15/09/2026</t>
        </is>
      </c>
      <c r="B1822" t="inlineStr">
        <is>
          <t>PVcomBank</t>
        </is>
      </c>
      <c r="C1822" t="n">
        <v>25700</v>
      </c>
      <c r="D1822" t="n">
        <v>25730</v>
      </c>
      <c r="E1822" t="n">
        <v>26180</v>
      </c>
    </row>
    <row r="1823">
      <c r="A1823" t="inlineStr">
        <is>
          <t>16/09/2026</t>
        </is>
      </c>
      <c r="B1823" t="inlineStr">
        <is>
          <t>PVcomBank</t>
        </is>
      </c>
      <c r="C1823" t="n">
        <v>25675</v>
      </c>
      <c r="D1823" t="n">
        <v>25705</v>
      </c>
      <c r="E1823" t="n">
        <v>26155</v>
      </c>
    </row>
    <row r="1824">
      <c r="A1824" t="inlineStr">
        <is>
          <t>17/09/2026</t>
        </is>
      </c>
      <c r="B1824" t="inlineStr">
        <is>
          <t>PVcomBank</t>
        </is>
      </c>
      <c r="C1824" t="n">
        <v>25705</v>
      </c>
      <c r="D1824" t="n">
        <v>25735</v>
      </c>
      <c r="E1824" t="n">
        <v>26185</v>
      </c>
    </row>
    <row r="1825">
      <c r="A1825" t="inlineStr">
        <is>
          <t>18/09/2026</t>
        </is>
      </c>
      <c r="B1825" t="inlineStr">
        <is>
          <t>PVcomBank</t>
        </is>
      </c>
      <c r="C1825" t="n">
        <v>25720</v>
      </c>
      <c r="D1825" t="n">
        <v>25750</v>
      </c>
      <c r="E1825" t="n">
        <v>26200</v>
      </c>
    </row>
    <row r="1826">
      <c r="A1826" t="inlineStr">
        <is>
          <t>09/09/2026</t>
        </is>
      </c>
      <c r="B1826" t="inlineStr">
        <is>
          <t>Sacombank</t>
        </is>
      </c>
      <c r="C1826" t="n">
        <v>25705</v>
      </c>
      <c r="D1826" t="n">
        <v>25705</v>
      </c>
      <c r="E1826" t="n">
        <v>26095</v>
      </c>
    </row>
    <row r="1827">
      <c r="A1827" t="inlineStr">
        <is>
          <t>08/09/2026</t>
        </is>
      </c>
      <c r="B1827" t="inlineStr">
        <is>
          <t>Sacombank</t>
        </is>
      </c>
      <c r="C1827" t="n">
        <v>25775</v>
      </c>
      <c r="D1827" t="n">
        <v>25775</v>
      </c>
      <c r="E1827" t="n">
        <v>26165</v>
      </c>
    </row>
    <row r="1828">
      <c r="A1828" t="inlineStr">
        <is>
          <t>07/09/2026</t>
        </is>
      </c>
      <c r="B1828" t="inlineStr">
        <is>
          <t>Sacombank</t>
        </is>
      </c>
      <c r="C1828" t="n">
        <v>25825</v>
      </c>
      <c r="D1828" t="n">
        <v>25825</v>
      </c>
      <c r="E1828" t="n">
        <v>26215</v>
      </c>
    </row>
    <row r="1829">
      <c r="A1829" t="inlineStr">
        <is>
          <t>06/09/2026</t>
        </is>
      </c>
      <c r="B1829" t="inlineStr">
        <is>
          <t>Sacombank</t>
        </is>
      </c>
      <c r="C1829" t="n">
        <v>25870</v>
      </c>
      <c r="D1829" t="n">
        <v>25870</v>
      </c>
      <c r="E1829" t="n">
        <v>26260</v>
      </c>
    </row>
    <row r="1830">
      <c r="A1830" t="inlineStr">
        <is>
          <t>05/09/2026</t>
        </is>
      </c>
      <c r="B1830" t="inlineStr">
        <is>
          <t>Sacombank</t>
        </is>
      </c>
      <c r="C1830" t="n">
        <v>25870</v>
      </c>
      <c r="D1830" t="n">
        <v>25870</v>
      </c>
      <c r="E1830" t="n">
        <v>26260</v>
      </c>
    </row>
    <row r="1831">
      <c r="A1831" t="inlineStr">
        <is>
          <t>04/09/2026</t>
        </is>
      </c>
      <c r="B1831" t="inlineStr">
        <is>
          <t>Sacombank</t>
        </is>
      </c>
      <c r="C1831" t="n">
        <v>25870</v>
      </c>
      <c r="D1831" t="n">
        <v>25870</v>
      </c>
      <c r="E1831" t="n">
        <v>26260</v>
      </c>
    </row>
    <row r="1832">
      <c r="A1832" t="inlineStr">
        <is>
          <t>03/09/2026</t>
        </is>
      </c>
      <c r="B1832" t="inlineStr">
        <is>
          <t>Sacombank</t>
        </is>
      </c>
      <c r="C1832" t="n">
        <v>25875</v>
      </c>
      <c r="D1832" t="n">
        <v>25875</v>
      </c>
      <c r="E1832" t="n">
        <v>26265</v>
      </c>
    </row>
    <row r="1833">
      <c r="A1833" t="inlineStr">
        <is>
          <t>02/09/2026</t>
        </is>
      </c>
      <c r="B1833" t="inlineStr">
        <is>
          <t>Sacombank</t>
        </is>
      </c>
      <c r="C1833" t="n">
        <v>25875</v>
      </c>
      <c r="D1833" t="n">
        <v>25875</v>
      </c>
      <c r="E1833" t="n">
        <v>26265</v>
      </c>
    </row>
    <row r="1834">
      <c r="A1834" t="inlineStr">
        <is>
          <t>01/09/2026</t>
        </is>
      </c>
      <c r="B1834" t="inlineStr">
        <is>
          <t>Sacombank</t>
        </is>
      </c>
      <c r="C1834" t="n">
        <v>25875</v>
      </c>
      <c r="D1834" t="n">
        <v>25875</v>
      </c>
      <c r="E1834" t="n">
        <v>26265</v>
      </c>
    </row>
    <row r="1835">
      <c r="A1835" t="inlineStr">
        <is>
          <t>31/08/2026</t>
        </is>
      </c>
      <c r="B1835" t="inlineStr">
        <is>
          <t>Sacombank</t>
        </is>
      </c>
      <c r="C1835" t="n">
        <v>25875</v>
      </c>
      <c r="D1835" t="n">
        <v>25875</v>
      </c>
      <c r="E1835" t="n">
        <v>26265</v>
      </c>
    </row>
    <row r="1836">
      <c r="A1836" t="inlineStr">
        <is>
          <t>30/08/2026</t>
        </is>
      </c>
      <c r="B1836" t="inlineStr">
        <is>
          <t>Sacombank</t>
        </is>
      </c>
      <c r="C1836" t="n">
        <v>25875</v>
      </c>
      <c r="D1836" t="n">
        <v>25875</v>
      </c>
      <c r="E1836" t="n">
        <v>26265</v>
      </c>
    </row>
    <row r="1837">
      <c r="A1837" t="inlineStr">
        <is>
          <t>29/08/2026</t>
        </is>
      </c>
      <c r="B1837" t="inlineStr">
        <is>
          <t>Sacombank</t>
        </is>
      </c>
      <c r="C1837" t="n">
        <v>25875</v>
      </c>
      <c r="D1837" t="n">
        <v>25875</v>
      </c>
      <c r="E1837" t="n">
        <v>26265</v>
      </c>
    </row>
    <row r="1838">
      <c r="A1838" t="inlineStr">
        <is>
          <t>28/08/2026</t>
        </is>
      </c>
      <c r="B1838" t="inlineStr">
        <is>
          <t>Sacombank</t>
        </is>
      </c>
      <c r="C1838" t="n">
        <v>25875</v>
      </c>
      <c r="D1838" t="n">
        <v>25875</v>
      </c>
      <c r="E1838" t="n">
        <v>26265</v>
      </c>
    </row>
    <row r="1839">
      <c r="A1839" t="inlineStr">
        <is>
          <t>27/08/2026</t>
        </is>
      </c>
      <c r="B1839" t="inlineStr">
        <is>
          <t>Sacombank</t>
        </is>
      </c>
      <c r="C1839" t="n">
        <v>25885</v>
      </c>
      <c r="D1839" t="n">
        <v>25885</v>
      </c>
      <c r="E1839" t="n">
        <v>26275</v>
      </c>
    </row>
    <row r="1840">
      <c r="A1840" t="inlineStr">
        <is>
          <t>26/08/2026</t>
        </is>
      </c>
      <c r="B1840" t="inlineStr">
        <is>
          <t>Sacombank</t>
        </is>
      </c>
      <c r="C1840" t="n">
        <v>25915</v>
      </c>
      <c r="D1840" t="n">
        <v>25915</v>
      </c>
      <c r="E1840" t="n">
        <v>26305</v>
      </c>
    </row>
    <row r="1841">
      <c r="A1841" t="inlineStr">
        <is>
          <t>25/08/2026</t>
        </is>
      </c>
      <c r="B1841" t="inlineStr">
        <is>
          <t>Sacombank</t>
        </is>
      </c>
      <c r="C1841" t="n">
        <v>25925</v>
      </c>
      <c r="D1841" t="n">
        <v>25925</v>
      </c>
      <c r="E1841" t="n">
        <v>26315</v>
      </c>
    </row>
    <row r="1842">
      <c r="A1842" t="inlineStr">
        <is>
          <t>24/08/2026</t>
        </is>
      </c>
      <c r="B1842" t="inlineStr">
        <is>
          <t>Sacombank</t>
        </is>
      </c>
      <c r="C1842" t="n">
        <v>25975</v>
      </c>
      <c r="D1842" t="n">
        <v>25975</v>
      </c>
      <c r="E1842" t="n">
        <v>26365</v>
      </c>
    </row>
    <row r="1843">
      <c r="A1843" t="inlineStr">
        <is>
          <t>23/08/2026</t>
        </is>
      </c>
      <c r="B1843" t="inlineStr">
        <is>
          <t>Sacombank</t>
        </is>
      </c>
      <c r="C1843" t="n">
        <v>25925</v>
      </c>
      <c r="D1843" t="n">
        <v>25925</v>
      </c>
      <c r="E1843" t="n">
        <v>26315</v>
      </c>
    </row>
    <row r="1844">
      <c r="A1844" t="inlineStr">
        <is>
          <t>22/08/2026</t>
        </is>
      </c>
      <c r="B1844" t="inlineStr">
        <is>
          <t>Sacombank</t>
        </is>
      </c>
      <c r="C1844" t="n">
        <v>25925</v>
      </c>
      <c r="D1844" t="n">
        <v>25925</v>
      </c>
      <c r="E1844" t="n">
        <v>26315</v>
      </c>
    </row>
    <row r="1845">
      <c r="A1845" t="inlineStr">
        <is>
          <t>21/08/2026</t>
        </is>
      </c>
      <c r="B1845" t="inlineStr">
        <is>
          <t>Sacombank</t>
        </is>
      </c>
      <c r="C1845" t="n">
        <v>25895</v>
      </c>
      <c r="D1845" t="n">
        <v>25895</v>
      </c>
      <c r="E1845" t="n">
        <v>26285</v>
      </c>
    </row>
    <row r="1846">
      <c r="A1846" t="inlineStr">
        <is>
          <t>20/08/2026</t>
        </is>
      </c>
      <c r="B1846" t="inlineStr">
        <is>
          <t>Sacombank</t>
        </is>
      </c>
      <c r="C1846" t="n">
        <v>25925</v>
      </c>
      <c r="D1846" t="n">
        <v>25925</v>
      </c>
      <c r="E1846" t="n">
        <v>26315</v>
      </c>
    </row>
    <row r="1847">
      <c r="A1847" t="inlineStr">
        <is>
          <t>19/08/2026</t>
        </is>
      </c>
      <c r="B1847" t="inlineStr">
        <is>
          <t>Sacombank</t>
        </is>
      </c>
      <c r="C1847" t="n">
        <v>25985</v>
      </c>
      <c r="D1847" t="n">
        <v>25985</v>
      </c>
      <c r="E1847" t="n">
        <v>26375</v>
      </c>
    </row>
    <row r="1848">
      <c r="A1848" t="inlineStr">
        <is>
          <t>18/08/2026</t>
        </is>
      </c>
      <c r="B1848" t="inlineStr">
        <is>
          <t>Sacombank</t>
        </is>
      </c>
      <c r="C1848" t="n">
        <v>25995</v>
      </c>
      <c r="D1848" t="n">
        <v>25995</v>
      </c>
      <c r="E1848" t="n">
        <v>26385</v>
      </c>
    </row>
    <row r="1849">
      <c r="A1849" t="inlineStr">
        <is>
          <t>17/08/2026</t>
        </is>
      </c>
      <c r="B1849" t="inlineStr">
        <is>
          <t>Sacombank</t>
        </is>
      </c>
      <c r="C1849" t="n">
        <v>26015</v>
      </c>
      <c r="D1849" t="n">
        <v>26015</v>
      </c>
      <c r="E1849" t="n">
        <v>26405</v>
      </c>
    </row>
    <row r="1850">
      <c r="A1850" t="inlineStr">
        <is>
          <t>16/08/2026</t>
        </is>
      </c>
      <c r="B1850" t="inlineStr">
        <is>
          <t>Sacombank</t>
        </is>
      </c>
      <c r="C1850" t="n">
        <v>25945</v>
      </c>
      <c r="D1850" t="n">
        <v>25945</v>
      </c>
      <c r="E1850" t="n">
        <v>26335</v>
      </c>
    </row>
    <row r="1851">
      <c r="A1851" t="inlineStr">
        <is>
          <t>15/08/2026</t>
        </is>
      </c>
      <c r="B1851" t="inlineStr">
        <is>
          <t>Sacombank</t>
        </is>
      </c>
      <c r="C1851" t="n">
        <v>25945</v>
      </c>
      <c r="D1851" t="n">
        <v>25945</v>
      </c>
      <c r="E1851" t="n">
        <v>26335</v>
      </c>
    </row>
    <row r="1852">
      <c r="A1852" t="inlineStr">
        <is>
          <t>14/08/2026</t>
        </is>
      </c>
      <c r="B1852" t="inlineStr">
        <is>
          <t>Sacombank</t>
        </is>
      </c>
      <c r="C1852" t="n">
        <v>25945</v>
      </c>
      <c r="D1852" t="n">
        <v>25945</v>
      </c>
      <c r="E1852" t="n">
        <v>26335</v>
      </c>
    </row>
    <row r="1853">
      <c r="A1853" t="inlineStr">
        <is>
          <t>13/08/2026</t>
        </is>
      </c>
      <c r="B1853" t="inlineStr">
        <is>
          <t>Sacombank</t>
        </is>
      </c>
      <c r="C1853" t="n">
        <v>25865</v>
      </c>
      <c r="D1853" t="n">
        <v>25865</v>
      </c>
      <c r="E1853" t="n">
        <v>26255</v>
      </c>
    </row>
    <row r="1854">
      <c r="A1854" t="inlineStr">
        <is>
          <t>12/08/2026</t>
        </is>
      </c>
      <c r="B1854" t="inlineStr">
        <is>
          <t>Sacombank</t>
        </is>
      </c>
      <c r="C1854" t="n">
        <v>25885</v>
      </c>
      <c r="D1854" t="n">
        <v>25885</v>
      </c>
      <c r="E1854" t="n">
        <v>26275</v>
      </c>
    </row>
    <row r="1855">
      <c r="A1855" t="inlineStr">
        <is>
          <t>11/08/2026</t>
        </is>
      </c>
      <c r="B1855" t="inlineStr">
        <is>
          <t>Sacombank</t>
        </is>
      </c>
      <c r="C1855" t="n">
        <v>25935</v>
      </c>
      <c r="D1855" t="n">
        <v>25935</v>
      </c>
      <c r="E1855" t="n">
        <v>26325</v>
      </c>
    </row>
    <row r="1856">
      <c r="A1856" t="inlineStr">
        <is>
          <t>10/08/2026</t>
        </is>
      </c>
      <c r="B1856" t="inlineStr">
        <is>
          <t>Sacombank</t>
        </is>
      </c>
      <c r="C1856" t="n">
        <v>25965</v>
      </c>
      <c r="D1856" t="n">
        <v>25965</v>
      </c>
      <c r="E1856" t="n">
        <v>26355</v>
      </c>
    </row>
    <row r="1857">
      <c r="A1857" t="inlineStr">
        <is>
          <t>09/08/2026</t>
        </is>
      </c>
      <c r="B1857" t="inlineStr">
        <is>
          <t>Sacombank</t>
        </is>
      </c>
      <c r="C1857" t="n">
        <v>26025</v>
      </c>
      <c r="D1857" t="n">
        <v>26025</v>
      </c>
      <c r="E1857" t="n">
        <v>26415</v>
      </c>
    </row>
    <row r="1858">
      <c r="A1858" t="inlineStr">
        <is>
          <t>08/08/2026</t>
        </is>
      </c>
      <c r="B1858" t="inlineStr">
        <is>
          <t>Sacombank</t>
        </is>
      </c>
      <c r="C1858" t="n">
        <v>26025</v>
      </c>
      <c r="D1858" t="n">
        <v>26025</v>
      </c>
      <c r="E1858" t="n">
        <v>26415</v>
      </c>
    </row>
    <row r="1859">
      <c r="A1859" t="inlineStr">
        <is>
          <t>07/08/2026</t>
        </is>
      </c>
      <c r="B1859" t="inlineStr">
        <is>
          <t>Sacombank</t>
        </is>
      </c>
      <c r="C1859" t="n">
        <v>26025</v>
      </c>
      <c r="D1859" t="n">
        <v>26025</v>
      </c>
      <c r="E1859" t="n">
        <v>26415</v>
      </c>
    </row>
    <row r="1860">
      <c r="A1860" t="inlineStr">
        <is>
          <t>06/08/2026</t>
        </is>
      </c>
      <c r="B1860" t="inlineStr">
        <is>
          <t>Sacombank</t>
        </is>
      </c>
      <c r="C1860" t="n">
        <v>26035</v>
      </c>
      <c r="D1860" t="n">
        <v>26035</v>
      </c>
      <c r="E1860" t="n">
        <v>26425</v>
      </c>
    </row>
    <row r="1861">
      <c r="A1861" t="inlineStr">
        <is>
          <t>05/08/2026</t>
        </is>
      </c>
      <c r="B1861" t="inlineStr">
        <is>
          <t>Sacombank</t>
        </is>
      </c>
      <c r="C1861" t="n">
        <v>26075</v>
      </c>
      <c r="D1861" t="n">
        <v>26075</v>
      </c>
      <c r="E1861" t="n">
        <v>26465</v>
      </c>
    </row>
    <row r="1862">
      <c r="A1862" t="inlineStr">
        <is>
          <t>04/08/2026</t>
        </is>
      </c>
      <c r="B1862" t="inlineStr">
        <is>
          <t>Sacombank</t>
        </is>
      </c>
      <c r="C1862" t="n">
        <v>26075</v>
      </c>
      <c r="D1862" t="n">
        <v>26075</v>
      </c>
      <c r="E1862" t="n">
        <v>26465</v>
      </c>
    </row>
    <row r="1863">
      <c r="A1863" t="inlineStr">
        <is>
          <t>03/08/2026</t>
        </is>
      </c>
      <c r="B1863" t="inlineStr">
        <is>
          <t>Sacombank</t>
        </is>
      </c>
      <c r="C1863" t="n">
        <v>26095</v>
      </c>
      <c r="D1863" t="n">
        <v>26095</v>
      </c>
      <c r="E1863" t="n">
        <v>26485</v>
      </c>
    </row>
    <row r="1864">
      <c r="A1864" t="inlineStr">
        <is>
          <t>02/08/2026</t>
        </is>
      </c>
      <c r="B1864" t="inlineStr">
        <is>
          <t>Sacombank</t>
        </is>
      </c>
      <c r="C1864" t="n">
        <v>26105</v>
      </c>
      <c r="D1864" t="n">
        <v>26105</v>
      </c>
      <c r="E1864" t="n">
        <v>26495</v>
      </c>
    </row>
    <row r="1865">
      <c r="A1865" t="inlineStr">
        <is>
          <t>01/08/2026</t>
        </is>
      </c>
      <c r="B1865" t="inlineStr">
        <is>
          <t>Sacombank</t>
        </is>
      </c>
      <c r="C1865" t="n">
        <v>26105</v>
      </c>
      <c r="D1865" t="n">
        <v>26105</v>
      </c>
      <c r="E1865" t="n">
        <v>26495</v>
      </c>
    </row>
    <row r="1866">
      <c r="A1866" t="inlineStr">
        <is>
          <t>31/07/2026</t>
        </is>
      </c>
      <c r="B1866" t="inlineStr">
        <is>
          <t>Sacombank</t>
        </is>
      </c>
      <c r="C1866" t="n">
        <v>26105</v>
      </c>
      <c r="D1866" t="n">
        <v>26105</v>
      </c>
      <c r="E1866" t="n">
        <v>26495</v>
      </c>
    </row>
    <row r="1867">
      <c r="A1867" t="inlineStr">
        <is>
          <t>30/07/2026</t>
        </is>
      </c>
      <c r="B1867" t="inlineStr">
        <is>
          <t>Sacombank</t>
        </is>
      </c>
      <c r="C1867" t="n">
        <v>26105</v>
      </c>
      <c r="D1867" t="n">
        <v>26105</v>
      </c>
      <c r="E1867" t="n">
        <v>26495</v>
      </c>
    </row>
    <row r="1868">
      <c r="A1868" t="inlineStr">
        <is>
          <t>29/07/2026</t>
        </is>
      </c>
      <c r="B1868" t="inlineStr">
        <is>
          <t>Sacombank</t>
        </is>
      </c>
      <c r="C1868" t="n">
        <v>26130</v>
      </c>
      <c r="D1868" t="n">
        <v>26130</v>
      </c>
      <c r="E1868" t="n">
        <v>26520</v>
      </c>
    </row>
    <row r="1869">
      <c r="A1869" t="inlineStr">
        <is>
          <t>28/07/2026</t>
        </is>
      </c>
      <c r="B1869" t="inlineStr">
        <is>
          <t>Sacombank</t>
        </is>
      </c>
      <c r="C1869" t="n">
        <v>26140</v>
      </c>
      <c r="D1869" t="n">
        <v>26140</v>
      </c>
      <c r="E1869" t="n">
        <v>26530</v>
      </c>
    </row>
    <row r="1870">
      <c r="A1870" t="inlineStr">
        <is>
          <t>27/07/2026</t>
        </is>
      </c>
      <c r="B1870" t="inlineStr">
        <is>
          <t>Sacombank</t>
        </is>
      </c>
      <c r="C1870" t="n">
        <v>26135</v>
      </c>
      <c r="D1870" t="n">
        <v>26135</v>
      </c>
      <c r="E1870" t="n">
        <v>26525</v>
      </c>
    </row>
    <row r="1871">
      <c r="A1871" t="inlineStr">
        <is>
          <t>26/07/2026</t>
        </is>
      </c>
      <c r="B1871" t="inlineStr">
        <is>
          <t>Sacombank</t>
        </is>
      </c>
      <c r="C1871" t="n">
        <v>26125</v>
      </c>
      <c r="D1871" t="n">
        <v>26125</v>
      </c>
      <c r="E1871" t="n">
        <v>26515</v>
      </c>
    </row>
    <row r="1872">
      <c r="A1872" t="inlineStr">
        <is>
          <t>25/07/2026</t>
        </is>
      </c>
      <c r="B1872" t="inlineStr">
        <is>
          <t>Sacombank</t>
        </is>
      </c>
      <c r="C1872" t="n">
        <v>26125</v>
      </c>
      <c r="D1872" t="n">
        <v>26125</v>
      </c>
      <c r="E1872" t="n">
        <v>26515</v>
      </c>
    </row>
    <row r="1873">
      <c r="A1873" t="inlineStr">
        <is>
          <t>24/07/2026</t>
        </is>
      </c>
      <c r="B1873" t="inlineStr">
        <is>
          <t>Sacombank</t>
        </is>
      </c>
      <c r="C1873" t="n">
        <v>26125</v>
      </c>
      <c r="D1873" t="n">
        <v>26125</v>
      </c>
      <c r="E1873" t="n">
        <v>26515</v>
      </c>
    </row>
    <row r="1874">
      <c r="A1874" t="inlineStr">
        <is>
          <t>23/07/2026</t>
        </is>
      </c>
      <c r="B1874" t="inlineStr">
        <is>
          <t>Sacombank</t>
        </is>
      </c>
      <c r="C1874" t="n">
        <v>26115</v>
      </c>
      <c r="D1874" t="n">
        <v>26115</v>
      </c>
      <c r="E1874" t="n">
        <v>26505</v>
      </c>
    </row>
    <row r="1875">
      <c r="A1875" t="inlineStr">
        <is>
          <t>22/07/2026</t>
        </is>
      </c>
      <c r="B1875" t="inlineStr">
        <is>
          <t>Sacombank</t>
        </is>
      </c>
      <c r="C1875" t="n">
        <v>26115</v>
      </c>
      <c r="D1875" t="n">
        <v>26115</v>
      </c>
      <c r="E1875" t="n">
        <v>26505</v>
      </c>
    </row>
    <row r="1876">
      <c r="A1876" t="inlineStr">
        <is>
          <t>21/07/2026</t>
        </is>
      </c>
      <c r="B1876" t="inlineStr">
        <is>
          <t>Sacombank</t>
        </is>
      </c>
      <c r="C1876" t="n">
        <v>26125</v>
      </c>
      <c r="D1876" t="n">
        <v>26125</v>
      </c>
      <c r="E1876" t="n">
        <v>26515</v>
      </c>
    </row>
    <row r="1877">
      <c r="A1877" t="inlineStr">
        <is>
          <t>20/07/2026</t>
        </is>
      </c>
      <c r="B1877" t="inlineStr">
        <is>
          <t>Sacombank</t>
        </is>
      </c>
      <c r="C1877" t="n">
        <v>26105</v>
      </c>
      <c r="D1877" t="n">
        <v>26105</v>
      </c>
      <c r="E1877" t="n">
        <v>26495</v>
      </c>
    </row>
    <row r="1878">
      <c r="A1878" t="inlineStr">
        <is>
          <t>19/07/2026</t>
        </is>
      </c>
      <c r="B1878" t="inlineStr">
        <is>
          <t>Sacombank</t>
        </is>
      </c>
      <c r="C1878" t="n">
        <v>26105</v>
      </c>
      <c r="D1878" t="n">
        <v>26105</v>
      </c>
      <c r="E1878" t="n">
        <v>26495</v>
      </c>
    </row>
    <row r="1879">
      <c r="A1879" t="inlineStr">
        <is>
          <t>18/07/2026</t>
        </is>
      </c>
      <c r="B1879" t="inlineStr">
        <is>
          <t>Sacombank</t>
        </is>
      </c>
      <c r="C1879" t="n">
        <v>26105</v>
      </c>
      <c r="D1879" t="n">
        <v>26105</v>
      </c>
      <c r="E1879" t="n">
        <v>26495</v>
      </c>
    </row>
    <row r="1880">
      <c r="A1880" t="inlineStr">
        <is>
          <t>17/07/2026</t>
        </is>
      </c>
      <c r="B1880" t="inlineStr">
        <is>
          <t>Sacombank</t>
        </is>
      </c>
      <c r="C1880" t="n">
        <v>26105</v>
      </c>
      <c r="D1880" t="n">
        <v>26105</v>
      </c>
      <c r="E1880" t="n">
        <v>26495</v>
      </c>
    </row>
    <row r="1881">
      <c r="A1881" t="inlineStr">
        <is>
          <t>16/07/2026</t>
        </is>
      </c>
      <c r="B1881" t="inlineStr">
        <is>
          <t>Sacombank</t>
        </is>
      </c>
      <c r="C1881" t="n">
        <v>26065</v>
      </c>
      <c r="D1881" t="n">
        <v>26065</v>
      </c>
      <c r="E1881" t="n">
        <v>26455</v>
      </c>
    </row>
    <row r="1882">
      <c r="A1882" t="inlineStr">
        <is>
          <t>15/07/2026</t>
        </is>
      </c>
      <c r="B1882" t="inlineStr">
        <is>
          <t>Sacombank</t>
        </is>
      </c>
      <c r="C1882" t="n">
        <v>26065</v>
      </c>
      <c r="D1882" t="n">
        <v>26065</v>
      </c>
      <c r="E1882" t="n">
        <v>26455</v>
      </c>
    </row>
    <row r="1883">
      <c r="A1883" t="inlineStr">
        <is>
          <t>14/07/2026</t>
        </is>
      </c>
      <c r="B1883" t="inlineStr">
        <is>
          <t>Sacombank</t>
        </is>
      </c>
      <c r="C1883" t="n">
        <v>26065</v>
      </c>
      <c r="D1883" t="n">
        <v>26065</v>
      </c>
      <c r="E1883" t="n">
        <v>26455</v>
      </c>
    </row>
    <row r="1884">
      <c r="A1884" t="inlineStr">
        <is>
          <t>13/07/2026</t>
        </is>
      </c>
      <c r="B1884" t="inlineStr">
        <is>
          <t>Sacombank</t>
        </is>
      </c>
      <c r="C1884" t="n">
        <v>26075</v>
      </c>
      <c r="D1884" t="n">
        <v>26075</v>
      </c>
      <c r="E1884" t="n">
        <v>26465</v>
      </c>
    </row>
    <row r="1885">
      <c r="A1885" t="inlineStr">
        <is>
          <t>12/07/2026</t>
        </is>
      </c>
      <c r="B1885" t="inlineStr">
        <is>
          <t>Sacombank</t>
        </is>
      </c>
      <c r="C1885" t="n">
        <v>26085</v>
      </c>
      <c r="D1885" t="n">
        <v>26085</v>
      </c>
      <c r="E1885" t="n">
        <v>26475</v>
      </c>
    </row>
    <row r="1886">
      <c r="A1886" t="inlineStr">
        <is>
          <t>11/07/2026</t>
        </is>
      </c>
      <c r="B1886" t="inlineStr">
        <is>
          <t>Sacombank</t>
        </is>
      </c>
      <c r="C1886" t="n">
        <v>26085</v>
      </c>
      <c r="D1886" t="n">
        <v>26085</v>
      </c>
      <c r="E1886" t="n">
        <v>26475</v>
      </c>
    </row>
    <row r="1887">
      <c r="A1887" t="inlineStr">
        <is>
          <t>10/07/2026</t>
        </is>
      </c>
      <c r="B1887" t="inlineStr">
        <is>
          <t>Sacombank</t>
        </is>
      </c>
      <c r="C1887" t="n">
        <v>26085</v>
      </c>
      <c r="D1887" t="n">
        <v>26085</v>
      </c>
      <c r="E1887" t="n">
        <v>26475</v>
      </c>
    </row>
    <row r="1888">
      <c r="A1888" t="inlineStr">
        <is>
          <t>09/07/2026</t>
        </is>
      </c>
      <c r="B1888" t="inlineStr">
        <is>
          <t>Sacombank</t>
        </is>
      </c>
      <c r="C1888" t="n">
        <v>26106</v>
      </c>
      <c r="D1888" t="n">
        <v>26106</v>
      </c>
      <c r="E1888" t="n">
        <v>26476</v>
      </c>
    </row>
    <row r="1889">
      <c r="A1889" t="inlineStr">
        <is>
          <t>08/07/2026</t>
        </is>
      </c>
      <c r="B1889" t="inlineStr">
        <is>
          <t>Sacombank</t>
        </is>
      </c>
      <c r="C1889" t="n">
        <v>26101</v>
      </c>
      <c r="D1889" t="n">
        <v>26101</v>
      </c>
      <c r="E1889" t="n">
        <v>26471</v>
      </c>
    </row>
    <row r="1890">
      <c r="A1890" t="inlineStr">
        <is>
          <t>07/07/2026</t>
        </is>
      </c>
      <c r="B1890" t="inlineStr">
        <is>
          <t>Sacombank</t>
        </is>
      </c>
      <c r="C1890" t="n">
        <v>26097</v>
      </c>
      <c r="D1890" t="n">
        <v>26097</v>
      </c>
      <c r="E1890" t="n">
        <v>26467</v>
      </c>
    </row>
    <row r="1891">
      <c r="A1891" t="inlineStr">
        <is>
          <t>06/07/2026</t>
        </is>
      </c>
      <c r="B1891" t="inlineStr">
        <is>
          <t>Sacombank</t>
        </is>
      </c>
      <c r="C1891" t="n">
        <v>26097</v>
      </c>
      <c r="D1891" t="n">
        <v>26097</v>
      </c>
      <c r="E1891" t="n">
        <v>26467</v>
      </c>
    </row>
    <row r="1892">
      <c r="A1892" t="inlineStr">
        <is>
          <t>05/07/2026</t>
        </is>
      </c>
      <c r="B1892" t="inlineStr">
        <is>
          <t>Sacombank</t>
        </is>
      </c>
      <c r="C1892" t="n">
        <v>26098</v>
      </c>
      <c r="D1892" t="n">
        <v>26098</v>
      </c>
      <c r="E1892" t="n">
        <v>26468</v>
      </c>
    </row>
    <row r="1893">
      <c r="A1893" t="inlineStr">
        <is>
          <t>04/07/2026</t>
        </is>
      </c>
      <c r="B1893" t="inlineStr">
        <is>
          <t>Sacombank</t>
        </is>
      </c>
      <c r="C1893" t="n">
        <v>26098</v>
      </c>
      <c r="D1893" t="n">
        <v>26098</v>
      </c>
      <c r="E1893" t="n">
        <v>26468</v>
      </c>
    </row>
    <row r="1894">
      <c r="A1894" t="inlineStr">
        <is>
          <t>03/07/2026</t>
        </is>
      </c>
      <c r="B1894" t="inlineStr">
        <is>
          <t>Sacombank</t>
        </is>
      </c>
      <c r="C1894" t="n">
        <v>26098</v>
      </c>
      <c r="D1894" t="n">
        <v>26098</v>
      </c>
      <c r="E1894" t="n">
        <v>26468</v>
      </c>
    </row>
    <row r="1895">
      <c r="A1895" t="inlineStr">
        <is>
          <t>02/07/2026</t>
        </is>
      </c>
      <c r="B1895" t="inlineStr">
        <is>
          <t>Sacombank</t>
        </is>
      </c>
      <c r="C1895" t="n">
        <v>26100</v>
      </c>
      <c r="D1895" t="n">
        <v>26100</v>
      </c>
      <c r="E1895" t="n">
        <v>26470</v>
      </c>
    </row>
    <row r="1896">
      <c r="A1896" t="inlineStr">
        <is>
          <t>01/07/2026</t>
        </is>
      </c>
      <c r="B1896" t="inlineStr">
        <is>
          <t>Sacombank</t>
        </is>
      </c>
      <c r="C1896" t="n">
        <v>26101</v>
      </c>
      <c r="D1896" t="n">
        <v>26101</v>
      </c>
      <c r="E1896" t="n">
        <v>26471</v>
      </c>
    </row>
    <row r="1897">
      <c r="A1897" t="inlineStr">
        <is>
          <t>30/06/2026</t>
        </is>
      </c>
      <c r="B1897" t="inlineStr">
        <is>
          <t>Sacombank</t>
        </is>
      </c>
      <c r="C1897" t="n">
        <v>26101</v>
      </c>
      <c r="D1897" t="n">
        <v>26101</v>
      </c>
      <c r="E1897" t="n">
        <v>26471</v>
      </c>
    </row>
    <row r="1898">
      <c r="A1898" t="inlineStr">
        <is>
          <t>29/06/2026</t>
        </is>
      </c>
      <c r="B1898" t="inlineStr">
        <is>
          <t>Sacombank</t>
        </is>
      </c>
      <c r="C1898" t="n">
        <v>26116</v>
      </c>
      <c r="D1898" t="n">
        <v>26116</v>
      </c>
      <c r="E1898" t="n">
        <v>26466</v>
      </c>
    </row>
    <row r="1899">
      <c r="A1899" t="inlineStr">
        <is>
          <t>28/06/2026</t>
        </is>
      </c>
      <c r="B1899" t="inlineStr">
        <is>
          <t>Sacombank</t>
        </is>
      </c>
      <c r="C1899" t="n">
        <v>26109</v>
      </c>
      <c r="D1899" t="n">
        <v>26109</v>
      </c>
      <c r="E1899" t="n">
        <v>26459</v>
      </c>
    </row>
    <row r="1900">
      <c r="A1900" t="inlineStr">
        <is>
          <t>27/06/2026</t>
        </is>
      </c>
      <c r="B1900" t="inlineStr">
        <is>
          <t>Sacombank</t>
        </is>
      </c>
      <c r="C1900" t="n">
        <v>26109</v>
      </c>
      <c r="D1900" t="n">
        <v>26109</v>
      </c>
      <c r="E1900" t="n">
        <v>26459</v>
      </c>
    </row>
    <row r="1901">
      <c r="A1901" t="inlineStr">
        <is>
          <t>26/06/2026</t>
        </is>
      </c>
      <c r="B1901" t="inlineStr">
        <is>
          <t>Sacombank</t>
        </is>
      </c>
      <c r="C1901" t="n">
        <v>26109</v>
      </c>
      <c r="D1901" t="n">
        <v>26109</v>
      </c>
      <c r="E1901" t="n">
        <v>26459</v>
      </c>
    </row>
    <row r="1902">
      <c r="A1902" t="inlineStr">
        <is>
          <t>25/06/2026</t>
        </is>
      </c>
      <c r="B1902" t="inlineStr">
        <is>
          <t>Sacombank</t>
        </is>
      </c>
      <c r="C1902" t="n">
        <v>26131</v>
      </c>
      <c r="D1902" t="n">
        <v>26131</v>
      </c>
      <c r="E1902" t="n">
        <v>26461</v>
      </c>
    </row>
    <row r="1903">
      <c r="A1903" t="inlineStr">
        <is>
          <t>24/06/2026</t>
        </is>
      </c>
      <c r="B1903" t="inlineStr">
        <is>
          <t>Sacombank</t>
        </is>
      </c>
      <c r="C1903" t="n">
        <v>26126</v>
      </c>
      <c r="D1903" t="n">
        <v>26126</v>
      </c>
      <c r="E1903" t="n">
        <v>26456</v>
      </c>
    </row>
    <row r="1904">
      <c r="A1904" t="inlineStr">
        <is>
          <t>23/06/2026</t>
        </is>
      </c>
      <c r="B1904" t="inlineStr">
        <is>
          <t>Sacombank</t>
        </is>
      </c>
      <c r="C1904" t="n">
        <v>26123</v>
      </c>
      <c r="D1904" t="n">
        <v>26123</v>
      </c>
      <c r="E1904" t="n">
        <v>26453</v>
      </c>
    </row>
    <row r="1905">
      <c r="A1905" t="inlineStr">
        <is>
          <t>22/06/2026</t>
        </is>
      </c>
      <c r="B1905" t="inlineStr">
        <is>
          <t>Sacombank</t>
        </is>
      </c>
      <c r="C1905" t="n">
        <v>26117</v>
      </c>
      <c r="D1905" t="n">
        <v>26117</v>
      </c>
      <c r="E1905" t="n">
        <v>26447</v>
      </c>
    </row>
    <row r="1906">
      <c r="A1906" t="inlineStr">
        <is>
          <t>21/06/2026</t>
        </is>
      </c>
      <c r="B1906" t="inlineStr">
        <is>
          <t>Sacombank</t>
        </is>
      </c>
      <c r="C1906" t="n">
        <v>26115</v>
      </c>
      <c r="D1906" t="n">
        <v>26115</v>
      </c>
      <c r="E1906" t="n">
        <v>26445</v>
      </c>
    </row>
    <row r="1907">
      <c r="A1907" t="inlineStr">
        <is>
          <t>20/06/2026</t>
        </is>
      </c>
      <c r="B1907" t="inlineStr">
        <is>
          <t>Sacombank</t>
        </is>
      </c>
      <c r="C1907" t="n">
        <v>26115</v>
      </c>
      <c r="D1907" t="n">
        <v>26115</v>
      </c>
      <c r="E1907" t="n">
        <v>26445</v>
      </c>
    </row>
    <row r="1908">
      <c r="A1908" t="inlineStr">
        <is>
          <t>19/06/2026</t>
        </is>
      </c>
      <c r="B1908" t="inlineStr">
        <is>
          <t>Sacombank</t>
        </is>
      </c>
      <c r="C1908" t="n">
        <v>26115</v>
      </c>
      <c r="D1908" t="n">
        <v>26115</v>
      </c>
      <c r="E1908" t="n">
        <v>26445</v>
      </c>
    </row>
    <row r="1909">
      <c r="A1909" t="inlineStr">
        <is>
          <t>18/06/2026</t>
        </is>
      </c>
      <c r="B1909" t="inlineStr">
        <is>
          <t>Sacombank</t>
        </is>
      </c>
      <c r="C1909" t="n">
        <v>26106</v>
      </c>
      <c r="D1909" t="n">
        <v>26106</v>
      </c>
      <c r="E1909" t="n">
        <v>26436</v>
      </c>
    </row>
    <row r="1910">
      <c r="A1910" t="inlineStr">
        <is>
          <t>17/06/2026</t>
        </is>
      </c>
      <c r="B1910" t="inlineStr">
        <is>
          <t>Sacombank</t>
        </is>
      </c>
      <c r="C1910" t="n">
        <v>26108</v>
      </c>
      <c r="D1910" t="n">
        <v>26108</v>
      </c>
      <c r="E1910" t="n">
        <v>26438</v>
      </c>
    </row>
    <row r="1911">
      <c r="A1911" t="inlineStr">
        <is>
          <t>16/06/2026</t>
        </is>
      </c>
      <c r="B1911" t="inlineStr">
        <is>
          <t>Sacombank</t>
        </is>
      </c>
      <c r="C1911" t="n">
        <v>26098</v>
      </c>
      <c r="D1911" t="n">
        <v>26098</v>
      </c>
      <c r="E1911" t="n">
        <v>26428</v>
      </c>
    </row>
    <row r="1912">
      <c r="A1912" t="inlineStr">
        <is>
          <t>15/06/2026</t>
        </is>
      </c>
      <c r="B1912" t="inlineStr">
        <is>
          <t>Sacombank</t>
        </is>
      </c>
      <c r="C1912" t="n">
        <v>26098</v>
      </c>
      <c r="D1912" t="n">
        <v>26098</v>
      </c>
      <c r="E1912" t="n">
        <v>26428</v>
      </c>
    </row>
    <row r="1913">
      <c r="A1913" t="inlineStr">
        <is>
          <t>14/06/2026</t>
        </is>
      </c>
      <c r="B1913" t="inlineStr">
        <is>
          <t>Sacombank</t>
        </is>
      </c>
      <c r="C1913" t="n">
        <v>26117</v>
      </c>
      <c r="D1913" t="n">
        <v>26117</v>
      </c>
      <c r="E1913" t="n">
        <v>26417</v>
      </c>
    </row>
    <row r="1914">
      <c r="A1914" t="inlineStr">
        <is>
          <t>13/06/2026</t>
        </is>
      </c>
      <c r="B1914" t="inlineStr">
        <is>
          <t>Sacombank</t>
        </is>
      </c>
      <c r="C1914" t="n">
        <v>26117</v>
      </c>
      <c r="D1914" t="n">
        <v>26117</v>
      </c>
      <c r="E1914" t="n">
        <v>26417</v>
      </c>
    </row>
    <row r="1915">
      <c r="A1915" t="inlineStr">
        <is>
          <t>12/06/2026</t>
        </is>
      </c>
      <c r="B1915" t="inlineStr">
        <is>
          <t>Sacombank</t>
        </is>
      </c>
      <c r="C1915" t="n">
        <v>26117</v>
      </c>
      <c r="D1915" t="n">
        <v>26117</v>
      </c>
      <c r="E1915" t="n">
        <v>26417</v>
      </c>
    </row>
    <row r="1916">
      <c r="A1916" t="inlineStr">
        <is>
          <t>11/06/2026</t>
        </is>
      </c>
      <c r="B1916" t="inlineStr">
        <is>
          <t>Sacombank</t>
        </is>
      </c>
      <c r="C1916" t="n">
        <v>26125</v>
      </c>
      <c r="D1916" t="n">
        <v>26125</v>
      </c>
      <c r="E1916" t="n">
        <v>26415</v>
      </c>
    </row>
    <row r="1917">
      <c r="A1917" t="inlineStr">
        <is>
          <t>10/06/2026</t>
        </is>
      </c>
      <c r="B1917" t="inlineStr">
        <is>
          <t>Sacombank</t>
        </is>
      </c>
      <c r="C1917" t="n">
        <v>26125</v>
      </c>
      <c r="D1917" t="n">
        <v>26125</v>
      </c>
      <c r="E1917" t="n">
        <v>26415</v>
      </c>
    </row>
    <row r="1918">
      <c r="A1918" t="inlineStr">
        <is>
          <t>09/06/2026</t>
        </is>
      </c>
      <c r="B1918" t="inlineStr">
        <is>
          <t>Sacombank</t>
        </is>
      </c>
      <c r="C1918" t="n">
        <v>26123</v>
      </c>
      <c r="D1918" t="n">
        <v>26123</v>
      </c>
      <c r="E1918" t="n">
        <v>26413</v>
      </c>
    </row>
    <row r="1919">
      <c r="A1919" t="inlineStr">
        <is>
          <t>08/06/2026</t>
        </is>
      </c>
      <c r="B1919" t="inlineStr">
        <is>
          <t>Sacombank</t>
        </is>
      </c>
      <c r="C1919" t="n">
        <v>26122</v>
      </c>
      <c r="D1919" t="n">
        <v>26122</v>
      </c>
      <c r="E1919" t="n">
        <v>26412</v>
      </c>
    </row>
    <row r="1920">
      <c r="A1920" t="inlineStr">
        <is>
          <t>07/06/2026</t>
        </is>
      </c>
      <c r="B1920" t="inlineStr">
        <is>
          <t>Sacombank</t>
        </is>
      </c>
      <c r="C1920" t="n">
        <v>26097</v>
      </c>
      <c r="D1920" t="n">
        <v>26097</v>
      </c>
      <c r="E1920" t="n">
        <v>26467</v>
      </c>
    </row>
    <row r="1921">
      <c r="A1921" t="inlineStr">
        <is>
          <t>06/06/2026</t>
        </is>
      </c>
      <c r="B1921" t="inlineStr">
        <is>
          <t>Sacombank</t>
        </is>
      </c>
      <c r="C1921" t="n">
        <v>26119</v>
      </c>
      <c r="D1921" t="n">
        <v>26119</v>
      </c>
      <c r="E1921" t="n">
        <v>26409</v>
      </c>
    </row>
    <row r="1922">
      <c r="A1922" t="inlineStr">
        <is>
          <t>05/06/2026</t>
        </is>
      </c>
      <c r="B1922" t="inlineStr">
        <is>
          <t>Sacombank</t>
        </is>
      </c>
      <c r="C1922" t="n">
        <v>26119</v>
      </c>
      <c r="D1922" t="n">
        <v>26119</v>
      </c>
      <c r="E1922" t="n">
        <v>26409</v>
      </c>
    </row>
    <row r="1923">
      <c r="A1923" t="inlineStr">
        <is>
          <t>04/06/2026</t>
        </is>
      </c>
      <c r="B1923" t="inlineStr">
        <is>
          <t>Sacombank</t>
        </is>
      </c>
      <c r="C1923" t="n">
        <v>26117</v>
      </c>
      <c r="D1923" t="n">
        <v>26117</v>
      </c>
      <c r="E1923" t="n">
        <v>26407</v>
      </c>
    </row>
    <row r="1924">
      <c r="A1924" t="inlineStr">
        <is>
          <t>03/06/2026</t>
        </is>
      </c>
      <c r="B1924" t="inlineStr">
        <is>
          <t>Sacombank</t>
        </is>
      </c>
      <c r="C1924" t="n">
        <v>26117</v>
      </c>
      <c r="D1924" t="n">
        <v>26117</v>
      </c>
      <c r="E1924" t="n">
        <v>26407</v>
      </c>
    </row>
    <row r="1925">
      <c r="A1925" t="inlineStr">
        <is>
          <t>02/06/2026</t>
        </is>
      </c>
      <c r="B1925" t="inlineStr">
        <is>
          <t>Sacombank</t>
        </is>
      </c>
      <c r="C1925" t="n">
        <v>26113</v>
      </c>
      <c r="D1925" t="n">
        <v>26113</v>
      </c>
      <c r="E1925" t="n">
        <v>26403</v>
      </c>
    </row>
    <row r="1926">
      <c r="A1926" t="inlineStr">
        <is>
          <t>01/06/2026</t>
        </is>
      </c>
      <c r="B1926" t="inlineStr">
        <is>
          <t>Sacombank</t>
        </is>
      </c>
      <c r="C1926" t="n">
        <v>26109</v>
      </c>
      <c r="D1926" t="n">
        <v>26109</v>
      </c>
      <c r="E1926" t="n">
        <v>26399</v>
      </c>
    </row>
    <row r="1927">
      <c r="A1927" t="inlineStr">
        <is>
          <t>31/05/2026</t>
        </is>
      </c>
      <c r="B1927" t="inlineStr">
        <is>
          <t>Sacombank</t>
        </is>
      </c>
      <c r="C1927" t="n">
        <v>26110</v>
      </c>
      <c r="D1927" t="n">
        <v>26110</v>
      </c>
      <c r="E1927" t="n">
        <v>26400</v>
      </c>
    </row>
    <row r="1928">
      <c r="A1928" t="inlineStr">
        <is>
          <t>30/05/2026</t>
        </is>
      </c>
      <c r="B1928" t="inlineStr">
        <is>
          <t>Sacombank</t>
        </is>
      </c>
      <c r="C1928" t="n">
        <v>26110</v>
      </c>
      <c r="D1928" t="n">
        <v>26110</v>
      </c>
      <c r="E1928" t="n">
        <v>26400</v>
      </c>
    </row>
    <row r="1929">
      <c r="A1929" t="inlineStr">
        <is>
          <t>29/05/2026</t>
        </is>
      </c>
      <c r="B1929" t="inlineStr">
        <is>
          <t>Sacombank</t>
        </is>
      </c>
      <c r="C1929" t="n">
        <v>26110</v>
      </c>
      <c r="D1929" t="n">
        <v>26110</v>
      </c>
      <c r="E1929" t="n">
        <v>26400</v>
      </c>
    </row>
    <row r="1930">
      <c r="A1930" t="inlineStr">
        <is>
          <t>28/05/2026</t>
        </is>
      </c>
      <c r="B1930" t="inlineStr">
        <is>
          <t>Sacombank</t>
        </is>
      </c>
      <c r="C1930" t="n">
        <v>26138</v>
      </c>
      <c r="D1930" t="n">
        <v>26138</v>
      </c>
      <c r="E1930" t="n">
        <v>26398</v>
      </c>
    </row>
    <row r="1931">
      <c r="A1931" t="inlineStr">
        <is>
          <t>27/05/2026</t>
        </is>
      </c>
      <c r="B1931" t="inlineStr">
        <is>
          <t>Sacombank</t>
        </is>
      </c>
      <c r="C1931" t="n">
        <v>26138</v>
      </c>
      <c r="D1931" t="n">
        <v>26138</v>
      </c>
      <c r="E1931" t="n">
        <v>26398</v>
      </c>
    </row>
    <row r="1932">
      <c r="A1932" t="inlineStr">
        <is>
          <t>26/05/2026</t>
        </is>
      </c>
      <c r="B1932" t="inlineStr">
        <is>
          <t>Sacombank</t>
        </is>
      </c>
      <c r="C1932" t="n">
        <v>26157</v>
      </c>
      <c r="D1932" t="n">
        <v>26157</v>
      </c>
      <c r="E1932" t="n">
        <v>26397</v>
      </c>
    </row>
    <row r="1933">
      <c r="A1933" t="inlineStr">
        <is>
          <t>25/05/2026</t>
        </is>
      </c>
      <c r="B1933" t="inlineStr">
        <is>
          <t>Sacombank</t>
        </is>
      </c>
      <c r="C1933" t="n">
        <v>26157</v>
      </c>
      <c r="D1933" t="n">
        <v>26157</v>
      </c>
      <c r="E1933" t="n">
        <v>26397</v>
      </c>
    </row>
    <row r="1934">
      <c r="A1934" t="inlineStr">
        <is>
          <t>24/05/2026</t>
        </is>
      </c>
      <c r="B1934" t="inlineStr">
        <is>
          <t>Sacombank</t>
        </is>
      </c>
      <c r="C1934" t="n">
        <v>26155</v>
      </c>
      <c r="D1934" t="n">
        <v>26155</v>
      </c>
      <c r="E1934" t="n">
        <v>26395</v>
      </c>
    </row>
    <row r="1935">
      <c r="A1935" t="inlineStr">
        <is>
          <t>23/05/2026</t>
        </is>
      </c>
      <c r="B1935" t="inlineStr">
        <is>
          <t>Sacombank</t>
        </is>
      </c>
      <c r="C1935" t="n">
        <v>26155</v>
      </c>
      <c r="D1935" t="n">
        <v>26155</v>
      </c>
      <c r="E1935" t="n">
        <v>26395</v>
      </c>
    </row>
    <row r="1936">
      <c r="A1936" t="inlineStr">
        <is>
          <t>22/05/2026</t>
        </is>
      </c>
      <c r="B1936" t="inlineStr">
        <is>
          <t>Sacombank</t>
        </is>
      </c>
      <c r="C1936" t="n">
        <v>26155</v>
      </c>
      <c r="D1936" t="n">
        <v>26155</v>
      </c>
      <c r="E1936" t="n">
        <v>26395</v>
      </c>
    </row>
    <row r="1937">
      <c r="A1937" t="inlineStr">
        <is>
          <t>21/05/2026</t>
        </is>
      </c>
      <c r="B1937" t="inlineStr">
        <is>
          <t>Sacombank</t>
        </is>
      </c>
      <c r="C1937" t="n">
        <v>26156</v>
      </c>
      <c r="D1937" t="n">
        <v>26156</v>
      </c>
      <c r="E1937" t="n">
        <v>26396</v>
      </c>
    </row>
    <row r="1938">
      <c r="A1938" t="inlineStr">
        <is>
          <t>20/05/2026</t>
        </is>
      </c>
      <c r="B1938" t="inlineStr">
        <is>
          <t>Sacombank</t>
        </is>
      </c>
      <c r="C1938" t="n">
        <v>26156</v>
      </c>
      <c r="D1938" t="n">
        <v>26156</v>
      </c>
      <c r="E1938" t="n">
        <v>26396</v>
      </c>
    </row>
    <row r="1939">
      <c r="A1939" t="inlineStr">
        <is>
          <t>19/05/2026</t>
        </is>
      </c>
      <c r="B1939" t="inlineStr">
        <is>
          <t>Sacombank</t>
        </is>
      </c>
      <c r="C1939" t="n">
        <v>26144</v>
      </c>
      <c r="D1939" t="n">
        <v>26144</v>
      </c>
      <c r="E1939" t="n">
        <v>26394</v>
      </c>
    </row>
    <row r="1940">
      <c r="A1940" t="inlineStr">
        <is>
          <t>18/05/2026</t>
        </is>
      </c>
      <c r="B1940" t="inlineStr">
        <is>
          <t>Sacombank</t>
        </is>
      </c>
      <c r="C1940" t="n">
        <v>26132</v>
      </c>
      <c r="D1940" t="n">
        <v>26132</v>
      </c>
      <c r="E1940" t="n">
        <v>26392</v>
      </c>
    </row>
    <row r="1941">
      <c r="A1941" t="inlineStr">
        <is>
          <t>17/05/2026</t>
        </is>
      </c>
      <c r="B1941" t="inlineStr">
        <is>
          <t>Sacombank</t>
        </is>
      </c>
      <c r="C1941" t="n">
        <v>26132</v>
      </c>
      <c r="D1941" t="n">
        <v>26132</v>
      </c>
      <c r="E1941" t="n">
        <v>26392</v>
      </c>
    </row>
    <row r="1942">
      <c r="A1942" t="inlineStr">
        <is>
          <t>16/05/2026</t>
        </is>
      </c>
      <c r="B1942" t="inlineStr">
        <is>
          <t>Sacombank</t>
        </is>
      </c>
      <c r="C1942" t="n">
        <v>26132</v>
      </c>
      <c r="D1942" t="n">
        <v>26132</v>
      </c>
      <c r="E1942" t="n">
        <v>26392</v>
      </c>
    </row>
    <row r="1943">
      <c r="A1943" t="inlineStr">
        <is>
          <t>15/05/2026</t>
        </is>
      </c>
      <c r="B1943" t="inlineStr">
        <is>
          <t>Sacombank</t>
        </is>
      </c>
      <c r="C1943" t="n">
        <v>26132</v>
      </c>
      <c r="D1943" t="n">
        <v>26132</v>
      </c>
      <c r="E1943" t="n">
        <v>26392</v>
      </c>
    </row>
    <row r="1944">
      <c r="A1944" t="inlineStr">
        <is>
          <t>14/05/2026</t>
        </is>
      </c>
      <c r="B1944" t="inlineStr">
        <is>
          <t>Sacombank</t>
        </is>
      </c>
      <c r="C1944" t="n">
        <v>26127</v>
      </c>
      <c r="D1944" t="n">
        <v>26127</v>
      </c>
      <c r="E1944" t="n">
        <v>26387</v>
      </c>
    </row>
    <row r="1945">
      <c r="A1945" t="inlineStr">
        <is>
          <t>13/05/2026</t>
        </is>
      </c>
      <c r="B1945" t="inlineStr">
        <is>
          <t>Sacombank</t>
        </is>
      </c>
      <c r="C1945" t="n">
        <v>26124</v>
      </c>
      <c r="D1945" t="n">
        <v>26124</v>
      </c>
      <c r="E1945" t="n">
        <v>26384</v>
      </c>
    </row>
    <row r="1946">
      <c r="A1946" t="inlineStr">
        <is>
          <t>12/05/2026</t>
        </is>
      </c>
      <c r="B1946" t="inlineStr">
        <is>
          <t>Sacombank</t>
        </is>
      </c>
      <c r="C1946" t="n">
        <v>26124</v>
      </c>
      <c r="D1946" t="n">
        <v>26124</v>
      </c>
      <c r="E1946" t="n">
        <v>26384</v>
      </c>
    </row>
    <row r="1947">
      <c r="A1947" t="inlineStr">
        <is>
          <t>11/05/2026</t>
        </is>
      </c>
      <c r="B1947" t="inlineStr">
        <is>
          <t>Sacombank</t>
        </is>
      </c>
      <c r="C1947" t="n">
        <v>26118</v>
      </c>
      <c r="D1947" t="n">
        <v>26118</v>
      </c>
      <c r="E1947" t="n">
        <v>26378</v>
      </c>
    </row>
    <row r="1948">
      <c r="A1948" t="inlineStr">
        <is>
          <t>10/05/2026</t>
        </is>
      </c>
      <c r="B1948" t="inlineStr">
        <is>
          <t>Sacombank</t>
        </is>
      </c>
      <c r="C1948" t="n">
        <v>26112</v>
      </c>
      <c r="D1948" t="n">
        <v>26112</v>
      </c>
      <c r="E1948" t="n">
        <v>26372</v>
      </c>
    </row>
    <row r="1949">
      <c r="A1949" t="inlineStr">
        <is>
          <t>09/05/2026</t>
        </is>
      </c>
      <c r="B1949" t="inlineStr">
        <is>
          <t>Sacombank</t>
        </is>
      </c>
      <c r="C1949" t="n">
        <v>26112</v>
      </c>
      <c r="D1949" t="n">
        <v>26112</v>
      </c>
      <c r="E1949" t="n">
        <v>26372</v>
      </c>
    </row>
    <row r="1950">
      <c r="A1950" t="inlineStr">
        <is>
          <t>08/05/2026</t>
        </is>
      </c>
      <c r="B1950" t="inlineStr">
        <is>
          <t>Sacombank</t>
        </is>
      </c>
      <c r="C1950" t="n">
        <v>26112</v>
      </c>
      <c r="D1950" t="n">
        <v>26112</v>
      </c>
      <c r="E1950" t="n">
        <v>26372</v>
      </c>
    </row>
    <row r="1951">
      <c r="A1951" t="inlineStr">
        <is>
          <t>07/05/2026</t>
        </is>
      </c>
      <c r="B1951" t="inlineStr">
        <is>
          <t>Sacombank</t>
        </is>
      </c>
      <c r="C1951" t="n">
        <v>26113</v>
      </c>
      <c r="D1951" t="n">
        <v>26113</v>
      </c>
      <c r="E1951" t="n">
        <v>26373</v>
      </c>
    </row>
    <row r="1952">
      <c r="A1952" t="inlineStr">
        <is>
          <t>06/05/2026</t>
        </is>
      </c>
      <c r="B1952" t="inlineStr">
        <is>
          <t>Sacombank</t>
        </is>
      </c>
      <c r="C1952" t="n">
        <v>26123</v>
      </c>
      <c r="D1952" t="n">
        <v>26123</v>
      </c>
      <c r="E1952" t="n">
        <v>26373</v>
      </c>
    </row>
    <row r="1953">
      <c r="A1953" t="inlineStr">
        <is>
          <t>05/05/2026</t>
        </is>
      </c>
      <c r="B1953" t="inlineStr">
        <is>
          <t>Sacombank</t>
        </is>
      </c>
      <c r="C1953" t="n">
        <v>26121</v>
      </c>
      <c r="D1953" t="n">
        <v>26121</v>
      </c>
      <c r="E1953" t="n">
        <v>26371</v>
      </c>
    </row>
    <row r="1954">
      <c r="A1954" t="inlineStr">
        <is>
          <t>04/05/2026</t>
        </is>
      </c>
      <c r="B1954" t="inlineStr">
        <is>
          <t>Sacombank</t>
        </is>
      </c>
      <c r="C1954" t="n">
        <v>26132</v>
      </c>
      <c r="D1954" t="n">
        <v>26132</v>
      </c>
      <c r="E1954" t="n">
        <v>26372</v>
      </c>
    </row>
    <row r="1955">
      <c r="A1955" t="inlineStr">
        <is>
          <t>03/05/2026</t>
        </is>
      </c>
      <c r="B1955" t="inlineStr">
        <is>
          <t>Sacombank</t>
        </is>
      </c>
      <c r="C1955" t="n">
        <v>26133</v>
      </c>
      <c r="D1955" t="n">
        <v>26133</v>
      </c>
      <c r="E1955" t="n">
        <v>26373</v>
      </c>
    </row>
    <row r="1956">
      <c r="A1956" t="inlineStr">
        <is>
          <t>02/05/2026</t>
        </is>
      </c>
      <c r="B1956" t="inlineStr">
        <is>
          <t>Sacombank</t>
        </is>
      </c>
      <c r="C1956" t="n">
        <v>26133</v>
      </c>
      <c r="D1956" t="n">
        <v>26133</v>
      </c>
      <c r="E1956" t="n">
        <v>26373</v>
      </c>
    </row>
    <row r="1957">
      <c r="A1957" t="inlineStr">
        <is>
          <t>01/05/2026</t>
        </is>
      </c>
      <c r="B1957" t="inlineStr">
        <is>
          <t>Sacombank</t>
        </is>
      </c>
      <c r="C1957" t="n">
        <v>26133</v>
      </c>
      <c r="D1957" t="n">
        <v>26133</v>
      </c>
      <c r="E1957" t="n">
        <v>26373</v>
      </c>
    </row>
    <row r="1958">
      <c r="A1958" t="inlineStr">
        <is>
          <t>30/04/2026</t>
        </is>
      </c>
      <c r="B1958" t="inlineStr">
        <is>
          <t>Sacombank</t>
        </is>
      </c>
      <c r="C1958" t="n">
        <v>26133</v>
      </c>
      <c r="D1958" t="n">
        <v>26133</v>
      </c>
      <c r="E1958" t="n">
        <v>26373</v>
      </c>
    </row>
    <row r="1959">
      <c r="A1959" t="inlineStr">
        <is>
          <t>29/04/2026</t>
        </is>
      </c>
      <c r="B1959" t="inlineStr">
        <is>
          <t>Sacombank</t>
        </is>
      </c>
      <c r="C1959" t="n">
        <v>26133</v>
      </c>
      <c r="D1959" t="n">
        <v>26133</v>
      </c>
      <c r="E1959" t="n">
        <v>26373</v>
      </c>
    </row>
    <row r="1960">
      <c r="A1960" t="inlineStr">
        <is>
          <t>28/04/2026</t>
        </is>
      </c>
      <c r="B1960" t="inlineStr">
        <is>
          <t>Sacombank</t>
        </is>
      </c>
      <c r="C1960" t="n">
        <v>26131</v>
      </c>
      <c r="D1960" t="n">
        <v>26131</v>
      </c>
      <c r="E1960" t="n">
        <v>26371</v>
      </c>
    </row>
    <row r="1961">
      <c r="A1961" t="inlineStr">
        <is>
          <t>27/04/2026</t>
        </is>
      </c>
      <c r="B1961" t="inlineStr">
        <is>
          <t>Sacombank</t>
        </is>
      </c>
      <c r="C1961" t="n">
        <v>26133</v>
      </c>
      <c r="D1961" t="n">
        <v>26133</v>
      </c>
      <c r="E1961" t="n">
        <v>26373</v>
      </c>
    </row>
    <row r="1962">
      <c r="A1962" t="inlineStr">
        <is>
          <t>26/04/2026</t>
        </is>
      </c>
      <c r="B1962" t="inlineStr">
        <is>
          <t>Sacombank</t>
        </is>
      </c>
      <c r="C1962" t="n">
        <v>26133</v>
      </c>
      <c r="D1962" t="n">
        <v>26133</v>
      </c>
      <c r="E1962" t="n">
        <v>26373</v>
      </c>
    </row>
    <row r="1963">
      <c r="A1963" t="inlineStr">
        <is>
          <t>25/04/2026</t>
        </is>
      </c>
      <c r="B1963" t="inlineStr">
        <is>
          <t>Sacombank</t>
        </is>
      </c>
      <c r="C1963" t="n">
        <v>26133</v>
      </c>
      <c r="D1963" t="n">
        <v>26133</v>
      </c>
      <c r="E1963" t="n">
        <v>26373</v>
      </c>
    </row>
    <row r="1964">
      <c r="A1964" t="inlineStr">
        <is>
          <t>24/04/2026</t>
        </is>
      </c>
      <c r="B1964" t="inlineStr">
        <is>
          <t>Sacombank</t>
        </is>
      </c>
      <c r="C1964" t="n">
        <v>26133</v>
      </c>
      <c r="D1964" t="n">
        <v>26133</v>
      </c>
      <c r="E1964" t="n">
        <v>26373</v>
      </c>
    </row>
    <row r="1965">
      <c r="A1965" t="inlineStr">
        <is>
          <t>23/04/2026</t>
        </is>
      </c>
      <c r="B1965" t="inlineStr">
        <is>
          <t>Sacombank</t>
        </is>
      </c>
      <c r="C1965" t="n">
        <v>26125</v>
      </c>
      <c r="D1965" t="n">
        <v>26125</v>
      </c>
      <c r="E1965" t="n">
        <v>26365</v>
      </c>
    </row>
    <row r="1966">
      <c r="A1966" t="inlineStr">
        <is>
          <t>22/04/2026</t>
        </is>
      </c>
      <c r="B1966" t="inlineStr">
        <is>
          <t>Sacombank</t>
        </is>
      </c>
      <c r="C1966" t="n">
        <v>26120</v>
      </c>
      <c r="D1966" t="n">
        <v>26120</v>
      </c>
      <c r="E1966" t="n">
        <v>26360</v>
      </c>
    </row>
    <row r="1967">
      <c r="A1967" t="inlineStr">
        <is>
          <t>21/04/2026</t>
        </is>
      </c>
      <c r="B1967" t="inlineStr">
        <is>
          <t>Sacombank</t>
        </is>
      </c>
      <c r="C1967" t="n">
        <v>26122</v>
      </c>
      <c r="D1967" t="n">
        <v>26122</v>
      </c>
      <c r="E1967" t="n">
        <v>26362</v>
      </c>
    </row>
    <row r="1968">
      <c r="A1968" t="inlineStr">
        <is>
          <t>20/04/2026</t>
        </is>
      </c>
      <c r="B1968" t="inlineStr">
        <is>
          <t>Sacombank</t>
        </is>
      </c>
      <c r="C1968" t="n">
        <v>26123</v>
      </c>
      <c r="D1968" t="n">
        <v>26123</v>
      </c>
      <c r="E1968" t="n">
        <v>26363</v>
      </c>
    </row>
    <row r="1969">
      <c r="A1969" t="inlineStr">
        <is>
          <t>19/04/2026</t>
        </is>
      </c>
      <c r="B1969" t="inlineStr">
        <is>
          <t>Sacombank</t>
        </is>
      </c>
      <c r="C1969" t="n">
        <v>26122</v>
      </c>
      <c r="D1969" t="n">
        <v>26122</v>
      </c>
      <c r="E1969" t="n">
        <v>26362</v>
      </c>
    </row>
    <row r="1970">
      <c r="A1970" t="inlineStr">
        <is>
          <t>18/04/2026</t>
        </is>
      </c>
      <c r="B1970" t="inlineStr">
        <is>
          <t>Sacombank</t>
        </is>
      </c>
      <c r="C1970" t="n">
        <v>26122</v>
      </c>
      <c r="D1970" t="n">
        <v>26122</v>
      </c>
      <c r="E1970" t="n">
        <v>26362</v>
      </c>
    </row>
    <row r="1971">
      <c r="A1971" t="inlineStr">
        <is>
          <t>17/04/2026</t>
        </is>
      </c>
      <c r="B1971" t="inlineStr">
        <is>
          <t>Sacombank</t>
        </is>
      </c>
      <c r="C1971" t="n">
        <v>26122</v>
      </c>
      <c r="D1971" t="n">
        <v>26122</v>
      </c>
      <c r="E1971" t="n">
        <v>26362</v>
      </c>
    </row>
    <row r="1972">
      <c r="A1972" t="inlineStr">
        <is>
          <t>16/04/2026</t>
        </is>
      </c>
      <c r="B1972" t="inlineStr">
        <is>
          <t>Sacombank</t>
        </is>
      </c>
      <c r="C1972" t="n">
        <v>26122</v>
      </c>
      <c r="D1972" t="n">
        <v>26122</v>
      </c>
      <c r="E1972" t="n">
        <v>26362</v>
      </c>
    </row>
    <row r="1973">
      <c r="A1973" t="inlineStr">
        <is>
          <t>15/04/2026</t>
        </is>
      </c>
      <c r="B1973" t="inlineStr">
        <is>
          <t>Sacombank</t>
        </is>
      </c>
      <c r="C1973" t="n">
        <v>26133</v>
      </c>
      <c r="D1973" t="n">
        <v>26133</v>
      </c>
      <c r="E1973" t="n">
        <v>26363</v>
      </c>
    </row>
    <row r="1974">
      <c r="A1974" t="inlineStr">
        <is>
          <t>14/04/2026</t>
        </is>
      </c>
      <c r="B1974" t="inlineStr">
        <is>
          <t>Sacombank</t>
        </is>
      </c>
      <c r="C1974" t="n">
        <v>26136</v>
      </c>
      <c r="D1974" t="n">
        <v>26136</v>
      </c>
      <c r="E1974" t="n">
        <v>26366</v>
      </c>
    </row>
    <row r="1975">
      <c r="A1975" t="inlineStr">
        <is>
          <t>13/04/2026</t>
        </is>
      </c>
      <c r="B1975" t="inlineStr">
        <is>
          <t>Sacombank</t>
        </is>
      </c>
      <c r="C1975" t="n">
        <v>26136</v>
      </c>
      <c r="D1975" t="n">
        <v>26136</v>
      </c>
      <c r="E1975" t="n">
        <v>26366</v>
      </c>
    </row>
    <row r="1976">
      <c r="A1976" t="inlineStr">
        <is>
          <t>12/04/2026</t>
        </is>
      </c>
      <c r="B1976" t="inlineStr">
        <is>
          <t>Sacombank</t>
        </is>
      </c>
      <c r="C1976" t="n">
        <v>26125</v>
      </c>
      <c r="D1976" t="n">
        <v>26125</v>
      </c>
      <c r="E1976" t="n">
        <v>26365</v>
      </c>
    </row>
    <row r="1977">
      <c r="A1977" t="inlineStr">
        <is>
          <t>11/04/2026</t>
        </is>
      </c>
      <c r="B1977" t="inlineStr">
        <is>
          <t>Sacombank</t>
        </is>
      </c>
      <c r="C1977" t="n">
        <v>26125</v>
      </c>
      <c r="D1977" t="n">
        <v>26125</v>
      </c>
      <c r="E1977" t="n">
        <v>26365</v>
      </c>
    </row>
    <row r="1978">
      <c r="A1978" t="inlineStr">
        <is>
          <t>10/04/2026</t>
        </is>
      </c>
      <c r="B1978" t="inlineStr">
        <is>
          <t>Sacombank</t>
        </is>
      </c>
      <c r="C1978" t="n">
        <v>26125</v>
      </c>
      <c r="D1978" t="n">
        <v>26125</v>
      </c>
      <c r="E1978" t="n">
        <v>26365</v>
      </c>
    </row>
    <row r="1979">
      <c r="A1979" t="inlineStr">
        <is>
          <t>09/04/2026</t>
        </is>
      </c>
      <c r="B1979" t="inlineStr">
        <is>
          <t>Sacombank</t>
        </is>
      </c>
      <c r="C1979" t="n">
        <v>26112</v>
      </c>
      <c r="D1979" t="n">
        <v>26112</v>
      </c>
      <c r="E1979" t="n">
        <v>26362</v>
      </c>
    </row>
    <row r="1980">
      <c r="A1980" t="inlineStr">
        <is>
          <t>08/04/2026</t>
        </is>
      </c>
      <c r="B1980" t="inlineStr">
        <is>
          <t>Sacombank</t>
        </is>
      </c>
      <c r="C1980" t="n">
        <v>26136</v>
      </c>
      <c r="D1980" t="n">
        <v>26136</v>
      </c>
      <c r="E1980" t="n">
        <v>26366</v>
      </c>
    </row>
    <row r="1981">
      <c r="A1981" t="inlineStr">
        <is>
          <t>07/04/2026</t>
        </is>
      </c>
      <c r="B1981" t="inlineStr">
        <is>
          <t>Sacombank</t>
        </is>
      </c>
      <c r="C1981" t="n">
        <v>26138</v>
      </c>
      <c r="D1981" t="n">
        <v>26138</v>
      </c>
      <c r="E1981" t="n">
        <v>26368</v>
      </c>
    </row>
    <row r="1982">
      <c r="A1982" t="inlineStr">
        <is>
          <t>06/04/2026</t>
        </is>
      </c>
      <c r="B1982" t="inlineStr">
        <is>
          <t>Sacombank</t>
        </is>
      </c>
      <c r="C1982" t="n">
        <v>26136</v>
      </c>
      <c r="D1982" t="n">
        <v>26136</v>
      </c>
      <c r="E1982" t="n">
        <v>26366</v>
      </c>
    </row>
    <row r="1983">
      <c r="A1983" t="inlineStr">
        <is>
          <t>05/04/2026</t>
        </is>
      </c>
      <c r="B1983" t="inlineStr">
        <is>
          <t>Sacombank</t>
        </is>
      </c>
      <c r="C1983" t="n">
        <v>26137</v>
      </c>
      <c r="D1983" t="n">
        <v>26137</v>
      </c>
      <c r="E1983" t="n">
        <v>26367</v>
      </c>
    </row>
    <row r="1984">
      <c r="A1984" t="inlineStr">
        <is>
          <t>04/04/2026</t>
        </is>
      </c>
      <c r="B1984" t="inlineStr">
        <is>
          <t>Sacombank</t>
        </is>
      </c>
      <c r="C1984" t="n">
        <v>26137</v>
      </c>
      <c r="D1984" t="n">
        <v>26137</v>
      </c>
      <c r="E1984" t="n">
        <v>26367</v>
      </c>
    </row>
    <row r="1985">
      <c r="A1985" t="inlineStr">
        <is>
          <t>03/04/2026</t>
        </is>
      </c>
      <c r="B1985" t="inlineStr">
        <is>
          <t>Sacombank</t>
        </is>
      </c>
      <c r="C1985" t="n">
        <v>26137</v>
      </c>
      <c r="D1985" t="n">
        <v>26137</v>
      </c>
      <c r="E1985" t="n">
        <v>26367</v>
      </c>
    </row>
    <row r="1986">
      <c r="A1986" t="inlineStr">
        <is>
          <t>02/04/2026</t>
        </is>
      </c>
      <c r="B1986" t="inlineStr">
        <is>
          <t>Sacombank</t>
        </is>
      </c>
      <c r="C1986" t="n">
        <v>26137</v>
      </c>
      <c r="D1986" t="n">
        <v>26137</v>
      </c>
      <c r="E1986" t="n">
        <v>26367</v>
      </c>
    </row>
    <row r="1987">
      <c r="A1987" t="inlineStr">
        <is>
          <t>01/04/2026</t>
        </is>
      </c>
      <c r="B1987" t="inlineStr">
        <is>
          <t>Sacombank</t>
        </is>
      </c>
      <c r="C1987" t="n">
        <v>26135</v>
      </c>
      <c r="D1987" t="n">
        <v>26135</v>
      </c>
      <c r="E1987" t="n">
        <v>26365</v>
      </c>
    </row>
    <row r="1988">
      <c r="A1988" t="inlineStr">
        <is>
          <t>31/03/2026</t>
        </is>
      </c>
      <c r="B1988" t="inlineStr">
        <is>
          <t>Sacombank</t>
        </is>
      </c>
      <c r="C1988" t="n">
        <v>26132</v>
      </c>
      <c r="D1988" t="n">
        <v>26132</v>
      </c>
      <c r="E1988" t="n">
        <v>26362</v>
      </c>
    </row>
    <row r="1989">
      <c r="A1989" t="inlineStr">
        <is>
          <t>30/03/2026</t>
        </is>
      </c>
      <c r="B1989" t="inlineStr">
        <is>
          <t>Sacombank</t>
        </is>
      </c>
      <c r="C1989" t="n">
        <v>26130</v>
      </c>
      <c r="D1989" t="n">
        <v>26130</v>
      </c>
      <c r="E1989" t="n">
        <v>26360</v>
      </c>
    </row>
    <row r="1990">
      <c r="A1990" t="inlineStr">
        <is>
          <t>29/03/2026</t>
        </is>
      </c>
      <c r="B1990" t="inlineStr">
        <is>
          <t>Sacombank</t>
        </is>
      </c>
      <c r="C1990" t="n">
        <v>26130</v>
      </c>
      <c r="D1990" t="n">
        <v>26130</v>
      </c>
      <c r="E1990" t="n">
        <v>26360</v>
      </c>
    </row>
    <row r="1991">
      <c r="A1991" t="inlineStr">
        <is>
          <t>28/03/2026</t>
        </is>
      </c>
      <c r="B1991" t="inlineStr">
        <is>
          <t>Sacombank</t>
        </is>
      </c>
      <c r="C1991" t="n">
        <v>26130</v>
      </c>
      <c r="D1991" t="n">
        <v>26130</v>
      </c>
      <c r="E1991" t="n">
        <v>26360</v>
      </c>
    </row>
    <row r="1992">
      <c r="A1992" t="inlineStr">
        <is>
          <t>27/03/2026</t>
        </is>
      </c>
      <c r="B1992" t="inlineStr">
        <is>
          <t>Sacombank</t>
        </is>
      </c>
      <c r="C1992" t="n">
        <v>26130</v>
      </c>
      <c r="D1992" t="n">
        <v>26130</v>
      </c>
      <c r="E1992" t="n">
        <v>26360</v>
      </c>
    </row>
    <row r="1993">
      <c r="A1993" t="inlineStr">
        <is>
          <t>26/03/2026</t>
        </is>
      </c>
      <c r="B1993" t="inlineStr">
        <is>
          <t>Sacombank</t>
        </is>
      </c>
      <c r="C1993" t="n">
        <v>26132</v>
      </c>
      <c r="D1993" t="n">
        <v>26132</v>
      </c>
      <c r="E1993" t="n">
        <v>26362</v>
      </c>
    </row>
    <row r="1994">
      <c r="A1994" t="inlineStr">
        <is>
          <t>25/03/2026</t>
        </is>
      </c>
      <c r="B1994" t="inlineStr">
        <is>
          <t>Sacombank</t>
        </is>
      </c>
      <c r="C1994" t="n">
        <v>26134</v>
      </c>
      <c r="D1994" t="n">
        <v>26134</v>
      </c>
      <c r="E1994" t="n">
        <v>26364</v>
      </c>
    </row>
    <row r="1995">
      <c r="A1995" t="inlineStr">
        <is>
          <t>24/03/2026</t>
        </is>
      </c>
      <c r="B1995" t="inlineStr">
        <is>
          <t>Sacombank</t>
        </is>
      </c>
      <c r="C1995" t="n">
        <v>26139</v>
      </c>
      <c r="D1995" t="n">
        <v>26139</v>
      </c>
      <c r="E1995" t="n">
        <v>26369</v>
      </c>
    </row>
    <row r="1996">
      <c r="A1996" t="inlineStr">
        <is>
          <t>23/03/2026</t>
        </is>
      </c>
      <c r="B1996" t="inlineStr">
        <is>
          <t>Sacombank</t>
        </is>
      </c>
      <c r="C1996" t="n">
        <v>26099</v>
      </c>
      <c r="D1996" t="n">
        <v>26099</v>
      </c>
      <c r="E1996" t="n">
        <v>26349</v>
      </c>
    </row>
    <row r="1997">
      <c r="A1997" t="inlineStr">
        <is>
          <t>22/03/2026</t>
        </is>
      </c>
      <c r="B1997" t="inlineStr">
        <is>
          <t>Sacombank</t>
        </is>
      </c>
      <c r="C1997" t="n">
        <v>26094</v>
      </c>
      <c r="D1997" t="n">
        <v>26094</v>
      </c>
      <c r="E1997" t="n">
        <v>26344</v>
      </c>
    </row>
    <row r="1998">
      <c r="A1998" t="inlineStr">
        <is>
          <t>21/03/2026</t>
        </is>
      </c>
      <c r="B1998" t="inlineStr">
        <is>
          <t>Sacombank</t>
        </is>
      </c>
      <c r="C1998" t="n">
        <v>26094</v>
      </c>
      <c r="D1998" t="n">
        <v>26094</v>
      </c>
      <c r="E1998" t="n">
        <v>26344</v>
      </c>
    </row>
    <row r="1999">
      <c r="A1999" t="inlineStr">
        <is>
          <t>20/03/2026</t>
        </is>
      </c>
      <c r="B1999" t="inlineStr">
        <is>
          <t>Sacombank</t>
        </is>
      </c>
      <c r="C1999" t="n">
        <v>26094</v>
      </c>
      <c r="D1999" t="n">
        <v>26094</v>
      </c>
      <c r="E1999" t="n">
        <v>26344</v>
      </c>
    </row>
    <row r="2000">
      <c r="A2000" t="inlineStr">
        <is>
          <t>19/03/2026</t>
        </is>
      </c>
      <c r="B2000" t="inlineStr">
        <is>
          <t>Sacombank</t>
        </is>
      </c>
      <c r="C2000" t="n">
        <v>26080</v>
      </c>
      <c r="D2000" t="n">
        <v>26080</v>
      </c>
      <c r="E2000" t="n">
        <v>26330</v>
      </c>
    </row>
    <row r="2001">
      <c r="A2001" t="inlineStr">
        <is>
          <t>18/03/2026</t>
        </is>
      </c>
      <c r="B2001" t="inlineStr">
        <is>
          <t>Sacombank</t>
        </is>
      </c>
      <c r="C2001" t="n">
        <v>26075</v>
      </c>
      <c r="D2001" t="n">
        <v>26075</v>
      </c>
      <c r="E2001" t="n">
        <v>26325</v>
      </c>
    </row>
    <row r="2002">
      <c r="A2002" t="inlineStr">
        <is>
          <t>17/03/2026</t>
        </is>
      </c>
      <c r="B2002" t="inlineStr">
        <is>
          <t>Sacombank</t>
        </is>
      </c>
      <c r="C2002" t="n">
        <v>26076</v>
      </c>
      <c r="D2002" t="n">
        <v>26076</v>
      </c>
      <c r="E2002" t="n">
        <v>26326</v>
      </c>
    </row>
    <row r="2003">
      <c r="A2003" t="inlineStr">
        <is>
          <t>16/03/2026</t>
        </is>
      </c>
      <c r="B2003" t="inlineStr">
        <is>
          <t>Sacombank</t>
        </is>
      </c>
      <c r="C2003" t="n">
        <v>26076</v>
      </c>
      <c r="D2003" t="n">
        <v>26076</v>
      </c>
      <c r="E2003" t="n">
        <v>26326</v>
      </c>
    </row>
    <row r="2004">
      <c r="A2004" t="inlineStr">
        <is>
          <t>15/03/2026</t>
        </is>
      </c>
      <c r="B2004" t="inlineStr">
        <is>
          <t>Sacombank</t>
        </is>
      </c>
      <c r="C2004" t="n">
        <v>26073</v>
      </c>
      <c r="D2004" t="n">
        <v>26073</v>
      </c>
      <c r="E2004" t="n">
        <v>26323</v>
      </c>
    </row>
    <row r="2005">
      <c r="A2005" t="inlineStr">
        <is>
          <t>14/03/2026</t>
        </is>
      </c>
      <c r="B2005" t="inlineStr">
        <is>
          <t>Sacombank</t>
        </is>
      </c>
      <c r="C2005" t="n">
        <v>26073</v>
      </c>
      <c r="D2005" t="n">
        <v>26073</v>
      </c>
      <c r="E2005" t="n">
        <v>26323</v>
      </c>
    </row>
    <row r="2006">
      <c r="A2006" t="inlineStr">
        <is>
          <t>13/03/2026</t>
        </is>
      </c>
      <c r="B2006" t="inlineStr">
        <is>
          <t>Sacombank</t>
        </is>
      </c>
      <c r="C2006" t="n">
        <v>26073</v>
      </c>
      <c r="D2006" t="n">
        <v>26073</v>
      </c>
      <c r="E2006" t="n">
        <v>26323</v>
      </c>
    </row>
    <row r="2007">
      <c r="A2007" t="inlineStr">
        <is>
          <t>12/03/2026</t>
        </is>
      </c>
      <c r="B2007" t="inlineStr">
        <is>
          <t>Sacombank</t>
        </is>
      </c>
      <c r="C2007" t="n">
        <v>26069</v>
      </c>
      <c r="D2007" t="n">
        <v>26069</v>
      </c>
      <c r="E2007" t="n">
        <v>26319</v>
      </c>
    </row>
    <row r="2008">
      <c r="A2008" t="inlineStr">
        <is>
          <t>11/03/2026</t>
        </is>
      </c>
      <c r="B2008" t="inlineStr">
        <is>
          <t>Sacombank</t>
        </is>
      </c>
      <c r="C2008" t="n">
        <v>26026</v>
      </c>
      <c r="D2008" t="n">
        <v>26026</v>
      </c>
      <c r="E2008" t="n">
        <v>26316</v>
      </c>
    </row>
    <row r="2009">
      <c r="A2009" t="inlineStr">
        <is>
          <t>10/03/2026</t>
        </is>
      </c>
      <c r="B2009" t="inlineStr">
        <is>
          <t>Sacombank</t>
        </is>
      </c>
      <c r="C2009" t="n">
        <v>26010</v>
      </c>
      <c r="D2009" t="n">
        <v>26010</v>
      </c>
      <c r="E2009" t="n">
        <v>26320</v>
      </c>
    </row>
    <row r="2010">
      <c r="A2010" t="inlineStr">
        <is>
          <t>09/03/2026</t>
        </is>
      </c>
      <c r="B2010" t="inlineStr">
        <is>
          <t>Sacombank</t>
        </is>
      </c>
      <c r="C2010" t="n">
        <v>26066</v>
      </c>
      <c r="D2010" t="n">
        <v>26066</v>
      </c>
      <c r="E2010" t="n">
        <v>26316</v>
      </c>
    </row>
    <row r="2011">
      <c r="A2011" t="inlineStr">
        <is>
          <t>08/03/2026</t>
        </is>
      </c>
      <c r="B2011" t="inlineStr">
        <is>
          <t>Sacombank</t>
        </is>
      </c>
      <c r="C2011" t="n">
        <v>26024</v>
      </c>
      <c r="D2011" t="n">
        <v>26024</v>
      </c>
      <c r="E2011" t="n">
        <v>26314</v>
      </c>
    </row>
    <row r="2012">
      <c r="A2012" t="inlineStr">
        <is>
          <t>07/03/2026</t>
        </is>
      </c>
      <c r="B2012" t="inlineStr">
        <is>
          <t>Sacombank</t>
        </is>
      </c>
      <c r="C2012" t="n">
        <v>26024</v>
      </c>
      <c r="D2012" t="n">
        <v>26024</v>
      </c>
      <c r="E2012" t="n">
        <v>26314</v>
      </c>
    </row>
    <row r="2013">
      <c r="A2013" t="inlineStr">
        <is>
          <t>06/03/2026</t>
        </is>
      </c>
      <c r="B2013" t="inlineStr">
        <is>
          <t>Sacombank</t>
        </is>
      </c>
      <c r="C2013" t="n">
        <v>26024</v>
      </c>
      <c r="D2013" t="n">
        <v>26024</v>
      </c>
      <c r="E2013" t="n">
        <v>26314</v>
      </c>
    </row>
    <row r="2014">
      <c r="A2014" t="inlineStr">
        <is>
          <t>05/03/2026</t>
        </is>
      </c>
      <c r="B2014" t="inlineStr">
        <is>
          <t>Sacombank</t>
        </is>
      </c>
      <c r="C2014" t="n">
        <v>26022</v>
      </c>
      <c r="D2014" t="n">
        <v>26022</v>
      </c>
      <c r="E2014" t="n">
        <v>26312</v>
      </c>
    </row>
    <row r="2015">
      <c r="A2015" t="inlineStr">
        <is>
          <t>04/03/2026</t>
        </is>
      </c>
      <c r="B2015" t="inlineStr">
        <is>
          <t>Sacombank</t>
        </is>
      </c>
      <c r="C2015" t="n">
        <v>25999</v>
      </c>
      <c r="D2015" t="n">
        <v>25999</v>
      </c>
      <c r="E2015" t="n">
        <v>26309</v>
      </c>
    </row>
    <row r="2016">
      <c r="A2016" t="inlineStr">
        <is>
          <t>03/03/2026</t>
        </is>
      </c>
      <c r="B2016" t="inlineStr">
        <is>
          <t>Sacombank</t>
        </is>
      </c>
      <c r="C2016" t="n">
        <v>25993</v>
      </c>
      <c r="D2016" t="n">
        <v>25993</v>
      </c>
      <c r="E2016" t="n">
        <v>26303</v>
      </c>
    </row>
    <row r="2017">
      <c r="A2017" t="inlineStr">
        <is>
          <t>02/03/2026</t>
        </is>
      </c>
      <c r="B2017" t="inlineStr">
        <is>
          <t>Sacombank</t>
        </is>
      </c>
      <c r="C2017" t="n">
        <v>25984</v>
      </c>
      <c r="D2017" t="n">
        <v>25984</v>
      </c>
      <c r="E2017" t="n">
        <v>26294</v>
      </c>
    </row>
    <row r="2018">
      <c r="A2018" t="inlineStr">
        <is>
          <t>01/03/2026</t>
        </is>
      </c>
      <c r="B2018" t="inlineStr">
        <is>
          <t>Sacombank</t>
        </is>
      </c>
      <c r="C2018" t="n">
        <v>25845</v>
      </c>
      <c r="D2018" t="n">
        <v>25845</v>
      </c>
      <c r="E2018" t="n">
        <v>26235</v>
      </c>
    </row>
    <row r="2019">
      <c r="A2019" t="inlineStr">
        <is>
          <t>28/02/2026</t>
        </is>
      </c>
      <c r="B2019" t="inlineStr">
        <is>
          <t>Sacombank</t>
        </is>
      </c>
      <c r="C2019" t="n">
        <v>25845</v>
      </c>
      <c r="D2019" t="n">
        <v>25845</v>
      </c>
      <c r="E2019" t="n">
        <v>26235</v>
      </c>
    </row>
    <row r="2020">
      <c r="A2020" t="inlineStr">
        <is>
          <t>27/02/2026</t>
        </is>
      </c>
      <c r="B2020" t="inlineStr">
        <is>
          <t>Sacombank</t>
        </is>
      </c>
      <c r="C2020" t="n">
        <v>25845</v>
      </c>
      <c r="D2020" t="n">
        <v>25845</v>
      </c>
      <c r="E2020" t="n">
        <v>26235</v>
      </c>
    </row>
    <row r="2021">
      <c r="A2021" t="inlineStr">
        <is>
          <t>26/02/2026</t>
        </is>
      </c>
      <c r="B2021" t="inlineStr">
        <is>
          <t>Sacombank</t>
        </is>
      </c>
      <c r="C2021" t="n">
        <v>25875</v>
      </c>
      <c r="D2021" t="n">
        <v>25875</v>
      </c>
      <c r="E2021" t="n">
        <v>26265</v>
      </c>
    </row>
    <row r="2022">
      <c r="A2022" t="inlineStr">
        <is>
          <t>25/02/2026</t>
        </is>
      </c>
      <c r="B2022" t="inlineStr">
        <is>
          <t>Sacombank</t>
        </is>
      </c>
      <c r="C2022" t="n">
        <v>25924</v>
      </c>
      <c r="D2022" t="n">
        <v>25924</v>
      </c>
      <c r="E2022" t="n">
        <v>26314</v>
      </c>
    </row>
    <row r="2023">
      <c r="A2023" t="inlineStr">
        <is>
          <t>24/02/2026</t>
        </is>
      </c>
      <c r="B2023" t="inlineStr">
        <is>
          <t>Sacombank</t>
        </is>
      </c>
      <c r="C2023" t="n">
        <v>25980</v>
      </c>
      <c r="D2023" t="n">
        <v>25980</v>
      </c>
      <c r="E2023" t="n">
        <v>26310</v>
      </c>
    </row>
    <row r="2024">
      <c r="A2024" t="inlineStr">
        <is>
          <t>23/02/2026</t>
        </is>
      </c>
      <c r="B2024" t="inlineStr">
        <is>
          <t>Sacombank</t>
        </is>
      </c>
      <c r="C2024" t="n">
        <v>25905</v>
      </c>
      <c r="D2024" t="n">
        <v>25905</v>
      </c>
      <c r="E2024" t="n">
        <v>26295</v>
      </c>
    </row>
    <row r="2025">
      <c r="A2025" t="inlineStr">
        <is>
          <t>22/02/2026</t>
        </is>
      </c>
      <c r="B2025" t="inlineStr">
        <is>
          <t>Sacombank</t>
        </is>
      </c>
      <c r="C2025" t="n">
        <v>25775</v>
      </c>
      <c r="D2025" t="n">
        <v>25775</v>
      </c>
      <c r="E2025" t="n">
        <v>26165</v>
      </c>
    </row>
    <row r="2026">
      <c r="A2026" t="inlineStr">
        <is>
          <t>21/02/2026</t>
        </is>
      </c>
      <c r="B2026" t="inlineStr">
        <is>
          <t>Sacombank</t>
        </is>
      </c>
      <c r="C2026" t="n">
        <v>25775</v>
      </c>
      <c r="D2026" t="n">
        <v>25775</v>
      </c>
      <c r="E2026" t="n">
        <v>26165</v>
      </c>
    </row>
    <row r="2027">
      <c r="A2027" t="inlineStr">
        <is>
          <t>20/02/2026</t>
        </is>
      </c>
      <c r="B2027" t="inlineStr">
        <is>
          <t>Sacombank</t>
        </is>
      </c>
      <c r="C2027" t="n">
        <v>25775</v>
      </c>
      <c r="D2027" t="n">
        <v>25775</v>
      </c>
      <c r="E2027" t="n">
        <v>26165</v>
      </c>
    </row>
    <row r="2028">
      <c r="A2028" t="inlineStr">
        <is>
          <t>19/02/2026</t>
        </is>
      </c>
      <c r="B2028" t="inlineStr">
        <is>
          <t>Sacombank</t>
        </is>
      </c>
      <c r="C2028" t="n">
        <v>25775</v>
      </c>
      <c r="D2028" t="n">
        <v>25775</v>
      </c>
      <c r="E2028" t="n">
        <v>26165</v>
      </c>
    </row>
    <row r="2029">
      <c r="A2029" t="inlineStr">
        <is>
          <t>18/02/2026</t>
        </is>
      </c>
      <c r="B2029" t="inlineStr">
        <is>
          <t>Sacombank</t>
        </is>
      </c>
      <c r="C2029" t="n">
        <v>25775</v>
      </c>
      <c r="D2029" t="n">
        <v>25775</v>
      </c>
      <c r="E2029" t="n">
        <v>26165</v>
      </c>
    </row>
    <row r="2030">
      <c r="A2030" t="inlineStr">
        <is>
          <t>17/02/2026</t>
        </is>
      </c>
      <c r="B2030" t="inlineStr">
        <is>
          <t>Sacombank</t>
        </is>
      </c>
      <c r="C2030" t="n">
        <v>25775</v>
      </c>
      <c r="D2030" t="n">
        <v>25775</v>
      </c>
      <c r="E2030" t="n">
        <v>26165</v>
      </c>
    </row>
    <row r="2031">
      <c r="A2031" t="inlineStr">
        <is>
          <t>16/02/2026</t>
        </is>
      </c>
      <c r="B2031" t="inlineStr">
        <is>
          <t>Sacombank</t>
        </is>
      </c>
      <c r="C2031" t="n">
        <v>25775</v>
      </c>
      <c r="D2031" t="n">
        <v>25775</v>
      </c>
      <c r="E2031" t="n">
        <v>26165</v>
      </c>
    </row>
    <row r="2032">
      <c r="A2032" t="inlineStr">
        <is>
          <t>15/02/2026</t>
        </is>
      </c>
      <c r="B2032" t="inlineStr">
        <is>
          <t>Sacombank</t>
        </is>
      </c>
      <c r="C2032" t="n">
        <v>25775</v>
      </c>
      <c r="D2032" t="n">
        <v>25775</v>
      </c>
      <c r="E2032" t="n">
        <v>26165</v>
      </c>
    </row>
    <row r="2033">
      <c r="A2033" t="inlineStr">
        <is>
          <t>14/02/2026</t>
        </is>
      </c>
      <c r="B2033" t="inlineStr">
        <is>
          <t>Sacombank</t>
        </is>
      </c>
      <c r="C2033" t="n">
        <v>25775</v>
      </c>
      <c r="D2033" t="n">
        <v>25775</v>
      </c>
      <c r="E2033" t="n">
        <v>26165</v>
      </c>
    </row>
    <row r="2034">
      <c r="A2034" t="inlineStr">
        <is>
          <t>13/02/2026</t>
        </is>
      </c>
      <c r="B2034" t="inlineStr">
        <is>
          <t>Sacombank</t>
        </is>
      </c>
      <c r="C2034" t="n">
        <v>25775</v>
      </c>
      <c r="D2034" t="n">
        <v>25775</v>
      </c>
      <c r="E2034" t="n">
        <v>26165</v>
      </c>
    </row>
    <row r="2035">
      <c r="A2035" t="inlineStr">
        <is>
          <t>12/02/2026</t>
        </is>
      </c>
      <c r="B2035" t="inlineStr">
        <is>
          <t>Sacombank</t>
        </is>
      </c>
      <c r="C2035" t="n">
        <v>25775</v>
      </c>
      <c r="D2035" t="n">
        <v>25775</v>
      </c>
      <c r="E2035" t="n">
        <v>26165</v>
      </c>
    </row>
    <row r="2036">
      <c r="A2036" t="inlineStr">
        <is>
          <t>11/02/2026</t>
        </is>
      </c>
      <c r="B2036" t="inlineStr">
        <is>
          <t>Sacombank</t>
        </is>
      </c>
      <c r="C2036" t="n">
        <v>25775</v>
      </c>
      <c r="D2036" t="n">
        <v>25775</v>
      </c>
      <c r="E2036" t="n">
        <v>26165</v>
      </c>
    </row>
    <row r="2037">
      <c r="A2037" t="inlineStr">
        <is>
          <t>10/02/2026</t>
        </is>
      </c>
      <c r="B2037" t="inlineStr">
        <is>
          <t>Sacombank</t>
        </is>
      </c>
      <c r="C2037" t="n">
        <v>25675</v>
      </c>
      <c r="D2037" t="n">
        <v>25675</v>
      </c>
      <c r="E2037" t="n">
        <v>26065</v>
      </c>
    </row>
    <row r="2038">
      <c r="A2038" t="inlineStr">
        <is>
          <t>09/02/2026</t>
        </is>
      </c>
      <c r="B2038" t="inlineStr">
        <is>
          <t>Sacombank</t>
        </is>
      </c>
      <c r="C2038" t="n">
        <v>25715</v>
      </c>
      <c r="D2038" t="n">
        <v>25715</v>
      </c>
      <c r="E2038" t="n">
        <v>26105</v>
      </c>
    </row>
    <row r="2039">
      <c r="A2039" t="inlineStr">
        <is>
          <t>08/02/2026</t>
        </is>
      </c>
      <c r="B2039" t="inlineStr">
        <is>
          <t>Sacombank</t>
        </is>
      </c>
      <c r="C2039" t="n">
        <v>25755</v>
      </c>
      <c r="D2039" t="n">
        <v>25755</v>
      </c>
      <c r="E2039" t="n">
        <v>26145</v>
      </c>
    </row>
    <row r="2040">
      <c r="A2040" t="inlineStr">
        <is>
          <t>07/02/2026</t>
        </is>
      </c>
      <c r="B2040" t="inlineStr">
        <is>
          <t>Sacombank</t>
        </is>
      </c>
      <c r="C2040" t="n">
        <v>25755</v>
      </c>
      <c r="D2040" t="n">
        <v>25755</v>
      </c>
      <c r="E2040" t="n">
        <v>26145</v>
      </c>
    </row>
    <row r="2041">
      <c r="A2041" t="inlineStr">
        <is>
          <t>06/02/2026</t>
        </is>
      </c>
      <c r="B2041" t="inlineStr">
        <is>
          <t>Sacombank</t>
        </is>
      </c>
      <c r="C2041" t="n">
        <v>25755</v>
      </c>
      <c r="D2041" t="n">
        <v>25755</v>
      </c>
      <c r="E2041" t="n">
        <v>26145</v>
      </c>
    </row>
    <row r="2042">
      <c r="A2042" t="inlineStr">
        <is>
          <t>05/02/2026</t>
        </is>
      </c>
      <c r="B2042" t="inlineStr">
        <is>
          <t>Sacombank</t>
        </is>
      </c>
      <c r="C2042" t="n">
        <v>25785</v>
      </c>
      <c r="D2042" t="n">
        <v>25785</v>
      </c>
      <c r="E2042" t="n">
        <v>26155</v>
      </c>
    </row>
    <row r="2043">
      <c r="A2043" t="inlineStr">
        <is>
          <t>04/02/2026</t>
        </is>
      </c>
      <c r="B2043" t="inlineStr">
        <is>
          <t>Sacombank</t>
        </is>
      </c>
      <c r="C2043" t="n">
        <v>25815</v>
      </c>
      <c r="D2043" t="n">
        <v>25815</v>
      </c>
      <c r="E2043" t="n">
        <v>26185</v>
      </c>
    </row>
    <row r="2044">
      <c r="A2044" t="inlineStr">
        <is>
          <t>03/02/2026</t>
        </is>
      </c>
      <c r="B2044" t="inlineStr">
        <is>
          <t>Sacombank</t>
        </is>
      </c>
      <c r="C2044" t="n">
        <v>25815</v>
      </c>
      <c r="D2044" t="n">
        <v>25815</v>
      </c>
      <c r="E2044" t="n">
        <v>26185</v>
      </c>
    </row>
    <row r="2045">
      <c r="A2045" t="inlineStr">
        <is>
          <t>02/02/2026</t>
        </is>
      </c>
      <c r="B2045" t="inlineStr">
        <is>
          <t>Sacombank</t>
        </is>
      </c>
      <c r="C2045" t="n">
        <v>25815</v>
      </c>
      <c r="D2045" t="n">
        <v>25815</v>
      </c>
      <c r="E2045" t="n">
        <v>26185</v>
      </c>
    </row>
    <row r="2046">
      <c r="A2046" t="inlineStr">
        <is>
          <t>01/02/2026</t>
        </is>
      </c>
      <c r="B2046" t="inlineStr">
        <is>
          <t>Sacombank</t>
        </is>
      </c>
      <c r="C2046" t="n">
        <v>25745</v>
      </c>
      <c r="D2046" t="n">
        <v>25745</v>
      </c>
      <c r="E2046" t="n">
        <v>26115</v>
      </c>
    </row>
    <row r="2047">
      <c r="A2047" t="inlineStr">
        <is>
          <t>31/01/2026</t>
        </is>
      </c>
      <c r="B2047" t="inlineStr">
        <is>
          <t>Sacombank</t>
        </is>
      </c>
      <c r="C2047" t="n">
        <v>25745</v>
      </c>
      <c r="D2047" t="n">
        <v>25745</v>
      </c>
      <c r="E2047" t="n">
        <v>26115</v>
      </c>
    </row>
    <row r="2048">
      <c r="A2048" t="inlineStr">
        <is>
          <t>30/01/2026</t>
        </is>
      </c>
      <c r="B2048" t="inlineStr">
        <is>
          <t>Sacombank</t>
        </is>
      </c>
      <c r="C2048" t="n">
        <v>25745</v>
      </c>
      <c r="D2048" t="n">
        <v>25745</v>
      </c>
      <c r="E2048" t="n">
        <v>26115</v>
      </c>
    </row>
    <row r="2049">
      <c r="A2049" t="inlineStr">
        <is>
          <t>29/01/2026</t>
        </is>
      </c>
      <c r="B2049" t="inlineStr">
        <is>
          <t>Sacombank</t>
        </is>
      </c>
      <c r="C2049" t="n">
        <v>25835</v>
      </c>
      <c r="D2049" t="n">
        <v>25835</v>
      </c>
      <c r="E2049" t="n">
        <v>26205</v>
      </c>
    </row>
    <row r="2050">
      <c r="A2050" t="inlineStr">
        <is>
          <t>28/01/2026</t>
        </is>
      </c>
      <c r="B2050" t="inlineStr">
        <is>
          <t>Sacombank</t>
        </is>
      </c>
      <c r="C2050" t="n">
        <v>25895</v>
      </c>
      <c r="D2050" t="n">
        <v>25895</v>
      </c>
      <c r="E2050" t="n">
        <v>26265</v>
      </c>
    </row>
    <row r="2051">
      <c r="A2051" t="inlineStr">
        <is>
          <t>27/01/2026</t>
        </is>
      </c>
      <c r="B2051" t="inlineStr">
        <is>
          <t>Sacombank</t>
        </is>
      </c>
      <c r="C2051" t="n">
        <v>25965</v>
      </c>
      <c r="D2051" t="n">
        <v>25965</v>
      </c>
      <c r="E2051" t="n">
        <v>26335</v>
      </c>
    </row>
    <row r="2052">
      <c r="A2052" t="inlineStr">
        <is>
          <t>26/01/2026</t>
        </is>
      </c>
      <c r="B2052" t="inlineStr">
        <is>
          <t>Sacombank</t>
        </is>
      </c>
      <c r="C2052" t="n">
        <v>26003</v>
      </c>
      <c r="D2052" t="n">
        <v>26003</v>
      </c>
      <c r="E2052" t="n">
        <v>26373</v>
      </c>
    </row>
    <row r="2053">
      <c r="A2053" t="inlineStr">
        <is>
          <t>25/01/2026</t>
        </is>
      </c>
      <c r="B2053" t="inlineStr">
        <is>
          <t>Sacombank</t>
        </is>
      </c>
      <c r="C2053" t="n">
        <v>26056</v>
      </c>
      <c r="D2053" t="n">
        <v>26056</v>
      </c>
      <c r="E2053" t="n">
        <v>26386</v>
      </c>
    </row>
    <row r="2054">
      <c r="A2054" t="inlineStr">
        <is>
          <t>24/01/2026</t>
        </is>
      </c>
      <c r="B2054" t="inlineStr">
        <is>
          <t>Sacombank</t>
        </is>
      </c>
      <c r="C2054" t="n">
        <v>26056</v>
      </c>
      <c r="D2054" t="n">
        <v>26056</v>
      </c>
      <c r="E2054" t="n">
        <v>26386</v>
      </c>
    </row>
    <row r="2055">
      <c r="A2055" t="inlineStr">
        <is>
          <t>23/01/2026</t>
        </is>
      </c>
      <c r="B2055" t="inlineStr">
        <is>
          <t>Sacombank</t>
        </is>
      </c>
      <c r="C2055" t="n">
        <v>26056</v>
      </c>
      <c r="D2055" t="n">
        <v>26056</v>
      </c>
      <c r="E2055" t="n">
        <v>26386</v>
      </c>
    </row>
    <row r="2056">
      <c r="A2056" t="inlineStr">
        <is>
          <t>22/01/2026</t>
        </is>
      </c>
      <c r="B2056" t="inlineStr">
        <is>
          <t>Sacombank</t>
        </is>
      </c>
      <c r="C2056" t="n">
        <v>26076</v>
      </c>
      <c r="D2056" t="n">
        <v>26076</v>
      </c>
      <c r="E2056" t="n">
        <v>26386</v>
      </c>
    </row>
    <row r="2057">
      <c r="A2057" t="inlineStr">
        <is>
          <t>21/01/2026</t>
        </is>
      </c>
      <c r="B2057" t="inlineStr">
        <is>
          <t>Sacombank</t>
        </is>
      </c>
      <c r="C2057" t="n">
        <v>26075</v>
      </c>
      <c r="D2057" t="n">
        <v>26075</v>
      </c>
      <c r="E2057" t="n">
        <v>26385</v>
      </c>
    </row>
    <row r="2058">
      <c r="A2058" t="inlineStr">
        <is>
          <t>20/01/2026</t>
        </is>
      </c>
      <c r="B2058" t="inlineStr">
        <is>
          <t>Sacombank</t>
        </is>
      </c>
      <c r="C2058" t="n">
        <v>26081</v>
      </c>
      <c r="D2058" t="n">
        <v>26081</v>
      </c>
      <c r="E2058" t="n">
        <v>26391</v>
      </c>
    </row>
    <row r="2059">
      <c r="A2059" t="inlineStr">
        <is>
          <t>19/01/2026</t>
        </is>
      </c>
      <c r="B2059" t="inlineStr">
        <is>
          <t>Sacombank</t>
        </is>
      </c>
      <c r="C2059" t="n">
        <v>26083</v>
      </c>
      <c r="D2059" t="n">
        <v>26083</v>
      </c>
      <c r="E2059" t="n">
        <v>26393</v>
      </c>
    </row>
    <row r="2060">
      <c r="A2060" t="inlineStr">
        <is>
          <t>18/01/2026</t>
        </is>
      </c>
      <c r="B2060" t="inlineStr">
        <is>
          <t>Sacombank</t>
        </is>
      </c>
      <c r="C2060" t="n">
        <v>26082</v>
      </c>
      <c r="D2060" t="n">
        <v>26082</v>
      </c>
      <c r="E2060" t="n">
        <v>26392</v>
      </c>
    </row>
    <row r="2061">
      <c r="A2061" t="inlineStr">
        <is>
          <t>17/01/2026</t>
        </is>
      </c>
      <c r="B2061" t="inlineStr">
        <is>
          <t>Sacombank</t>
        </is>
      </c>
      <c r="C2061" t="n">
        <v>26082</v>
      </c>
      <c r="D2061" t="n">
        <v>26082</v>
      </c>
      <c r="E2061" t="n">
        <v>26392</v>
      </c>
    </row>
    <row r="2062">
      <c r="A2062" t="inlineStr">
        <is>
          <t>16/01/2026</t>
        </is>
      </c>
      <c r="B2062" t="inlineStr">
        <is>
          <t>Sacombank</t>
        </is>
      </c>
      <c r="C2062" t="n">
        <v>26082</v>
      </c>
      <c r="D2062" t="n">
        <v>26082</v>
      </c>
      <c r="E2062" t="n">
        <v>26392</v>
      </c>
    </row>
    <row r="2063">
      <c r="A2063" t="inlineStr">
        <is>
          <t>15/01/2026</t>
        </is>
      </c>
      <c r="B2063" t="inlineStr">
        <is>
          <t>Sacombank</t>
        </is>
      </c>
      <c r="C2063" t="n">
        <v>26086</v>
      </c>
      <c r="D2063" t="n">
        <v>26086</v>
      </c>
      <c r="E2063" t="n">
        <v>26396</v>
      </c>
    </row>
    <row r="2064">
      <c r="A2064" t="inlineStr">
        <is>
          <t>14/01/2026</t>
        </is>
      </c>
      <c r="B2064" t="inlineStr">
        <is>
          <t>Sacombank</t>
        </is>
      </c>
      <c r="C2064" t="n">
        <v>26086</v>
      </c>
      <c r="D2064" t="n">
        <v>26086</v>
      </c>
      <c r="E2064" t="n">
        <v>26396</v>
      </c>
    </row>
    <row r="2065">
      <c r="A2065" t="inlineStr">
        <is>
          <t>13/01/2026</t>
        </is>
      </c>
      <c r="B2065" t="inlineStr">
        <is>
          <t>Sacombank</t>
        </is>
      </c>
      <c r="C2065" t="n">
        <v>26080</v>
      </c>
      <c r="D2065" t="n">
        <v>26080</v>
      </c>
      <c r="E2065" t="n">
        <v>26390</v>
      </c>
    </row>
    <row r="2066">
      <c r="A2066" t="inlineStr">
        <is>
          <t>12/01/2026</t>
        </is>
      </c>
      <c r="B2066" t="inlineStr">
        <is>
          <t>Sacombank</t>
        </is>
      </c>
      <c r="C2066" t="n">
        <v>26080</v>
      </c>
      <c r="D2066" t="n">
        <v>26080</v>
      </c>
      <c r="E2066" t="n">
        <v>26390</v>
      </c>
    </row>
    <row r="2067">
      <c r="A2067" t="inlineStr">
        <is>
          <t>11/01/2026</t>
        </is>
      </c>
      <c r="B2067" t="inlineStr">
        <is>
          <t>Sacombank</t>
        </is>
      </c>
      <c r="C2067" t="n">
        <v>26082</v>
      </c>
      <c r="D2067" t="n">
        <v>26082</v>
      </c>
      <c r="E2067" t="n">
        <v>26392</v>
      </c>
    </row>
    <row r="2068">
      <c r="A2068" t="inlineStr">
        <is>
          <t>10/01/2026</t>
        </is>
      </c>
      <c r="B2068" t="inlineStr">
        <is>
          <t>Sacombank</t>
        </is>
      </c>
      <c r="C2068" t="n">
        <v>26082</v>
      </c>
      <c r="D2068" t="n">
        <v>26082</v>
      </c>
      <c r="E2068" t="n">
        <v>26392</v>
      </c>
    </row>
    <row r="2069">
      <c r="A2069" t="inlineStr">
        <is>
          <t>09/01/2026</t>
        </is>
      </c>
      <c r="B2069" t="inlineStr">
        <is>
          <t>Sacombank</t>
        </is>
      </c>
      <c r="C2069" t="n">
        <v>26078</v>
      </c>
      <c r="D2069" t="n">
        <v>26078</v>
      </c>
      <c r="E2069" t="n">
        <v>26388</v>
      </c>
    </row>
    <row r="2070">
      <c r="A2070" t="inlineStr">
        <is>
          <t>08/01/2026</t>
        </is>
      </c>
      <c r="B2070" t="inlineStr">
        <is>
          <t>Sacombank</t>
        </is>
      </c>
      <c r="C2070" t="n">
        <v>26076</v>
      </c>
      <c r="D2070" t="n">
        <v>26076</v>
      </c>
      <c r="E2070" t="n">
        <v>26386</v>
      </c>
    </row>
    <row r="2071">
      <c r="A2071" t="inlineStr">
        <is>
          <t>07/01/2026</t>
        </is>
      </c>
      <c r="B2071" t="inlineStr">
        <is>
          <t>Sacombank</t>
        </is>
      </c>
      <c r="C2071" t="n">
        <v>26073</v>
      </c>
      <c r="D2071" t="n">
        <v>26073</v>
      </c>
      <c r="E2071" t="n">
        <v>26383</v>
      </c>
    </row>
    <row r="2072">
      <c r="A2072" t="inlineStr">
        <is>
          <t>06/01/2026</t>
        </is>
      </c>
      <c r="B2072" t="inlineStr">
        <is>
          <t>Sacombank</t>
        </is>
      </c>
      <c r="C2072" t="n">
        <v>26073</v>
      </c>
      <c r="D2072" t="n">
        <v>26073</v>
      </c>
      <c r="E2072" t="n">
        <v>26383</v>
      </c>
    </row>
    <row r="2073">
      <c r="A2073" t="inlineStr">
        <is>
          <t>05/01/2026</t>
        </is>
      </c>
      <c r="B2073" t="inlineStr">
        <is>
          <t>Sacombank</t>
        </is>
      </c>
      <c r="C2073" t="n">
        <v>26075</v>
      </c>
      <c r="D2073" t="n">
        <v>26075</v>
      </c>
      <c r="E2073" t="n">
        <v>26385</v>
      </c>
    </row>
    <row r="2074">
      <c r="A2074" t="inlineStr">
        <is>
          <t>04/01/2026</t>
        </is>
      </c>
      <c r="B2074" t="inlineStr">
        <is>
          <t>Sacombank</t>
        </is>
      </c>
      <c r="C2074" t="n">
        <v>26072</v>
      </c>
      <c r="D2074" t="n">
        <v>26072</v>
      </c>
      <c r="E2074" t="n">
        <v>26382</v>
      </c>
    </row>
    <row r="2075">
      <c r="A2075" t="inlineStr">
        <is>
          <t>03/01/2026</t>
        </is>
      </c>
      <c r="B2075" t="inlineStr">
        <is>
          <t>Sacombank</t>
        </is>
      </c>
      <c r="C2075" t="n">
        <v>26072</v>
      </c>
      <c r="D2075" t="n">
        <v>26072</v>
      </c>
      <c r="E2075" t="n">
        <v>26382</v>
      </c>
    </row>
    <row r="2076">
      <c r="A2076" t="inlineStr">
        <is>
          <t>02/01/2026</t>
        </is>
      </c>
      <c r="B2076" t="inlineStr">
        <is>
          <t>Sacombank</t>
        </is>
      </c>
      <c r="C2076" t="n">
        <v>26072</v>
      </c>
      <c r="D2076" t="n">
        <v>26072</v>
      </c>
      <c r="E2076" t="n">
        <v>26382</v>
      </c>
    </row>
    <row r="2077">
      <c r="A2077" t="inlineStr">
        <is>
          <t>01/01/2026</t>
        </is>
      </c>
      <c r="B2077" t="inlineStr">
        <is>
          <t>Sacombank</t>
        </is>
      </c>
      <c r="C2077" t="n">
        <v>26072</v>
      </c>
      <c r="D2077" t="n">
        <v>26072</v>
      </c>
      <c r="E2077" t="n">
        <v>26382</v>
      </c>
    </row>
    <row r="2078">
      <c r="A2078" t="inlineStr">
        <is>
          <t>10/09/2026</t>
        </is>
      </c>
      <c r="B2078" t="inlineStr">
        <is>
          <t>Sacombank</t>
        </is>
      </c>
      <c r="C2078" t="n">
        <v>25740</v>
      </c>
      <c r="D2078" t="n">
        <v>25740</v>
      </c>
      <c r="E2078" t="n">
        <v>26100</v>
      </c>
    </row>
    <row r="2079">
      <c r="A2079" t="inlineStr">
        <is>
          <t>11/09/2026</t>
        </is>
      </c>
      <c r="B2079" t="inlineStr">
        <is>
          <t>Sacombank</t>
        </is>
      </c>
      <c r="C2079" t="n">
        <v>25710</v>
      </c>
      <c r="D2079" t="n">
        <v>25710</v>
      </c>
      <c r="E2079" t="n">
        <v>26120</v>
      </c>
    </row>
    <row r="2080">
      <c r="A2080" t="inlineStr">
        <is>
          <t>12/09/2026</t>
        </is>
      </c>
      <c r="B2080" t="inlineStr">
        <is>
          <t>Sacombank</t>
        </is>
      </c>
      <c r="C2080" t="n">
        <v>25710</v>
      </c>
      <c r="D2080" t="n">
        <v>25710</v>
      </c>
      <c r="E2080" t="n">
        <v>26120</v>
      </c>
    </row>
    <row r="2081">
      <c r="A2081" t="inlineStr">
        <is>
          <t>13/09/2026</t>
        </is>
      </c>
      <c r="B2081" t="inlineStr">
        <is>
          <t>Sacombank</t>
        </is>
      </c>
      <c r="C2081" t="n">
        <v>25710</v>
      </c>
      <c r="D2081" t="n">
        <v>25710</v>
      </c>
      <c r="E2081" t="n">
        <v>26120</v>
      </c>
    </row>
    <row r="2082">
      <c r="A2082" t="inlineStr">
        <is>
          <t>14/09/2026</t>
        </is>
      </c>
      <c r="B2082" t="inlineStr">
        <is>
          <t>Sacombank</t>
        </is>
      </c>
      <c r="C2082" t="n">
        <v>25802</v>
      </c>
      <c r="D2082" t="n">
        <v>25802</v>
      </c>
      <c r="E2082" t="n">
        <v>26162</v>
      </c>
    </row>
    <row r="2083">
      <c r="A2083" t="inlineStr">
        <is>
          <t>15/09/2026</t>
        </is>
      </c>
      <c r="B2083" t="inlineStr">
        <is>
          <t>Sacombank</t>
        </is>
      </c>
      <c r="C2083" t="n">
        <v>25780</v>
      </c>
      <c r="D2083" t="n">
        <v>25780</v>
      </c>
      <c r="E2083" t="n">
        <v>26140</v>
      </c>
    </row>
    <row r="2084">
      <c r="A2084" t="inlineStr">
        <is>
          <t>16/09/2026</t>
        </is>
      </c>
      <c r="B2084" t="inlineStr">
        <is>
          <t>Sacombank</t>
        </is>
      </c>
      <c r="C2084" t="n">
        <v>25820</v>
      </c>
      <c r="D2084" t="n">
        <v>25820</v>
      </c>
      <c r="E2084" t="n">
        <v>26180</v>
      </c>
    </row>
    <row r="2085">
      <c r="A2085" t="inlineStr">
        <is>
          <t>18/09/2026</t>
        </is>
      </c>
      <c r="B2085" t="inlineStr">
        <is>
          <t>Sacombank</t>
        </is>
      </c>
      <c r="C2085" t="n">
        <v>25830</v>
      </c>
      <c r="D2085" t="n">
        <v>25830</v>
      </c>
      <c r="E2085" t="n">
        <v>26200</v>
      </c>
    </row>
    <row r="2086">
      <c r="A2086" t="inlineStr">
        <is>
          <t>09/09/2026</t>
        </is>
      </c>
      <c r="B2086" t="inlineStr">
        <is>
          <t>SeaBank</t>
        </is>
      </c>
      <c r="C2086" t="n">
        <v>25790</v>
      </c>
      <c r="D2086" t="n">
        <v>25790</v>
      </c>
      <c r="E2086" t="n">
        <v>26170</v>
      </c>
    </row>
    <row r="2087">
      <c r="A2087" t="inlineStr">
        <is>
          <t>08/09/2026</t>
        </is>
      </c>
      <c r="B2087" t="inlineStr">
        <is>
          <t>SeaBank</t>
        </is>
      </c>
      <c r="C2087" t="n">
        <v>25830</v>
      </c>
      <c r="D2087" t="n">
        <v>25830</v>
      </c>
      <c r="E2087" t="n">
        <v>26210</v>
      </c>
    </row>
    <row r="2088">
      <c r="A2088" t="inlineStr">
        <is>
          <t>07/09/2026</t>
        </is>
      </c>
      <c r="B2088" t="inlineStr">
        <is>
          <t>SeaBank</t>
        </is>
      </c>
      <c r="C2088" t="n">
        <v>25870</v>
      </c>
      <c r="D2088" t="n">
        <v>25870</v>
      </c>
      <c r="E2088" t="n">
        <v>26250</v>
      </c>
    </row>
    <row r="2089">
      <c r="A2089" t="inlineStr">
        <is>
          <t>06/09/2026</t>
        </is>
      </c>
      <c r="B2089" t="inlineStr">
        <is>
          <t>SeaBank</t>
        </is>
      </c>
      <c r="C2089" t="n">
        <v>25905</v>
      </c>
      <c r="D2089" t="n">
        <v>25905</v>
      </c>
      <c r="E2089" t="n">
        <v>26285</v>
      </c>
    </row>
    <row r="2090">
      <c r="A2090" t="inlineStr">
        <is>
          <t>05/09/2026</t>
        </is>
      </c>
      <c r="B2090" t="inlineStr">
        <is>
          <t>SeaBank</t>
        </is>
      </c>
      <c r="C2090" t="n">
        <v>25905</v>
      </c>
      <c r="D2090" t="n">
        <v>25905</v>
      </c>
      <c r="E2090" t="n">
        <v>26285</v>
      </c>
    </row>
    <row r="2091">
      <c r="A2091" t="inlineStr">
        <is>
          <t>04/09/2026</t>
        </is>
      </c>
      <c r="B2091" t="inlineStr">
        <is>
          <t>SeaBank</t>
        </is>
      </c>
      <c r="C2091" t="n">
        <v>25905</v>
      </c>
      <c r="D2091" t="n">
        <v>25905</v>
      </c>
      <c r="E2091" t="n">
        <v>26285</v>
      </c>
    </row>
    <row r="2092">
      <c r="A2092" t="inlineStr">
        <is>
          <t>03/09/2026</t>
        </is>
      </c>
      <c r="B2092" t="inlineStr">
        <is>
          <t>SeaBank</t>
        </is>
      </c>
      <c r="C2092" t="n">
        <v>25890</v>
      </c>
      <c r="D2092" t="n">
        <v>25890</v>
      </c>
      <c r="E2092" t="n">
        <v>26270</v>
      </c>
    </row>
    <row r="2093">
      <c r="A2093" t="inlineStr">
        <is>
          <t>02/09/2026</t>
        </is>
      </c>
      <c r="B2093" t="inlineStr">
        <is>
          <t>SeaBank</t>
        </is>
      </c>
      <c r="C2093" t="n">
        <v>25890</v>
      </c>
      <c r="D2093" t="n">
        <v>25890</v>
      </c>
      <c r="E2093" t="n">
        <v>26270</v>
      </c>
    </row>
    <row r="2094">
      <c r="A2094" t="inlineStr">
        <is>
          <t>01/09/2026</t>
        </is>
      </c>
      <c r="B2094" t="inlineStr">
        <is>
          <t>SeaBank</t>
        </is>
      </c>
      <c r="C2094" t="n">
        <v>25890</v>
      </c>
      <c r="D2094" t="n">
        <v>25890</v>
      </c>
      <c r="E2094" t="n">
        <v>26270</v>
      </c>
    </row>
    <row r="2095">
      <c r="A2095" t="inlineStr">
        <is>
          <t>31/08/2026</t>
        </is>
      </c>
      <c r="B2095" t="inlineStr">
        <is>
          <t>SeaBank</t>
        </is>
      </c>
      <c r="C2095" t="n">
        <v>25890</v>
      </c>
      <c r="D2095" t="n">
        <v>25890</v>
      </c>
      <c r="E2095" t="n">
        <v>26270</v>
      </c>
    </row>
    <row r="2096">
      <c r="A2096" t="inlineStr">
        <is>
          <t>30/08/2026</t>
        </is>
      </c>
      <c r="B2096" t="inlineStr">
        <is>
          <t>SeaBank</t>
        </is>
      </c>
      <c r="C2096" t="n">
        <v>25890</v>
      </c>
      <c r="D2096" t="n">
        <v>25890</v>
      </c>
      <c r="E2096" t="n">
        <v>26270</v>
      </c>
    </row>
    <row r="2097">
      <c r="A2097" t="inlineStr">
        <is>
          <t>29/08/2026</t>
        </is>
      </c>
      <c r="B2097" t="inlineStr">
        <is>
          <t>SeaBank</t>
        </is>
      </c>
      <c r="C2097" t="n">
        <v>25890</v>
      </c>
      <c r="D2097" t="n">
        <v>25890</v>
      </c>
      <c r="E2097" t="n">
        <v>26270</v>
      </c>
    </row>
    <row r="2098">
      <c r="A2098" t="inlineStr">
        <is>
          <t>28/08/2026</t>
        </is>
      </c>
      <c r="B2098" t="inlineStr">
        <is>
          <t>SeaBank</t>
        </is>
      </c>
      <c r="C2098" t="n">
        <v>25890</v>
      </c>
      <c r="D2098" t="n">
        <v>25890</v>
      </c>
      <c r="E2098" t="n">
        <v>26270</v>
      </c>
    </row>
    <row r="2099">
      <c r="A2099" t="inlineStr">
        <is>
          <t>27/08/2026</t>
        </is>
      </c>
      <c r="B2099" t="inlineStr">
        <is>
          <t>SeaBank</t>
        </is>
      </c>
      <c r="C2099" t="n">
        <v>25910</v>
      </c>
      <c r="D2099" t="n">
        <v>25910</v>
      </c>
      <c r="E2099" t="n">
        <v>26290</v>
      </c>
    </row>
    <row r="2100">
      <c r="A2100" t="inlineStr">
        <is>
          <t>26/08/2026</t>
        </is>
      </c>
      <c r="B2100" t="inlineStr">
        <is>
          <t>SeaBank</t>
        </is>
      </c>
      <c r="C2100" t="n">
        <v>25920</v>
      </c>
      <c r="D2100" t="n">
        <v>25920</v>
      </c>
      <c r="E2100" t="n">
        <v>26300</v>
      </c>
    </row>
    <row r="2101">
      <c r="A2101" t="inlineStr">
        <is>
          <t>25/08/2026</t>
        </is>
      </c>
      <c r="B2101" t="inlineStr">
        <is>
          <t>SeaBank</t>
        </is>
      </c>
      <c r="C2101" t="n">
        <v>25980</v>
      </c>
      <c r="D2101" t="n">
        <v>25980</v>
      </c>
      <c r="E2101" t="n">
        <v>26360</v>
      </c>
    </row>
    <row r="2102">
      <c r="A2102" t="inlineStr">
        <is>
          <t>24/08/2026</t>
        </is>
      </c>
      <c r="B2102" t="inlineStr">
        <is>
          <t>SeaBank</t>
        </is>
      </c>
      <c r="C2102" t="n">
        <v>25930</v>
      </c>
      <c r="D2102" t="n">
        <v>25930</v>
      </c>
      <c r="E2102" t="n">
        <v>26310</v>
      </c>
    </row>
    <row r="2103">
      <c r="A2103" t="inlineStr">
        <is>
          <t>23/08/2026</t>
        </is>
      </c>
      <c r="B2103" t="inlineStr">
        <is>
          <t>SeaBank</t>
        </is>
      </c>
      <c r="C2103" t="n">
        <v>25930</v>
      </c>
      <c r="D2103" t="n">
        <v>25930</v>
      </c>
      <c r="E2103" t="n">
        <v>26310</v>
      </c>
    </row>
    <row r="2104">
      <c r="A2104" t="inlineStr">
        <is>
          <t>22/08/2026</t>
        </is>
      </c>
      <c r="B2104" t="inlineStr">
        <is>
          <t>SeaBank</t>
        </is>
      </c>
      <c r="C2104" t="n">
        <v>25930</v>
      </c>
      <c r="D2104" t="n">
        <v>25930</v>
      </c>
      <c r="E2104" t="n">
        <v>26310</v>
      </c>
    </row>
    <row r="2105">
      <c r="A2105" t="inlineStr">
        <is>
          <t>21/08/2026</t>
        </is>
      </c>
      <c r="B2105" t="inlineStr">
        <is>
          <t>SeaBank</t>
        </is>
      </c>
      <c r="C2105" t="n">
        <v>25920</v>
      </c>
      <c r="D2105" t="n">
        <v>25920</v>
      </c>
      <c r="E2105" t="n">
        <v>26300</v>
      </c>
    </row>
    <row r="2106">
      <c r="A2106" t="inlineStr">
        <is>
          <t>20/08/2026</t>
        </is>
      </c>
      <c r="B2106" t="inlineStr">
        <is>
          <t>SeaBank</t>
        </is>
      </c>
      <c r="C2106" t="n">
        <v>25990</v>
      </c>
      <c r="D2106" t="n">
        <v>25990</v>
      </c>
      <c r="E2106" t="n">
        <v>26370</v>
      </c>
    </row>
    <row r="2107">
      <c r="A2107" t="inlineStr">
        <is>
          <t>19/08/2026</t>
        </is>
      </c>
      <c r="B2107" t="inlineStr">
        <is>
          <t>SeaBank</t>
        </is>
      </c>
      <c r="C2107" t="n">
        <v>25990</v>
      </c>
      <c r="D2107" t="n">
        <v>25990</v>
      </c>
      <c r="E2107" t="n">
        <v>26370</v>
      </c>
    </row>
    <row r="2108">
      <c r="A2108" t="inlineStr">
        <is>
          <t>18/08/2026</t>
        </is>
      </c>
      <c r="B2108" t="inlineStr">
        <is>
          <t>SeaBank</t>
        </is>
      </c>
      <c r="C2108" t="n">
        <v>26030</v>
      </c>
      <c r="D2108" t="n">
        <v>26030</v>
      </c>
      <c r="E2108" t="n">
        <v>26410</v>
      </c>
    </row>
    <row r="2109">
      <c r="A2109" t="inlineStr">
        <is>
          <t>17/08/2026</t>
        </is>
      </c>
      <c r="B2109" t="inlineStr">
        <is>
          <t>SeaBank</t>
        </is>
      </c>
      <c r="C2109" t="n">
        <v>25950</v>
      </c>
      <c r="D2109" t="n">
        <v>25950</v>
      </c>
      <c r="E2109" t="n">
        <v>26330</v>
      </c>
    </row>
    <row r="2110">
      <c r="A2110" t="inlineStr">
        <is>
          <t>16/08/2026</t>
        </is>
      </c>
      <c r="B2110" t="inlineStr">
        <is>
          <t>SeaBank</t>
        </is>
      </c>
      <c r="C2110" t="n">
        <v>25890</v>
      </c>
      <c r="D2110" t="n">
        <v>25890</v>
      </c>
      <c r="E2110" t="n">
        <v>26270</v>
      </c>
    </row>
    <row r="2111">
      <c r="A2111" t="inlineStr">
        <is>
          <t>15/08/2026</t>
        </is>
      </c>
      <c r="B2111" t="inlineStr">
        <is>
          <t>SeaBank</t>
        </is>
      </c>
      <c r="C2111" t="n">
        <v>25890</v>
      </c>
      <c r="D2111" t="n">
        <v>25890</v>
      </c>
      <c r="E2111" t="n">
        <v>26270</v>
      </c>
    </row>
    <row r="2112">
      <c r="A2112" t="inlineStr">
        <is>
          <t>14/08/2026</t>
        </is>
      </c>
      <c r="B2112" t="inlineStr">
        <is>
          <t>SeaBank</t>
        </is>
      </c>
      <c r="C2112" t="n">
        <v>25890</v>
      </c>
      <c r="D2112" t="n">
        <v>25890</v>
      </c>
      <c r="E2112" t="n">
        <v>26270</v>
      </c>
    </row>
    <row r="2113">
      <c r="A2113" t="inlineStr">
        <is>
          <t>13/08/2026</t>
        </is>
      </c>
      <c r="B2113" t="inlineStr">
        <is>
          <t>SeaBank</t>
        </is>
      </c>
      <c r="C2113" t="n">
        <v>25870</v>
      </c>
      <c r="D2113" t="n">
        <v>25870</v>
      </c>
      <c r="E2113" t="n">
        <v>26250</v>
      </c>
    </row>
    <row r="2114">
      <c r="A2114" t="inlineStr">
        <is>
          <t>12/08/2026</t>
        </is>
      </c>
      <c r="B2114" t="inlineStr">
        <is>
          <t>SeaBank</t>
        </is>
      </c>
      <c r="C2114" t="n">
        <v>25940</v>
      </c>
      <c r="D2114" t="n">
        <v>25940</v>
      </c>
      <c r="E2114" t="n">
        <v>26320</v>
      </c>
    </row>
    <row r="2115">
      <c r="A2115" t="inlineStr">
        <is>
          <t>11/08/2026</t>
        </is>
      </c>
      <c r="B2115" t="inlineStr">
        <is>
          <t>SeaBank</t>
        </is>
      </c>
      <c r="C2115" t="n">
        <v>25970</v>
      </c>
      <c r="D2115" t="n">
        <v>25970</v>
      </c>
      <c r="E2115" t="n">
        <v>26350</v>
      </c>
    </row>
    <row r="2116">
      <c r="A2116" t="inlineStr">
        <is>
          <t>10/08/2026</t>
        </is>
      </c>
      <c r="B2116" t="inlineStr">
        <is>
          <t>SeaBank</t>
        </is>
      </c>
      <c r="C2116" t="n">
        <v>26020</v>
      </c>
      <c r="D2116" t="n">
        <v>26020</v>
      </c>
      <c r="E2116" t="n">
        <v>26400</v>
      </c>
    </row>
    <row r="2117">
      <c r="A2117" t="inlineStr">
        <is>
          <t>09/08/2026</t>
        </is>
      </c>
      <c r="B2117" t="inlineStr">
        <is>
          <t>SeaBank</t>
        </is>
      </c>
      <c r="C2117" t="n">
        <v>26050</v>
      </c>
      <c r="D2117" t="n">
        <v>26050</v>
      </c>
      <c r="E2117" t="n">
        <v>26430</v>
      </c>
    </row>
    <row r="2118">
      <c r="A2118" t="inlineStr">
        <is>
          <t>08/08/2026</t>
        </is>
      </c>
      <c r="B2118" t="inlineStr">
        <is>
          <t>SeaBank</t>
        </is>
      </c>
      <c r="C2118" t="n">
        <v>26050</v>
      </c>
      <c r="D2118" t="n">
        <v>26050</v>
      </c>
      <c r="E2118" t="n">
        <v>26430</v>
      </c>
    </row>
    <row r="2119">
      <c r="A2119" t="inlineStr">
        <is>
          <t>07/08/2026</t>
        </is>
      </c>
      <c r="B2119" t="inlineStr">
        <is>
          <t>SeaBank</t>
        </is>
      </c>
      <c r="C2119" t="n">
        <v>26050</v>
      </c>
      <c r="D2119" t="n">
        <v>26050</v>
      </c>
      <c r="E2119" t="n">
        <v>26430</v>
      </c>
    </row>
    <row r="2120">
      <c r="A2120" t="inlineStr">
        <is>
          <t>06/08/2026</t>
        </is>
      </c>
      <c r="B2120" t="inlineStr">
        <is>
          <t>SeaBank</t>
        </is>
      </c>
      <c r="C2120" t="n">
        <v>26070</v>
      </c>
      <c r="D2120" t="n">
        <v>26070</v>
      </c>
      <c r="E2120" t="n">
        <v>26450</v>
      </c>
    </row>
    <row r="2121">
      <c r="A2121" t="inlineStr">
        <is>
          <t>05/08/2026</t>
        </is>
      </c>
      <c r="B2121" t="inlineStr">
        <is>
          <t>SeaBank</t>
        </is>
      </c>
      <c r="C2121" t="n">
        <v>26080</v>
      </c>
      <c r="D2121" t="n">
        <v>26080</v>
      </c>
      <c r="E2121" t="n">
        <v>26460</v>
      </c>
    </row>
    <row r="2122">
      <c r="A2122" t="inlineStr">
        <is>
          <t>04/08/2026</t>
        </is>
      </c>
      <c r="B2122" t="inlineStr">
        <is>
          <t>SeaBank</t>
        </is>
      </c>
      <c r="C2122" t="n">
        <v>26085</v>
      </c>
      <c r="D2122" t="n">
        <v>26085</v>
      </c>
      <c r="E2122" t="n">
        <v>26465</v>
      </c>
    </row>
    <row r="2123">
      <c r="A2123" t="inlineStr">
        <is>
          <t>03/08/2026</t>
        </is>
      </c>
      <c r="B2123" t="inlineStr">
        <is>
          <t>SeaBank</t>
        </is>
      </c>
      <c r="C2123" t="n">
        <v>26100</v>
      </c>
      <c r="D2123" t="n">
        <v>26100</v>
      </c>
      <c r="E2123" t="n">
        <v>26480</v>
      </c>
    </row>
    <row r="2124">
      <c r="A2124" t="inlineStr">
        <is>
          <t>02/08/2026</t>
        </is>
      </c>
      <c r="B2124" t="inlineStr">
        <is>
          <t>SeaBank</t>
        </is>
      </c>
      <c r="C2124" t="n">
        <v>26090</v>
      </c>
      <c r="D2124" t="n">
        <v>26090</v>
      </c>
      <c r="E2124" t="n">
        <v>26470</v>
      </c>
    </row>
    <row r="2125">
      <c r="A2125" t="inlineStr">
        <is>
          <t>01/08/2026</t>
        </is>
      </c>
      <c r="B2125" t="inlineStr">
        <is>
          <t>SeaBank</t>
        </is>
      </c>
      <c r="C2125" t="n">
        <v>26090</v>
      </c>
      <c r="D2125" t="n">
        <v>26090</v>
      </c>
      <c r="E2125" t="n">
        <v>26470</v>
      </c>
    </row>
    <row r="2126">
      <c r="A2126" t="inlineStr">
        <is>
          <t>31/07/2026</t>
        </is>
      </c>
      <c r="B2126" t="inlineStr">
        <is>
          <t>SeaBank</t>
        </is>
      </c>
      <c r="C2126" t="n">
        <v>26090</v>
      </c>
      <c r="D2126" t="n">
        <v>26090</v>
      </c>
      <c r="E2126" t="n">
        <v>26470</v>
      </c>
    </row>
    <row r="2127">
      <c r="A2127" t="inlineStr">
        <is>
          <t>30/07/2026</t>
        </is>
      </c>
      <c r="B2127" t="inlineStr">
        <is>
          <t>SeaBank</t>
        </is>
      </c>
      <c r="C2127" t="n">
        <v>26140</v>
      </c>
      <c r="D2127" t="n">
        <v>26140</v>
      </c>
      <c r="E2127" t="n">
        <v>26520</v>
      </c>
    </row>
    <row r="2128">
      <c r="A2128" t="inlineStr">
        <is>
          <t>29/07/2026</t>
        </is>
      </c>
      <c r="B2128" t="inlineStr">
        <is>
          <t>SeaBank</t>
        </is>
      </c>
      <c r="C2128" t="n">
        <v>26150</v>
      </c>
      <c r="D2128" t="n">
        <v>26150</v>
      </c>
      <c r="E2128" t="n">
        <v>26530</v>
      </c>
    </row>
    <row r="2129">
      <c r="A2129" t="inlineStr">
        <is>
          <t>28/07/2026</t>
        </is>
      </c>
      <c r="B2129" t="inlineStr">
        <is>
          <t>SeaBank</t>
        </is>
      </c>
      <c r="C2129" t="n">
        <v>26135</v>
      </c>
      <c r="D2129" t="n">
        <v>26135</v>
      </c>
      <c r="E2129" t="n">
        <v>26515</v>
      </c>
    </row>
    <row r="2130">
      <c r="A2130" t="inlineStr">
        <is>
          <t>27/07/2026</t>
        </is>
      </c>
      <c r="B2130" t="inlineStr">
        <is>
          <t>SeaBank</t>
        </is>
      </c>
      <c r="C2130" t="n">
        <v>26140</v>
      </c>
      <c r="D2130" t="n">
        <v>26140</v>
      </c>
      <c r="E2130" t="n">
        <v>26520</v>
      </c>
    </row>
    <row r="2131">
      <c r="A2131" t="inlineStr">
        <is>
          <t>26/07/2026</t>
        </is>
      </c>
      <c r="B2131" t="inlineStr">
        <is>
          <t>SeaBank</t>
        </is>
      </c>
      <c r="C2131" t="n">
        <v>26130</v>
      </c>
      <c r="D2131" t="n">
        <v>26130</v>
      </c>
      <c r="E2131" t="n">
        <v>26510</v>
      </c>
    </row>
    <row r="2132">
      <c r="A2132" t="inlineStr">
        <is>
          <t>25/07/2026</t>
        </is>
      </c>
      <c r="B2132" t="inlineStr">
        <is>
          <t>SeaBank</t>
        </is>
      </c>
      <c r="C2132" t="n">
        <v>26130</v>
      </c>
      <c r="D2132" t="n">
        <v>26130</v>
      </c>
      <c r="E2132" t="n">
        <v>26510</v>
      </c>
    </row>
    <row r="2133">
      <c r="A2133" t="inlineStr">
        <is>
          <t>24/07/2026</t>
        </is>
      </c>
      <c r="B2133" t="inlineStr">
        <is>
          <t>SeaBank</t>
        </is>
      </c>
      <c r="C2133" t="n">
        <v>26130</v>
      </c>
      <c r="D2133" t="n">
        <v>26130</v>
      </c>
      <c r="E2133" t="n">
        <v>26510</v>
      </c>
    </row>
    <row r="2134">
      <c r="A2134" t="inlineStr">
        <is>
          <t>23/07/2026</t>
        </is>
      </c>
      <c r="B2134" t="inlineStr">
        <is>
          <t>SeaBank</t>
        </is>
      </c>
      <c r="C2134" t="n">
        <v>26120</v>
      </c>
      <c r="D2134" t="n">
        <v>26120</v>
      </c>
      <c r="E2134" t="n">
        <v>26500</v>
      </c>
    </row>
    <row r="2135">
      <c r="A2135" t="inlineStr">
        <is>
          <t>22/07/2026</t>
        </is>
      </c>
      <c r="B2135" t="inlineStr">
        <is>
          <t>SeaBank</t>
        </is>
      </c>
      <c r="C2135" t="n">
        <v>26140</v>
      </c>
      <c r="D2135" t="n">
        <v>26140</v>
      </c>
      <c r="E2135" t="n">
        <v>26520</v>
      </c>
    </row>
    <row r="2136">
      <c r="A2136" t="inlineStr">
        <is>
          <t>21/07/2026</t>
        </is>
      </c>
      <c r="B2136" t="inlineStr">
        <is>
          <t>SeaBank</t>
        </is>
      </c>
      <c r="C2136" t="n">
        <v>26110</v>
      </c>
      <c r="D2136" t="n">
        <v>26110</v>
      </c>
      <c r="E2136" t="n">
        <v>26490</v>
      </c>
    </row>
    <row r="2137">
      <c r="A2137" t="inlineStr">
        <is>
          <t>20/07/2026</t>
        </is>
      </c>
      <c r="B2137" t="inlineStr">
        <is>
          <t>SeaBank</t>
        </is>
      </c>
      <c r="C2137" t="n">
        <v>26110</v>
      </c>
      <c r="D2137" t="n">
        <v>26110</v>
      </c>
      <c r="E2137" t="n">
        <v>26490</v>
      </c>
    </row>
    <row r="2138">
      <c r="A2138" t="inlineStr">
        <is>
          <t>19/07/2026</t>
        </is>
      </c>
      <c r="B2138" t="inlineStr">
        <is>
          <t>SeaBank</t>
        </is>
      </c>
      <c r="C2138" t="n">
        <v>26060</v>
      </c>
      <c r="D2138" t="n">
        <v>26060</v>
      </c>
      <c r="E2138" t="n">
        <v>26440</v>
      </c>
    </row>
    <row r="2139">
      <c r="A2139" t="inlineStr">
        <is>
          <t>18/07/2026</t>
        </is>
      </c>
      <c r="B2139" t="inlineStr">
        <is>
          <t>SeaBank</t>
        </is>
      </c>
      <c r="C2139" t="n">
        <v>26060</v>
      </c>
      <c r="D2139" t="n">
        <v>26060</v>
      </c>
      <c r="E2139" t="n">
        <v>26440</v>
      </c>
    </row>
    <row r="2140">
      <c r="A2140" t="inlineStr">
        <is>
          <t>17/07/2026</t>
        </is>
      </c>
      <c r="B2140" t="inlineStr">
        <is>
          <t>SeaBank</t>
        </is>
      </c>
      <c r="C2140" t="n">
        <v>26060</v>
      </c>
      <c r="D2140" t="n">
        <v>26060</v>
      </c>
      <c r="E2140" t="n">
        <v>26440</v>
      </c>
    </row>
    <row r="2141">
      <c r="A2141" t="inlineStr">
        <is>
          <t>16/07/2026</t>
        </is>
      </c>
      <c r="B2141" t="inlineStr">
        <is>
          <t>SeaBank</t>
        </is>
      </c>
      <c r="C2141" t="n">
        <v>26070</v>
      </c>
      <c r="D2141" t="n">
        <v>26070</v>
      </c>
      <c r="E2141" t="n">
        <v>26450</v>
      </c>
    </row>
    <row r="2142">
      <c r="A2142" t="inlineStr">
        <is>
          <t>15/07/2026</t>
        </is>
      </c>
      <c r="B2142" t="inlineStr">
        <is>
          <t>SeaBank</t>
        </is>
      </c>
      <c r="C2142" t="n">
        <v>26070</v>
      </c>
      <c r="D2142" t="n">
        <v>26070</v>
      </c>
      <c r="E2142" t="n">
        <v>26450</v>
      </c>
    </row>
    <row r="2143">
      <c r="A2143" t="inlineStr">
        <is>
          <t>14/07/2026</t>
        </is>
      </c>
      <c r="B2143" t="inlineStr">
        <is>
          <t>SeaBank</t>
        </is>
      </c>
      <c r="C2143" t="n">
        <v>26070</v>
      </c>
      <c r="D2143" t="n">
        <v>26070</v>
      </c>
      <c r="E2143" t="n">
        <v>26450</v>
      </c>
    </row>
    <row r="2144">
      <c r="A2144" t="inlineStr">
        <is>
          <t>13/07/2026</t>
        </is>
      </c>
      <c r="B2144" t="inlineStr">
        <is>
          <t>SeaBank</t>
        </is>
      </c>
      <c r="C2144" t="n">
        <v>26080</v>
      </c>
      <c r="D2144" t="n">
        <v>26080</v>
      </c>
      <c r="E2144" t="n">
        <v>26460</v>
      </c>
    </row>
    <row r="2145">
      <c r="A2145" t="inlineStr">
        <is>
          <t>12/07/2026</t>
        </is>
      </c>
      <c r="B2145" t="inlineStr">
        <is>
          <t>SeaBank</t>
        </is>
      </c>
      <c r="C2145" t="n">
        <v>26104</v>
      </c>
      <c r="D2145" t="n">
        <v>26104</v>
      </c>
      <c r="E2145" t="n">
        <v>26474</v>
      </c>
    </row>
    <row r="2146">
      <c r="A2146" t="inlineStr">
        <is>
          <t>11/07/2026</t>
        </is>
      </c>
      <c r="B2146" t="inlineStr">
        <is>
          <t>SeaBank</t>
        </is>
      </c>
      <c r="C2146" t="n">
        <v>26104</v>
      </c>
      <c r="D2146" t="n">
        <v>26104</v>
      </c>
      <c r="E2146" t="n">
        <v>26474</v>
      </c>
    </row>
    <row r="2147">
      <c r="A2147" t="inlineStr">
        <is>
          <t>10/07/2026</t>
        </is>
      </c>
      <c r="B2147" t="inlineStr">
        <is>
          <t>SeaBank</t>
        </is>
      </c>
      <c r="C2147" t="n">
        <v>26104</v>
      </c>
      <c r="D2147" t="n">
        <v>26104</v>
      </c>
      <c r="E2147" t="n">
        <v>26474</v>
      </c>
    </row>
    <row r="2148">
      <c r="A2148" t="inlineStr">
        <is>
          <t>09/07/2026</t>
        </is>
      </c>
      <c r="B2148" t="inlineStr">
        <is>
          <t>SeaBank</t>
        </is>
      </c>
      <c r="C2148" t="n">
        <v>26111</v>
      </c>
      <c r="D2148" t="n">
        <v>26111</v>
      </c>
      <c r="E2148" t="n">
        <v>26471</v>
      </c>
    </row>
    <row r="2149">
      <c r="A2149" t="inlineStr">
        <is>
          <t>08/07/2026</t>
        </is>
      </c>
      <c r="B2149" t="inlineStr">
        <is>
          <t>SeaBank</t>
        </is>
      </c>
      <c r="C2149" t="n">
        <v>26106</v>
      </c>
      <c r="D2149" t="n">
        <v>26106</v>
      </c>
      <c r="E2149" t="n">
        <v>26466</v>
      </c>
    </row>
    <row r="2150">
      <c r="A2150" t="inlineStr">
        <is>
          <t>07/07/2026</t>
        </is>
      </c>
      <c r="B2150" t="inlineStr">
        <is>
          <t>SeaBank</t>
        </is>
      </c>
      <c r="C2150" t="n">
        <v>26102</v>
      </c>
      <c r="D2150" t="n">
        <v>26102</v>
      </c>
      <c r="E2150" t="n">
        <v>26462</v>
      </c>
    </row>
    <row r="2151">
      <c r="A2151" t="inlineStr">
        <is>
          <t>06/07/2026</t>
        </is>
      </c>
      <c r="B2151" t="inlineStr">
        <is>
          <t>SeaBank</t>
        </is>
      </c>
      <c r="C2151" t="n">
        <v>26102</v>
      </c>
      <c r="D2151" t="n">
        <v>26102</v>
      </c>
      <c r="E2151" t="n">
        <v>26462</v>
      </c>
    </row>
    <row r="2152">
      <c r="A2152" t="inlineStr">
        <is>
          <t>05/07/2026</t>
        </is>
      </c>
      <c r="B2152" t="inlineStr">
        <is>
          <t>SeaBank</t>
        </is>
      </c>
      <c r="C2152" t="n">
        <v>26103</v>
      </c>
      <c r="D2152" t="n">
        <v>26103</v>
      </c>
      <c r="E2152" t="n">
        <v>26463</v>
      </c>
    </row>
    <row r="2153">
      <c r="A2153" t="inlineStr">
        <is>
          <t>04/07/2026</t>
        </is>
      </c>
      <c r="B2153" t="inlineStr">
        <is>
          <t>SeaBank</t>
        </is>
      </c>
      <c r="C2153" t="n">
        <v>26103</v>
      </c>
      <c r="D2153" t="n">
        <v>26103</v>
      </c>
      <c r="E2153" t="n">
        <v>26463</v>
      </c>
    </row>
    <row r="2154">
      <c r="A2154" t="inlineStr">
        <is>
          <t>03/07/2026</t>
        </is>
      </c>
      <c r="B2154" t="inlineStr">
        <is>
          <t>SeaBank</t>
        </is>
      </c>
      <c r="C2154" t="n">
        <v>26103</v>
      </c>
      <c r="D2154" t="n">
        <v>26103</v>
      </c>
      <c r="E2154" t="n">
        <v>26463</v>
      </c>
    </row>
    <row r="2155">
      <c r="A2155" t="inlineStr">
        <is>
          <t>02/07/2026</t>
        </is>
      </c>
      <c r="B2155" t="inlineStr">
        <is>
          <t>SeaBank</t>
        </is>
      </c>
      <c r="C2155" t="n">
        <v>26105</v>
      </c>
      <c r="D2155" t="n">
        <v>26105</v>
      </c>
      <c r="E2155" t="n">
        <v>26465</v>
      </c>
    </row>
    <row r="2156">
      <c r="A2156" t="inlineStr">
        <is>
          <t>01/07/2026</t>
        </is>
      </c>
      <c r="B2156" t="inlineStr">
        <is>
          <t>SeaBank</t>
        </is>
      </c>
      <c r="C2156" t="n">
        <v>26106</v>
      </c>
      <c r="D2156" t="n">
        <v>26106</v>
      </c>
      <c r="E2156" t="n">
        <v>26466</v>
      </c>
    </row>
    <row r="2157">
      <c r="A2157" t="inlineStr">
        <is>
          <t>30/06/2026</t>
        </is>
      </c>
      <c r="B2157" t="inlineStr">
        <is>
          <t>SeaBank</t>
        </is>
      </c>
      <c r="C2157" t="n">
        <v>26126</v>
      </c>
      <c r="D2157" t="n">
        <v>26126</v>
      </c>
      <c r="E2157" t="n">
        <v>26466</v>
      </c>
    </row>
    <row r="2158">
      <c r="A2158" t="inlineStr">
        <is>
          <t>29/06/2026</t>
        </is>
      </c>
      <c r="B2158" t="inlineStr">
        <is>
          <t>SeaBank</t>
        </is>
      </c>
      <c r="C2158" t="n">
        <v>26121</v>
      </c>
      <c r="D2158" t="n">
        <v>26121</v>
      </c>
      <c r="E2158" t="n">
        <v>26461</v>
      </c>
    </row>
    <row r="2159">
      <c r="A2159" t="inlineStr">
        <is>
          <t>28/06/2026</t>
        </is>
      </c>
      <c r="B2159" t="inlineStr">
        <is>
          <t>SeaBank</t>
        </is>
      </c>
      <c r="C2159" t="n">
        <v>26134</v>
      </c>
      <c r="D2159" t="n">
        <v>26134</v>
      </c>
      <c r="E2159" t="n">
        <v>26454</v>
      </c>
    </row>
    <row r="2160">
      <c r="A2160" t="inlineStr">
        <is>
          <t>27/06/2026</t>
        </is>
      </c>
      <c r="B2160" t="inlineStr">
        <is>
          <t>SeaBank</t>
        </is>
      </c>
      <c r="C2160" t="n">
        <v>26134</v>
      </c>
      <c r="D2160" t="n">
        <v>26134</v>
      </c>
      <c r="E2160" t="n">
        <v>26454</v>
      </c>
    </row>
    <row r="2161">
      <c r="A2161" t="inlineStr">
        <is>
          <t>26/06/2026</t>
        </is>
      </c>
      <c r="B2161" t="inlineStr">
        <is>
          <t>SeaBank</t>
        </is>
      </c>
      <c r="C2161" t="n">
        <v>26134</v>
      </c>
      <c r="D2161" t="n">
        <v>26134</v>
      </c>
      <c r="E2161" t="n">
        <v>26454</v>
      </c>
    </row>
    <row r="2162">
      <c r="A2162" t="inlineStr">
        <is>
          <t>25/06/2026</t>
        </is>
      </c>
      <c r="B2162" t="inlineStr">
        <is>
          <t>SeaBank</t>
        </is>
      </c>
      <c r="C2162" t="n">
        <v>26136</v>
      </c>
      <c r="D2162" t="n">
        <v>26136</v>
      </c>
      <c r="E2162" t="n">
        <v>26456</v>
      </c>
    </row>
    <row r="2163">
      <c r="A2163" t="inlineStr">
        <is>
          <t>24/06/2026</t>
        </is>
      </c>
      <c r="B2163" t="inlineStr">
        <is>
          <t>SeaBank</t>
        </is>
      </c>
      <c r="C2163" t="n">
        <v>26131</v>
      </c>
      <c r="D2163" t="n">
        <v>26131</v>
      </c>
      <c r="E2163" t="n">
        <v>26451</v>
      </c>
    </row>
    <row r="2164">
      <c r="A2164" t="inlineStr">
        <is>
          <t>23/06/2026</t>
        </is>
      </c>
      <c r="B2164" t="inlineStr">
        <is>
          <t>SeaBank</t>
        </is>
      </c>
      <c r="C2164" t="n">
        <v>26128</v>
      </c>
      <c r="D2164" t="n">
        <v>26128</v>
      </c>
      <c r="E2164" t="n">
        <v>26448</v>
      </c>
    </row>
    <row r="2165">
      <c r="A2165" t="inlineStr">
        <is>
          <t>22/06/2026</t>
        </is>
      </c>
      <c r="B2165" t="inlineStr">
        <is>
          <t>SeaBank</t>
        </is>
      </c>
      <c r="C2165" t="n">
        <v>26122</v>
      </c>
      <c r="D2165" t="n">
        <v>26122</v>
      </c>
      <c r="E2165" t="n">
        <v>26442</v>
      </c>
    </row>
    <row r="2166">
      <c r="A2166" t="inlineStr">
        <is>
          <t>21/06/2026</t>
        </is>
      </c>
      <c r="B2166" t="inlineStr">
        <is>
          <t>SeaBank</t>
        </is>
      </c>
      <c r="C2166" t="n">
        <v>26120</v>
      </c>
      <c r="D2166" t="n">
        <v>26120</v>
      </c>
      <c r="E2166" t="n">
        <v>26440</v>
      </c>
    </row>
    <row r="2167">
      <c r="A2167" t="inlineStr">
        <is>
          <t>20/06/2026</t>
        </is>
      </c>
      <c r="B2167" t="inlineStr">
        <is>
          <t>SeaBank</t>
        </is>
      </c>
      <c r="C2167" t="n">
        <v>26120</v>
      </c>
      <c r="D2167" t="n">
        <v>26120</v>
      </c>
      <c r="E2167" t="n">
        <v>26440</v>
      </c>
    </row>
    <row r="2168">
      <c r="A2168" t="inlineStr">
        <is>
          <t>19/06/2026</t>
        </is>
      </c>
      <c r="B2168" t="inlineStr">
        <is>
          <t>SeaBank</t>
        </is>
      </c>
      <c r="C2168" t="n">
        <v>26120</v>
      </c>
      <c r="D2168" t="n">
        <v>26120</v>
      </c>
      <c r="E2168" t="n">
        <v>26440</v>
      </c>
    </row>
    <row r="2169">
      <c r="A2169" t="inlineStr">
        <is>
          <t>18/06/2026</t>
        </is>
      </c>
      <c r="B2169" t="inlineStr">
        <is>
          <t>SeaBank</t>
        </is>
      </c>
      <c r="C2169" t="n">
        <v>26111</v>
      </c>
      <c r="D2169" t="n">
        <v>26111</v>
      </c>
      <c r="E2169" t="n">
        <v>26431</v>
      </c>
    </row>
    <row r="2170">
      <c r="A2170" t="inlineStr">
        <is>
          <t>17/06/2026</t>
        </is>
      </c>
      <c r="B2170" t="inlineStr">
        <is>
          <t>SeaBank</t>
        </is>
      </c>
      <c r="C2170" t="n">
        <v>26113</v>
      </c>
      <c r="D2170" t="n">
        <v>26113</v>
      </c>
      <c r="E2170" t="n">
        <v>26433</v>
      </c>
    </row>
    <row r="2171">
      <c r="A2171" t="inlineStr">
        <is>
          <t>16/06/2026</t>
        </is>
      </c>
      <c r="B2171" t="inlineStr">
        <is>
          <t>SeaBank</t>
        </is>
      </c>
      <c r="C2171" t="n">
        <v>26103</v>
      </c>
      <c r="D2171" t="n">
        <v>26103</v>
      </c>
      <c r="E2171" t="n">
        <v>26423</v>
      </c>
    </row>
    <row r="2172">
      <c r="A2172" t="inlineStr">
        <is>
          <t>15/06/2026</t>
        </is>
      </c>
      <c r="B2172" t="inlineStr">
        <is>
          <t>SeaBank</t>
        </is>
      </c>
      <c r="C2172" t="n">
        <v>26123</v>
      </c>
      <c r="D2172" t="n">
        <v>26123</v>
      </c>
      <c r="E2172" t="n">
        <v>26423</v>
      </c>
    </row>
    <row r="2173">
      <c r="A2173" t="inlineStr">
        <is>
          <t>14/06/2026</t>
        </is>
      </c>
      <c r="B2173" t="inlineStr">
        <is>
          <t>SeaBank</t>
        </is>
      </c>
      <c r="C2173" t="n">
        <v>26132</v>
      </c>
      <c r="D2173" t="n">
        <v>26132</v>
      </c>
      <c r="E2173" t="n">
        <v>26412</v>
      </c>
    </row>
    <row r="2174">
      <c r="A2174" t="inlineStr">
        <is>
          <t>13/06/2026</t>
        </is>
      </c>
      <c r="B2174" t="inlineStr">
        <is>
          <t>SeaBank</t>
        </is>
      </c>
      <c r="C2174" t="n">
        <v>26132</v>
      </c>
      <c r="D2174" t="n">
        <v>26132</v>
      </c>
      <c r="E2174" t="n">
        <v>26412</v>
      </c>
    </row>
    <row r="2175">
      <c r="A2175" t="inlineStr">
        <is>
          <t>12/06/2026</t>
        </is>
      </c>
      <c r="B2175" t="inlineStr">
        <is>
          <t>SeaBank</t>
        </is>
      </c>
      <c r="C2175" t="n">
        <v>26132</v>
      </c>
      <c r="D2175" t="n">
        <v>26132</v>
      </c>
      <c r="E2175" t="n">
        <v>26412</v>
      </c>
    </row>
    <row r="2176">
      <c r="A2176" t="inlineStr">
        <is>
          <t>11/06/2026</t>
        </is>
      </c>
      <c r="B2176" t="inlineStr">
        <is>
          <t>SeaBank</t>
        </is>
      </c>
      <c r="C2176" t="n">
        <v>26130</v>
      </c>
      <c r="D2176" t="n">
        <v>26130</v>
      </c>
      <c r="E2176" t="n">
        <v>26410</v>
      </c>
    </row>
    <row r="2177">
      <c r="A2177" t="inlineStr">
        <is>
          <t>10/06/2026</t>
        </is>
      </c>
      <c r="B2177" t="inlineStr">
        <is>
          <t>SeaBank</t>
        </is>
      </c>
      <c r="C2177" t="n">
        <v>26130</v>
      </c>
      <c r="D2177" t="n">
        <v>26130</v>
      </c>
      <c r="E2177" t="n">
        <v>26410</v>
      </c>
    </row>
    <row r="2178">
      <c r="A2178" t="inlineStr">
        <is>
          <t>09/06/2026</t>
        </is>
      </c>
      <c r="B2178" t="inlineStr">
        <is>
          <t>SeaBank</t>
        </is>
      </c>
      <c r="C2178" t="n">
        <v>26128</v>
      </c>
      <c r="D2178" t="n">
        <v>26128</v>
      </c>
      <c r="E2178" t="n">
        <v>26408</v>
      </c>
    </row>
    <row r="2179">
      <c r="A2179" t="inlineStr">
        <is>
          <t>08/06/2026</t>
        </is>
      </c>
      <c r="B2179" t="inlineStr">
        <is>
          <t>SeaBank</t>
        </is>
      </c>
      <c r="C2179" t="n">
        <v>26127</v>
      </c>
      <c r="D2179" t="n">
        <v>26127</v>
      </c>
      <c r="E2179" t="n">
        <v>26407</v>
      </c>
    </row>
    <row r="2180">
      <c r="A2180" t="inlineStr">
        <is>
          <t>07/06/2026</t>
        </is>
      </c>
      <c r="B2180" t="inlineStr">
        <is>
          <t>SeaBank</t>
        </is>
      </c>
      <c r="C2180" t="n">
        <v>26124</v>
      </c>
      <c r="D2180" t="n">
        <v>26124</v>
      </c>
      <c r="E2180" t="n">
        <v>26404</v>
      </c>
    </row>
    <row r="2181">
      <c r="A2181" t="inlineStr">
        <is>
          <t>06/06/2026</t>
        </is>
      </c>
      <c r="B2181" t="inlineStr">
        <is>
          <t>SeaBank</t>
        </is>
      </c>
      <c r="C2181" t="n">
        <v>26124</v>
      </c>
      <c r="D2181" t="n">
        <v>26124</v>
      </c>
      <c r="E2181" t="n">
        <v>26404</v>
      </c>
    </row>
    <row r="2182">
      <c r="A2182" t="inlineStr">
        <is>
          <t>05/06/2026</t>
        </is>
      </c>
      <c r="B2182" t="inlineStr">
        <is>
          <t>SeaBank</t>
        </is>
      </c>
      <c r="C2182" t="n">
        <v>26124</v>
      </c>
      <c r="D2182" t="n">
        <v>26124</v>
      </c>
      <c r="E2182" t="n">
        <v>26404</v>
      </c>
    </row>
    <row r="2183">
      <c r="A2183" t="inlineStr">
        <is>
          <t>04/06/2026</t>
        </is>
      </c>
      <c r="B2183" t="inlineStr">
        <is>
          <t>SeaBank</t>
        </is>
      </c>
      <c r="C2183" t="n">
        <v>26122</v>
      </c>
      <c r="D2183" t="n">
        <v>26122</v>
      </c>
      <c r="E2183" t="n">
        <v>26402</v>
      </c>
    </row>
    <row r="2184">
      <c r="A2184" t="inlineStr">
        <is>
          <t>03/06/2026</t>
        </is>
      </c>
      <c r="B2184" t="inlineStr">
        <is>
          <t>SeaBank</t>
        </is>
      </c>
      <c r="C2184" t="n">
        <v>26122</v>
      </c>
      <c r="D2184" t="n">
        <v>26122</v>
      </c>
      <c r="E2184" t="n">
        <v>26402</v>
      </c>
    </row>
    <row r="2185">
      <c r="A2185" t="inlineStr">
        <is>
          <t>02/06/2026</t>
        </is>
      </c>
      <c r="B2185" t="inlineStr">
        <is>
          <t>SeaBank</t>
        </is>
      </c>
      <c r="C2185" t="n">
        <v>26118</v>
      </c>
      <c r="D2185" t="n">
        <v>26118</v>
      </c>
      <c r="E2185" t="n">
        <v>26398</v>
      </c>
    </row>
    <row r="2186">
      <c r="A2186" t="inlineStr">
        <is>
          <t>01/06/2026</t>
        </is>
      </c>
      <c r="B2186" t="inlineStr">
        <is>
          <t>SeaBank</t>
        </is>
      </c>
      <c r="C2186" t="n">
        <v>26114</v>
      </c>
      <c r="D2186" t="n">
        <v>26114</v>
      </c>
      <c r="E2186" t="n">
        <v>26394</v>
      </c>
    </row>
    <row r="2187">
      <c r="A2187" t="inlineStr">
        <is>
          <t>31/05/2026</t>
        </is>
      </c>
      <c r="B2187" t="inlineStr">
        <is>
          <t>SeaBank</t>
        </is>
      </c>
      <c r="C2187" t="n">
        <v>26125</v>
      </c>
      <c r="D2187" t="n">
        <v>26125</v>
      </c>
      <c r="E2187" t="n">
        <v>26395</v>
      </c>
    </row>
    <row r="2188">
      <c r="A2188" t="inlineStr">
        <is>
          <t>30/05/2026</t>
        </is>
      </c>
      <c r="B2188" t="inlineStr">
        <is>
          <t>SeaBank</t>
        </is>
      </c>
      <c r="C2188" t="n">
        <v>26125</v>
      </c>
      <c r="D2188" t="n">
        <v>26125</v>
      </c>
      <c r="E2188" t="n">
        <v>26395</v>
      </c>
    </row>
    <row r="2189">
      <c r="A2189" t="inlineStr">
        <is>
          <t>29/05/2026</t>
        </is>
      </c>
      <c r="B2189" t="inlineStr">
        <is>
          <t>SeaBank</t>
        </is>
      </c>
      <c r="C2189" t="n">
        <v>26125</v>
      </c>
      <c r="D2189" t="n">
        <v>26125</v>
      </c>
      <c r="E2189" t="n">
        <v>26395</v>
      </c>
    </row>
    <row r="2190">
      <c r="A2190" t="inlineStr">
        <is>
          <t>28/05/2026</t>
        </is>
      </c>
      <c r="B2190" t="inlineStr">
        <is>
          <t>SeaBank</t>
        </is>
      </c>
      <c r="C2190" t="n">
        <v>26143</v>
      </c>
      <c r="D2190" t="n">
        <v>26143</v>
      </c>
      <c r="E2190" t="n">
        <v>26393</v>
      </c>
    </row>
    <row r="2191">
      <c r="A2191" t="inlineStr">
        <is>
          <t>27/05/2026</t>
        </is>
      </c>
      <c r="B2191" t="inlineStr">
        <is>
          <t>SeaBank</t>
        </is>
      </c>
      <c r="C2191" t="n">
        <v>26153</v>
      </c>
      <c r="D2191" t="n">
        <v>26153</v>
      </c>
      <c r="E2191" t="n">
        <v>26393</v>
      </c>
    </row>
    <row r="2192">
      <c r="A2192" t="inlineStr">
        <is>
          <t>26/05/2026</t>
        </is>
      </c>
      <c r="B2192" t="inlineStr">
        <is>
          <t>SeaBank</t>
        </is>
      </c>
      <c r="C2192" t="n">
        <v>26164</v>
      </c>
      <c r="D2192" t="n">
        <v>26164</v>
      </c>
      <c r="E2192" t="n">
        <v>26394</v>
      </c>
    </row>
    <row r="2193">
      <c r="A2193" t="inlineStr">
        <is>
          <t>25/05/2026</t>
        </is>
      </c>
      <c r="B2193" t="inlineStr">
        <is>
          <t>SeaBank</t>
        </is>
      </c>
      <c r="C2193" t="n">
        <v>26162</v>
      </c>
      <c r="D2193" t="n">
        <v>26162</v>
      </c>
      <c r="E2193" t="n">
        <v>26392</v>
      </c>
    </row>
    <row r="2194">
      <c r="A2194" t="inlineStr">
        <is>
          <t>24/05/2026</t>
        </is>
      </c>
      <c r="B2194" t="inlineStr">
        <is>
          <t>SeaBank</t>
        </is>
      </c>
      <c r="C2194" t="n">
        <v>26160</v>
      </c>
      <c r="D2194" t="n">
        <v>26160</v>
      </c>
      <c r="E2194" t="n">
        <v>26390</v>
      </c>
    </row>
    <row r="2195">
      <c r="A2195" t="inlineStr">
        <is>
          <t>23/05/2026</t>
        </is>
      </c>
      <c r="B2195" t="inlineStr">
        <is>
          <t>SeaBank</t>
        </is>
      </c>
      <c r="C2195" t="n">
        <v>26160</v>
      </c>
      <c r="D2195" t="n">
        <v>26160</v>
      </c>
      <c r="E2195" t="n">
        <v>26390</v>
      </c>
    </row>
    <row r="2196">
      <c r="A2196" t="inlineStr">
        <is>
          <t>22/05/2026</t>
        </is>
      </c>
      <c r="B2196" t="inlineStr">
        <is>
          <t>SeaBank</t>
        </is>
      </c>
      <c r="C2196" t="n">
        <v>26160</v>
      </c>
      <c r="D2196" t="n">
        <v>26160</v>
      </c>
      <c r="E2196" t="n">
        <v>26390</v>
      </c>
    </row>
    <row r="2197">
      <c r="A2197" t="inlineStr">
        <is>
          <t>21/05/2026</t>
        </is>
      </c>
      <c r="B2197" t="inlineStr">
        <is>
          <t>SeaBank</t>
        </is>
      </c>
      <c r="C2197" t="n">
        <v>26161</v>
      </c>
      <c r="D2197" t="n">
        <v>26161</v>
      </c>
      <c r="E2197" t="n">
        <v>26391</v>
      </c>
    </row>
    <row r="2198">
      <c r="A2198" t="inlineStr">
        <is>
          <t>20/05/2026</t>
        </is>
      </c>
      <c r="B2198" t="inlineStr">
        <is>
          <t>SeaBank</t>
        </is>
      </c>
      <c r="C2198" t="n">
        <v>26151</v>
      </c>
      <c r="D2198" t="n">
        <v>26151</v>
      </c>
      <c r="E2198" t="n">
        <v>26391</v>
      </c>
    </row>
    <row r="2199">
      <c r="A2199" t="inlineStr">
        <is>
          <t>19/05/2026</t>
        </is>
      </c>
      <c r="B2199" t="inlineStr">
        <is>
          <t>SeaBank</t>
        </is>
      </c>
      <c r="C2199" t="n">
        <v>26139</v>
      </c>
      <c r="D2199" t="n">
        <v>26139</v>
      </c>
      <c r="E2199" t="n">
        <v>26389</v>
      </c>
    </row>
    <row r="2200">
      <c r="A2200" t="inlineStr">
        <is>
          <t>18/05/2026</t>
        </is>
      </c>
      <c r="B2200" t="inlineStr">
        <is>
          <t>SeaBank</t>
        </is>
      </c>
      <c r="C2200" t="n">
        <v>26137</v>
      </c>
      <c r="D2200" t="n">
        <v>26137</v>
      </c>
      <c r="E2200" t="n">
        <v>26387</v>
      </c>
    </row>
    <row r="2201">
      <c r="A2201" t="inlineStr">
        <is>
          <t>17/05/2026</t>
        </is>
      </c>
      <c r="B2201" t="inlineStr">
        <is>
          <t>SeaBank</t>
        </is>
      </c>
      <c r="C2201" t="n">
        <v>26137</v>
      </c>
      <c r="D2201" t="n">
        <v>26137</v>
      </c>
      <c r="E2201" t="n">
        <v>26387</v>
      </c>
    </row>
    <row r="2202">
      <c r="A2202" t="inlineStr">
        <is>
          <t>16/05/2026</t>
        </is>
      </c>
      <c r="B2202" t="inlineStr">
        <is>
          <t>SeaBank</t>
        </is>
      </c>
      <c r="C2202" t="n">
        <v>26137</v>
      </c>
      <c r="D2202" t="n">
        <v>26137</v>
      </c>
      <c r="E2202" t="n">
        <v>26387</v>
      </c>
    </row>
    <row r="2203">
      <c r="A2203" t="inlineStr">
        <is>
          <t>15/05/2026</t>
        </is>
      </c>
      <c r="B2203" t="inlineStr">
        <is>
          <t>SeaBank</t>
        </is>
      </c>
      <c r="C2203" t="n">
        <v>26137</v>
      </c>
      <c r="D2203" t="n">
        <v>26137</v>
      </c>
      <c r="E2203" t="n">
        <v>26387</v>
      </c>
    </row>
    <row r="2204">
      <c r="A2204" t="inlineStr">
        <is>
          <t>14/05/2026</t>
        </is>
      </c>
      <c r="B2204" t="inlineStr">
        <is>
          <t>SeaBank</t>
        </is>
      </c>
      <c r="C2204" t="n">
        <v>26132</v>
      </c>
      <c r="D2204" t="n">
        <v>26132</v>
      </c>
      <c r="E2204" t="n">
        <v>26382</v>
      </c>
    </row>
    <row r="2205">
      <c r="A2205" t="inlineStr">
        <is>
          <t>13/05/2026</t>
        </is>
      </c>
      <c r="B2205" t="inlineStr">
        <is>
          <t>SeaBank</t>
        </is>
      </c>
      <c r="C2205" t="n">
        <v>26129</v>
      </c>
      <c r="D2205" t="n">
        <v>26129</v>
      </c>
      <c r="E2205" t="n">
        <v>26379</v>
      </c>
    </row>
    <row r="2206">
      <c r="A2206" t="inlineStr">
        <is>
          <t>12/05/2026</t>
        </is>
      </c>
      <c r="B2206" t="inlineStr">
        <is>
          <t>SeaBank</t>
        </is>
      </c>
      <c r="C2206" t="n">
        <v>26129</v>
      </c>
      <c r="D2206" t="n">
        <v>26129</v>
      </c>
      <c r="E2206" t="n">
        <v>26379</v>
      </c>
    </row>
    <row r="2207">
      <c r="A2207" t="inlineStr">
        <is>
          <t>11/05/2026</t>
        </is>
      </c>
      <c r="B2207" t="inlineStr">
        <is>
          <t>SeaBank</t>
        </is>
      </c>
      <c r="C2207" t="n">
        <v>26123</v>
      </c>
      <c r="D2207" t="n">
        <v>26123</v>
      </c>
      <c r="E2207" t="n">
        <v>26373</v>
      </c>
    </row>
    <row r="2208">
      <c r="A2208" t="inlineStr">
        <is>
          <t>10/05/2026</t>
        </is>
      </c>
      <c r="B2208" t="inlineStr">
        <is>
          <t>SeaBank</t>
        </is>
      </c>
      <c r="C2208" t="n">
        <v>26117</v>
      </c>
      <c r="D2208" t="n">
        <v>26117</v>
      </c>
      <c r="E2208" t="n">
        <v>26367</v>
      </c>
    </row>
    <row r="2209">
      <c r="A2209" t="inlineStr">
        <is>
          <t>09/05/2026</t>
        </is>
      </c>
      <c r="B2209" t="inlineStr">
        <is>
          <t>SeaBank</t>
        </is>
      </c>
      <c r="C2209" t="n">
        <v>26117</v>
      </c>
      <c r="D2209" t="n">
        <v>26117</v>
      </c>
      <c r="E2209" t="n">
        <v>26367</v>
      </c>
    </row>
    <row r="2210">
      <c r="A2210" t="inlineStr">
        <is>
          <t>08/05/2026</t>
        </is>
      </c>
      <c r="B2210" t="inlineStr">
        <is>
          <t>SeaBank</t>
        </is>
      </c>
      <c r="C2210" t="n">
        <v>26117</v>
      </c>
      <c r="D2210" t="n">
        <v>26117</v>
      </c>
      <c r="E2210" t="n">
        <v>26367</v>
      </c>
    </row>
    <row r="2211">
      <c r="A2211" t="inlineStr">
        <is>
          <t>07/05/2026</t>
        </is>
      </c>
      <c r="B2211" t="inlineStr">
        <is>
          <t>SeaBank</t>
        </is>
      </c>
      <c r="C2211" t="n">
        <v>26128</v>
      </c>
      <c r="D2211" t="n">
        <v>26128</v>
      </c>
      <c r="E2211" t="n">
        <v>26368</v>
      </c>
    </row>
    <row r="2212">
      <c r="A2212" t="inlineStr">
        <is>
          <t>06/05/2026</t>
        </is>
      </c>
      <c r="B2212" t="inlineStr">
        <is>
          <t>SeaBank</t>
        </is>
      </c>
      <c r="C2212" t="n">
        <v>26128</v>
      </c>
      <c r="D2212" t="n">
        <v>26128</v>
      </c>
      <c r="E2212" t="n">
        <v>26368</v>
      </c>
    </row>
    <row r="2213">
      <c r="A2213" t="inlineStr">
        <is>
          <t>05/05/2026</t>
        </is>
      </c>
      <c r="B2213" t="inlineStr">
        <is>
          <t>SeaBank</t>
        </is>
      </c>
      <c r="C2213" t="n">
        <v>26136</v>
      </c>
      <c r="D2213" t="n">
        <v>26136</v>
      </c>
      <c r="E2213" t="n">
        <v>26366</v>
      </c>
    </row>
    <row r="2214">
      <c r="A2214" t="inlineStr">
        <is>
          <t>04/05/2026</t>
        </is>
      </c>
      <c r="B2214" t="inlineStr">
        <is>
          <t>SeaBank</t>
        </is>
      </c>
      <c r="C2214" t="n">
        <v>26137</v>
      </c>
      <c r="D2214" t="n">
        <v>26137</v>
      </c>
      <c r="E2214" t="n">
        <v>26367</v>
      </c>
    </row>
    <row r="2215">
      <c r="A2215" t="inlineStr">
        <is>
          <t>03/05/2026</t>
        </is>
      </c>
      <c r="B2215" t="inlineStr">
        <is>
          <t>SeaBank</t>
        </is>
      </c>
      <c r="C2215" t="n">
        <v>26136</v>
      </c>
      <c r="D2215" t="n">
        <v>26136</v>
      </c>
      <c r="E2215" t="n">
        <v>26368</v>
      </c>
    </row>
    <row r="2216">
      <c r="A2216" t="inlineStr">
        <is>
          <t>02/05/2026</t>
        </is>
      </c>
      <c r="B2216" t="inlineStr">
        <is>
          <t>SeaBank</t>
        </is>
      </c>
      <c r="C2216" t="n">
        <v>26136</v>
      </c>
      <c r="D2216" t="n">
        <v>26136</v>
      </c>
      <c r="E2216" t="n">
        <v>26368</v>
      </c>
    </row>
    <row r="2217">
      <c r="A2217" t="inlineStr">
        <is>
          <t>01/05/2026</t>
        </is>
      </c>
      <c r="B2217" t="inlineStr">
        <is>
          <t>SeaBank</t>
        </is>
      </c>
      <c r="C2217" t="n">
        <v>26136</v>
      </c>
      <c r="D2217" t="n">
        <v>26136</v>
      </c>
      <c r="E2217" t="n">
        <v>26368</v>
      </c>
    </row>
    <row r="2218">
      <c r="A2218" t="inlineStr">
        <is>
          <t>30/04/2026</t>
        </is>
      </c>
      <c r="B2218" t="inlineStr">
        <is>
          <t>SeaBank</t>
        </is>
      </c>
      <c r="C2218" t="n">
        <v>26136</v>
      </c>
      <c r="D2218" t="n">
        <v>26136</v>
      </c>
      <c r="E2218" t="n">
        <v>26368</v>
      </c>
    </row>
    <row r="2219">
      <c r="A2219" t="inlineStr">
        <is>
          <t>29/04/2026</t>
        </is>
      </c>
      <c r="B2219" t="inlineStr">
        <is>
          <t>SeaBank</t>
        </is>
      </c>
      <c r="C2219" t="n">
        <v>26136</v>
      </c>
      <c r="D2219" t="n">
        <v>26136</v>
      </c>
      <c r="E2219" t="n">
        <v>26368</v>
      </c>
    </row>
    <row r="2220">
      <c r="A2220" t="inlineStr">
        <is>
          <t>28/04/2026</t>
        </is>
      </c>
      <c r="B2220" t="inlineStr">
        <is>
          <t>SeaBank</t>
        </is>
      </c>
      <c r="C2220" t="n">
        <v>26136</v>
      </c>
      <c r="D2220" t="n">
        <v>26136</v>
      </c>
      <c r="E2220" t="n">
        <v>26366</v>
      </c>
    </row>
    <row r="2221">
      <c r="A2221" t="inlineStr">
        <is>
          <t>27/04/2026</t>
        </is>
      </c>
      <c r="B2221" t="inlineStr">
        <is>
          <t>SeaBank</t>
        </is>
      </c>
      <c r="C2221" t="n">
        <v>26138</v>
      </c>
      <c r="D2221" t="n">
        <v>26138</v>
      </c>
      <c r="E2221" t="n">
        <v>26368</v>
      </c>
    </row>
    <row r="2222">
      <c r="A2222" t="inlineStr">
        <is>
          <t>26/04/2026</t>
        </is>
      </c>
      <c r="B2222" t="inlineStr">
        <is>
          <t>SeaBank</t>
        </is>
      </c>
      <c r="C2222" t="n">
        <v>26138</v>
      </c>
      <c r="D2222" t="n">
        <v>26138</v>
      </c>
      <c r="E2222" t="n">
        <v>26368</v>
      </c>
    </row>
    <row r="2223">
      <c r="A2223" t="inlineStr">
        <is>
          <t>25/04/2026</t>
        </is>
      </c>
      <c r="B2223" t="inlineStr">
        <is>
          <t>SeaBank</t>
        </is>
      </c>
      <c r="C2223" t="n">
        <v>26138</v>
      </c>
      <c r="D2223" t="n">
        <v>26138</v>
      </c>
      <c r="E2223" t="n">
        <v>26368</v>
      </c>
    </row>
    <row r="2224">
      <c r="A2224" t="inlineStr">
        <is>
          <t>24/04/2026</t>
        </is>
      </c>
      <c r="B2224" t="inlineStr">
        <is>
          <t>SeaBank</t>
        </is>
      </c>
      <c r="C2224" t="n">
        <v>26138</v>
      </c>
      <c r="D2224" t="n">
        <v>26138</v>
      </c>
      <c r="E2224" t="n">
        <v>26368</v>
      </c>
    </row>
    <row r="2225">
      <c r="A2225" t="inlineStr">
        <is>
          <t>23/04/2026</t>
        </is>
      </c>
      <c r="B2225" t="inlineStr">
        <is>
          <t>SeaBank</t>
        </is>
      </c>
      <c r="C2225" t="n">
        <v>26130</v>
      </c>
      <c r="D2225" t="n">
        <v>26130</v>
      </c>
      <c r="E2225" t="n">
        <v>26360</v>
      </c>
    </row>
    <row r="2226">
      <c r="A2226" t="inlineStr">
        <is>
          <t>22/04/2026</t>
        </is>
      </c>
      <c r="B2226" t="inlineStr">
        <is>
          <t>SeaBank</t>
        </is>
      </c>
      <c r="C2226" t="n">
        <v>26125</v>
      </c>
      <c r="D2226" t="n">
        <v>26125</v>
      </c>
      <c r="E2226" t="n">
        <v>26355</v>
      </c>
    </row>
    <row r="2227">
      <c r="A2227" t="inlineStr">
        <is>
          <t>21/04/2026</t>
        </is>
      </c>
      <c r="B2227" t="inlineStr">
        <is>
          <t>SeaBank</t>
        </is>
      </c>
      <c r="C2227" t="n">
        <v>26127</v>
      </c>
      <c r="D2227" t="n">
        <v>26127</v>
      </c>
      <c r="E2227" t="n">
        <v>26357</v>
      </c>
    </row>
    <row r="2228">
      <c r="A2228" t="inlineStr">
        <is>
          <t>20/04/2026</t>
        </is>
      </c>
      <c r="B2228" t="inlineStr">
        <is>
          <t>SeaBank</t>
        </is>
      </c>
      <c r="C2228" t="n">
        <v>26133</v>
      </c>
      <c r="D2228" t="n">
        <v>26133</v>
      </c>
      <c r="E2228" t="n">
        <v>26358</v>
      </c>
    </row>
    <row r="2229">
      <c r="A2229" t="inlineStr">
        <is>
          <t>19/04/2026</t>
        </is>
      </c>
      <c r="B2229" t="inlineStr">
        <is>
          <t>SeaBank</t>
        </is>
      </c>
      <c r="C2229" t="n">
        <v>26127</v>
      </c>
      <c r="D2229" t="n">
        <v>26127</v>
      </c>
      <c r="E2229" t="n">
        <v>26357</v>
      </c>
    </row>
    <row r="2230">
      <c r="A2230" t="inlineStr">
        <is>
          <t>18/04/2026</t>
        </is>
      </c>
      <c r="B2230" t="inlineStr">
        <is>
          <t>SeaBank</t>
        </is>
      </c>
      <c r="C2230" t="n">
        <v>26127</v>
      </c>
      <c r="D2230" t="n">
        <v>26127</v>
      </c>
      <c r="E2230" t="n">
        <v>26357</v>
      </c>
    </row>
    <row r="2231">
      <c r="A2231" t="inlineStr">
        <is>
          <t>17/04/2026</t>
        </is>
      </c>
      <c r="B2231" t="inlineStr">
        <is>
          <t>SeaBank</t>
        </is>
      </c>
      <c r="C2231" t="n">
        <v>26127</v>
      </c>
      <c r="D2231" t="n">
        <v>26127</v>
      </c>
      <c r="E2231" t="n">
        <v>26357</v>
      </c>
    </row>
    <row r="2232">
      <c r="A2232" t="inlineStr">
        <is>
          <t>16/04/2026</t>
        </is>
      </c>
      <c r="B2232" t="inlineStr">
        <is>
          <t>SeaBank</t>
        </is>
      </c>
      <c r="C2232" t="n">
        <v>26127</v>
      </c>
      <c r="D2232" t="n">
        <v>26127</v>
      </c>
      <c r="E2232" t="n">
        <v>26357</v>
      </c>
    </row>
    <row r="2233">
      <c r="A2233" t="inlineStr">
        <is>
          <t>15/04/2026</t>
        </is>
      </c>
      <c r="B2233" t="inlineStr">
        <is>
          <t>SeaBank</t>
        </is>
      </c>
      <c r="C2233" t="n">
        <v>26138</v>
      </c>
      <c r="D2233" t="n">
        <v>26138</v>
      </c>
      <c r="E2233" t="n">
        <v>26358</v>
      </c>
    </row>
    <row r="2234">
      <c r="A2234" t="inlineStr">
        <is>
          <t>14/04/2026</t>
        </is>
      </c>
      <c r="B2234" t="inlineStr">
        <is>
          <t>SeaBank</t>
        </is>
      </c>
      <c r="C2234" t="n">
        <v>26141</v>
      </c>
      <c r="D2234" t="n">
        <v>26141</v>
      </c>
      <c r="E2234" t="n">
        <v>26361</v>
      </c>
    </row>
    <row r="2235">
      <c r="A2235" t="inlineStr">
        <is>
          <t>13/04/2026</t>
        </is>
      </c>
      <c r="B2235" t="inlineStr">
        <is>
          <t>SeaBank</t>
        </is>
      </c>
      <c r="C2235" t="n">
        <v>26131</v>
      </c>
      <c r="D2235" t="n">
        <v>26131</v>
      </c>
      <c r="E2235" t="n">
        <v>26361</v>
      </c>
    </row>
    <row r="2236">
      <c r="A2236" t="inlineStr">
        <is>
          <t>12/04/2026</t>
        </is>
      </c>
      <c r="B2236" t="inlineStr">
        <is>
          <t>SeaBank</t>
        </is>
      </c>
      <c r="C2236" t="n">
        <v>26130</v>
      </c>
      <c r="D2236" t="n">
        <v>26130</v>
      </c>
      <c r="E2236" t="n">
        <v>26360</v>
      </c>
    </row>
    <row r="2237">
      <c r="A2237" t="inlineStr">
        <is>
          <t>11/04/2026</t>
        </is>
      </c>
      <c r="B2237" t="inlineStr">
        <is>
          <t>SeaBank</t>
        </is>
      </c>
      <c r="C2237" t="n">
        <v>26130</v>
      </c>
      <c r="D2237" t="n">
        <v>26130</v>
      </c>
      <c r="E2237" t="n">
        <v>26360</v>
      </c>
    </row>
    <row r="2238">
      <c r="A2238" t="inlineStr">
        <is>
          <t>10/04/2026</t>
        </is>
      </c>
      <c r="B2238" t="inlineStr">
        <is>
          <t>SeaBank</t>
        </is>
      </c>
      <c r="C2238" t="n">
        <v>26130</v>
      </c>
      <c r="D2238" t="n">
        <v>26130</v>
      </c>
      <c r="E2238" t="n">
        <v>26360</v>
      </c>
    </row>
    <row r="2239">
      <c r="A2239" t="inlineStr">
        <is>
          <t>09/04/2026</t>
        </is>
      </c>
      <c r="B2239" t="inlineStr">
        <is>
          <t>SeaBank</t>
        </is>
      </c>
      <c r="C2239" t="n">
        <v>26137</v>
      </c>
      <c r="D2239" t="n">
        <v>26137</v>
      </c>
      <c r="E2239" t="n">
        <v>26357</v>
      </c>
    </row>
    <row r="2240">
      <c r="A2240" t="inlineStr">
        <is>
          <t>08/04/2026</t>
        </is>
      </c>
      <c r="B2240" t="inlineStr">
        <is>
          <t>SeaBank</t>
        </is>
      </c>
      <c r="C2240" t="n">
        <v>26141</v>
      </c>
      <c r="D2240" t="n">
        <v>26141</v>
      </c>
      <c r="E2240" t="n">
        <v>26361</v>
      </c>
    </row>
    <row r="2241">
      <c r="A2241" t="inlineStr">
        <is>
          <t>07/04/2026</t>
        </is>
      </c>
      <c r="B2241" t="inlineStr">
        <is>
          <t>SeaBank</t>
        </is>
      </c>
      <c r="C2241" t="n">
        <v>26143</v>
      </c>
      <c r="D2241" t="n">
        <v>26143</v>
      </c>
      <c r="E2241" t="n">
        <v>26363</v>
      </c>
    </row>
    <row r="2242">
      <c r="A2242" t="inlineStr">
        <is>
          <t>06/04/2026</t>
        </is>
      </c>
      <c r="B2242" t="inlineStr">
        <is>
          <t>SeaBank</t>
        </is>
      </c>
      <c r="C2242" t="n">
        <v>26141</v>
      </c>
      <c r="D2242" t="n">
        <v>26141</v>
      </c>
      <c r="E2242" t="n">
        <v>26361</v>
      </c>
    </row>
    <row r="2243">
      <c r="A2243" t="inlineStr">
        <is>
          <t>05/04/2026</t>
        </is>
      </c>
      <c r="B2243" t="inlineStr">
        <is>
          <t>SeaBank</t>
        </is>
      </c>
      <c r="C2243" t="n">
        <v>26142</v>
      </c>
      <c r="D2243" t="n">
        <v>26142</v>
      </c>
      <c r="E2243" t="n">
        <v>26362</v>
      </c>
    </row>
    <row r="2244">
      <c r="A2244" t="inlineStr">
        <is>
          <t>04/04/2026</t>
        </is>
      </c>
      <c r="B2244" t="inlineStr">
        <is>
          <t>SeaBank</t>
        </is>
      </c>
      <c r="C2244" t="n">
        <v>26142</v>
      </c>
      <c r="D2244" t="n">
        <v>26142</v>
      </c>
      <c r="E2244" t="n">
        <v>26362</v>
      </c>
    </row>
    <row r="2245">
      <c r="A2245" t="inlineStr">
        <is>
          <t>03/04/2026</t>
        </is>
      </c>
      <c r="B2245" t="inlineStr">
        <is>
          <t>SeaBank</t>
        </is>
      </c>
      <c r="C2245" t="n">
        <v>26142</v>
      </c>
      <c r="D2245" t="n">
        <v>26142</v>
      </c>
      <c r="E2245" t="n">
        <v>26362</v>
      </c>
    </row>
    <row r="2246">
      <c r="A2246" t="inlineStr">
        <is>
          <t>02/04/2026</t>
        </is>
      </c>
      <c r="B2246" t="inlineStr">
        <is>
          <t>SeaBank</t>
        </is>
      </c>
      <c r="C2246" t="n">
        <v>26142</v>
      </c>
      <c r="D2246" t="n">
        <v>26142</v>
      </c>
      <c r="E2246" t="n">
        <v>26362</v>
      </c>
    </row>
    <row r="2247">
      <c r="A2247" t="inlineStr">
        <is>
          <t>01/04/2026</t>
        </is>
      </c>
      <c r="B2247" t="inlineStr">
        <is>
          <t>SeaBank</t>
        </is>
      </c>
      <c r="C2247" t="n">
        <v>26140</v>
      </c>
      <c r="D2247" t="n">
        <v>26140</v>
      </c>
      <c r="E2247" t="n">
        <v>26360</v>
      </c>
    </row>
    <row r="2248">
      <c r="A2248" t="inlineStr">
        <is>
          <t>31/03/2026</t>
        </is>
      </c>
      <c r="B2248" t="inlineStr">
        <is>
          <t>SeaBank</t>
        </is>
      </c>
      <c r="C2248" t="n">
        <v>26137</v>
      </c>
      <c r="D2248" t="n">
        <v>26137</v>
      </c>
      <c r="E2248" t="n">
        <v>26357</v>
      </c>
    </row>
    <row r="2249">
      <c r="A2249" t="inlineStr">
        <is>
          <t>30/03/2026</t>
        </is>
      </c>
      <c r="B2249" t="inlineStr">
        <is>
          <t>SeaBank</t>
        </is>
      </c>
      <c r="C2249" t="n">
        <v>26135</v>
      </c>
      <c r="D2249" t="n">
        <v>26135</v>
      </c>
      <c r="E2249" t="n">
        <v>26355</v>
      </c>
    </row>
    <row r="2250">
      <c r="A2250" t="inlineStr">
        <is>
          <t>29/03/2026</t>
        </is>
      </c>
      <c r="B2250" t="inlineStr">
        <is>
          <t>SeaBank</t>
        </is>
      </c>
      <c r="C2250" t="n">
        <v>26135</v>
      </c>
      <c r="D2250" t="n">
        <v>26135</v>
      </c>
      <c r="E2250" t="n">
        <v>26355</v>
      </c>
    </row>
    <row r="2251">
      <c r="A2251" t="inlineStr">
        <is>
          <t>28/03/2026</t>
        </is>
      </c>
      <c r="B2251" t="inlineStr">
        <is>
          <t>SeaBank</t>
        </is>
      </c>
      <c r="C2251" t="n">
        <v>26135</v>
      </c>
      <c r="D2251" t="n">
        <v>26135</v>
      </c>
      <c r="E2251" t="n">
        <v>26355</v>
      </c>
    </row>
    <row r="2252">
      <c r="A2252" t="inlineStr">
        <is>
          <t>27/03/2026</t>
        </is>
      </c>
      <c r="B2252" t="inlineStr">
        <is>
          <t>SeaBank</t>
        </is>
      </c>
      <c r="C2252" t="n">
        <v>26135</v>
      </c>
      <c r="D2252" t="n">
        <v>26135</v>
      </c>
      <c r="E2252" t="n">
        <v>26355</v>
      </c>
    </row>
    <row r="2253">
      <c r="A2253" t="inlineStr">
        <is>
          <t>26/03/2026</t>
        </is>
      </c>
      <c r="B2253" t="inlineStr">
        <is>
          <t>SeaBank</t>
        </is>
      </c>
      <c r="C2253" t="n">
        <v>26137</v>
      </c>
      <c r="D2253" t="n">
        <v>26137</v>
      </c>
      <c r="E2253" t="n">
        <v>26357</v>
      </c>
    </row>
    <row r="2254">
      <c r="A2254" t="inlineStr">
        <is>
          <t>25/03/2026</t>
        </is>
      </c>
      <c r="B2254" t="inlineStr">
        <is>
          <t>SeaBank</t>
        </is>
      </c>
      <c r="C2254" t="n">
        <v>26139</v>
      </c>
      <c r="D2254" t="n">
        <v>26139</v>
      </c>
      <c r="E2254" t="n">
        <v>26359</v>
      </c>
    </row>
    <row r="2255">
      <c r="A2255" t="inlineStr">
        <is>
          <t>24/03/2026</t>
        </is>
      </c>
      <c r="B2255" t="inlineStr">
        <is>
          <t>SeaBank</t>
        </is>
      </c>
      <c r="C2255" t="n">
        <v>26124</v>
      </c>
      <c r="D2255" t="n">
        <v>26124</v>
      </c>
      <c r="E2255" t="n">
        <v>26364</v>
      </c>
    </row>
    <row r="2256">
      <c r="A2256" t="inlineStr">
        <is>
          <t>23/03/2026</t>
        </is>
      </c>
      <c r="B2256" t="inlineStr">
        <is>
          <t>SeaBank</t>
        </is>
      </c>
      <c r="C2256" t="n">
        <v>26105</v>
      </c>
      <c r="D2256" t="n">
        <v>26105</v>
      </c>
      <c r="E2256" t="n">
        <v>26344</v>
      </c>
    </row>
    <row r="2257">
      <c r="A2257" t="inlineStr">
        <is>
          <t>22/03/2026</t>
        </is>
      </c>
      <c r="B2257" t="inlineStr">
        <is>
          <t>SeaBank</t>
        </is>
      </c>
      <c r="C2257" t="n">
        <v>26099</v>
      </c>
      <c r="D2257" t="n">
        <v>26099</v>
      </c>
      <c r="E2257" t="n">
        <v>26339</v>
      </c>
    </row>
    <row r="2258">
      <c r="A2258" t="inlineStr">
        <is>
          <t>21/03/2026</t>
        </is>
      </c>
      <c r="B2258" t="inlineStr">
        <is>
          <t>SeaBank</t>
        </is>
      </c>
      <c r="C2258" t="n">
        <v>26099</v>
      </c>
      <c r="D2258" t="n">
        <v>26099</v>
      </c>
      <c r="E2258" t="n">
        <v>26339</v>
      </c>
    </row>
    <row r="2259">
      <c r="A2259" t="inlineStr">
        <is>
          <t>20/03/2026</t>
        </is>
      </c>
      <c r="B2259" t="inlineStr">
        <is>
          <t>SeaBank</t>
        </is>
      </c>
      <c r="C2259" t="n">
        <v>26099</v>
      </c>
      <c r="D2259" t="n">
        <v>26099</v>
      </c>
      <c r="E2259" t="n">
        <v>26339</v>
      </c>
    </row>
    <row r="2260">
      <c r="A2260" t="inlineStr">
        <is>
          <t>19/03/2026</t>
        </is>
      </c>
      <c r="B2260" t="inlineStr">
        <is>
          <t>SeaBank</t>
        </is>
      </c>
      <c r="C2260" t="n">
        <v>26085</v>
      </c>
      <c r="D2260" t="n">
        <v>26085</v>
      </c>
      <c r="E2260" t="n">
        <v>26325</v>
      </c>
    </row>
    <row r="2261">
      <c r="A2261" t="inlineStr">
        <is>
          <t>18/03/2026</t>
        </is>
      </c>
      <c r="B2261" t="inlineStr">
        <is>
          <t>SeaBank</t>
        </is>
      </c>
      <c r="C2261" t="n">
        <v>26080</v>
      </c>
      <c r="D2261" t="n">
        <v>26080</v>
      </c>
      <c r="E2261" t="n">
        <v>26320</v>
      </c>
    </row>
    <row r="2262">
      <c r="A2262" t="inlineStr">
        <is>
          <t>17/03/2026</t>
        </is>
      </c>
      <c r="B2262" t="inlineStr">
        <is>
          <t>SeaBank</t>
        </is>
      </c>
      <c r="C2262" t="n">
        <v>26081</v>
      </c>
      <c r="D2262" t="n">
        <v>26081</v>
      </c>
      <c r="E2262" t="n">
        <v>26321</v>
      </c>
    </row>
    <row r="2263">
      <c r="A2263" t="inlineStr">
        <is>
          <t>16/03/2026</t>
        </is>
      </c>
      <c r="B2263" t="inlineStr">
        <is>
          <t>SeaBank</t>
        </is>
      </c>
      <c r="C2263" t="n">
        <v>26081</v>
      </c>
      <c r="D2263" t="n">
        <v>26081</v>
      </c>
      <c r="E2263" t="n">
        <v>26321</v>
      </c>
    </row>
    <row r="2264">
      <c r="A2264" t="inlineStr">
        <is>
          <t>15/03/2026</t>
        </is>
      </c>
      <c r="B2264" t="inlineStr">
        <is>
          <t>SeaBank</t>
        </is>
      </c>
      <c r="C2264" t="n">
        <v>26078</v>
      </c>
      <c r="D2264" t="n">
        <v>26078</v>
      </c>
      <c r="E2264" t="n">
        <v>26318</v>
      </c>
    </row>
    <row r="2265">
      <c r="A2265" t="inlineStr">
        <is>
          <t>14/03/2026</t>
        </is>
      </c>
      <c r="B2265" t="inlineStr">
        <is>
          <t>SeaBank</t>
        </is>
      </c>
      <c r="C2265" t="n">
        <v>26078</v>
      </c>
      <c r="D2265" t="n">
        <v>26078</v>
      </c>
      <c r="E2265" t="n">
        <v>26318</v>
      </c>
    </row>
    <row r="2266">
      <c r="A2266" t="inlineStr">
        <is>
          <t>13/03/2026</t>
        </is>
      </c>
      <c r="B2266" t="inlineStr">
        <is>
          <t>SeaBank</t>
        </is>
      </c>
      <c r="C2266" t="n">
        <v>26078</v>
      </c>
      <c r="D2266" t="n">
        <v>26078</v>
      </c>
      <c r="E2266" t="n">
        <v>26318</v>
      </c>
    </row>
    <row r="2267">
      <c r="A2267" t="inlineStr">
        <is>
          <t>12/03/2026</t>
        </is>
      </c>
      <c r="B2267" t="inlineStr">
        <is>
          <t>SeaBank</t>
        </is>
      </c>
      <c r="C2267" t="n">
        <v>26034</v>
      </c>
      <c r="D2267" t="n">
        <v>26034</v>
      </c>
      <c r="E2267" t="n">
        <v>26314</v>
      </c>
    </row>
    <row r="2268">
      <c r="A2268" t="inlineStr">
        <is>
          <t>11/03/2026</t>
        </is>
      </c>
      <c r="B2268" t="inlineStr">
        <is>
          <t>SeaBank</t>
        </is>
      </c>
      <c r="C2268" t="n">
        <v>26011</v>
      </c>
      <c r="D2268" t="n">
        <v>26011</v>
      </c>
      <c r="E2268" t="n">
        <v>26311</v>
      </c>
    </row>
    <row r="2269">
      <c r="A2269" t="inlineStr">
        <is>
          <t>10/03/2026</t>
        </is>
      </c>
      <c r="B2269" t="inlineStr">
        <is>
          <t>SeaBank</t>
        </is>
      </c>
      <c r="C2269" t="n">
        <v>26055</v>
      </c>
      <c r="D2269" t="n">
        <v>26055</v>
      </c>
      <c r="E2269" t="n">
        <v>26315</v>
      </c>
    </row>
    <row r="2270">
      <c r="A2270" t="inlineStr">
        <is>
          <t>09/03/2026</t>
        </is>
      </c>
      <c r="B2270" t="inlineStr">
        <is>
          <t>SeaBank</t>
        </is>
      </c>
      <c r="C2270" t="n">
        <v>26031</v>
      </c>
      <c r="D2270" t="n">
        <v>26031</v>
      </c>
      <c r="E2270" t="n">
        <v>26311</v>
      </c>
    </row>
    <row r="2271">
      <c r="A2271" t="inlineStr">
        <is>
          <t>08/03/2026</t>
        </is>
      </c>
      <c r="B2271" t="inlineStr">
        <is>
          <t>SeaBank</t>
        </is>
      </c>
      <c r="C2271" t="n">
        <v>26029</v>
      </c>
      <c r="D2271" t="n">
        <v>26029</v>
      </c>
      <c r="E2271" t="n">
        <v>26309</v>
      </c>
    </row>
    <row r="2272">
      <c r="A2272" t="inlineStr">
        <is>
          <t>07/03/2026</t>
        </is>
      </c>
      <c r="B2272" t="inlineStr">
        <is>
          <t>SeaBank</t>
        </is>
      </c>
      <c r="C2272" t="n">
        <v>26029</v>
      </c>
      <c r="D2272" t="n">
        <v>26029</v>
      </c>
      <c r="E2272" t="n">
        <v>26309</v>
      </c>
    </row>
    <row r="2273">
      <c r="A2273" t="inlineStr">
        <is>
          <t>06/03/2026</t>
        </is>
      </c>
      <c r="B2273" t="inlineStr">
        <is>
          <t>SeaBank</t>
        </is>
      </c>
      <c r="C2273" t="n">
        <v>26029</v>
      </c>
      <c r="D2273" t="n">
        <v>26029</v>
      </c>
      <c r="E2273" t="n">
        <v>26309</v>
      </c>
    </row>
    <row r="2274">
      <c r="A2274" t="inlineStr">
        <is>
          <t>05/03/2026</t>
        </is>
      </c>
      <c r="B2274" t="inlineStr">
        <is>
          <t>SeaBank</t>
        </is>
      </c>
      <c r="C2274" t="n">
        <v>26007</v>
      </c>
      <c r="D2274" t="n">
        <v>26007</v>
      </c>
      <c r="E2274" t="n">
        <v>26307</v>
      </c>
    </row>
    <row r="2275">
      <c r="A2275" t="inlineStr">
        <is>
          <t>04/03/2026</t>
        </is>
      </c>
      <c r="B2275" t="inlineStr">
        <is>
          <t>SeaBank</t>
        </is>
      </c>
      <c r="C2275" t="n">
        <v>26004</v>
      </c>
      <c r="D2275" t="n">
        <v>26004</v>
      </c>
      <c r="E2275" t="n">
        <v>26304</v>
      </c>
    </row>
    <row r="2276">
      <c r="A2276" t="inlineStr">
        <is>
          <t>03/03/2026</t>
        </is>
      </c>
      <c r="B2276" t="inlineStr">
        <is>
          <t>SeaBank</t>
        </is>
      </c>
      <c r="C2276" t="n">
        <v>26015</v>
      </c>
      <c r="D2276" t="n">
        <v>26015</v>
      </c>
      <c r="E2276" t="n">
        <v>26298</v>
      </c>
    </row>
    <row r="2277">
      <c r="A2277" t="inlineStr">
        <is>
          <t>02/03/2026</t>
        </is>
      </c>
      <c r="B2277" t="inlineStr">
        <is>
          <t>SeaBank</t>
        </is>
      </c>
      <c r="C2277" t="n">
        <v>25870</v>
      </c>
      <c r="D2277" t="n">
        <v>25870</v>
      </c>
      <c r="E2277" t="n">
        <v>26250</v>
      </c>
    </row>
    <row r="2278">
      <c r="A2278" t="inlineStr">
        <is>
          <t>01/03/2026</t>
        </is>
      </c>
      <c r="B2278" t="inlineStr">
        <is>
          <t>SeaBank</t>
        </is>
      </c>
      <c r="C2278" t="n">
        <v>25890</v>
      </c>
      <c r="D2278" t="n">
        <v>25890</v>
      </c>
      <c r="E2278" t="n">
        <v>26270</v>
      </c>
    </row>
    <row r="2279">
      <c r="A2279" t="inlineStr">
        <is>
          <t>28/02/2026</t>
        </is>
      </c>
      <c r="B2279" t="inlineStr">
        <is>
          <t>SeaBank</t>
        </is>
      </c>
      <c r="C2279" t="n">
        <v>25890</v>
      </c>
      <c r="D2279" t="n">
        <v>25890</v>
      </c>
      <c r="E2279" t="n">
        <v>26270</v>
      </c>
    </row>
    <row r="2280">
      <c r="A2280" t="inlineStr">
        <is>
          <t>27/02/2026</t>
        </is>
      </c>
      <c r="B2280" t="inlineStr">
        <is>
          <t>SeaBank</t>
        </is>
      </c>
      <c r="C2280" t="n">
        <v>25890</v>
      </c>
      <c r="D2280" t="n">
        <v>25890</v>
      </c>
      <c r="E2280" t="n">
        <v>26270</v>
      </c>
    </row>
    <row r="2281">
      <c r="A2281" t="inlineStr">
        <is>
          <t>26/02/2026</t>
        </is>
      </c>
      <c r="B2281" t="inlineStr">
        <is>
          <t>SeaBank</t>
        </is>
      </c>
      <c r="C2281" t="n">
        <v>25910</v>
      </c>
      <c r="D2281" t="n">
        <v>25910</v>
      </c>
      <c r="E2281" t="n">
        <v>26290</v>
      </c>
    </row>
    <row r="2282">
      <c r="A2282" t="inlineStr">
        <is>
          <t>25/02/2026</t>
        </is>
      </c>
      <c r="B2282" t="inlineStr">
        <is>
          <t>SeaBank</t>
        </is>
      </c>
      <c r="C2282" t="n">
        <v>25989</v>
      </c>
      <c r="D2282" t="n">
        <v>25989</v>
      </c>
      <c r="E2282" t="n">
        <v>26309</v>
      </c>
    </row>
    <row r="2283">
      <c r="A2283" t="inlineStr">
        <is>
          <t>24/02/2026</t>
        </is>
      </c>
      <c r="B2283" t="inlineStr">
        <is>
          <t>SeaBank</t>
        </is>
      </c>
      <c r="C2283" t="n">
        <v>25920</v>
      </c>
      <c r="D2283" t="n">
        <v>25920</v>
      </c>
      <c r="E2283" t="n">
        <v>26300</v>
      </c>
    </row>
    <row r="2284">
      <c r="A2284" t="inlineStr">
        <is>
          <t>23/02/2026</t>
        </is>
      </c>
      <c r="B2284" t="inlineStr">
        <is>
          <t>SeaBank</t>
        </is>
      </c>
      <c r="C2284" t="n">
        <v>25790</v>
      </c>
      <c r="D2284" t="n">
        <v>25790</v>
      </c>
      <c r="E2284" t="n">
        <v>26170</v>
      </c>
    </row>
    <row r="2285">
      <c r="A2285" t="inlineStr">
        <is>
          <t>22/02/2026</t>
        </is>
      </c>
      <c r="B2285" t="inlineStr">
        <is>
          <t>SeaBank</t>
        </is>
      </c>
      <c r="C2285" t="n">
        <v>25780</v>
      </c>
      <c r="D2285" t="n">
        <v>25780</v>
      </c>
      <c r="E2285" t="n">
        <v>26160</v>
      </c>
    </row>
    <row r="2286">
      <c r="A2286" t="inlineStr">
        <is>
          <t>21/02/2026</t>
        </is>
      </c>
      <c r="B2286" t="inlineStr">
        <is>
          <t>SeaBank</t>
        </is>
      </c>
      <c r="C2286" t="n">
        <v>25780</v>
      </c>
      <c r="D2286" t="n">
        <v>25780</v>
      </c>
      <c r="E2286" t="n">
        <v>26160</v>
      </c>
    </row>
    <row r="2287">
      <c r="A2287" t="inlineStr">
        <is>
          <t>20/02/2026</t>
        </is>
      </c>
      <c r="B2287" t="inlineStr">
        <is>
          <t>SeaBank</t>
        </is>
      </c>
      <c r="C2287" t="n">
        <v>25780</v>
      </c>
      <c r="D2287" t="n">
        <v>25780</v>
      </c>
      <c r="E2287" t="n">
        <v>26160</v>
      </c>
    </row>
    <row r="2288">
      <c r="A2288" t="inlineStr">
        <is>
          <t>19/02/2026</t>
        </is>
      </c>
      <c r="B2288" t="inlineStr">
        <is>
          <t>SeaBank</t>
        </is>
      </c>
      <c r="C2288" t="n">
        <v>25780</v>
      </c>
      <c r="D2288" t="n">
        <v>25780</v>
      </c>
      <c r="E2288" t="n">
        <v>26160</v>
      </c>
    </row>
    <row r="2289">
      <c r="A2289" t="inlineStr">
        <is>
          <t>18/02/2026</t>
        </is>
      </c>
      <c r="B2289" t="inlineStr">
        <is>
          <t>SeaBank</t>
        </is>
      </c>
      <c r="C2289" t="n">
        <v>25780</v>
      </c>
      <c r="D2289" t="n">
        <v>25780</v>
      </c>
      <c r="E2289" t="n">
        <v>26160</v>
      </c>
    </row>
    <row r="2290">
      <c r="A2290" t="inlineStr">
        <is>
          <t>17/02/2026</t>
        </is>
      </c>
      <c r="B2290" t="inlineStr">
        <is>
          <t>SeaBank</t>
        </is>
      </c>
      <c r="C2290" t="n">
        <v>25780</v>
      </c>
      <c r="D2290" t="n">
        <v>25780</v>
      </c>
      <c r="E2290" t="n">
        <v>26160</v>
      </c>
    </row>
    <row r="2291">
      <c r="A2291" t="inlineStr">
        <is>
          <t>16/02/2026</t>
        </is>
      </c>
      <c r="B2291" t="inlineStr">
        <is>
          <t>SeaBank</t>
        </is>
      </c>
      <c r="C2291" t="n">
        <v>25780</v>
      </c>
      <c r="D2291" t="n">
        <v>25780</v>
      </c>
      <c r="E2291" t="n">
        <v>26160</v>
      </c>
    </row>
    <row r="2292">
      <c r="A2292" t="inlineStr">
        <is>
          <t>15/02/2026</t>
        </is>
      </c>
      <c r="B2292" t="inlineStr">
        <is>
          <t>SeaBank</t>
        </is>
      </c>
      <c r="C2292" t="n">
        <v>25780</v>
      </c>
      <c r="D2292" t="n">
        <v>25780</v>
      </c>
      <c r="E2292" t="n">
        <v>26160</v>
      </c>
    </row>
    <row r="2293">
      <c r="A2293" t="inlineStr">
        <is>
          <t>14/02/2026</t>
        </is>
      </c>
      <c r="B2293" t="inlineStr">
        <is>
          <t>SeaBank</t>
        </is>
      </c>
      <c r="C2293" t="n">
        <v>25780</v>
      </c>
      <c r="D2293" t="n">
        <v>25780</v>
      </c>
      <c r="E2293" t="n">
        <v>26160</v>
      </c>
    </row>
    <row r="2294">
      <c r="A2294" t="inlineStr">
        <is>
          <t>13/02/2026</t>
        </is>
      </c>
      <c r="B2294" t="inlineStr">
        <is>
          <t>SeaBank</t>
        </is>
      </c>
      <c r="C2294" t="n">
        <v>25780</v>
      </c>
      <c r="D2294" t="n">
        <v>25780</v>
      </c>
      <c r="E2294" t="n">
        <v>26160</v>
      </c>
    </row>
    <row r="2295">
      <c r="A2295" t="inlineStr">
        <is>
          <t>12/02/2026</t>
        </is>
      </c>
      <c r="B2295" t="inlineStr">
        <is>
          <t>SeaBank</t>
        </is>
      </c>
      <c r="C2295" t="n">
        <v>25800</v>
      </c>
      <c r="D2295" t="n">
        <v>25800</v>
      </c>
      <c r="E2295" t="n">
        <v>26180</v>
      </c>
    </row>
    <row r="2296">
      <c r="A2296" t="inlineStr">
        <is>
          <t>11/02/2026</t>
        </is>
      </c>
      <c r="B2296" t="inlineStr">
        <is>
          <t>SeaBank</t>
        </is>
      </c>
      <c r="C2296" t="n">
        <v>25700</v>
      </c>
      <c r="D2296" t="n">
        <v>25700</v>
      </c>
      <c r="E2296" t="n">
        <v>26080</v>
      </c>
    </row>
    <row r="2297">
      <c r="A2297" t="inlineStr">
        <is>
          <t>10/02/2026</t>
        </is>
      </c>
      <c r="B2297" t="inlineStr">
        <is>
          <t>SeaBank</t>
        </is>
      </c>
      <c r="C2297" t="n">
        <v>25715</v>
      </c>
      <c r="D2297" t="n">
        <v>25715</v>
      </c>
      <c r="E2297" t="n">
        <v>26095</v>
      </c>
    </row>
    <row r="2298">
      <c r="A2298" t="inlineStr">
        <is>
          <t>09/02/2026</t>
        </is>
      </c>
      <c r="B2298" t="inlineStr">
        <is>
          <t>SeaBank</t>
        </is>
      </c>
      <c r="C2298" t="n">
        <v>25760</v>
      </c>
      <c r="D2298" t="n">
        <v>25760</v>
      </c>
      <c r="E2298" t="n">
        <v>26140</v>
      </c>
    </row>
    <row r="2299">
      <c r="A2299" t="inlineStr">
        <is>
          <t>08/02/2026</t>
        </is>
      </c>
      <c r="B2299" t="inlineStr">
        <is>
          <t>SeaBank</t>
        </is>
      </c>
      <c r="C2299" t="n">
        <v>25790</v>
      </c>
      <c r="D2299" t="n">
        <v>25790</v>
      </c>
      <c r="E2299" t="n">
        <v>26150</v>
      </c>
    </row>
    <row r="2300">
      <c r="A2300" t="inlineStr">
        <is>
          <t>07/02/2026</t>
        </is>
      </c>
      <c r="B2300" t="inlineStr">
        <is>
          <t>SeaBank</t>
        </is>
      </c>
      <c r="C2300" t="n">
        <v>25790</v>
      </c>
      <c r="D2300" t="n">
        <v>25790</v>
      </c>
      <c r="E2300" t="n">
        <v>26150</v>
      </c>
    </row>
    <row r="2301">
      <c r="A2301" t="inlineStr">
        <is>
          <t>06/02/2026</t>
        </is>
      </c>
      <c r="B2301" t="inlineStr">
        <is>
          <t>SeaBank</t>
        </is>
      </c>
      <c r="C2301" t="n">
        <v>25790</v>
      </c>
      <c r="D2301" t="n">
        <v>25790</v>
      </c>
      <c r="E2301" t="n">
        <v>26150</v>
      </c>
    </row>
    <row r="2302">
      <c r="A2302" t="inlineStr">
        <is>
          <t>05/02/2026</t>
        </is>
      </c>
      <c r="B2302" t="inlineStr">
        <is>
          <t>SeaBank</t>
        </is>
      </c>
      <c r="C2302" t="n">
        <v>25820</v>
      </c>
      <c r="D2302" t="n">
        <v>25820</v>
      </c>
      <c r="E2302" t="n">
        <v>26180</v>
      </c>
    </row>
    <row r="2303">
      <c r="A2303" t="inlineStr">
        <is>
          <t>04/02/2026</t>
        </is>
      </c>
      <c r="B2303" t="inlineStr">
        <is>
          <t>SeaBank</t>
        </is>
      </c>
      <c r="C2303" t="n">
        <v>25820</v>
      </c>
      <c r="D2303" t="n">
        <v>25820</v>
      </c>
      <c r="E2303" t="n">
        <v>26180</v>
      </c>
    </row>
    <row r="2304">
      <c r="A2304" t="inlineStr">
        <is>
          <t>03/02/2026</t>
        </is>
      </c>
      <c r="B2304" t="inlineStr">
        <is>
          <t>SeaBank</t>
        </is>
      </c>
      <c r="C2304" t="n">
        <v>25840</v>
      </c>
      <c r="D2304" t="n">
        <v>25840</v>
      </c>
      <c r="E2304" t="n">
        <v>26200</v>
      </c>
    </row>
    <row r="2305">
      <c r="A2305" t="inlineStr">
        <is>
          <t>02/02/2026</t>
        </is>
      </c>
      <c r="B2305" t="inlineStr">
        <is>
          <t>SeaBank</t>
        </is>
      </c>
      <c r="C2305" t="n">
        <v>25740</v>
      </c>
      <c r="D2305" t="n">
        <v>25740</v>
      </c>
      <c r="E2305" t="n">
        <v>26120</v>
      </c>
    </row>
    <row r="2306">
      <c r="A2306" t="inlineStr">
        <is>
          <t>01/02/2026</t>
        </is>
      </c>
      <c r="B2306" t="inlineStr">
        <is>
          <t>SeaBank</t>
        </is>
      </c>
      <c r="C2306" t="n">
        <v>25820</v>
      </c>
      <c r="D2306" t="n">
        <v>25820</v>
      </c>
      <c r="E2306" t="n">
        <v>26180</v>
      </c>
    </row>
    <row r="2307">
      <c r="A2307" t="inlineStr">
        <is>
          <t>31/01/2026</t>
        </is>
      </c>
      <c r="B2307" t="inlineStr">
        <is>
          <t>SeaBank</t>
        </is>
      </c>
      <c r="C2307" t="n">
        <v>25820</v>
      </c>
      <c r="D2307" t="n">
        <v>25820</v>
      </c>
      <c r="E2307" t="n">
        <v>26180</v>
      </c>
    </row>
    <row r="2308">
      <c r="A2308" t="inlineStr">
        <is>
          <t>30/01/2026</t>
        </is>
      </c>
      <c r="B2308" t="inlineStr">
        <is>
          <t>SeaBank</t>
        </is>
      </c>
      <c r="C2308" t="n">
        <v>25820</v>
      </c>
      <c r="D2308" t="n">
        <v>25820</v>
      </c>
      <c r="E2308" t="n">
        <v>26180</v>
      </c>
    </row>
    <row r="2309">
      <c r="A2309" t="inlineStr">
        <is>
          <t>29/01/2026</t>
        </is>
      </c>
      <c r="B2309" t="inlineStr">
        <is>
          <t>SeaBank</t>
        </is>
      </c>
      <c r="C2309" t="n">
        <v>25880</v>
      </c>
      <c r="D2309" t="n">
        <v>25880</v>
      </c>
      <c r="E2309" t="n">
        <v>26240</v>
      </c>
    </row>
    <row r="2310">
      <c r="A2310" t="inlineStr">
        <is>
          <t>28/01/2026</t>
        </is>
      </c>
      <c r="B2310" t="inlineStr">
        <is>
          <t>SeaBank</t>
        </is>
      </c>
      <c r="C2310" t="n">
        <v>25895</v>
      </c>
      <c r="D2310" t="n">
        <v>25895</v>
      </c>
      <c r="E2310" t="n">
        <v>26295</v>
      </c>
    </row>
    <row r="2311">
      <c r="A2311" t="inlineStr">
        <is>
          <t>27/01/2026</t>
        </is>
      </c>
      <c r="B2311" t="inlineStr">
        <is>
          <t>SeaBank</t>
        </is>
      </c>
      <c r="C2311" t="n">
        <v>25992</v>
      </c>
      <c r="D2311" t="n">
        <v>25992</v>
      </c>
      <c r="E2311" t="n">
        <v>26352</v>
      </c>
    </row>
    <row r="2312">
      <c r="A2312" t="inlineStr">
        <is>
          <t>26/01/2026</t>
        </is>
      </c>
      <c r="B2312" t="inlineStr">
        <is>
          <t>SeaBank</t>
        </is>
      </c>
      <c r="C2312" t="n">
        <v>26048</v>
      </c>
      <c r="D2312" t="n">
        <v>26048</v>
      </c>
      <c r="E2312" t="n">
        <v>26368</v>
      </c>
    </row>
    <row r="2313">
      <c r="A2313" t="inlineStr">
        <is>
          <t>25/01/2026</t>
        </is>
      </c>
      <c r="B2313" t="inlineStr">
        <is>
          <t>SeaBank</t>
        </is>
      </c>
      <c r="C2313" t="n">
        <v>26081</v>
      </c>
      <c r="D2313" t="n">
        <v>26081</v>
      </c>
      <c r="E2313" t="n">
        <v>26381</v>
      </c>
    </row>
    <row r="2314">
      <c r="A2314" t="inlineStr">
        <is>
          <t>24/01/2026</t>
        </is>
      </c>
      <c r="B2314" t="inlineStr">
        <is>
          <t>SeaBank</t>
        </is>
      </c>
      <c r="C2314" t="n">
        <v>26081</v>
      </c>
      <c r="D2314" t="n">
        <v>26081</v>
      </c>
      <c r="E2314" t="n">
        <v>26381</v>
      </c>
    </row>
    <row r="2315">
      <c r="A2315" t="inlineStr">
        <is>
          <t>23/01/2026</t>
        </is>
      </c>
      <c r="B2315" t="inlineStr">
        <is>
          <t>SeaBank</t>
        </is>
      </c>
      <c r="C2315" t="n">
        <v>26081</v>
      </c>
      <c r="D2315" t="n">
        <v>26081</v>
      </c>
      <c r="E2315" t="n">
        <v>26381</v>
      </c>
    </row>
    <row r="2316">
      <c r="A2316" t="inlineStr">
        <is>
          <t>22/01/2026</t>
        </is>
      </c>
      <c r="B2316" t="inlineStr">
        <is>
          <t>SeaBank</t>
        </is>
      </c>
      <c r="C2316" t="n">
        <v>26081</v>
      </c>
      <c r="D2316" t="n">
        <v>26081</v>
      </c>
      <c r="E2316" t="n">
        <v>26381</v>
      </c>
    </row>
    <row r="2317">
      <c r="A2317" t="inlineStr">
        <is>
          <t>21/01/2026</t>
        </is>
      </c>
      <c r="B2317" t="inlineStr">
        <is>
          <t>SeaBank</t>
        </is>
      </c>
      <c r="C2317" t="n">
        <v>26080</v>
      </c>
      <c r="D2317" t="n">
        <v>26080</v>
      </c>
      <c r="E2317" t="n">
        <v>26380</v>
      </c>
    </row>
    <row r="2318">
      <c r="A2318" t="inlineStr">
        <is>
          <t>20/01/2026</t>
        </is>
      </c>
      <c r="B2318" t="inlineStr">
        <is>
          <t>SeaBank</t>
        </is>
      </c>
      <c r="C2318" t="n">
        <v>26086</v>
      </c>
      <c r="D2318" t="n">
        <v>26086</v>
      </c>
      <c r="E2318" t="n">
        <v>26386</v>
      </c>
    </row>
    <row r="2319">
      <c r="A2319" t="inlineStr">
        <is>
          <t>19/01/2026</t>
        </is>
      </c>
      <c r="B2319" t="inlineStr">
        <is>
          <t>SeaBank</t>
        </is>
      </c>
      <c r="C2319" t="n">
        <v>26088</v>
      </c>
      <c r="D2319" t="n">
        <v>26088</v>
      </c>
      <c r="E2319" t="n">
        <v>26388</v>
      </c>
    </row>
    <row r="2320">
      <c r="A2320" t="inlineStr">
        <is>
          <t>18/01/2026</t>
        </is>
      </c>
      <c r="B2320" t="inlineStr">
        <is>
          <t>SeaBank</t>
        </is>
      </c>
      <c r="C2320" t="n">
        <v>26087</v>
      </c>
      <c r="D2320" t="n">
        <v>26087</v>
      </c>
      <c r="E2320" t="n">
        <v>26387</v>
      </c>
    </row>
    <row r="2321">
      <c r="A2321" t="inlineStr">
        <is>
          <t>17/01/2026</t>
        </is>
      </c>
      <c r="B2321" t="inlineStr">
        <is>
          <t>SeaBank</t>
        </is>
      </c>
      <c r="C2321" t="n">
        <v>26087</v>
      </c>
      <c r="D2321" t="n">
        <v>26087</v>
      </c>
      <c r="E2321" t="n">
        <v>26387</v>
      </c>
    </row>
    <row r="2322">
      <c r="A2322" t="inlineStr">
        <is>
          <t>16/01/2026</t>
        </is>
      </c>
      <c r="B2322" t="inlineStr">
        <is>
          <t>SeaBank</t>
        </is>
      </c>
      <c r="C2322" t="n">
        <v>26087</v>
      </c>
      <c r="D2322" t="n">
        <v>26087</v>
      </c>
      <c r="E2322" t="n">
        <v>26387</v>
      </c>
    </row>
    <row r="2323">
      <c r="A2323" t="inlineStr">
        <is>
          <t>15/01/2026</t>
        </is>
      </c>
      <c r="B2323" t="inlineStr">
        <is>
          <t>SeaBank</t>
        </is>
      </c>
      <c r="C2323" t="n">
        <v>26091</v>
      </c>
      <c r="D2323" t="n">
        <v>26091</v>
      </c>
      <c r="E2323" t="n">
        <v>26391</v>
      </c>
    </row>
    <row r="2324">
      <c r="A2324" t="inlineStr">
        <is>
          <t>14/01/2026</t>
        </is>
      </c>
      <c r="B2324" t="inlineStr">
        <is>
          <t>SeaBank</t>
        </is>
      </c>
      <c r="C2324" t="n">
        <v>26091</v>
      </c>
      <c r="D2324" t="n">
        <v>26091</v>
      </c>
      <c r="E2324" t="n">
        <v>26391</v>
      </c>
    </row>
    <row r="2325">
      <c r="A2325" t="inlineStr">
        <is>
          <t>13/01/2026</t>
        </is>
      </c>
      <c r="B2325" t="inlineStr">
        <is>
          <t>SeaBank</t>
        </is>
      </c>
      <c r="C2325" t="n">
        <v>26085</v>
      </c>
      <c r="D2325" t="n">
        <v>26085</v>
      </c>
      <c r="E2325" t="n">
        <v>26385</v>
      </c>
    </row>
    <row r="2326">
      <c r="A2326" t="inlineStr">
        <is>
          <t>12/01/2026</t>
        </is>
      </c>
      <c r="B2326" t="inlineStr">
        <is>
          <t>SeaBank</t>
        </is>
      </c>
      <c r="C2326" t="n">
        <v>26085</v>
      </c>
      <c r="D2326" t="n">
        <v>26085</v>
      </c>
      <c r="E2326" t="n">
        <v>26385</v>
      </c>
    </row>
    <row r="2327">
      <c r="A2327" t="inlineStr">
        <is>
          <t>11/01/2026</t>
        </is>
      </c>
      <c r="B2327" t="inlineStr">
        <is>
          <t>SeaBank</t>
        </is>
      </c>
      <c r="C2327" t="n">
        <v>26087</v>
      </c>
      <c r="D2327" t="n">
        <v>26087</v>
      </c>
      <c r="E2327" t="n">
        <v>26387</v>
      </c>
    </row>
    <row r="2328">
      <c r="A2328" t="inlineStr">
        <is>
          <t>10/01/2026</t>
        </is>
      </c>
      <c r="B2328" t="inlineStr">
        <is>
          <t>SeaBank</t>
        </is>
      </c>
      <c r="C2328" t="n">
        <v>26087</v>
      </c>
      <c r="D2328" t="n">
        <v>26087</v>
      </c>
      <c r="E2328" t="n">
        <v>26387</v>
      </c>
    </row>
    <row r="2329">
      <c r="A2329" t="inlineStr">
        <is>
          <t>09/01/2026</t>
        </is>
      </c>
      <c r="B2329" t="inlineStr">
        <is>
          <t>SeaBank</t>
        </is>
      </c>
      <c r="C2329" t="n">
        <v>26083</v>
      </c>
      <c r="D2329" t="n">
        <v>26083</v>
      </c>
      <c r="E2329" t="n">
        <v>26383</v>
      </c>
    </row>
    <row r="2330">
      <c r="A2330" t="inlineStr">
        <is>
          <t>08/01/2026</t>
        </is>
      </c>
      <c r="B2330" t="inlineStr">
        <is>
          <t>SeaBank</t>
        </is>
      </c>
      <c r="C2330" t="n">
        <v>26081</v>
      </c>
      <c r="D2330" t="n">
        <v>26081</v>
      </c>
      <c r="E2330" t="n">
        <v>26381</v>
      </c>
    </row>
    <row r="2331">
      <c r="A2331" t="inlineStr">
        <is>
          <t>07/01/2026</t>
        </is>
      </c>
      <c r="B2331" t="inlineStr">
        <is>
          <t>SeaBank</t>
        </is>
      </c>
      <c r="C2331" t="n">
        <v>26078</v>
      </c>
      <c r="D2331" t="n">
        <v>26078</v>
      </c>
      <c r="E2331" t="n">
        <v>26378</v>
      </c>
    </row>
    <row r="2332">
      <c r="A2332" t="inlineStr">
        <is>
          <t>06/01/2026</t>
        </is>
      </c>
      <c r="B2332" t="inlineStr">
        <is>
          <t>SeaBank</t>
        </is>
      </c>
      <c r="C2332" t="n">
        <v>26078</v>
      </c>
      <c r="D2332" t="n">
        <v>26078</v>
      </c>
      <c r="E2332" t="n">
        <v>26378</v>
      </c>
    </row>
    <row r="2333">
      <c r="A2333" t="inlineStr">
        <is>
          <t>05/01/2026</t>
        </is>
      </c>
      <c r="B2333" t="inlineStr">
        <is>
          <t>SeaBank</t>
        </is>
      </c>
      <c r="C2333" t="n">
        <v>26080</v>
      </c>
      <c r="D2333" t="n">
        <v>26080</v>
      </c>
      <c r="E2333" t="n">
        <v>26380</v>
      </c>
    </row>
    <row r="2334">
      <c r="A2334" t="inlineStr">
        <is>
          <t>04/01/2026</t>
        </is>
      </c>
      <c r="B2334" t="inlineStr">
        <is>
          <t>SeaBank</t>
        </is>
      </c>
      <c r="C2334" t="n">
        <v>26077</v>
      </c>
      <c r="D2334" t="n">
        <v>26077</v>
      </c>
      <c r="E2334" t="n">
        <v>26377</v>
      </c>
    </row>
    <row r="2335">
      <c r="A2335" t="inlineStr">
        <is>
          <t>03/01/2026</t>
        </is>
      </c>
      <c r="B2335" t="inlineStr">
        <is>
          <t>SeaBank</t>
        </is>
      </c>
      <c r="C2335" t="n">
        <v>26077</v>
      </c>
      <c r="D2335" t="n">
        <v>26077</v>
      </c>
      <c r="E2335" t="n">
        <v>26377</v>
      </c>
    </row>
    <row r="2336">
      <c r="A2336" t="inlineStr">
        <is>
          <t>02/01/2026</t>
        </is>
      </c>
      <c r="B2336" t="inlineStr">
        <is>
          <t>SeaBank</t>
        </is>
      </c>
      <c r="C2336" t="n">
        <v>26077</v>
      </c>
      <c r="D2336" t="n">
        <v>26077</v>
      </c>
      <c r="E2336" t="n">
        <v>26377</v>
      </c>
    </row>
    <row r="2337">
      <c r="A2337" t="inlineStr">
        <is>
          <t>01/01/2026</t>
        </is>
      </c>
      <c r="B2337" t="inlineStr">
        <is>
          <t>SeaBank</t>
        </is>
      </c>
      <c r="C2337" t="n">
        <v>26077</v>
      </c>
      <c r="D2337" t="n">
        <v>26077</v>
      </c>
      <c r="E2337" t="n">
        <v>26377</v>
      </c>
    </row>
    <row r="2338">
      <c r="A2338" t="inlineStr">
        <is>
          <t>10/09/2026</t>
        </is>
      </c>
      <c r="B2338" t="inlineStr">
        <is>
          <t>SeaBank</t>
        </is>
      </c>
      <c r="C2338" t="n">
        <v>25720</v>
      </c>
      <c r="D2338" t="n">
        <v>25720</v>
      </c>
      <c r="E2338" t="n">
        <v>26100</v>
      </c>
    </row>
    <row r="2339">
      <c r="A2339" t="inlineStr">
        <is>
          <t>11/09/2026</t>
        </is>
      </c>
      <c r="B2339" t="inlineStr">
        <is>
          <t>SeaBank</t>
        </is>
      </c>
      <c r="C2339" t="n">
        <v>25740</v>
      </c>
      <c r="D2339" t="n">
        <v>25740</v>
      </c>
      <c r="E2339" t="n">
        <v>26120</v>
      </c>
    </row>
    <row r="2340">
      <c r="A2340" t="inlineStr">
        <is>
          <t>12/09/2026</t>
        </is>
      </c>
      <c r="B2340" t="inlineStr">
        <is>
          <t>SeaBank</t>
        </is>
      </c>
      <c r="C2340" t="n">
        <v>25740</v>
      </c>
      <c r="D2340" t="n">
        <v>25740</v>
      </c>
      <c r="E2340" t="n">
        <v>26120</v>
      </c>
    </row>
    <row r="2341">
      <c r="A2341" t="inlineStr">
        <is>
          <t>13/09/2026</t>
        </is>
      </c>
      <c r="B2341" t="inlineStr">
        <is>
          <t>SeaBank</t>
        </is>
      </c>
      <c r="C2341" t="n">
        <v>25740</v>
      </c>
      <c r="D2341" t="n">
        <v>25740</v>
      </c>
      <c r="E2341" t="n">
        <v>26120</v>
      </c>
    </row>
    <row r="2342">
      <c r="A2342" t="inlineStr">
        <is>
          <t>14/09/2026</t>
        </is>
      </c>
      <c r="B2342" t="inlineStr">
        <is>
          <t>SeaBank</t>
        </is>
      </c>
      <c r="C2342" t="n">
        <v>25730</v>
      </c>
      <c r="D2342" t="n">
        <v>25730</v>
      </c>
      <c r="E2342" t="n">
        <v>26110</v>
      </c>
    </row>
    <row r="2343">
      <c r="A2343" t="inlineStr">
        <is>
          <t>15/09/2026</t>
        </is>
      </c>
      <c r="B2343" t="inlineStr">
        <is>
          <t>SeaBank</t>
        </is>
      </c>
      <c r="C2343" t="n">
        <v>25800</v>
      </c>
      <c r="D2343" t="n">
        <v>25800</v>
      </c>
      <c r="E2343" t="n">
        <v>26180</v>
      </c>
    </row>
    <row r="2344">
      <c r="A2344" t="inlineStr">
        <is>
          <t>16/09/2026</t>
        </is>
      </c>
      <c r="B2344" t="inlineStr">
        <is>
          <t>SeaBank</t>
        </is>
      </c>
      <c r="C2344" t="n">
        <v>25775</v>
      </c>
      <c r="D2344" t="n">
        <v>25775</v>
      </c>
      <c r="E2344" t="n">
        <v>26155</v>
      </c>
    </row>
    <row r="2345">
      <c r="A2345" t="inlineStr">
        <is>
          <t>17/09/2026</t>
        </is>
      </c>
      <c r="B2345" t="inlineStr">
        <is>
          <t>SeaBank</t>
        </is>
      </c>
      <c r="C2345" t="n">
        <v>25805</v>
      </c>
      <c r="D2345" t="n">
        <v>25805</v>
      </c>
      <c r="E2345" t="n">
        <v>26185</v>
      </c>
    </row>
    <row r="2346">
      <c r="A2346" t="inlineStr">
        <is>
          <t>18/09/2026</t>
        </is>
      </c>
      <c r="B2346" t="inlineStr">
        <is>
          <t>SeaBank</t>
        </is>
      </c>
      <c r="C2346" t="n">
        <v>25820</v>
      </c>
      <c r="D2346" t="n">
        <v>25820</v>
      </c>
      <c r="E2346" t="n">
        <v>26200</v>
      </c>
    </row>
    <row r="2347">
      <c r="A2347" t="inlineStr">
        <is>
          <t>09/09/2026</t>
        </is>
      </c>
      <c r="B2347" t="inlineStr">
        <is>
          <t>TPBank</t>
        </is>
      </c>
      <c r="C2347" t="n">
        <v>25500</v>
      </c>
      <c r="D2347" t="n">
        <v>25710</v>
      </c>
      <c r="E2347" t="n">
        <v>26115</v>
      </c>
    </row>
    <row r="2348">
      <c r="A2348" t="inlineStr">
        <is>
          <t>08/09/2026</t>
        </is>
      </c>
      <c r="B2348" t="inlineStr">
        <is>
          <t>TPBank</t>
        </is>
      </c>
      <c r="C2348" t="n">
        <v>25570</v>
      </c>
      <c r="D2348" t="n">
        <v>25780</v>
      </c>
      <c r="E2348" t="n">
        <v>26185</v>
      </c>
    </row>
    <row r="2349">
      <c r="A2349" t="inlineStr">
        <is>
          <t>07/09/2026</t>
        </is>
      </c>
      <c r="B2349" t="inlineStr">
        <is>
          <t>TPBank</t>
        </is>
      </c>
      <c r="C2349" t="n">
        <v>25620</v>
      </c>
      <c r="D2349" t="n">
        <v>25830</v>
      </c>
      <c r="E2349" t="n">
        <v>26235</v>
      </c>
    </row>
    <row r="2350">
      <c r="A2350" t="inlineStr">
        <is>
          <t>06/09/2026</t>
        </is>
      </c>
      <c r="B2350" t="inlineStr">
        <is>
          <t>TPBank</t>
        </is>
      </c>
      <c r="C2350" t="n">
        <v>25665</v>
      </c>
      <c r="D2350" t="n">
        <v>25875</v>
      </c>
      <c r="E2350" t="n">
        <v>26280</v>
      </c>
    </row>
    <row r="2351">
      <c r="A2351" t="inlineStr">
        <is>
          <t>05/09/2026</t>
        </is>
      </c>
      <c r="B2351" t="inlineStr">
        <is>
          <t>TPBank</t>
        </is>
      </c>
      <c r="C2351" t="n">
        <v>25665</v>
      </c>
      <c r="D2351" t="n">
        <v>25875</v>
      </c>
      <c r="E2351" t="n">
        <v>26280</v>
      </c>
    </row>
    <row r="2352">
      <c r="A2352" t="inlineStr">
        <is>
          <t>04/09/2026</t>
        </is>
      </c>
      <c r="B2352" t="inlineStr">
        <is>
          <t>TPBank</t>
        </is>
      </c>
      <c r="C2352" t="n">
        <v>25665</v>
      </c>
      <c r="D2352" t="n">
        <v>25875</v>
      </c>
      <c r="E2352" t="n">
        <v>26280</v>
      </c>
    </row>
    <row r="2353">
      <c r="A2353" t="inlineStr">
        <is>
          <t>03/09/2026</t>
        </is>
      </c>
      <c r="B2353" t="inlineStr">
        <is>
          <t>TPBank</t>
        </is>
      </c>
      <c r="C2353" t="n">
        <v>25670</v>
      </c>
      <c r="D2353" t="n">
        <v>25880</v>
      </c>
      <c r="E2353" t="n">
        <v>26285</v>
      </c>
    </row>
    <row r="2354">
      <c r="A2354" t="inlineStr">
        <is>
          <t>02/09/2026</t>
        </is>
      </c>
      <c r="B2354" t="inlineStr">
        <is>
          <t>TPBank</t>
        </is>
      </c>
      <c r="C2354" t="n">
        <v>25670</v>
      </c>
      <c r="D2354" t="n">
        <v>25880</v>
      </c>
      <c r="E2354" t="n">
        <v>26285</v>
      </c>
    </row>
    <row r="2355">
      <c r="A2355" t="inlineStr">
        <is>
          <t>01/09/2026</t>
        </is>
      </c>
      <c r="B2355" t="inlineStr">
        <is>
          <t>TPBank</t>
        </is>
      </c>
      <c r="C2355" t="n">
        <v>25670</v>
      </c>
      <c r="D2355" t="n">
        <v>25880</v>
      </c>
      <c r="E2355" t="n">
        <v>26285</v>
      </c>
    </row>
    <row r="2356">
      <c r="A2356" t="inlineStr">
        <is>
          <t>31/08/2026</t>
        </is>
      </c>
      <c r="B2356" t="inlineStr">
        <is>
          <t>TPBank</t>
        </is>
      </c>
      <c r="C2356" t="n">
        <v>25670</v>
      </c>
      <c r="D2356" t="n">
        <v>25880</v>
      </c>
      <c r="E2356" t="n">
        <v>26285</v>
      </c>
    </row>
    <row r="2357">
      <c r="A2357" t="inlineStr">
        <is>
          <t>30/08/2026</t>
        </is>
      </c>
      <c r="B2357" t="inlineStr">
        <is>
          <t>TPBank</t>
        </is>
      </c>
      <c r="C2357" t="n">
        <v>25670</v>
      </c>
      <c r="D2357" t="n">
        <v>25880</v>
      </c>
      <c r="E2357" t="n">
        <v>26285</v>
      </c>
    </row>
    <row r="2358">
      <c r="A2358" t="inlineStr">
        <is>
          <t>29/08/2026</t>
        </is>
      </c>
      <c r="B2358" t="inlineStr">
        <is>
          <t>TPBank</t>
        </is>
      </c>
      <c r="C2358" t="n">
        <v>25670</v>
      </c>
      <c r="D2358" t="n">
        <v>25880</v>
      </c>
      <c r="E2358" t="n">
        <v>26285</v>
      </c>
    </row>
    <row r="2359">
      <c r="A2359" t="inlineStr">
        <is>
          <t>28/08/2026</t>
        </is>
      </c>
      <c r="B2359" t="inlineStr">
        <is>
          <t>TPBank</t>
        </is>
      </c>
      <c r="C2359" t="n">
        <v>25670</v>
      </c>
      <c r="D2359" t="n">
        <v>25880</v>
      </c>
      <c r="E2359" t="n">
        <v>26285</v>
      </c>
    </row>
    <row r="2360">
      <c r="A2360" t="inlineStr">
        <is>
          <t>27/08/2026</t>
        </is>
      </c>
      <c r="B2360" t="inlineStr">
        <is>
          <t>TPBank</t>
        </is>
      </c>
      <c r="C2360" t="n">
        <v>25680</v>
      </c>
      <c r="D2360" t="n">
        <v>25890</v>
      </c>
      <c r="E2360" t="n">
        <v>26295</v>
      </c>
    </row>
    <row r="2361">
      <c r="A2361" t="inlineStr">
        <is>
          <t>26/08/2026</t>
        </is>
      </c>
      <c r="B2361" t="inlineStr">
        <is>
          <t>TPBank</t>
        </is>
      </c>
      <c r="C2361" t="n">
        <v>25710</v>
      </c>
      <c r="D2361" t="n">
        <v>25920</v>
      </c>
      <c r="E2361" t="n">
        <v>26325</v>
      </c>
    </row>
    <row r="2362">
      <c r="A2362" t="inlineStr">
        <is>
          <t>25/08/2026</t>
        </is>
      </c>
      <c r="B2362" t="inlineStr">
        <is>
          <t>TPBank</t>
        </is>
      </c>
      <c r="C2362" t="n">
        <v>25720</v>
      </c>
      <c r="D2362" t="n">
        <v>25930</v>
      </c>
      <c r="E2362" t="n">
        <v>26335</v>
      </c>
    </row>
    <row r="2363">
      <c r="A2363" t="inlineStr">
        <is>
          <t>24/08/2026</t>
        </is>
      </c>
      <c r="B2363" t="inlineStr">
        <is>
          <t>TPBank</t>
        </is>
      </c>
      <c r="C2363" t="n">
        <v>25770</v>
      </c>
      <c r="D2363" t="n">
        <v>25980</v>
      </c>
      <c r="E2363" t="n">
        <v>26385</v>
      </c>
    </row>
    <row r="2364">
      <c r="A2364" t="inlineStr">
        <is>
          <t>23/08/2026</t>
        </is>
      </c>
      <c r="B2364" t="inlineStr">
        <is>
          <t>TPBank</t>
        </is>
      </c>
      <c r="C2364" t="n">
        <v>25720</v>
      </c>
      <c r="D2364" t="n">
        <v>25930</v>
      </c>
      <c r="E2364" t="n">
        <v>26335</v>
      </c>
    </row>
    <row r="2365">
      <c r="A2365" t="inlineStr">
        <is>
          <t>22/08/2026</t>
        </is>
      </c>
      <c r="B2365" t="inlineStr">
        <is>
          <t>TPBank</t>
        </is>
      </c>
      <c r="C2365" t="n">
        <v>25720</v>
      </c>
      <c r="D2365" t="n">
        <v>25930</v>
      </c>
      <c r="E2365" t="n">
        <v>26335</v>
      </c>
    </row>
    <row r="2366">
      <c r="A2366" t="inlineStr">
        <is>
          <t>21/08/2026</t>
        </is>
      </c>
      <c r="B2366" t="inlineStr">
        <is>
          <t>TPBank</t>
        </is>
      </c>
      <c r="C2366" t="n">
        <v>25690</v>
      </c>
      <c r="D2366" t="n">
        <v>25900</v>
      </c>
      <c r="E2366" t="n">
        <v>26305</v>
      </c>
    </row>
    <row r="2367">
      <c r="A2367" t="inlineStr">
        <is>
          <t>20/08/2026</t>
        </is>
      </c>
      <c r="B2367" t="inlineStr">
        <is>
          <t>TPBank</t>
        </is>
      </c>
      <c r="C2367" t="n">
        <v>25720</v>
      </c>
      <c r="D2367" t="n">
        <v>25930</v>
      </c>
      <c r="E2367" t="n">
        <v>26335</v>
      </c>
    </row>
    <row r="2368">
      <c r="A2368" t="inlineStr">
        <is>
          <t>19/08/2026</t>
        </is>
      </c>
      <c r="B2368" t="inlineStr">
        <is>
          <t>TPBank</t>
        </is>
      </c>
      <c r="C2368" t="n">
        <v>25780</v>
      </c>
      <c r="D2368" t="n">
        <v>25990</v>
      </c>
      <c r="E2368" t="n">
        <v>26395</v>
      </c>
    </row>
    <row r="2369">
      <c r="A2369" t="inlineStr">
        <is>
          <t>18/08/2026</t>
        </is>
      </c>
      <c r="B2369" t="inlineStr">
        <is>
          <t>TPBank</t>
        </is>
      </c>
      <c r="C2369" t="n">
        <v>25790</v>
      </c>
      <c r="D2369" t="n">
        <v>26000</v>
      </c>
      <c r="E2369" t="n">
        <v>26405</v>
      </c>
    </row>
    <row r="2370">
      <c r="A2370" t="inlineStr">
        <is>
          <t>17/08/2026</t>
        </is>
      </c>
      <c r="B2370" t="inlineStr">
        <is>
          <t>TPBank</t>
        </is>
      </c>
      <c r="C2370" t="n">
        <v>25810</v>
      </c>
      <c r="D2370" t="n">
        <v>26020</v>
      </c>
      <c r="E2370" t="n">
        <v>26425</v>
      </c>
    </row>
    <row r="2371">
      <c r="A2371" t="inlineStr">
        <is>
          <t>16/08/2026</t>
        </is>
      </c>
      <c r="B2371" t="inlineStr">
        <is>
          <t>TPBank</t>
        </is>
      </c>
      <c r="C2371" t="n">
        <v>25740</v>
      </c>
      <c r="D2371" t="n">
        <v>25950</v>
      </c>
      <c r="E2371" t="n">
        <v>26355</v>
      </c>
    </row>
    <row r="2372">
      <c r="A2372" t="inlineStr">
        <is>
          <t>15/08/2026</t>
        </is>
      </c>
      <c r="B2372" t="inlineStr">
        <is>
          <t>TPBank</t>
        </is>
      </c>
      <c r="C2372" t="n">
        <v>25740</v>
      </c>
      <c r="D2372" t="n">
        <v>25950</v>
      </c>
      <c r="E2372" t="n">
        <v>26355</v>
      </c>
    </row>
    <row r="2373">
      <c r="A2373" t="inlineStr">
        <is>
          <t>14/08/2026</t>
        </is>
      </c>
      <c r="B2373" t="inlineStr">
        <is>
          <t>TPBank</t>
        </is>
      </c>
      <c r="C2373" t="n">
        <v>25740</v>
      </c>
      <c r="D2373" t="n">
        <v>25950</v>
      </c>
      <c r="E2373" t="n">
        <v>26355</v>
      </c>
    </row>
    <row r="2374">
      <c r="A2374" t="inlineStr">
        <is>
          <t>13/08/2026</t>
        </is>
      </c>
      <c r="B2374" t="inlineStr">
        <is>
          <t>TPBank</t>
        </is>
      </c>
      <c r="C2374" t="n">
        <v>25660</v>
      </c>
      <c r="D2374" t="n">
        <v>25870</v>
      </c>
      <c r="E2374" t="n">
        <v>26275</v>
      </c>
    </row>
    <row r="2375">
      <c r="A2375" t="inlineStr">
        <is>
          <t>12/08/2026</t>
        </is>
      </c>
      <c r="B2375" t="inlineStr">
        <is>
          <t>TPBank</t>
        </is>
      </c>
      <c r="C2375" t="n">
        <v>25680</v>
      </c>
      <c r="D2375" t="n">
        <v>25890</v>
      </c>
      <c r="E2375" t="n">
        <v>26295</v>
      </c>
    </row>
    <row r="2376">
      <c r="A2376" t="inlineStr">
        <is>
          <t>11/08/2026</t>
        </is>
      </c>
      <c r="B2376" t="inlineStr">
        <is>
          <t>TPBank</t>
        </is>
      </c>
      <c r="C2376" t="n">
        <v>25730</v>
      </c>
      <c r="D2376" t="n">
        <v>25940</v>
      </c>
      <c r="E2376" t="n">
        <v>26345</v>
      </c>
    </row>
    <row r="2377">
      <c r="A2377" t="inlineStr">
        <is>
          <t>10/08/2026</t>
        </is>
      </c>
      <c r="B2377" t="inlineStr">
        <is>
          <t>TPBank</t>
        </is>
      </c>
      <c r="C2377" t="n">
        <v>25760</v>
      </c>
      <c r="D2377" t="n">
        <v>25970</v>
      </c>
      <c r="E2377" t="n">
        <v>26375</v>
      </c>
    </row>
    <row r="2378">
      <c r="A2378" t="inlineStr">
        <is>
          <t>09/08/2026</t>
        </is>
      </c>
      <c r="B2378" t="inlineStr">
        <is>
          <t>TPBank</t>
        </is>
      </c>
      <c r="C2378" t="n">
        <v>25820</v>
      </c>
      <c r="D2378" t="n">
        <v>26030</v>
      </c>
      <c r="E2378" t="n">
        <v>26435</v>
      </c>
    </row>
    <row r="2379">
      <c r="A2379" t="inlineStr">
        <is>
          <t>08/08/2026</t>
        </is>
      </c>
      <c r="B2379" t="inlineStr">
        <is>
          <t>TPBank</t>
        </is>
      </c>
      <c r="C2379" t="n">
        <v>25820</v>
      </c>
      <c r="D2379" t="n">
        <v>26030</v>
      </c>
      <c r="E2379" t="n">
        <v>26435</v>
      </c>
    </row>
    <row r="2380">
      <c r="A2380" t="inlineStr">
        <is>
          <t>07/08/2026</t>
        </is>
      </c>
      <c r="B2380" t="inlineStr">
        <is>
          <t>TPBank</t>
        </is>
      </c>
      <c r="C2380" t="n">
        <v>25820</v>
      </c>
      <c r="D2380" t="n">
        <v>26030</v>
      </c>
      <c r="E2380" t="n">
        <v>26435</v>
      </c>
    </row>
    <row r="2381">
      <c r="A2381" t="inlineStr">
        <is>
          <t>06/08/2026</t>
        </is>
      </c>
      <c r="B2381" t="inlineStr">
        <is>
          <t>TPBank</t>
        </is>
      </c>
      <c r="C2381" t="n">
        <v>25830</v>
      </c>
      <c r="D2381" t="n">
        <v>26040</v>
      </c>
      <c r="E2381" t="n">
        <v>26445</v>
      </c>
    </row>
    <row r="2382">
      <c r="A2382" t="inlineStr">
        <is>
          <t>05/08/2026</t>
        </is>
      </c>
      <c r="B2382" t="inlineStr">
        <is>
          <t>TPBank</t>
        </is>
      </c>
      <c r="C2382" t="n">
        <v>25870</v>
      </c>
      <c r="D2382" t="n">
        <v>26080</v>
      </c>
      <c r="E2382" t="n">
        <v>26485</v>
      </c>
    </row>
    <row r="2383">
      <c r="A2383" t="inlineStr">
        <is>
          <t>04/08/2026</t>
        </is>
      </c>
      <c r="B2383" t="inlineStr">
        <is>
          <t>TPBank</t>
        </is>
      </c>
      <c r="C2383" t="n">
        <v>25870</v>
      </c>
      <c r="D2383" t="n">
        <v>26080</v>
      </c>
      <c r="E2383" t="n">
        <v>26485</v>
      </c>
    </row>
    <row r="2384">
      <c r="A2384" t="inlineStr">
        <is>
          <t>03/08/2026</t>
        </is>
      </c>
      <c r="B2384" t="inlineStr">
        <is>
          <t>TPBank</t>
        </is>
      </c>
      <c r="C2384" t="n">
        <v>25890</v>
      </c>
      <c r="D2384" t="n">
        <v>26100</v>
      </c>
      <c r="E2384" t="n">
        <v>26505</v>
      </c>
    </row>
    <row r="2385">
      <c r="A2385" t="inlineStr">
        <is>
          <t>02/08/2026</t>
        </is>
      </c>
      <c r="B2385" t="inlineStr">
        <is>
          <t>TPBank</t>
        </is>
      </c>
      <c r="C2385" t="n">
        <v>25900</v>
      </c>
      <c r="D2385" t="n">
        <v>26110</v>
      </c>
      <c r="E2385" t="n">
        <v>26515</v>
      </c>
    </row>
    <row r="2386">
      <c r="A2386" t="inlineStr">
        <is>
          <t>01/08/2026</t>
        </is>
      </c>
      <c r="B2386" t="inlineStr">
        <is>
          <t>TPBank</t>
        </is>
      </c>
      <c r="C2386" t="n">
        <v>25900</v>
      </c>
      <c r="D2386" t="n">
        <v>26110</v>
      </c>
      <c r="E2386" t="n">
        <v>26515</v>
      </c>
    </row>
    <row r="2387">
      <c r="A2387" t="inlineStr">
        <is>
          <t>31/07/2026</t>
        </is>
      </c>
      <c r="B2387" t="inlineStr">
        <is>
          <t>TPBank</t>
        </is>
      </c>
      <c r="C2387" t="n">
        <v>25900</v>
      </c>
      <c r="D2387" t="n">
        <v>26110</v>
      </c>
      <c r="E2387" t="n">
        <v>26515</v>
      </c>
    </row>
    <row r="2388">
      <c r="A2388" t="inlineStr">
        <is>
          <t>30/07/2026</t>
        </is>
      </c>
      <c r="B2388" t="inlineStr">
        <is>
          <t>TPBank</t>
        </is>
      </c>
      <c r="C2388" t="n">
        <v>25900</v>
      </c>
      <c r="D2388" t="n">
        <v>26110</v>
      </c>
      <c r="E2388" t="n">
        <v>26515</v>
      </c>
    </row>
    <row r="2389">
      <c r="A2389" t="inlineStr">
        <is>
          <t>29/07/2026</t>
        </is>
      </c>
      <c r="B2389" t="inlineStr">
        <is>
          <t>TPBank</t>
        </is>
      </c>
      <c r="C2389" t="n">
        <v>25925</v>
      </c>
      <c r="D2389" t="n">
        <v>26135</v>
      </c>
      <c r="E2389" t="n">
        <v>26540</v>
      </c>
    </row>
    <row r="2390">
      <c r="A2390" t="inlineStr">
        <is>
          <t>28/07/2026</t>
        </is>
      </c>
      <c r="B2390" t="inlineStr">
        <is>
          <t>TPBank</t>
        </is>
      </c>
      <c r="C2390" t="n">
        <v>25935</v>
      </c>
      <c r="D2390" t="n">
        <v>26145</v>
      </c>
      <c r="E2390" t="n">
        <v>26550</v>
      </c>
    </row>
    <row r="2391">
      <c r="A2391" t="inlineStr">
        <is>
          <t>27/07/2026</t>
        </is>
      </c>
      <c r="B2391" t="inlineStr">
        <is>
          <t>TPBank</t>
        </is>
      </c>
      <c r="C2391" t="n">
        <v>25930</v>
      </c>
      <c r="D2391" t="n">
        <v>26140</v>
      </c>
      <c r="E2391" t="n">
        <v>26545</v>
      </c>
    </row>
    <row r="2392">
      <c r="A2392" t="inlineStr">
        <is>
          <t>26/07/2026</t>
        </is>
      </c>
      <c r="B2392" t="inlineStr">
        <is>
          <t>TPBank</t>
        </is>
      </c>
      <c r="C2392" t="n">
        <v>25920</v>
      </c>
      <c r="D2392" t="n">
        <v>26130</v>
      </c>
      <c r="E2392" t="n">
        <v>26535</v>
      </c>
    </row>
    <row r="2393">
      <c r="A2393" t="inlineStr">
        <is>
          <t>25/07/2026</t>
        </is>
      </c>
      <c r="B2393" t="inlineStr">
        <is>
          <t>TPBank</t>
        </is>
      </c>
      <c r="C2393" t="n">
        <v>25920</v>
      </c>
      <c r="D2393" t="n">
        <v>26130</v>
      </c>
      <c r="E2393" t="n">
        <v>26535</v>
      </c>
    </row>
    <row r="2394">
      <c r="A2394" t="inlineStr">
        <is>
          <t>24/07/2026</t>
        </is>
      </c>
      <c r="B2394" t="inlineStr">
        <is>
          <t>TPBank</t>
        </is>
      </c>
      <c r="C2394" t="n">
        <v>25920</v>
      </c>
      <c r="D2394" t="n">
        <v>26130</v>
      </c>
      <c r="E2394" t="n">
        <v>26535</v>
      </c>
    </row>
    <row r="2395">
      <c r="A2395" t="inlineStr">
        <is>
          <t>23/07/2026</t>
        </is>
      </c>
      <c r="B2395" t="inlineStr">
        <is>
          <t>TPBank</t>
        </is>
      </c>
      <c r="C2395" t="n">
        <v>25910</v>
      </c>
      <c r="D2395" t="n">
        <v>26120</v>
      </c>
      <c r="E2395" t="n">
        <v>26525</v>
      </c>
    </row>
    <row r="2396">
      <c r="A2396" t="inlineStr">
        <is>
          <t>22/07/2026</t>
        </is>
      </c>
      <c r="B2396" t="inlineStr">
        <is>
          <t>TPBank</t>
        </is>
      </c>
      <c r="C2396" t="n">
        <v>25910</v>
      </c>
      <c r="D2396" t="n">
        <v>26120</v>
      </c>
      <c r="E2396" t="n">
        <v>26525</v>
      </c>
    </row>
    <row r="2397">
      <c r="A2397" t="inlineStr">
        <is>
          <t>21/07/2026</t>
        </is>
      </c>
      <c r="B2397" t="inlineStr">
        <is>
          <t>TPBank</t>
        </is>
      </c>
      <c r="C2397" t="n">
        <v>25920</v>
      </c>
      <c r="D2397" t="n">
        <v>26130</v>
      </c>
      <c r="E2397" t="n">
        <v>26535</v>
      </c>
    </row>
    <row r="2398">
      <c r="A2398" t="inlineStr">
        <is>
          <t>20/07/2026</t>
        </is>
      </c>
      <c r="B2398" t="inlineStr">
        <is>
          <t>TPBank</t>
        </is>
      </c>
      <c r="C2398" t="n">
        <v>25900</v>
      </c>
      <c r="D2398" t="n">
        <v>26110</v>
      </c>
      <c r="E2398" t="n">
        <v>26515</v>
      </c>
    </row>
    <row r="2399">
      <c r="A2399" t="inlineStr">
        <is>
          <t>19/07/2026</t>
        </is>
      </c>
      <c r="B2399" t="inlineStr">
        <is>
          <t>TPBank</t>
        </is>
      </c>
      <c r="C2399" t="n">
        <v>25900</v>
      </c>
      <c r="D2399" t="n">
        <v>26110</v>
      </c>
      <c r="E2399" t="n">
        <v>26515</v>
      </c>
    </row>
    <row r="2400">
      <c r="A2400" t="inlineStr">
        <is>
          <t>18/07/2026</t>
        </is>
      </c>
      <c r="B2400" t="inlineStr">
        <is>
          <t>TPBank</t>
        </is>
      </c>
      <c r="C2400" t="n">
        <v>25900</v>
      </c>
      <c r="D2400" t="n">
        <v>26110</v>
      </c>
      <c r="E2400" t="n">
        <v>26515</v>
      </c>
    </row>
    <row r="2401">
      <c r="A2401" t="inlineStr">
        <is>
          <t>17/07/2026</t>
        </is>
      </c>
      <c r="B2401" t="inlineStr">
        <is>
          <t>TPBank</t>
        </is>
      </c>
      <c r="C2401" t="n">
        <v>25900</v>
      </c>
      <c r="D2401" t="n">
        <v>26110</v>
      </c>
      <c r="E2401" t="n">
        <v>26515</v>
      </c>
    </row>
    <row r="2402">
      <c r="A2402" t="inlineStr">
        <is>
          <t>16/07/2026</t>
        </is>
      </c>
      <c r="B2402" t="inlineStr">
        <is>
          <t>TPBank</t>
        </is>
      </c>
      <c r="C2402" t="n">
        <v>25860</v>
      </c>
      <c r="D2402" t="n">
        <v>26070</v>
      </c>
      <c r="E2402" t="n">
        <v>26475</v>
      </c>
    </row>
    <row r="2403">
      <c r="A2403" t="inlineStr">
        <is>
          <t>15/07/2026</t>
        </is>
      </c>
      <c r="B2403" t="inlineStr">
        <is>
          <t>TPBank</t>
        </is>
      </c>
      <c r="C2403" t="n">
        <v>25860</v>
      </c>
      <c r="D2403" t="n">
        <v>26070</v>
      </c>
      <c r="E2403" t="n">
        <v>26475</v>
      </c>
    </row>
    <row r="2404">
      <c r="A2404" t="inlineStr">
        <is>
          <t>14/07/2026</t>
        </is>
      </c>
      <c r="B2404" t="inlineStr">
        <is>
          <t>TPBank</t>
        </is>
      </c>
      <c r="C2404" t="n">
        <v>25860</v>
      </c>
      <c r="D2404" t="n">
        <v>26070</v>
      </c>
      <c r="E2404" t="n">
        <v>26475</v>
      </c>
    </row>
    <row r="2405">
      <c r="A2405" t="inlineStr">
        <is>
          <t>13/07/2026</t>
        </is>
      </c>
      <c r="B2405" t="inlineStr">
        <is>
          <t>TPBank</t>
        </is>
      </c>
      <c r="C2405" t="n">
        <v>25870</v>
      </c>
      <c r="D2405" t="n">
        <v>26080</v>
      </c>
      <c r="E2405" t="n">
        <v>26485</v>
      </c>
    </row>
    <row r="2406">
      <c r="A2406" t="inlineStr">
        <is>
          <t>12/07/2026</t>
        </is>
      </c>
      <c r="B2406" t="inlineStr">
        <is>
          <t>TPBank</t>
        </is>
      </c>
      <c r="C2406" t="n">
        <v>25880</v>
      </c>
      <c r="D2406" t="n">
        <v>26090</v>
      </c>
      <c r="E2406" t="n">
        <v>26495</v>
      </c>
    </row>
    <row r="2407">
      <c r="A2407" t="inlineStr">
        <is>
          <t>11/07/2026</t>
        </is>
      </c>
      <c r="B2407" t="inlineStr">
        <is>
          <t>TPBank</t>
        </is>
      </c>
      <c r="C2407" t="n">
        <v>25880</v>
      </c>
      <c r="D2407" t="n">
        <v>26090</v>
      </c>
      <c r="E2407" t="n">
        <v>26495</v>
      </c>
    </row>
    <row r="2408">
      <c r="A2408" t="inlineStr">
        <is>
          <t>10/07/2026</t>
        </is>
      </c>
      <c r="B2408" t="inlineStr">
        <is>
          <t>TPBank</t>
        </is>
      </c>
      <c r="C2408" t="n">
        <v>25880</v>
      </c>
      <c r="D2408" t="n">
        <v>26090</v>
      </c>
      <c r="E2408" t="n">
        <v>26495</v>
      </c>
    </row>
    <row r="2409">
      <c r="A2409" t="inlineStr">
        <is>
          <t>09/07/2026</t>
        </is>
      </c>
      <c r="B2409" t="inlineStr">
        <is>
          <t>TPBank</t>
        </is>
      </c>
      <c r="C2409" t="n">
        <v>25901</v>
      </c>
      <c r="D2409" t="n">
        <v>26111</v>
      </c>
      <c r="E2409" t="n">
        <v>26496</v>
      </c>
    </row>
    <row r="2410">
      <c r="A2410" t="inlineStr">
        <is>
          <t>08/07/2026</t>
        </is>
      </c>
      <c r="B2410" t="inlineStr">
        <is>
          <t>TPBank</t>
        </is>
      </c>
      <c r="C2410" t="n">
        <v>25896</v>
      </c>
      <c r="D2410" t="n">
        <v>26106</v>
      </c>
      <c r="E2410" t="n">
        <v>26491</v>
      </c>
    </row>
    <row r="2411">
      <c r="A2411" t="inlineStr">
        <is>
          <t>07/07/2026</t>
        </is>
      </c>
      <c r="B2411" t="inlineStr">
        <is>
          <t>TPBank</t>
        </is>
      </c>
      <c r="C2411" t="n">
        <v>25892</v>
      </c>
      <c r="D2411" t="n">
        <v>26102</v>
      </c>
      <c r="E2411" t="n">
        <v>26487</v>
      </c>
    </row>
    <row r="2412">
      <c r="A2412" t="inlineStr">
        <is>
          <t>06/07/2026</t>
        </is>
      </c>
      <c r="B2412" t="inlineStr">
        <is>
          <t>TPBank</t>
        </is>
      </c>
      <c r="C2412" t="n">
        <v>25892</v>
      </c>
      <c r="D2412" t="n">
        <v>26102</v>
      </c>
      <c r="E2412" t="n">
        <v>26487</v>
      </c>
    </row>
    <row r="2413">
      <c r="A2413" t="inlineStr">
        <is>
          <t>05/07/2026</t>
        </is>
      </c>
      <c r="B2413" t="inlineStr">
        <is>
          <t>TPBank</t>
        </is>
      </c>
      <c r="C2413" t="n">
        <v>25893</v>
      </c>
      <c r="D2413" t="n">
        <v>26103</v>
      </c>
      <c r="E2413" t="n">
        <v>26488</v>
      </c>
    </row>
    <row r="2414">
      <c r="A2414" t="inlineStr">
        <is>
          <t>04/07/2026</t>
        </is>
      </c>
      <c r="B2414" t="inlineStr">
        <is>
          <t>TPBank</t>
        </is>
      </c>
      <c r="C2414" t="n">
        <v>25893</v>
      </c>
      <c r="D2414" t="n">
        <v>26103</v>
      </c>
      <c r="E2414" t="n">
        <v>26488</v>
      </c>
    </row>
    <row r="2415">
      <c r="A2415" t="inlineStr">
        <is>
          <t>03/07/2026</t>
        </is>
      </c>
      <c r="B2415" t="inlineStr">
        <is>
          <t>TPBank</t>
        </is>
      </c>
      <c r="C2415" t="n">
        <v>25893</v>
      </c>
      <c r="D2415" t="n">
        <v>26103</v>
      </c>
      <c r="E2415" t="n">
        <v>26488</v>
      </c>
    </row>
    <row r="2416">
      <c r="A2416" t="inlineStr">
        <is>
          <t>02/07/2026</t>
        </is>
      </c>
      <c r="B2416" t="inlineStr">
        <is>
          <t>TPBank</t>
        </is>
      </c>
      <c r="C2416" t="n">
        <v>25895</v>
      </c>
      <c r="D2416" t="n">
        <v>26105</v>
      </c>
      <c r="E2416" t="n">
        <v>26490</v>
      </c>
    </row>
    <row r="2417">
      <c r="A2417" t="inlineStr">
        <is>
          <t>01/07/2026</t>
        </is>
      </c>
      <c r="B2417" t="inlineStr">
        <is>
          <t>TPBank</t>
        </is>
      </c>
      <c r="C2417" t="n">
        <v>25896</v>
      </c>
      <c r="D2417" t="n">
        <v>26106</v>
      </c>
      <c r="E2417" t="n">
        <v>26491</v>
      </c>
    </row>
    <row r="2418">
      <c r="A2418" t="inlineStr">
        <is>
          <t>30/06/2026</t>
        </is>
      </c>
      <c r="B2418" t="inlineStr">
        <is>
          <t>TPBank</t>
        </is>
      </c>
      <c r="C2418" t="n">
        <v>25896</v>
      </c>
      <c r="D2418" t="n">
        <v>26106</v>
      </c>
      <c r="E2418" t="n">
        <v>26491</v>
      </c>
    </row>
    <row r="2419">
      <c r="A2419" t="inlineStr">
        <is>
          <t>29/06/2026</t>
        </is>
      </c>
      <c r="B2419" t="inlineStr">
        <is>
          <t>TPBank</t>
        </is>
      </c>
      <c r="C2419" t="n">
        <v>25911</v>
      </c>
      <c r="D2419" t="n">
        <v>26121</v>
      </c>
      <c r="E2419" t="n">
        <v>26486</v>
      </c>
    </row>
    <row r="2420">
      <c r="A2420" t="inlineStr">
        <is>
          <t>28/06/2026</t>
        </is>
      </c>
      <c r="B2420" t="inlineStr">
        <is>
          <t>TPBank</t>
        </is>
      </c>
      <c r="C2420" t="n">
        <v>25904</v>
      </c>
      <c r="D2420" t="n">
        <v>26114</v>
      </c>
      <c r="E2420" t="n">
        <v>26479</v>
      </c>
    </row>
    <row r="2421">
      <c r="A2421" t="inlineStr">
        <is>
          <t>27/06/2026</t>
        </is>
      </c>
      <c r="B2421" t="inlineStr">
        <is>
          <t>TPBank</t>
        </is>
      </c>
      <c r="C2421" t="n">
        <v>25904</v>
      </c>
      <c r="D2421" t="n">
        <v>26114</v>
      </c>
      <c r="E2421" t="n">
        <v>26479</v>
      </c>
    </row>
    <row r="2422">
      <c r="A2422" t="inlineStr">
        <is>
          <t>26/06/2026</t>
        </is>
      </c>
      <c r="B2422" t="inlineStr">
        <is>
          <t>TPBank</t>
        </is>
      </c>
      <c r="C2422" t="n">
        <v>25904</v>
      </c>
      <c r="D2422" t="n">
        <v>26114</v>
      </c>
      <c r="E2422" t="n">
        <v>26479</v>
      </c>
    </row>
    <row r="2423">
      <c r="A2423" t="inlineStr">
        <is>
          <t>25/06/2026</t>
        </is>
      </c>
      <c r="B2423" t="inlineStr">
        <is>
          <t>TPBank</t>
        </is>
      </c>
      <c r="C2423" t="n">
        <v>25926</v>
      </c>
      <c r="D2423" t="n">
        <v>26136</v>
      </c>
      <c r="E2423" t="n">
        <v>26481</v>
      </c>
    </row>
    <row r="2424">
      <c r="A2424" t="inlineStr">
        <is>
          <t>24/06/2026</t>
        </is>
      </c>
      <c r="B2424" t="inlineStr">
        <is>
          <t>TPBank</t>
        </is>
      </c>
      <c r="C2424" t="n">
        <v>25921</v>
      </c>
      <c r="D2424" t="n">
        <v>26131</v>
      </c>
      <c r="E2424" t="n">
        <v>26476</v>
      </c>
    </row>
    <row r="2425">
      <c r="A2425" t="inlineStr">
        <is>
          <t>23/06/2026</t>
        </is>
      </c>
      <c r="B2425" t="inlineStr">
        <is>
          <t>TPBank</t>
        </is>
      </c>
      <c r="C2425" t="n">
        <v>25918</v>
      </c>
      <c r="D2425" t="n">
        <v>26128</v>
      </c>
      <c r="E2425" t="n">
        <v>26473</v>
      </c>
    </row>
    <row r="2426">
      <c r="A2426" t="inlineStr">
        <is>
          <t>22/06/2026</t>
        </is>
      </c>
      <c r="B2426" t="inlineStr">
        <is>
          <t>TPBank</t>
        </is>
      </c>
      <c r="C2426" t="n">
        <v>25912</v>
      </c>
      <c r="D2426" t="n">
        <v>26122</v>
      </c>
      <c r="E2426" t="n">
        <v>26467</v>
      </c>
    </row>
    <row r="2427">
      <c r="A2427" t="inlineStr">
        <is>
          <t>21/06/2026</t>
        </is>
      </c>
      <c r="B2427" t="inlineStr">
        <is>
          <t>TPBank</t>
        </is>
      </c>
      <c r="C2427" t="n">
        <v>25910</v>
      </c>
      <c r="D2427" t="n">
        <v>26120</v>
      </c>
      <c r="E2427" t="n">
        <v>26465</v>
      </c>
    </row>
    <row r="2428">
      <c r="A2428" t="inlineStr">
        <is>
          <t>20/06/2026</t>
        </is>
      </c>
      <c r="B2428" t="inlineStr">
        <is>
          <t>TPBank</t>
        </is>
      </c>
      <c r="C2428" t="n">
        <v>25910</v>
      </c>
      <c r="D2428" t="n">
        <v>26120</v>
      </c>
      <c r="E2428" t="n">
        <v>26465</v>
      </c>
    </row>
    <row r="2429">
      <c r="A2429" t="inlineStr">
        <is>
          <t>19/06/2026</t>
        </is>
      </c>
      <c r="B2429" t="inlineStr">
        <is>
          <t>TPBank</t>
        </is>
      </c>
      <c r="C2429" t="n">
        <v>25910</v>
      </c>
      <c r="D2429" t="n">
        <v>26120</v>
      </c>
      <c r="E2429" t="n">
        <v>26465</v>
      </c>
    </row>
    <row r="2430">
      <c r="A2430" t="inlineStr">
        <is>
          <t>18/06/2026</t>
        </is>
      </c>
      <c r="B2430" t="inlineStr">
        <is>
          <t>TPBank</t>
        </is>
      </c>
      <c r="C2430" t="n">
        <v>25901</v>
      </c>
      <c r="D2430" t="n">
        <v>26111</v>
      </c>
      <c r="E2430" t="n">
        <v>26456</v>
      </c>
    </row>
    <row r="2431">
      <c r="A2431" t="inlineStr">
        <is>
          <t>17/06/2026</t>
        </is>
      </c>
      <c r="B2431" t="inlineStr">
        <is>
          <t>TPBank</t>
        </is>
      </c>
      <c r="C2431" t="n">
        <v>25903</v>
      </c>
      <c r="D2431" t="n">
        <v>26113</v>
      </c>
      <c r="E2431" t="n">
        <v>26458</v>
      </c>
    </row>
    <row r="2432">
      <c r="A2432" t="inlineStr">
        <is>
          <t>16/06/2026</t>
        </is>
      </c>
      <c r="B2432" t="inlineStr">
        <is>
          <t>TPBank</t>
        </is>
      </c>
      <c r="C2432" t="n">
        <v>25893</v>
      </c>
      <c r="D2432" t="n">
        <v>26103</v>
      </c>
      <c r="E2432" t="n">
        <v>26448</v>
      </c>
    </row>
    <row r="2433">
      <c r="A2433" t="inlineStr">
        <is>
          <t>15/06/2026</t>
        </is>
      </c>
      <c r="B2433" t="inlineStr">
        <is>
          <t>TPBank</t>
        </is>
      </c>
      <c r="C2433" t="n">
        <v>25893</v>
      </c>
      <c r="D2433" t="n">
        <v>26103</v>
      </c>
      <c r="E2433" t="n">
        <v>26448</v>
      </c>
    </row>
    <row r="2434">
      <c r="A2434" t="inlineStr">
        <is>
          <t>14/06/2026</t>
        </is>
      </c>
      <c r="B2434" t="inlineStr">
        <is>
          <t>TPBank</t>
        </is>
      </c>
      <c r="C2434" t="n">
        <v>25912</v>
      </c>
      <c r="D2434" t="n">
        <v>26122</v>
      </c>
      <c r="E2434" t="n">
        <v>26437</v>
      </c>
    </row>
    <row r="2435">
      <c r="A2435" t="inlineStr">
        <is>
          <t>13/06/2026</t>
        </is>
      </c>
      <c r="B2435" t="inlineStr">
        <is>
          <t>TPBank</t>
        </is>
      </c>
      <c r="C2435" t="n">
        <v>25912</v>
      </c>
      <c r="D2435" t="n">
        <v>26122</v>
      </c>
      <c r="E2435" t="n">
        <v>26437</v>
      </c>
    </row>
    <row r="2436">
      <c r="A2436" t="inlineStr">
        <is>
          <t>12/06/2026</t>
        </is>
      </c>
      <c r="B2436" t="inlineStr">
        <is>
          <t>TPBank</t>
        </is>
      </c>
      <c r="C2436" t="n">
        <v>25912</v>
      </c>
      <c r="D2436" t="n">
        <v>26122</v>
      </c>
      <c r="E2436" t="n">
        <v>26437</v>
      </c>
    </row>
    <row r="2437">
      <c r="A2437" t="inlineStr">
        <is>
          <t>11/06/2026</t>
        </is>
      </c>
      <c r="B2437" t="inlineStr">
        <is>
          <t>TPBank</t>
        </is>
      </c>
      <c r="C2437" t="n">
        <v>25920</v>
      </c>
      <c r="D2437" t="n">
        <v>26130</v>
      </c>
      <c r="E2437" t="n">
        <v>26435</v>
      </c>
    </row>
    <row r="2438">
      <c r="A2438" t="inlineStr">
        <is>
          <t>10/06/2026</t>
        </is>
      </c>
      <c r="B2438" t="inlineStr">
        <is>
          <t>TPBank</t>
        </is>
      </c>
      <c r="C2438" t="n">
        <v>25920</v>
      </c>
      <c r="D2438" t="n">
        <v>26130</v>
      </c>
      <c r="E2438" t="n">
        <v>26435</v>
      </c>
    </row>
    <row r="2439">
      <c r="A2439" t="inlineStr">
        <is>
          <t>09/06/2026</t>
        </is>
      </c>
      <c r="B2439" t="inlineStr">
        <is>
          <t>TPBank</t>
        </is>
      </c>
      <c r="C2439" t="n">
        <v>25918</v>
      </c>
      <c r="D2439" t="n">
        <v>26128</v>
      </c>
      <c r="E2439" t="n">
        <v>26433</v>
      </c>
    </row>
    <row r="2440">
      <c r="A2440" t="inlineStr">
        <is>
          <t>08/06/2026</t>
        </is>
      </c>
      <c r="B2440" t="inlineStr">
        <is>
          <t>TPBank</t>
        </is>
      </c>
      <c r="C2440" t="n">
        <v>25917</v>
      </c>
      <c r="D2440" t="n">
        <v>26127</v>
      </c>
      <c r="E2440" t="n">
        <v>26432</v>
      </c>
    </row>
    <row r="2441">
      <c r="A2441" t="inlineStr">
        <is>
          <t>07/06/2026</t>
        </is>
      </c>
      <c r="B2441" t="inlineStr">
        <is>
          <t>TPBank</t>
        </is>
      </c>
      <c r="C2441" t="n">
        <v>25892</v>
      </c>
      <c r="D2441" t="n">
        <v>26102</v>
      </c>
      <c r="E2441" t="n">
        <v>26487</v>
      </c>
    </row>
    <row r="2442">
      <c r="A2442" t="inlineStr">
        <is>
          <t>06/06/2026</t>
        </is>
      </c>
      <c r="B2442" t="inlineStr">
        <is>
          <t>TPBank</t>
        </is>
      </c>
      <c r="C2442" t="n">
        <v>25914</v>
      </c>
      <c r="D2442" t="n">
        <v>26124</v>
      </c>
      <c r="E2442" t="n">
        <v>26429</v>
      </c>
    </row>
    <row r="2443">
      <c r="A2443" t="inlineStr">
        <is>
          <t>05/06/2026</t>
        </is>
      </c>
      <c r="B2443" t="inlineStr">
        <is>
          <t>TPBank</t>
        </is>
      </c>
      <c r="C2443" t="n">
        <v>25914</v>
      </c>
      <c r="D2443" t="n">
        <v>26124</v>
      </c>
      <c r="E2443" t="n">
        <v>26429</v>
      </c>
    </row>
    <row r="2444">
      <c r="A2444" t="inlineStr">
        <is>
          <t>04/06/2026</t>
        </is>
      </c>
      <c r="B2444" t="inlineStr">
        <is>
          <t>TPBank</t>
        </is>
      </c>
      <c r="C2444" t="n">
        <v>25912</v>
      </c>
      <c r="D2444" t="n">
        <v>26122</v>
      </c>
      <c r="E2444" t="n">
        <v>26427</v>
      </c>
    </row>
    <row r="2445">
      <c r="A2445" t="inlineStr">
        <is>
          <t>03/06/2026</t>
        </is>
      </c>
      <c r="B2445" t="inlineStr">
        <is>
          <t>TPBank</t>
        </is>
      </c>
      <c r="C2445" t="n">
        <v>25912</v>
      </c>
      <c r="D2445" t="n">
        <v>26122</v>
      </c>
      <c r="E2445" t="n">
        <v>26427</v>
      </c>
    </row>
    <row r="2446">
      <c r="A2446" t="inlineStr">
        <is>
          <t>02/06/2026</t>
        </is>
      </c>
      <c r="B2446" t="inlineStr">
        <is>
          <t>TPBank</t>
        </is>
      </c>
      <c r="C2446" t="n">
        <v>25908</v>
      </c>
      <c r="D2446" t="n">
        <v>26118</v>
      </c>
      <c r="E2446" t="n">
        <v>26423</v>
      </c>
    </row>
    <row r="2447">
      <c r="A2447" t="inlineStr">
        <is>
          <t>01/06/2026</t>
        </is>
      </c>
      <c r="B2447" t="inlineStr">
        <is>
          <t>TPBank</t>
        </is>
      </c>
      <c r="C2447" t="n">
        <v>25904</v>
      </c>
      <c r="D2447" t="n">
        <v>26114</v>
      </c>
      <c r="E2447" t="n">
        <v>26419</v>
      </c>
    </row>
    <row r="2448">
      <c r="A2448" t="inlineStr">
        <is>
          <t>31/05/2026</t>
        </is>
      </c>
      <c r="B2448" t="inlineStr">
        <is>
          <t>TPBank</t>
        </is>
      </c>
      <c r="C2448" t="n">
        <v>25905</v>
      </c>
      <c r="D2448" t="n">
        <v>26115</v>
      </c>
      <c r="E2448" t="n">
        <v>26420</v>
      </c>
    </row>
    <row r="2449">
      <c r="A2449" t="inlineStr">
        <is>
          <t>30/05/2026</t>
        </is>
      </c>
      <c r="B2449" t="inlineStr">
        <is>
          <t>TPBank</t>
        </is>
      </c>
      <c r="C2449" t="n">
        <v>25905</v>
      </c>
      <c r="D2449" t="n">
        <v>26115</v>
      </c>
      <c r="E2449" t="n">
        <v>26420</v>
      </c>
    </row>
    <row r="2450">
      <c r="A2450" t="inlineStr">
        <is>
          <t>29/05/2026</t>
        </is>
      </c>
      <c r="B2450" t="inlineStr">
        <is>
          <t>TPBank</t>
        </is>
      </c>
      <c r="C2450" t="n">
        <v>25905</v>
      </c>
      <c r="D2450" t="n">
        <v>26115</v>
      </c>
      <c r="E2450" t="n">
        <v>26420</v>
      </c>
    </row>
    <row r="2451">
      <c r="A2451" t="inlineStr">
        <is>
          <t>28/05/2026</t>
        </is>
      </c>
      <c r="B2451" t="inlineStr">
        <is>
          <t>TPBank</t>
        </is>
      </c>
      <c r="C2451" t="n">
        <v>25933</v>
      </c>
      <c r="D2451" t="n">
        <v>26143</v>
      </c>
      <c r="E2451" t="n">
        <v>26418</v>
      </c>
    </row>
    <row r="2452">
      <c r="A2452" t="inlineStr">
        <is>
          <t>27/05/2026</t>
        </is>
      </c>
      <c r="B2452" t="inlineStr">
        <is>
          <t>TPBank</t>
        </is>
      </c>
      <c r="C2452" t="n">
        <v>25933</v>
      </c>
      <c r="D2452" t="n">
        <v>26143</v>
      </c>
      <c r="E2452" t="n">
        <v>26418</v>
      </c>
    </row>
    <row r="2453">
      <c r="A2453" t="inlineStr">
        <is>
          <t>26/05/2026</t>
        </is>
      </c>
      <c r="B2453" t="inlineStr">
        <is>
          <t>TPBank</t>
        </is>
      </c>
      <c r="C2453" t="n">
        <v>25952</v>
      </c>
      <c r="D2453" t="n">
        <v>26162</v>
      </c>
      <c r="E2453" t="n">
        <v>26417</v>
      </c>
    </row>
    <row r="2454">
      <c r="A2454" t="inlineStr">
        <is>
          <t>25/05/2026</t>
        </is>
      </c>
      <c r="B2454" t="inlineStr">
        <is>
          <t>TPBank</t>
        </is>
      </c>
      <c r="C2454" t="n">
        <v>25952</v>
      </c>
      <c r="D2454" t="n">
        <v>26162</v>
      </c>
      <c r="E2454" t="n">
        <v>26417</v>
      </c>
    </row>
    <row r="2455">
      <c r="A2455" t="inlineStr">
        <is>
          <t>24/05/2026</t>
        </is>
      </c>
      <c r="B2455" t="inlineStr">
        <is>
          <t>TPBank</t>
        </is>
      </c>
      <c r="C2455" t="n">
        <v>25950</v>
      </c>
      <c r="D2455" t="n">
        <v>26160</v>
      </c>
      <c r="E2455" t="n">
        <v>26415</v>
      </c>
    </row>
    <row r="2456">
      <c r="A2456" t="inlineStr">
        <is>
          <t>23/05/2026</t>
        </is>
      </c>
      <c r="B2456" t="inlineStr">
        <is>
          <t>TPBank</t>
        </is>
      </c>
      <c r="C2456" t="n">
        <v>25950</v>
      </c>
      <c r="D2456" t="n">
        <v>26160</v>
      </c>
      <c r="E2456" t="n">
        <v>26415</v>
      </c>
    </row>
    <row r="2457">
      <c r="A2457" t="inlineStr">
        <is>
          <t>22/05/2026</t>
        </is>
      </c>
      <c r="B2457" t="inlineStr">
        <is>
          <t>TPBank</t>
        </is>
      </c>
      <c r="C2457" t="n">
        <v>25950</v>
      </c>
      <c r="D2457" t="n">
        <v>26160</v>
      </c>
      <c r="E2457" t="n">
        <v>26415</v>
      </c>
    </row>
    <row r="2458">
      <c r="A2458" t="inlineStr">
        <is>
          <t>21/05/2026</t>
        </is>
      </c>
      <c r="B2458" t="inlineStr">
        <is>
          <t>TPBank</t>
        </is>
      </c>
      <c r="C2458" t="n">
        <v>25951</v>
      </c>
      <c r="D2458" t="n">
        <v>26161</v>
      </c>
      <c r="E2458" t="n">
        <v>26416</v>
      </c>
    </row>
    <row r="2459">
      <c r="A2459" t="inlineStr">
        <is>
          <t>20/05/2026</t>
        </is>
      </c>
      <c r="B2459" t="inlineStr">
        <is>
          <t>TPBank</t>
        </is>
      </c>
      <c r="C2459" t="n">
        <v>25951</v>
      </c>
      <c r="D2459" t="n">
        <v>26161</v>
      </c>
      <c r="E2459" t="n">
        <v>26416</v>
      </c>
    </row>
    <row r="2460">
      <c r="A2460" t="inlineStr">
        <is>
          <t>19/05/2026</t>
        </is>
      </c>
      <c r="B2460" t="inlineStr">
        <is>
          <t>TPBank</t>
        </is>
      </c>
      <c r="C2460" t="n">
        <v>25939</v>
      </c>
      <c r="D2460" t="n">
        <v>26149</v>
      </c>
      <c r="E2460" t="n">
        <v>26414</v>
      </c>
    </row>
    <row r="2461">
      <c r="A2461" t="inlineStr">
        <is>
          <t>18/05/2026</t>
        </is>
      </c>
      <c r="B2461" t="inlineStr">
        <is>
          <t>TPBank</t>
        </is>
      </c>
      <c r="C2461" t="n">
        <v>25927</v>
      </c>
      <c r="D2461" t="n">
        <v>26137</v>
      </c>
      <c r="E2461" t="n">
        <v>26412</v>
      </c>
    </row>
    <row r="2462">
      <c r="A2462" t="inlineStr">
        <is>
          <t>17/05/2026</t>
        </is>
      </c>
      <c r="B2462" t="inlineStr">
        <is>
          <t>TPBank</t>
        </is>
      </c>
      <c r="C2462" t="n">
        <v>25927</v>
      </c>
      <c r="D2462" t="n">
        <v>26137</v>
      </c>
      <c r="E2462" t="n">
        <v>26412</v>
      </c>
    </row>
    <row r="2463">
      <c r="A2463" t="inlineStr">
        <is>
          <t>16/05/2026</t>
        </is>
      </c>
      <c r="B2463" t="inlineStr">
        <is>
          <t>TPBank</t>
        </is>
      </c>
      <c r="C2463" t="n">
        <v>25927</v>
      </c>
      <c r="D2463" t="n">
        <v>26137</v>
      </c>
      <c r="E2463" t="n">
        <v>26412</v>
      </c>
    </row>
    <row r="2464">
      <c r="A2464" t="inlineStr">
        <is>
          <t>15/05/2026</t>
        </is>
      </c>
      <c r="B2464" t="inlineStr">
        <is>
          <t>TPBank</t>
        </is>
      </c>
      <c r="C2464" t="n">
        <v>25927</v>
      </c>
      <c r="D2464" t="n">
        <v>26137</v>
      </c>
      <c r="E2464" t="n">
        <v>26412</v>
      </c>
    </row>
    <row r="2465">
      <c r="A2465" t="inlineStr">
        <is>
          <t>14/05/2026</t>
        </is>
      </c>
      <c r="B2465" t="inlineStr">
        <is>
          <t>TPBank</t>
        </is>
      </c>
      <c r="C2465" t="n">
        <v>25922</v>
      </c>
      <c r="D2465" t="n">
        <v>26132</v>
      </c>
      <c r="E2465" t="n">
        <v>26407</v>
      </c>
    </row>
    <row r="2466">
      <c r="A2466" t="inlineStr">
        <is>
          <t>13/05/2026</t>
        </is>
      </c>
      <c r="B2466" t="inlineStr">
        <is>
          <t>TPBank</t>
        </is>
      </c>
      <c r="C2466" t="n">
        <v>25919</v>
      </c>
      <c r="D2466" t="n">
        <v>26129</v>
      </c>
      <c r="E2466" t="n">
        <v>26404</v>
      </c>
    </row>
    <row r="2467">
      <c r="A2467" t="inlineStr">
        <is>
          <t>12/05/2026</t>
        </is>
      </c>
      <c r="B2467" t="inlineStr">
        <is>
          <t>TPBank</t>
        </is>
      </c>
      <c r="C2467" t="n">
        <v>25919</v>
      </c>
      <c r="D2467" t="n">
        <v>26129</v>
      </c>
      <c r="E2467" t="n">
        <v>26404</v>
      </c>
    </row>
    <row r="2468">
      <c r="A2468" t="inlineStr">
        <is>
          <t>11/05/2026</t>
        </is>
      </c>
      <c r="B2468" t="inlineStr">
        <is>
          <t>TPBank</t>
        </is>
      </c>
      <c r="C2468" t="n">
        <v>25913</v>
      </c>
      <c r="D2468" t="n">
        <v>26123</v>
      </c>
      <c r="E2468" t="n">
        <v>26398</v>
      </c>
    </row>
    <row r="2469">
      <c r="A2469" t="inlineStr">
        <is>
          <t>10/05/2026</t>
        </is>
      </c>
      <c r="B2469" t="inlineStr">
        <is>
          <t>TPBank</t>
        </is>
      </c>
      <c r="C2469" t="n">
        <v>25907</v>
      </c>
      <c r="D2469" t="n">
        <v>26117</v>
      </c>
      <c r="E2469" t="n">
        <v>26392</v>
      </c>
    </row>
    <row r="2470">
      <c r="A2470" t="inlineStr">
        <is>
          <t>09/05/2026</t>
        </is>
      </c>
      <c r="B2470" t="inlineStr">
        <is>
          <t>TPBank</t>
        </is>
      </c>
      <c r="C2470" t="n">
        <v>25907</v>
      </c>
      <c r="D2470" t="n">
        <v>26117</v>
      </c>
      <c r="E2470" t="n">
        <v>26392</v>
      </c>
    </row>
    <row r="2471">
      <c r="A2471" t="inlineStr">
        <is>
          <t>08/05/2026</t>
        </is>
      </c>
      <c r="B2471" t="inlineStr">
        <is>
          <t>TPBank</t>
        </is>
      </c>
      <c r="C2471" t="n">
        <v>25907</v>
      </c>
      <c r="D2471" t="n">
        <v>26117</v>
      </c>
      <c r="E2471" t="n">
        <v>26392</v>
      </c>
    </row>
    <row r="2472">
      <c r="A2472" t="inlineStr">
        <is>
          <t>07/05/2026</t>
        </is>
      </c>
      <c r="B2472" t="inlineStr">
        <is>
          <t>TPBank</t>
        </is>
      </c>
      <c r="C2472" t="n">
        <v>25908</v>
      </c>
      <c r="D2472" t="n">
        <v>26118</v>
      </c>
      <c r="E2472" t="n">
        <v>26393</v>
      </c>
    </row>
    <row r="2473">
      <c r="A2473" t="inlineStr">
        <is>
          <t>06/05/2026</t>
        </is>
      </c>
      <c r="B2473" t="inlineStr">
        <is>
          <t>TPBank</t>
        </is>
      </c>
      <c r="C2473" t="n">
        <v>25918</v>
      </c>
      <c r="D2473" t="n">
        <v>26128</v>
      </c>
      <c r="E2473" t="n">
        <v>26393</v>
      </c>
    </row>
    <row r="2474">
      <c r="A2474" t="inlineStr">
        <is>
          <t>05/05/2026</t>
        </is>
      </c>
      <c r="B2474" t="inlineStr">
        <is>
          <t>TPBank</t>
        </is>
      </c>
      <c r="C2474" t="n">
        <v>25916</v>
      </c>
      <c r="D2474" t="n">
        <v>26126</v>
      </c>
      <c r="E2474" t="n">
        <v>26391</v>
      </c>
    </row>
    <row r="2475">
      <c r="A2475" t="inlineStr">
        <is>
          <t>04/05/2026</t>
        </is>
      </c>
      <c r="B2475" t="inlineStr">
        <is>
          <t>TPBank</t>
        </is>
      </c>
      <c r="C2475" t="n">
        <v>25927</v>
      </c>
      <c r="D2475" t="n">
        <v>26137</v>
      </c>
      <c r="E2475" t="n">
        <v>26392</v>
      </c>
    </row>
    <row r="2476">
      <c r="A2476" t="inlineStr">
        <is>
          <t>03/05/2026</t>
        </is>
      </c>
      <c r="B2476" t="inlineStr">
        <is>
          <t>TPBank</t>
        </is>
      </c>
      <c r="C2476" t="n">
        <v>25928</v>
      </c>
      <c r="D2476" t="n">
        <v>26138</v>
      </c>
      <c r="E2476" t="n">
        <v>26393</v>
      </c>
    </row>
    <row r="2477">
      <c r="A2477" t="inlineStr">
        <is>
          <t>02/05/2026</t>
        </is>
      </c>
      <c r="B2477" t="inlineStr">
        <is>
          <t>TPBank</t>
        </is>
      </c>
      <c r="C2477" t="n">
        <v>25928</v>
      </c>
      <c r="D2477" t="n">
        <v>26138</v>
      </c>
      <c r="E2477" t="n">
        <v>26393</v>
      </c>
    </row>
    <row r="2478">
      <c r="A2478" t="inlineStr">
        <is>
          <t>01/05/2026</t>
        </is>
      </c>
      <c r="B2478" t="inlineStr">
        <is>
          <t>TPBank</t>
        </is>
      </c>
      <c r="C2478" t="n">
        <v>25928</v>
      </c>
      <c r="D2478" t="n">
        <v>26138</v>
      </c>
      <c r="E2478" t="n">
        <v>26393</v>
      </c>
    </row>
    <row r="2479">
      <c r="A2479" t="inlineStr">
        <is>
          <t>30/04/2026</t>
        </is>
      </c>
      <c r="B2479" t="inlineStr">
        <is>
          <t>TPBank</t>
        </is>
      </c>
      <c r="C2479" t="n">
        <v>25928</v>
      </c>
      <c r="D2479" t="n">
        <v>26138</v>
      </c>
      <c r="E2479" t="n">
        <v>26393</v>
      </c>
    </row>
    <row r="2480">
      <c r="A2480" t="inlineStr">
        <is>
          <t>29/04/2026</t>
        </is>
      </c>
      <c r="B2480" t="inlineStr">
        <is>
          <t>TPBank</t>
        </is>
      </c>
      <c r="C2480" t="n">
        <v>25928</v>
      </c>
      <c r="D2480" t="n">
        <v>26138</v>
      </c>
      <c r="E2480" t="n">
        <v>26393</v>
      </c>
    </row>
    <row r="2481">
      <c r="A2481" t="inlineStr">
        <is>
          <t>28/04/2026</t>
        </is>
      </c>
      <c r="B2481" t="inlineStr">
        <is>
          <t>TPBank</t>
        </is>
      </c>
      <c r="C2481" t="n">
        <v>25926</v>
      </c>
      <c r="D2481" t="n">
        <v>26136</v>
      </c>
      <c r="E2481" t="n">
        <v>26391</v>
      </c>
    </row>
    <row r="2482">
      <c r="A2482" t="inlineStr">
        <is>
          <t>27/04/2026</t>
        </is>
      </c>
      <c r="B2482" t="inlineStr">
        <is>
          <t>TPBank</t>
        </is>
      </c>
      <c r="C2482" t="n">
        <v>25928</v>
      </c>
      <c r="D2482" t="n">
        <v>26138</v>
      </c>
      <c r="E2482" t="n">
        <v>26393</v>
      </c>
    </row>
    <row r="2483">
      <c r="A2483" t="inlineStr">
        <is>
          <t>26/04/2026</t>
        </is>
      </c>
      <c r="B2483" t="inlineStr">
        <is>
          <t>TPBank</t>
        </is>
      </c>
      <c r="C2483" t="n">
        <v>25928</v>
      </c>
      <c r="D2483" t="n">
        <v>26138</v>
      </c>
      <c r="E2483" t="n">
        <v>26393</v>
      </c>
    </row>
    <row r="2484">
      <c r="A2484" t="inlineStr">
        <is>
          <t>25/04/2026</t>
        </is>
      </c>
      <c r="B2484" t="inlineStr">
        <is>
          <t>TPBank</t>
        </is>
      </c>
      <c r="C2484" t="n">
        <v>25928</v>
      </c>
      <c r="D2484" t="n">
        <v>26138</v>
      </c>
      <c r="E2484" t="n">
        <v>26393</v>
      </c>
    </row>
    <row r="2485">
      <c r="A2485" t="inlineStr">
        <is>
          <t>24/04/2026</t>
        </is>
      </c>
      <c r="B2485" t="inlineStr">
        <is>
          <t>TPBank</t>
        </is>
      </c>
      <c r="C2485" t="n">
        <v>25928</v>
      </c>
      <c r="D2485" t="n">
        <v>26138</v>
      </c>
      <c r="E2485" t="n">
        <v>26393</v>
      </c>
    </row>
    <row r="2486">
      <c r="A2486" t="inlineStr">
        <is>
          <t>23/04/2026</t>
        </is>
      </c>
      <c r="B2486" t="inlineStr">
        <is>
          <t>TPBank</t>
        </is>
      </c>
      <c r="C2486" t="n">
        <v>25920</v>
      </c>
      <c r="D2486" t="n">
        <v>26130</v>
      </c>
      <c r="E2486" t="n">
        <v>26385</v>
      </c>
    </row>
    <row r="2487">
      <c r="A2487" t="inlineStr">
        <is>
          <t>22/04/2026</t>
        </is>
      </c>
      <c r="B2487" t="inlineStr">
        <is>
          <t>TPBank</t>
        </is>
      </c>
      <c r="C2487" t="n">
        <v>25915</v>
      </c>
      <c r="D2487" t="n">
        <v>26125</v>
      </c>
      <c r="E2487" t="n">
        <v>26380</v>
      </c>
    </row>
    <row r="2488">
      <c r="A2488" t="inlineStr">
        <is>
          <t>21/04/2026</t>
        </is>
      </c>
      <c r="B2488" t="inlineStr">
        <is>
          <t>TPBank</t>
        </is>
      </c>
      <c r="C2488" t="n">
        <v>25917</v>
      </c>
      <c r="D2488" t="n">
        <v>26127</v>
      </c>
      <c r="E2488" t="n">
        <v>26382</v>
      </c>
    </row>
    <row r="2489">
      <c r="A2489" t="inlineStr">
        <is>
          <t>20/04/2026</t>
        </is>
      </c>
      <c r="B2489" t="inlineStr">
        <is>
          <t>TPBank</t>
        </is>
      </c>
      <c r="C2489" t="n">
        <v>25918</v>
      </c>
      <c r="D2489" t="n">
        <v>26128</v>
      </c>
      <c r="E2489" t="n">
        <v>26383</v>
      </c>
    </row>
    <row r="2490">
      <c r="A2490" t="inlineStr">
        <is>
          <t>19/04/2026</t>
        </is>
      </c>
      <c r="B2490" t="inlineStr">
        <is>
          <t>TPBank</t>
        </is>
      </c>
      <c r="C2490" t="n">
        <v>25917</v>
      </c>
      <c r="D2490" t="n">
        <v>26127</v>
      </c>
      <c r="E2490" t="n">
        <v>26382</v>
      </c>
    </row>
    <row r="2491">
      <c r="A2491" t="inlineStr">
        <is>
          <t>18/04/2026</t>
        </is>
      </c>
      <c r="B2491" t="inlineStr">
        <is>
          <t>TPBank</t>
        </is>
      </c>
      <c r="C2491" t="n">
        <v>25917</v>
      </c>
      <c r="D2491" t="n">
        <v>26127</v>
      </c>
      <c r="E2491" t="n">
        <v>26382</v>
      </c>
    </row>
    <row r="2492">
      <c r="A2492" t="inlineStr">
        <is>
          <t>17/04/2026</t>
        </is>
      </c>
      <c r="B2492" t="inlineStr">
        <is>
          <t>TPBank</t>
        </is>
      </c>
      <c r="C2492" t="n">
        <v>25917</v>
      </c>
      <c r="D2492" t="n">
        <v>26127</v>
      </c>
      <c r="E2492" t="n">
        <v>26382</v>
      </c>
    </row>
    <row r="2493">
      <c r="A2493" t="inlineStr">
        <is>
          <t>16/04/2026</t>
        </is>
      </c>
      <c r="B2493" t="inlineStr">
        <is>
          <t>TPBank</t>
        </is>
      </c>
      <c r="C2493" t="n">
        <v>25917</v>
      </c>
      <c r="D2493" t="n">
        <v>26127</v>
      </c>
      <c r="E2493" t="n">
        <v>26382</v>
      </c>
    </row>
    <row r="2494">
      <c r="A2494" t="inlineStr">
        <is>
          <t>15/04/2026</t>
        </is>
      </c>
      <c r="B2494" t="inlineStr">
        <is>
          <t>TPBank</t>
        </is>
      </c>
      <c r="C2494" t="n">
        <v>25928</v>
      </c>
      <c r="D2494" t="n">
        <v>26138</v>
      </c>
      <c r="E2494" t="n">
        <v>26383</v>
      </c>
    </row>
    <row r="2495">
      <c r="A2495" t="inlineStr">
        <is>
          <t>14/04/2026</t>
        </is>
      </c>
      <c r="B2495" t="inlineStr">
        <is>
          <t>TPBank</t>
        </is>
      </c>
      <c r="C2495" t="n">
        <v>25931</v>
      </c>
      <c r="D2495" t="n">
        <v>26141</v>
      </c>
      <c r="E2495" t="n">
        <v>26386</v>
      </c>
    </row>
    <row r="2496">
      <c r="A2496" t="inlineStr">
        <is>
          <t>13/04/2026</t>
        </is>
      </c>
      <c r="B2496" t="inlineStr">
        <is>
          <t>TPBank</t>
        </is>
      </c>
      <c r="C2496" t="n">
        <v>25931</v>
      </c>
      <c r="D2496" t="n">
        <v>26141</v>
      </c>
      <c r="E2496" t="n">
        <v>26386</v>
      </c>
    </row>
    <row r="2497">
      <c r="A2497" t="inlineStr">
        <is>
          <t>12/04/2026</t>
        </is>
      </c>
      <c r="B2497" t="inlineStr">
        <is>
          <t>TPBank</t>
        </is>
      </c>
      <c r="C2497" t="n">
        <v>25920</v>
      </c>
      <c r="D2497" t="n">
        <v>26130</v>
      </c>
      <c r="E2497" t="n">
        <v>26385</v>
      </c>
    </row>
    <row r="2498">
      <c r="A2498" t="inlineStr">
        <is>
          <t>11/04/2026</t>
        </is>
      </c>
      <c r="B2498" t="inlineStr">
        <is>
          <t>TPBank</t>
        </is>
      </c>
      <c r="C2498" t="n">
        <v>25920</v>
      </c>
      <c r="D2498" t="n">
        <v>26130</v>
      </c>
      <c r="E2498" t="n">
        <v>26385</v>
      </c>
    </row>
    <row r="2499">
      <c r="A2499" t="inlineStr">
        <is>
          <t>10/04/2026</t>
        </is>
      </c>
      <c r="B2499" t="inlineStr">
        <is>
          <t>TPBank</t>
        </is>
      </c>
      <c r="C2499" t="n">
        <v>25920</v>
      </c>
      <c r="D2499" t="n">
        <v>26130</v>
      </c>
      <c r="E2499" t="n">
        <v>26385</v>
      </c>
    </row>
    <row r="2500">
      <c r="A2500" t="inlineStr">
        <is>
          <t>09/04/2026</t>
        </is>
      </c>
      <c r="B2500" t="inlineStr">
        <is>
          <t>TPBank</t>
        </is>
      </c>
      <c r="C2500" t="n">
        <v>25907</v>
      </c>
      <c r="D2500" t="n">
        <v>26117</v>
      </c>
      <c r="E2500" t="n">
        <v>26382</v>
      </c>
    </row>
    <row r="2501">
      <c r="A2501" t="inlineStr">
        <is>
          <t>08/04/2026</t>
        </is>
      </c>
      <c r="B2501" t="inlineStr">
        <is>
          <t>TPBank</t>
        </is>
      </c>
      <c r="C2501" t="n">
        <v>25931</v>
      </c>
      <c r="D2501" t="n">
        <v>26141</v>
      </c>
      <c r="E2501" t="n">
        <v>26386</v>
      </c>
    </row>
    <row r="2502">
      <c r="A2502" t="inlineStr">
        <is>
          <t>07/04/2026</t>
        </is>
      </c>
      <c r="B2502" t="inlineStr">
        <is>
          <t>TPBank</t>
        </is>
      </c>
      <c r="C2502" t="n">
        <v>25933</v>
      </c>
      <c r="D2502" t="n">
        <v>26143</v>
      </c>
      <c r="E2502" t="n">
        <v>26388</v>
      </c>
    </row>
    <row r="2503">
      <c r="A2503" t="inlineStr">
        <is>
          <t>06/04/2026</t>
        </is>
      </c>
      <c r="B2503" t="inlineStr">
        <is>
          <t>TPBank</t>
        </is>
      </c>
      <c r="C2503" t="n">
        <v>25931</v>
      </c>
      <c r="D2503" t="n">
        <v>26141</v>
      </c>
      <c r="E2503" t="n">
        <v>26386</v>
      </c>
    </row>
    <row r="2504">
      <c r="A2504" t="inlineStr">
        <is>
          <t>05/04/2026</t>
        </is>
      </c>
      <c r="B2504" t="inlineStr">
        <is>
          <t>TPBank</t>
        </is>
      </c>
      <c r="C2504" t="n">
        <v>25932</v>
      </c>
      <c r="D2504" t="n">
        <v>26142</v>
      </c>
      <c r="E2504" t="n">
        <v>26387</v>
      </c>
    </row>
    <row r="2505">
      <c r="A2505" t="inlineStr">
        <is>
          <t>04/04/2026</t>
        </is>
      </c>
      <c r="B2505" t="inlineStr">
        <is>
          <t>TPBank</t>
        </is>
      </c>
      <c r="C2505" t="n">
        <v>25932</v>
      </c>
      <c r="D2505" t="n">
        <v>26142</v>
      </c>
      <c r="E2505" t="n">
        <v>26387</v>
      </c>
    </row>
    <row r="2506">
      <c r="A2506" t="inlineStr">
        <is>
          <t>03/04/2026</t>
        </is>
      </c>
      <c r="B2506" t="inlineStr">
        <is>
          <t>TPBank</t>
        </is>
      </c>
      <c r="C2506" t="n">
        <v>25932</v>
      </c>
      <c r="D2506" t="n">
        <v>26142</v>
      </c>
      <c r="E2506" t="n">
        <v>26387</v>
      </c>
    </row>
    <row r="2507">
      <c r="A2507" t="inlineStr">
        <is>
          <t>02/04/2026</t>
        </is>
      </c>
      <c r="B2507" t="inlineStr">
        <is>
          <t>TPBank</t>
        </is>
      </c>
      <c r="C2507" t="n">
        <v>25932</v>
      </c>
      <c r="D2507" t="n">
        <v>26142</v>
      </c>
      <c r="E2507" t="n">
        <v>26387</v>
      </c>
    </row>
    <row r="2508">
      <c r="A2508" t="inlineStr">
        <is>
          <t>01/04/2026</t>
        </is>
      </c>
      <c r="B2508" t="inlineStr">
        <is>
          <t>TPBank</t>
        </is>
      </c>
      <c r="C2508" t="n">
        <v>25930</v>
      </c>
      <c r="D2508" t="n">
        <v>26140</v>
      </c>
      <c r="E2508" t="n">
        <v>26385</v>
      </c>
    </row>
    <row r="2509">
      <c r="A2509" t="inlineStr">
        <is>
          <t>31/03/2026</t>
        </is>
      </c>
      <c r="B2509" t="inlineStr">
        <is>
          <t>TPBank</t>
        </is>
      </c>
      <c r="C2509" t="n">
        <v>25927</v>
      </c>
      <c r="D2509" t="n">
        <v>26137</v>
      </c>
      <c r="E2509" t="n">
        <v>26382</v>
      </c>
    </row>
    <row r="2510">
      <c r="A2510" t="inlineStr">
        <is>
          <t>30/03/2026</t>
        </is>
      </c>
      <c r="B2510" t="inlineStr">
        <is>
          <t>TPBank</t>
        </is>
      </c>
      <c r="C2510" t="n">
        <v>25925</v>
      </c>
      <c r="D2510" t="n">
        <v>26135</v>
      </c>
      <c r="E2510" t="n">
        <v>26380</v>
      </c>
    </row>
    <row r="2511">
      <c r="A2511" t="inlineStr">
        <is>
          <t>29/03/2026</t>
        </is>
      </c>
      <c r="B2511" t="inlineStr">
        <is>
          <t>TPBank</t>
        </is>
      </c>
      <c r="C2511" t="n">
        <v>25925</v>
      </c>
      <c r="D2511" t="n">
        <v>26135</v>
      </c>
      <c r="E2511" t="n">
        <v>26380</v>
      </c>
    </row>
    <row r="2512">
      <c r="A2512" t="inlineStr">
        <is>
          <t>28/03/2026</t>
        </is>
      </c>
      <c r="B2512" t="inlineStr">
        <is>
          <t>TPBank</t>
        </is>
      </c>
      <c r="C2512" t="n">
        <v>25925</v>
      </c>
      <c r="D2512" t="n">
        <v>26135</v>
      </c>
      <c r="E2512" t="n">
        <v>26380</v>
      </c>
    </row>
    <row r="2513">
      <c r="A2513" t="inlineStr">
        <is>
          <t>27/03/2026</t>
        </is>
      </c>
      <c r="B2513" t="inlineStr">
        <is>
          <t>TPBank</t>
        </is>
      </c>
      <c r="C2513" t="n">
        <v>25925</v>
      </c>
      <c r="D2513" t="n">
        <v>26135</v>
      </c>
      <c r="E2513" t="n">
        <v>26380</v>
      </c>
    </row>
    <row r="2514">
      <c r="A2514" t="inlineStr">
        <is>
          <t>26/03/2026</t>
        </is>
      </c>
      <c r="B2514" t="inlineStr">
        <is>
          <t>TPBank</t>
        </is>
      </c>
      <c r="C2514" t="n">
        <v>25927</v>
      </c>
      <c r="D2514" t="n">
        <v>26137</v>
      </c>
      <c r="E2514" t="n">
        <v>26382</v>
      </c>
    </row>
    <row r="2515">
      <c r="A2515" t="inlineStr">
        <is>
          <t>25/03/2026</t>
        </is>
      </c>
      <c r="B2515" t="inlineStr">
        <is>
          <t>TPBank</t>
        </is>
      </c>
      <c r="C2515" t="n">
        <v>25929</v>
      </c>
      <c r="D2515" t="n">
        <v>26139</v>
      </c>
      <c r="E2515" t="n">
        <v>26384</v>
      </c>
    </row>
    <row r="2516">
      <c r="A2516" t="inlineStr">
        <is>
          <t>24/03/2026</t>
        </is>
      </c>
      <c r="B2516" t="inlineStr">
        <is>
          <t>TPBank</t>
        </is>
      </c>
      <c r="C2516" t="n">
        <v>25934</v>
      </c>
      <c r="D2516" t="n">
        <v>26144</v>
      </c>
      <c r="E2516" t="n">
        <v>26389</v>
      </c>
    </row>
    <row r="2517">
      <c r="A2517" t="inlineStr">
        <is>
          <t>23/03/2026</t>
        </is>
      </c>
      <c r="B2517" t="inlineStr">
        <is>
          <t>TPBank</t>
        </is>
      </c>
      <c r="C2517" t="n">
        <v>25894</v>
      </c>
      <c r="D2517" t="n">
        <v>26104</v>
      </c>
      <c r="E2517" t="n">
        <v>26369</v>
      </c>
    </row>
    <row r="2518">
      <c r="A2518" t="inlineStr">
        <is>
          <t>22/03/2026</t>
        </is>
      </c>
      <c r="B2518" t="inlineStr">
        <is>
          <t>TPBank</t>
        </is>
      </c>
      <c r="C2518" t="n">
        <v>25889</v>
      </c>
      <c r="D2518" t="n">
        <v>26099</v>
      </c>
      <c r="E2518" t="n">
        <v>26364</v>
      </c>
    </row>
    <row r="2519">
      <c r="A2519" t="inlineStr">
        <is>
          <t>21/03/2026</t>
        </is>
      </c>
      <c r="B2519" t="inlineStr">
        <is>
          <t>TPBank</t>
        </is>
      </c>
      <c r="C2519" t="n">
        <v>25889</v>
      </c>
      <c r="D2519" t="n">
        <v>26099</v>
      </c>
      <c r="E2519" t="n">
        <v>26364</v>
      </c>
    </row>
    <row r="2520">
      <c r="A2520" t="inlineStr">
        <is>
          <t>20/03/2026</t>
        </is>
      </c>
      <c r="B2520" t="inlineStr">
        <is>
          <t>TPBank</t>
        </is>
      </c>
      <c r="C2520" t="n">
        <v>25889</v>
      </c>
      <c r="D2520" t="n">
        <v>26099</v>
      </c>
      <c r="E2520" t="n">
        <v>26364</v>
      </c>
    </row>
    <row r="2521">
      <c r="A2521" t="inlineStr">
        <is>
          <t>19/03/2026</t>
        </is>
      </c>
      <c r="B2521" t="inlineStr">
        <is>
          <t>TPBank</t>
        </is>
      </c>
      <c r="C2521" t="n">
        <v>25875</v>
      </c>
      <c r="D2521" t="n">
        <v>26085</v>
      </c>
      <c r="E2521" t="n">
        <v>26350</v>
      </c>
    </row>
    <row r="2522">
      <c r="A2522" t="inlineStr">
        <is>
          <t>18/03/2026</t>
        </is>
      </c>
      <c r="B2522" t="inlineStr">
        <is>
          <t>TPBank</t>
        </is>
      </c>
      <c r="C2522" t="n">
        <v>25870</v>
      </c>
      <c r="D2522" t="n">
        <v>26080</v>
      </c>
      <c r="E2522" t="n">
        <v>26345</v>
      </c>
    </row>
    <row r="2523">
      <c r="A2523" t="inlineStr">
        <is>
          <t>17/03/2026</t>
        </is>
      </c>
      <c r="B2523" t="inlineStr">
        <is>
          <t>TPBank</t>
        </is>
      </c>
      <c r="C2523" t="n">
        <v>25871</v>
      </c>
      <c r="D2523" t="n">
        <v>26081</v>
      </c>
      <c r="E2523" t="n">
        <v>26346</v>
      </c>
    </row>
    <row r="2524">
      <c r="A2524" t="inlineStr">
        <is>
          <t>16/03/2026</t>
        </is>
      </c>
      <c r="B2524" t="inlineStr">
        <is>
          <t>TPBank</t>
        </is>
      </c>
      <c r="C2524" t="n">
        <v>25871</v>
      </c>
      <c r="D2524" t="n">
        <v>26081</v>
      </c>
      <c r="E2524" t="n">
        <v>26346</v>
      </c>
    </row>
    <row r="2525">
      <c r="A2525" t="inlineStr">
        <is>
          <t>15/03/2026</t>
        </is>
      </c>
      <c r="B2525" t="inlineStr">
        <is>
          <t>TPBank</t>
        </is>
      </c>
      <c r="C2525" t="n">
        <v>25868</v>
      </c>
      <c r="D2525" t="n">
        <v>26078</v>
      </c>
      <c r="E2525" t="n">
        <v>26343</v>
      </c>
    </row>
    <row r="2526">
      <c r="A2526" t="inlineStr">
        <is>
          <t>14/03/2026</t>
        </is>
      </c>
      <c r="B2526" t="inlineStr">
        <is>
          <t>TPBank</t>
        </is>
      </c>
      <c r="C2526" t="n">
        <v>25868</v>
      </c>
      <c r="D2526" t="n">
        <v>26078</v>
      </c>
      <c r="E2526" t="n">
        <v>26343</v>
      </c>
    </row>
    <row r="2527">
      <c r="A2527" t="inlineStr">
        <is>
          <t>13/03/2026</t>
        </is>
      </c>
      <c r="B2527" t="inlineStr">
        <is>
          <t>TPBank</t>
        </is>
      </c>
      <c r="C2527" t="n">
        <v>25868</v>
      </c>
      <c r="D2527" t="n">
        <v>26078</v>
      </c>
      <c r="E2527" t="n">
        <v>26343</v>
      </c>
    </row>
    <row r="2528">
      <c r="A2528" t="inlineStr">
        <is>
          <t>12/03/2026</t>
        </is>
      </c>
      <c r="B2528" t="inlineStr">
        <is>
          <t>TPBank</t>
        </is>
      </c>
      <c r="C2528" t="n">
        <v>25864</v>
      </c>
      <c r="D2528" t="n">
        <v>26074</v>
      </c>
      <c r="E2528" t="n">
        <v>26339</v>
      </c>
    </row>
    <row r="2529">
      <c r="A2529" t="inlineStr">
        <is>
          <t>11/03/2026</t>
        </is>
      </c>
      <c r="B2529" t="inlineStr">
        <is>
          <t>TPBank</t>
        </is>
      </c>
      <c r="C2529" t="n">
        <v>25821</v>
      </c>
      <c r="D2529" t="n">
        <v>26031</v>
      </c>
      <c r="E2529" t="n">
        <v>26336</v>
      </c>
    </row>
    <row r="2530">
      <c r="A2530" t="inlineStr">
        <is>
          <t>10/03/2026</t>
        </is>
      </c>
      <c r="B2530" t="inlineStr">
        <is>
          <t>TPBank</t>
        </is>
      </c>
      <c r="C2530" t="n">
        <v>25805</v>
      </c>
      <c r="D2530" t="n">
        <v>26015</v>
      </c>
      <c r="E2530" t="n">
        <v>26340</v>
      </c>
    </row>
    <row r="2531">
      <c r="A2531" t="inlineStr">
        <is>
          <t>09/03/2026</t>
        </is>
      </c>
      <c r="B2531" t="inlineStr">
        <is>
          <t>TPBank</t>
        </is>
      </c>
      <c r="C2531" t="n">
        <v>25861</v>
      </c>
      <c r="D2531" t="n">
        <v>26071</v>
      </c>
      <c r="E2531" t="n">
        <v>26336</v>
      </c>
    </row>
    <row r="2532">
      <c r="A2532" t="inlineStr">
        <is>
          <t>08/03/2026</t>
        </is>
      </c>
      <c r="B2532" t="inlineStr">
        <is>
          <t>TPBank</t>
        </is>
      </c>
      <c r="C2532" t="n">
        <v>25819</v>
      </c>
      <c r="D2532" t="n">
        <v>26029</v>
      </c>
      <c r="E2532" t="n">
        <v>26334</v>
      </c>
    </row>
    <row r="2533">
      <c r="A2533" t="inlineStr">
        <is>
          <t>07/03/2026</t>
        </is>
      </c>
      <c r="B2533" t="inlineStr">
        <is>
          <t>TPBank</t>
        </is>
      </c>
      <c r="C2533" t="n">
        <v>25819</v>
      </c>
      <c r="D2533" t="n">
        <v>26029</v>
      </c>
      <c r="E2533" t="n">
        <v>26334</v>
      </c>
    </row>
    <row r="2534">
      <c r="A2534" t="inlineStr">
        <is>
          <t>06/03/2026</t>
        </is>
      </c>
      <c r="B2534" t="inlineStr">
        <is>
          <t>TPBank</t>
        </is>
      </c>
      <c r="C2534" t="n">
        <v>25819</v>
      </c>
      <c r="D2534" t="n">
        <v>26029</v>
      </c>
      <c r="E2534" t="n">
        <v>26334</v>
      </c>
    </row>
    <row r="2535">
      <c r="A2535" t="inlineStr">
        <is>
          <t>05/03/2026</t>
        </is>
      </c>
      <c r="B2535" t="inlineStr">
        <is>
          <t>TPBank</t>
        </is>
      </c>
      <c r="C2535" t="n">
        <v>25817</v>
      </c>
      <c r="D2535" t="n">
        <v>26027</v>
      </c>
      <c r="E2535" t="n">
        <v>26332</v>
      </c>
    </row>
    <row r="2536">
      <c r="A2536" t="inlineStr">
        <is>
          <t>04/03/2026</t>
        </is>
      </c>
      <c r="B2536" t="inlineStr">
        <is>
          <t>TPBank</t>
        </is>
      </c>
      <c r="C2536" t="n">
        <v>25794</v>
      </c>
      <c r="D2536" t="n">
        <v>26004</v>
      </c>
      <c r="E2536" t="n">
        <v>26329</v>
      </c>
    </row>
    <row r="2537">
      <c r="A2537" t="inlineStr">
        <is>
          <t>03/03/2026</t>
        </is>
      </c>
      <c r="B2537" t="inlineStr">
        <is>
          <t>TPBank</t>
        </is>
      </c>
      <c r="C2537" t="n">
        <v>25788</v>
      </c>
      <c r="D2537" t="n">
        <v>25998</v>
      </c>
      <c r="E2537" t="n">
        <v>26323</v>
      </c>
    </row>
    <row r="2538">
      <c r="A2538" t="inlineStr">
        <is>
          <t>02/03/2026</t>
        </is>
      </c>
      <c r="B2538" t="inlineStr">
        <is>
          <t>TPBank</t>
        </is>
      </c>
      <c r="C2538" t="n">
        <v>25779</v>
      </c>
      <c r="D2538" t="n">
        <v>25989</v>
      </c>
      <c r="E2538" t="n">
        <v>26314</v>
      </c>
    </row>
    <row r="2539">
      <c r="A2539" t="inlineStr">
        <is>
          <t>01/03/2026</t>
        </is>
      </c>
      <c r="B2539" t="inlineStr">
        <is>
          <t>TPBank</t>
        </is>
      </c>
      <c r="C2539" t="n">
        <v>25640</v>
      </c>
      <c r="D2539" t="n">
        <v>25850</v>
      </c>
      <c r="E2539" t="n">
        <v>26255</v>
      </c>
    </row>
    <row r="2540">
      <c r="A2540" t="inlineStr">
        <is>
          <t>28/02/2026</t>
        </is>
      </c>
      <c r="B2540" t="inlineStr">
        <is>
          <t>TPBank</t>
        </is>
      </c>
      <c r="C2540" t="n">
        <v>25640</v>
      </c>
      <c r="D2540" t="n">
        <v>25850</v>
      </c>
      <c r="E2540" t="n">
        <v>26255</v>
      </c>
    </row>
    <row r="2541">
      <c r="A2541" t="inlineStr">
        <is>
          <t>27/02/2026</t>
        </is>
      </c>
      <c r="B2541" t="inlineStr">
        <is>
          <t>TPBank</t>
        </is>
      </c>
      <c r="C2541" t="n">
        <v>25640</v>
      </c>
      <c r="D2541" t="n">
        <v>25850</v>
      </c>
      <c r="E2541" t="n">
        <v>26255</v>
      </c>
    </row>
    <row r="2542">
      <c r="A2542" t="inlineStr">
        <is>
          <t>26/02/2026</t>
        </is>
      </c>
      <c r="B2542" t="inlineStr">
        <is>
          <t>TPBank</t>
        </is>
      </c>
      <c r="C2542" t="n">
        <v>25670</v>
      </c>
      <c r="D2542" t="n">
        <v>25880</v>
      </c>
      <c r="E2542" t="n">
        <v>26285</v>
      </c>
    </row>
    <row r="2543">
      <c r="A2543" t="inlineStr">
        <is>
          <t>25/02/2026</t>
        </is>
      </c>
      <c r="B2543" t="inlineStr">
        <is>
          <t>TPBank</t>
        </is>
      </c>
      <c r="C2543" t="n">
        <v>25719</v>
      </c>
      <c r="D2543" t="n">
        <v>25929</v>
      </c>
      <c r="E2543" t="n">
        <v>26334</v>
      </c>
    </row>
    <row r="2544">
      <c r="A2544" t="inlineStr">
        <is>
          <t>24/02/2026</t>
        </is>
      </c>
      <c r="B2544" t="inlineStr">
        <is>
          <t>TPBank</t>
        </is>
      </c>
      <c r="C2544" t="n">
        <v>25775</v>
      </c>
      <c r="D2544" t="n">
        <v>25985</v>
      </c>
      <c r="E2544" t="n">
        <v>26330</v>
      </c>
    </row>
    <row r="2545">
      <c r="A2545" t="inlineStr">
        <is>
          <t>23/02/2026</t>
        </is>
      </c>
      <c r="B2545" t="inlineStr">
        <is>
          <t>TPBank</t>
        </is>
      </c>
      <c r="C2545" t="n">
        <v>25700</v>
      </c>
      <c r="D2545" t="n">
        <v>25910</v>
      </c>
      <c r="E2545" t="n">
        <v>26315</v>
      </c>
    </row>
    <row r="2546">
      <c r="A2546" t="inlineStr">
        <is>
          <t>22/02/2026</t>
        </is>
      </c>
      <c r="B2546" t="inlineStr">
        <is>
          <t>TPBank</t>
        </is>
      </c>
      <c r="C2546" t="n">
        <v>25570</v>
      </c>
      <c r="D2546" t="n">
        <v>25780</v>
      </c>
      <c r="E2546" t="n">
        <v>26185</v>
      </c>
    </row>
    <row r="2547">
      <c r="A2547" t="inlineStr">
        <is>
          <t>21/02/2026</t>
        </is>
      </c>
      <c r="B2547" t="inlineStr">
        <is>
          <t>TPBank</t>
        </is>
      </c>
      <c r="C2547" t="n">
        <v>25570</v>
      </c>
      <c r="D2547" t="n">
        <v>25780</v>
      </c>
      <c r="E2547" t="n">
        <v>26185</v>
      </c>
    </row>
    <row r="2548">
      <c r="A2548" t="inlineStr">
        <is>
          <t>20/02/2026</t>
        </is>
      </c>
      <c r="B2548" t="inlineStr">
        <is>
          <t>TPBank</t>
        </is>
      </c>
      <c r="C2548" t="n">
        <v>25570</v>
      </c>
      <c r="D2548" t="n">
        <v>25780</v>
      </c>
      <c r="E2548" t="n">
        <v>26185</v>
      </c>
    </row>
    <row r="2549">
      <c r="A2549" t="inlineStr">
        <is>
          <t>19/02/2026</t>
        </is>
      </c>
      <c r="B2549" t="inlineStr">
        <is>
          <t>TPBank</t>
        </is>
      </c>
      <c r="C2549" t="n">
        <v>25570</v>
      </c>
      <c r="D2549" t="n">
        <v>25780</v>
      </c>
      <c r="E2549" t="n">
        <v>26185</v>
      </c>
    </row>
    <row r="2550">
      <c r="A2550" t="inlineStr">
        <is>
          <t>18/02/2026</t>
        </is>
      </c>
      <c r="B2550" t="inlineStr">
        <is>
          <t>TPBank</t>
        </is>
      </c>
      <c r="C2550" t="n">
        <v>25570</v>
      </c>
      <c r="D2550" t="n">
        <v>25780</v>
      </c>
      <c r="E2550" t="n">
        <v>26185</v>
      </c>
    </row>
    <row r="2551">
      <c r="A2551" t="inlineStr">
        <is>
          <t>17/02/2026</t>
        </is>
      </c>
      <c r="B2551" t="inlineStr">
        <is>
          <t>TPBank</t>
        </is>
      </c>
      <c r="C2551" t="n">
        <v>25570</v>
      </c>
      <c r="D2551" t="n">
        <v>25780</v>
      </c>
      <c r="E2551" t="n">
        <v>26185</v>
      </c>
    </row>
    <row r="2552">
      <c r="A2552" t="inlineStr">
        <is>
          <t>16/02/2026</t>
        </is>
      </c>
      <c r="B2552" t="inlineStr">
        <is>
          <t>TPBank</t>
        </is>
      </c>
      <c r="C2552" t="n">
        <v>25570</v>
      </c>
      <c r="D2552" t="n">
        <v>25780</v>
      </c>
      <c r="E2552" t="n">
        <v>26185</v>
      </c>
    </row>
    <row r="2553">
      <c r="A2553" t="inlineStr">
        <is>
          <t>15/02/2026</t>
        </is>
      </c>
      <c r="B2553" t="inlineStr">
        <is>
          <t>TPBank</t>
        </is>
      </c>
      <c r="C2553" t="n">
        <v>25570</v>
      </c>
      <c r="D2553" t="n">
        <v>25780</v>
      </c>
      <c r="E2553" t="n">
        <v>26185</v>
      </c>
    </row>
    <row r="2554">
      <c r="A2554" t="inlineStr">
        <is>
          <t>14/02/2026</t>
        </is>
      </c>
      <c r="B2554" t="inlineStr">
        <is>
          <t>TPBank</t>
        </is>
      </c>
      <c r="C2554" t="n">
        <v>25570</v>
      </c>
      <c r="D2554" t="n">
        <v>25780</v>
      </c>
      <c r="E2554" t="n">
        <v>26185</v>
      </c>
    </row>
    <row r="2555">
      <c r="A2555" t="inlineStr">
        <is>
          <t>13/02/2026</t>
        </is>
      </c>
      <c r="B2555" t="inlineStr">
        <is>
          <t>TPBank</t>
        </is>
      </c>
      <c r="C2555" t="n">
        <v>25570</v>
      </c>
      <c r="D2555" t="n">
        <v>25780</v>
      </c>
      <c r="E2555" t="n">
        <v>26185</v>
      </c>
    </row>
    <row r="2556">
      <c r="A2556" t="inlineStr">
        <is>
          <t>12/02/2026</t>
        </is>
      </c>
      <c r="B2556" t="inlineStr">
        <is>
          <t>TPBank</t>
        </is>
      </c>
      <c r="C2556" t="n">
        <v>25570</v>
      </c>
      <c r="D2556" t="n">
        <v>25780</v>
      </c>
      <c r="E2556" t="n">
        <v>26185</v>
      </c>
    </row>
    <row r="2557">
      <c r="A2557" t="inlineStr">
        <is>
          <t>11/02/2026</t>
        </is>
      </c>
      <c r="B2557" t="inlineStr">
        <is>
          <t>TPBank</t>
        </is>
      </c>
      <c r="C2557" t="n">
        <v>25570</v>
      </c>
      <c r="D2557" t="n">
        <v>25780</v>
      </c>
      <c r="E2557" t="n">
        <v>26185</v>
      </c>
    </row>
    <row r="2558">
      <c r="A2558" t="inlineStr">
        <is>
          <t>10/02/2026</t>
        </is>
      </c>
      <c r="B2558" t="inlineStr">
        <is>
          <t>TPBank</t>
        </is>
      </c>
      <c r="C2558" t="n">
        <v>25470</v>
      </c>
      <c r="D2558" t="n">
        <v>25680</v>
      </c>
      <c r="E2558" t="n">
        <v>26085</v>
      </c>
    </row>
    <row r="2559">
      <c r="A2559" t="inlineStr">
        <is>
          <t>09/02/2026</t>
        </is>
      </c>
      <c r="B2559" t="inlineStr">
        <is>
          <t>TPBank</t>
        </is>
      </c>
      <c r="C2559" t="n">
        <v>25510</v>
      </c>
      <c r="D2559" t="n">
        <v>25720</v>
      </c>
      <c r="E2559" t="n">
        <v>26125</v>
      </c>
    </row>
    <row r="2560">
      <c r="A2560" t="inlineStr">
        <is>
          <t>08/02/2026</t>
        </is>
      </c>
      <c r="B2560" t="inlineStr">
        <is>
          <t>TPBank</t>
        </is>
      </c>
      <c r="C2560" t="n">
        <v>25550</v>
      </c>
      <c r="D2560" t="n">
        <v>25760</v>
      </c>
      <c r="E2560" t="n">
        <v>26165</v>
      </c>
    </row>
    <row r="2561">
      <c r="A2561" t="inlineStr">
        <is>
          <t>07/02/2026</t>
        </is>
      </c>
      <c r="B2561" t="inlineStr">
        <is>
          <t>TPBank</t>
        </is>
      </c>
      <c r="C2561" t="n">
        <v>25550</v>
      </c>
      <c r="D2561" t="n">
        <v>25760</v>
      </c>
      <c r="E2561" t="n">
        <v>26165</v>
      </c>
    </row>
    <row r="2562">
      <c r="A2562" t="inlineStr">
        <is>
          <t>06/02/2026</t>
        </is>
      </c>
      <c r="B2562" t="inlineStr">
        <is>
          <t>TPBank</t>
        </is>
      </c>
      <c r="C2562" t="n">
        <v>25550</v>
      </c>
      <c r="D2562" t="n">
        <v>25760</v>
      </c>
      <c r="E2562" t="n">
        <v>26165</v>
      </c>
    </row>
    <row r="2563">
      <c r="A2563" t="inlineStr">
        <is>
          <t>05/02/2026</t>
        </is>
      </c>
      <c r="B2563" t="inlineStr">
        <is>
          <t>TPBank</t>
        </is>
      </c>
      <c r="C2563" t="n">
        <v>25580</v>
      </c>
      <c r="D2563" t="n">
        <v>25790</v>
      </c>
      <c r="E2563" t="n">
        <v>26175</v>
      </c>
    </row>
    <row r="2564">
      <c r="A2564" t="inlineStr">
        <is>
          <t>04/02/2026</t>
        </is>
      </c>
      <c r="B2564" t="inlineStr">
        <is>
          <t>TPBank</t>
        </is>
      </c>
      <c r="C2564" t="n">
        <v>25610</v>
      </c>
      <c r="D2564" t="n">
        <v>25820</v>
      </c>
      <c r="E2564" t="n">
        <v>26205</v>
      </c>
    </row>
    <row r="2565">
      <c r="A2565" t="inlineStr">
        <is>
          <t>03/02/2026</t>
        </is>
      </c>
      <c r="B2565" t="inlineStr">
        <is>
          <t>TPBank</t>
        </is>
      </c>
      <c r="C2565" t="n">
        <v>25610</v>
      </c>
      <c r="D2565" t="n">
        <v>25820</v>
      </c>
      <c r="E2565" t="n">
        <v>26205</v>
      </c>
    </row>
    <row r="2566">
      <c r="A2566" t="inlineStr">
        <is>
          <t>02/02/2026</t>
        </is>
      </c>
      <c r="B2566" t="inlineStr">
        <is>
          <t>TPBank</t>
        </is>
      </c>
      <c r="C2566" t="n">
        <v>25610</v>
      </c>
      <c r="D2566" t="n">
        <v>25820</v>
      </c>
      <c r="E2566" t="n">
        <v>26205</v>
      </c>
    </row>
    <row r="2567">
      <c r="A2567" t="inlineStr">
        <is>
          <t>01/02/2026</t>
        </is>
      </c>
      <c r="B2567" t="inlineStr">
        <is>
          <t>TPBank</t>
        </is>
      </c>
      <c r="C2567" t="n">
        <v>25540</v>
      </c>
      <c r="D2567" t="n">
        <v>25750</v>
      </c>
      <c r="E2567" t="n">
        <v>26135</v>
      </c>
    </row>
    <row r="2568">
      <c r="A2568" t="inlineStr">
        <is>
          <t>31/01/2026</t>
        </is>
      </c>
      <c r="B2568" t="inlineStr">
        <is>
          <t>TPBank</t>
        </is>
      </c>
      <c r="C2568" t="n">
        <v>25540</v>
      </c>
      <c r="D2568" t="n">
        <v>25750</v>
      </c>
      <c r="E2568" t="n">
        <v>26135</v>
      </c>
    </row>
    <row r="2569">
      <c r="A2569" t="inlineStr">
        <is>
          <t>30/01/2026</t>
        </is>
      </c>
      <c r="B2569" t="inlineStr">
        <is>
          <t>TPBank</t>
        </is>
      </c>
      <c r="C2569" t="n">
        <v>25540</v>
      </c>
      <c r="D2569" t="n">
        <v>25750</v>
      </c>
      <c r="E2569" t="n">
        <v>26135</v>
      </c>
    </row>
    <row r="2570">
      <c r="A2570" t="inlineStr">
        <is>
          <t>29/01/2026</t>
        </is>
      </c>
      <c r="B2570" t="inlineStr">
        <is>
          <t>TPBank</t>
        </is>
      </c>
      <c r="C2570" t="n">
        <v>25630</v>
      </c>
      <c r="D2570" t="n">
        <v>25840</v>
      </c>
      <c r="E2570" t="n">
        <v>26225</v>
      </c>
    </row>
    <row r="2571">
      <c r="A2571" t="inlineStr">
        <is>
          <t>28/01/2026</t>
        </is>
      </c>
      <c r="B2571" t="inlineStr">
        <is>
          <t>TPBank</t>
        </is>
      </c>
      <c r="C2571" t="n">
        <v>25690</v>
      </c>
      <c r="D2571" t="n">
        <v>25900</v>
      </c>
      <c r="E2571" t="n">
        <v>26285</v>
      </c>
    </row>
    <row r="2572">
      <c r="A2572" t="inlineStr">
        <is>
          <t>27/01/2026</t>
        </is>
      </c>
      <c r="B2572" t="inlineStr">
        <is>
          <t>TPBank</t>
        </is>
      </c>
      <c r="C2572" t="n">
        <v>25760</v>
      </c>
      <c r="D2572" t="n">
        <v>25970</v>
      </c>
      <c r="E2572" t="n">
        <v>26355</v>
      </c>
    </row>
    <row r="2573">
      <c r="A2573" t="inlineStr">
        <is>
          <t>26/01/2026</t>
        </is>
      </c>
      <c r="B2573" t="inlineStr">
        <is>
          <t>TPBank</t>
        </is>
      </c>
      <c r="C2573" t="n">
        <v>25798</v>
      </c>
      <c r="D2573" t="n">
        <v>26008</v>
      </c>
      <c r="E2573" t="n">
        <v>26393</v>
      </c>
    </row>
    <row r="2574">
      <c r="A2574" t="inlineStr">
        <is>
          <t>25/01/2026</t>
        </is>
      </c>
      <c r="B2574" t="inlineStr">
        <is>
          <t>TPBank</t>
        </is>
      </c>
      <c r="C2574" t="n">
        <v>25851</v>
      </c>
      <c r="D2574" t="n">
        <v>26061</v>
      </c>
      <c r="E2574" t="n">
        <v>26406</v>
      </c>
    </row>
    <row r="2575">
      <c r="A2575" t="inlineStr">
        <is>
          <t>24/01/2026</t>
        </is>
      </c>
      <c r="B2575" t="inlineStr">
        <is>
          <t>TPBank</t>
        </is>
      </c>
      <c r="C2575" t="n">
        <v>25851</v>
      </c>
      <c r="D2575" t="n">
        <v>26061</v>
      </c>
      <c r="E2575" t="n">
        <v>26406</v>
      </c>
    </row>
    <row r="2576">
      <c r="A2576" t="inlineStr">
        <is>
          <t>23/01/2026</t>
        </is>
      </c>
      <c r="B2576" t="inlineStr">
        <is>
          <t>TPBank</t>
        </is>
      </c>
      <c r="C2576" t="n">
        <v>25851</v>
      </c>
      <c r="D2576" t="n">
        <v>26061</v>
      </c>
      <c r="E2576" t="n">
        <v>26406</v>
      </c>
    </row>
    <row r="2577">
      <c r="A2577" t="inlineStr">
        <is>
          <t>22/01/2026</t>
        </is>
      </c>
      <c r="B2577" t="inlineStr">
        <is>
          <t>TPBank</t>
        </is>
      </c>
      <c r="C2577" t="n">
        <v>25871</v>
      </c>
      <c r="D2577" t="n">
        <v>26081</v>
      </c>
      <c r="E2577" t="n">
        <v>26406</v>
      </c>
    </row>
    <row r="2578">
      <c r="A2578" t="inlineStr">
        <is>
          <t>21/01/2026</t>
        </is>
      </c>
      <c r="B2578" t="inlineStr">
        <is>
          <t>TPBank</t>
        </is>
      </c>
      <c r="C2578" t="n">
        <v>25870</v>
      </c>
      <c r="D2578" t="n">
        <v>26080</v>
      </c>
      <c r="E2578" t="n">
        <v>26405</v>
      </c>
    </row>
    <row r="2579">
      <c r="A2579" t="inlineStr">
        <is>
          <t>20/01/2026</t>
        </is>
      </c>
      <c r="B2579" t="inlineStr">
        <is>
          <t>TPBank</t>
        </is>
      </c>
      <c r="C2579" t="n">
        <v>25876</v>
      </c>
      <c r="D2579" t="n">
        <v>26086</v>
      </c>
      <c r="E2579" t="n">
        <v>26411</v>
      </c>
    </row>
    <row r="2580">
      <c r="A2580" t="inlineStr">
        <is>
          <t>19/01/2026</t>
        </is>
      </c>
      <c r="B2580" t="inlineStr">
        <is>
          <t>TPBank</t>
        </is>
      </c>
      <c r="C2580" t="n">
        <v>25878</v>
      </c>
      <c r="D2580" t="n">
        <v>26088</v>
      </c>
      <c r="E2580" t="n">
        <v>26413</v>
      </c>
    </row>
    <row r="2581">
      <c r="A2581" t="inlineStr">
        <is>
          <t>18/01/2026</t>
        </is>
      </c>
      <c r="B2581" t="inlineStr">
        <is>
          <t>TPBank</t>
        </is>
      </c>
      <c r="C2581" t="n">
        <v>25877</v>
      </c>
      <c r="D2581" t="n">
        <v>26087</v>
      </c>
      <c r="E2581" t="n">
        <v>26412</v>
      </c>
    </row>
    <row r="2582">
      <c r="A2582" t="inlineStr">
        <is>
          <t>17/01/2026</t>
        </is>
      </c>
      <c r="B2582" t="inlineStr">
        <is>
          <t>TPBank</t>
        </is>
      </c>
      <c r="C2582" t="n">
        <v>25877</v>
      </c>
      <c r="D2582" t="n">
        <v>26087</v>
      </c>
      <c r="E2582" t="n">
        <v>26412</v>
      </c>
    </row>
    <row r="2583">
      <c r="A2583" t="inlineStr">
        <is>
          <t>16/01/2026</t>
        </is>
      </c>
      <c r="B2583" t="inlineStr">
        <is>
          <t>TPBank</t>
        </is>
      </c>
      <c r="C2583" t="n">
        <v>25877</v>
      </c>
      <c r="D2583" t="n">
        <v>26087</v>
      </c>
      <c r="E2583" t="n">
        <v>26412</v>
      </c>
    </row>
    <row r="2584">
      <c r="A2584" t="inlineStr">
        <is>
          <t>15/01/2026</t>
        </is>
      </c>
      <c r="B2584" t="inlineStr">
        <is>
          <t>TPBank</t>
        </is>
      </c>
      <c r="C2584" t="n">
        <v>25881</v>
      </c>
      <c r="D2584" t="n">
        <v>26091</v>
      </c>
      <c r="E2584" t="n">
        <v>26416</v>
      </c>
    </row>
    <row r="2585">
      <c r="A2585" t="inlineStr">
        <is>
          <t>14/01/2026</t>
        </is>
      </c>
      <c r="B2585" t="inlineStr">
        <is>
          <t>TPBank</t>
        </is>
      </c>
      <c r="C2585" t="n">
        <v>25881</v>
      </c>
      <c r="D2585" t="n">
        <v>26091</v>
      </c>
      <c r="E2585" t="n">
        <v>26416</v>
      </c>
    </row>
    <row r="2586">
      <c r="A2586" t="inlineStr">
        <is>
          <t>13/01/2026</t>
        </is>
      </c>
      <c r="B2586" t="inlineStr">
        <is>
          <t>TPBank</t>
        </is>
      </c>
      <c r="C2586" t="n">
        <v>25875</v>
      </c>
      <c r="D2586" t="n">
        <v>26085</v>
      </c>
      <c r="E2586" t="n">
        <v>26410</v>
      </c>
    </row>
    <row r="2587">
      <c r="A2587" t="inlineStr">
        <is>
          <t>12/01/2026</t>
        </is>
      </c>
      <c r="B2587" t="inlineStr">
        <is>
          <t>TPBank</t>
        </is>
      </c>
      <c r="C2587" t="n">
        <v>25875</v>
      </c>
      <c r="D2587" t="n">
        <v>26085</v>
      </c>
      <c r="E2587" t="n">
        <v>26410</v>
      </c>
    </row>
    <row r="2588">
      <c r="A2588" t="inlineStr">
        <is>
          <t>11/01/2026</t>
        </is>
      </c>
      <c r="B2588" t="inlineStr">
        <is>
          <t>TPBank</t>
        </is>
      </c>
      <c r="C2588" t="n">
        <v>25877</v>
      </c>
      <c r="D2588" t="n">
        <v>26087</v>
      </c>
      <c r="E2588" t="n">
        <v>26412</v>
      </c>
    </row>
    <row r="2589">
      <c r="A2589" t="inlineStr">
        <is>
          <t>10/01/2026</t>
        </is>
      </c>
      <c r="B2589" t="inlineStr">
        <is>
          <t>TPBank</t>
        </is>
      </c>
      <c r="C2589" t="n">
        <v>25877</v>
      </c>
      <c r="D2589" t="n">
        <v>26087</v>
      </c>
      <c r="E2589" t="n">
        <v>26412</v>
      </c>
    </row>
    <row r="2590">
      <c r="A2590" t="inlineStr">
        <is>
          <t>09/01/2026</t>
        </is>
      </c>
      <c r="B2590" t="inlineStr">
        <is>
          <t>TPBank</t>
        </is>
      </c>
      <c r="C2590" t="n">
        <v>25873</v>
      </c>
      <c r="D2590" t="n">
        <v>26083</v>
      </c>
      <c r="E2590" t="n">
        <v>26408</v>
      </c>
    </row>
    <row r="2591">
      <c r="A2591" t="inlineStr">
        <is>
          <t>08/01/2026</t>
        </is>
      </c>
      <c r="B2591" t="inlineStr">
        <is>
          <t>TPBank</t>
        </is>
      </c>
      <c r="C2591" t="n">
        <v>25871</v>
      </c>
      <c r="D2591" t="n">
        <v>26081</v>
      </c>
      <c r="E2591" t="n">
        <v>26406</v>
      </c>
    </row>
    <row r="2592">
      <c r="A2592" t="inlineStr">
        <is>
          <t>07/01/2026</t>
        </is>
      </c>
      <c r="B2592" t="inlineStr">
        <is>
          <t>TPBank</t>
        </is>
      </c>
      <c r="C2592" t="n">
        <v>25868</v>
      </c>
      <c r="D2592" t="n">
        <v>26078</v>
      </c>
      <c r="E2592" t="n">
        <v>26403</v>
      </c>
    </row>
    <row r="2593">
      <c r="A2593" t="inlineStr">
        <is>
          <t>06/01/2026</t>
        </is>
      </c>
      <c r="B2593" t="inlineStr">
        <is>
          <t>TPBank</t>
        </is>
      </c>
      <c r="C2593" t="n">
        <v>25868</v>
      </c>
      <c r="D2593" t="n">
        <v>26078</v>
      </c>
      <c r="E2593" t="n">
        <v>26403</v>
      </c>
    </row>
    <row r="2594">
      <c r="A2594" t="inlineStr">
        <is>
          <t>05/01/2026</t>
        </is>
      </c>
      <c r="B2594" t="inlineStr">
        <is>
          <t>TPBank</t>
        </is>
      </c>
      <c r="C2594" t="n">
        <v>25870</v>
      </c>
      <c r="D2594" t="n">
        <v>26080</v>
      </c>
      <c r="E2594" t="n">
        <v>26405</v>
      </c>
    </row>
    <row r="2595">
      <c r="A2595" t="inlineStr">
        <is>
          <t>04/01/2026</t>
        </is>
      </c>
      <c r="B2595" t="inlineStr">
        <is>
          <t>TPBank</t>
        </is>
      </c>
      <c r="C2595" t="n">
        <v>25867</v>
      </c>
      <c r="D2595" t="n">
        <v>26077</v>
      </c>
      <c r="E2595" t="n">
        <v>26402</v>
      </c>
    </row>
    <row r="2596">
      <c r="A2596" t="inlineStr">
        <is>
          <t>03/01/2026</t>
        </is>
      </c>
      <c r="B2596" t="inlineStr">
        <is>
          <t>TPBank</t>
        </is>
      </c>
      <c r="C2596" t="n">
        <v>25867</v>
      </c>
      <c r="D2596" t="n">
        <v>26077</v>
      </c>
      <c r="E2596" t="n">
        <v>26402</v>
      </c>
    </row>
    <row r="2597">
      <c r="A2597" t="inlineStr">
        <is>
          <t>02/01/2026</t>
        </is>
      </c>
      <c r="B2597" t="inlineStr">
        <is>
          <t>TPBank</t>
        </is>
      </c>
      <c r="C2597" t="n">
        <v>25867</v>
      </c>
      <c r="D2597" t="n">
        <v>26077</v>
      </c>
      <c r="E2597" t="n">
        <v>26402</v>
      </c>
    </row>
    <row r="2598">
      <c r="A2598" t="inlineStr">
        <is>
          <t>01/01/2026</t>
        </is>
      </c>
      <c r="B2598" t="inlineStr">
        <is>
          <t>TPBank</t>
        </is>
      </c>
      <c r="C2598" t="n">
        <v>25867</v>
      </c>
      <c r="D2598" t="n">
        <v>26077</v>
      </c>
      <c r="E2598" t="n">
        <v>26402</v>
      </c>
    </row>
    <row r="2599">
      <c r="A2599" t="inlineStr">
        <is>
          <t>10/09/2026</t>
        </is>
      </c>
      <c r="B2599" t="inlineStr">
        <is>
          <t>TPBank</t>
        </is>
      </c>
      <c r="C2599" t="n">
        <v>25505</v>
      </c>
      <c r="D2599" t="n">
        <v>25720</v>
      </c>
      <c r="E2599" t="n">
        <v>26120</v>
      </c>
    </row>
    <row r="2600">
      <c r="A2600" t="inlineStr">
        <is>
          <t>11/09/2026</t>
        </is>
      </c>
      <c r="B2600" t="inlineStr">
        <is>
          <t>TPBank</t>
        </is>
      </c>
      <c r="C2600" t="n">
        <v>25510</v>
      </c>
      <c r="D2600" t="n">
        <v>25740</v>
      </c>
      <c r="E2600" t="n">
        <v>26120</v>
      </c>
    </row>
    <row r="2601">
      <c r="A2601" t="inlineStr">
        <is>
          <t>12/09/2026</t>
        </is>
      </c>
      <c r="B2601" t="inlineStr">
        <is>
          <t>TPBank</t>
        </is>
      </c>
      <c r="C2601" t="n">
        <v>25510</v>
      </c>
      <c r="D2601" t="n">
        <v>25740</v>
      </c>
      <c r="E2601" t="n">
        <v>26120</v>
      </c>
    </row>
    <row r="2602">
      <c r="A2602" t="inlineStr">
        <is>
          <t>13/09/2026</t>
        </is>
      </c>
      <c r="B2602" t="inlineStr">
        <is>
          <t>TPBank</t>
        </is>
      </c>
      <c r="C2602" t="n">
        <v>25510</v>
      </c>
      <c r="D2602" t="n">
        <v>25740</v>
      </c>
      <c r="E2602" t="n">
        <v>26120</v>
      </c>
    </row>
    <row r="2603">
      <c r="A2603" t="inlineStr">
        <is>
          <t>14/09/2026</t>
        </is>
      </c>
      <c r="B2603" t="inlineStr">
        <is>
          <t>TPBank</t>
        </is>
      </c>
      <c r="C2603" t="n">
        <v>25585</v>
      </c>
      <c r="D2603" t="n">
        <v>25800</v>
      </c>
      <c r="E2603" t="n">
        <v>26185</v>
      </c>
    </row>
    <row r="2604">
      <c r="A2604" t="inlineStr">
        <is>
          <t>15/09/2026</t>
        </is>
      </c>
      <c r="B2604" t="inlineStr">
        <is>
          <t>TPBank</t>
        </is>
      </c>
      <c r="C2604" t="n">
        <v>25545</v>
      </c>
      <c r="D2604" t="n">
        <v>25750</v>
      </c>
      <c r="E2604" t="n">
        <v>26175</v>
      </c>
    </row>
    <row r="2605">
      <c r="A2605" t="inlineStr">
        <is>
          <t>16/09/2026</t>
        </is>
      </c>
      <c r="B2605" t="inlineStr">
        <is>
          <t>TPBank</t>
        </is>
      </c>
      <c r="C2605" t="n">
        <v>25600</v>
      </c>
      <c r="D2605" t="n">
        <v>25800</v>
      </c>
      <c r="E2605" t="n">
        <v>26204</v>
      </c>
    </row>
    <row r="2606">
      <c r="A2606" t="inlineStr">
        <is>
          <t>18/09/2026</t>
        </is>
      </c>
      <c r="B2606" t="inlineStr">
        <is>
          <t>TPBank</t>
        </is>
      </c>
      <c r="C2606" t="n">
        <v>25611</v>
      </c>
      <c r="D2606" t="n">
        <v>25820</v>
      </c>
      <c r="E2606" t="n">
        <v>26224</v>
      </c>
    </row>
    <row r="2607">
      <c r="A2607" t="inlineStr">
        <is>
          <t>09/09/2026</t>
        </is>
      </c>
      <c r="B2607" t="inlineStr">
        <is>
          <t>Techcombank</t>
        </is>
      </c>
      <c r="C2607" t="n">
        <v>25706</v>
      </c>
      <c r="D2607" t="n">
        <v>25720</v>
      </c>
      <c r="E2607" t="n">
        <v>26090</v>
      </c>
    </row>
    <row r="2608">
      <c r="A2608" t="inlineStr">
        <is>
          <t>08/09/2026</t>
        </is>
      </c>
      <c r="B2608" t="inlineStr">
        <is>
          <t>Techcombank</t>
        </is>
      </c>
      <c r="C2608" t="n">
        <v>25776</v>
      </c>
      <c r="D2608" t="n">
        <v>25790</v>
      </c>
      <c r="E2608" t="n">
        <v>26160</v>
      </c>
    </row>
    <row r="2609">
      <c r="A2609" t="inlineStr">
        <is>
          <t>07/09/2026</t>
        </is>
      </c>
      <c r="B2609" t="inlineStr">
        <is>
          <t>Techcombank</t>
        </is>
      </c>
      <c r="C2609" t="n">
        <v>25826</v>
      </c>
      <c r="D2609" t="n">
        <v>25840</v>
      </c>
      <c r="E2609" t="n">
        <v>26210</v>
      </c>
    </row>
    <row r="2610">
      <c r="A2610" t="inlineStr">
        <is>
          <t>06/09/2026</t>
        </is>
      </c>
      <c r="B2610" t="inlineStr">
        <is>
          <t>Techcombank</t>
        </is>
      </c>
      <c r="C2610" t="n">
        <v>25861</v>
      </c>
      <c r="D2610" t="n">
        <v>25875</v>
      </c>
      <c r="E2610" t="n">
        <v>26245</v>
      </c>
    </row>
    <row r="2611">
      <c r="A2611" t="inlineStr">
        <is>
          <t>05/09/2026</t>
        </is>
      </c>
      <c r="B2611" t="inlineStr">
        <is>
          <t>Techcombank</t>
        </is>
      </c>
      <c r="C2611" t="n">
        <v>25861</v>
      </c>
      <c r="D2611" t="n">
        <v>25875</v>
      </c>
      <c r="E2611" t="n">
        <v>26245</v>
      </c>
    </row>
    <row r="2612">
      <c r="A2612" t="inlineStr">
        <is>
          <t>04/09/2026</t>
        </is>
      </c>
      <c r="B2612" t="inlineStr">
        <is>
          <t>Techcombank</t>
        </is>
      </c>
      <c r="C2612" t="n">
        <v>25861</v>
      </c>
      <c r="D2612" t="n">
        <v>25875</v>
      </c>
      <c r="E2612" t="n">
        <v>26245</v>
      </c>
    </row>
    <row r="2613">
      <c r="A2613" t="inlineStr">
        <is>
          <t>03/09/2026</t>
        </is>
      </c>
      <c r="B2613" t="inlineStr">
        <is>
          <t>Techcombank</t>
        </is>
      </c>
      <c r="C2613" t="n">
        <v>25901</v>
      </c>
      <c r="D2613" t="n">
        <v>25915</v>
      </c>
      <c r="E2613" t="n">
        <v>26280</v>
      </c>
    </row>
    <row r="2614">
      <c r="A2614" t="inlineStr">
        <is>
          <t>02/09/2026</t>
        </is>
      </c>
      <c r="B2614" t="inlineStr">
        <is>
          <t>Techcombank</t>
        </is>
      </c>
      <c r="C2614" t="n">
        <v>25881</v>
      </c>
      <c r="D2614" t="n">
        <v>25895</v>
      </c>
      <c r="E2614" t="n">
        <v>26275</v>
      </c>
    </row>
    <row r="2615">
      <c r="A2615" t="inlineStr">
        <is>
          <t>01/09/2026</t>
        </is>
      </c>
      <c r="B2615" t="inlineStr">
        <is>
          <t>Techcombank</t>
        </is>
      </c>
      <c r="C2615" t="n">
        <v>25881</v>
      </c>
      <c r="D2615" t="n">
        <v>25895</v>
      </c>
      <c r="E2615" t="n">
        <v>26275</v>
      </c>
    </row>
    <row r="2616">
      <c r="A2616" t="inlineStr">
        <is>
          <t>31/08/2026</t>
        </is>
      </c>
      <c r="B2616" t="inlineStr">
        <is>
          <t>Techcombank</t>
        </is>
      </c>
      <c r="C2616" t="n">
        <v>25881</v>
      </c>
      <c r="D2616" t="n">
        <v>25895</v>
      </c>
      <c r="E2616" t="n">
        <v>26275</v>
      </c>
    </row>
    <row r="2617">
      <c r="A2617" t="inlineStr">
        <is>
          <t>30/08/2026</t>
        </is>
      </c>
      <c r="B2617" t="inlineStr">
        <is>
          <t>Techcombank</t>
        </is>
      </c>
      <c r="C2617" t="n">
        <v>25881</v>
      </c>
      <c r="D2617" t="n">
        <v>25895</v>
      </c>
      <c r="E2617" t="n">
        <v>26275</v>
      </c>
    </row>
    <row r="2618">
      <c r="A2618" t="inlineStr">
        <is>
          <t>29/08/2026</t>
        </is>
      </c>
      <c r="B2618" t="inlineStr">
        <is>
          <t>Techcombank</t>
        </is>
      </c>
      <c r="C2618" t="n">
        <v>25881</v>
      </c>
      <c r="D2618" t="n">
        <v>25895</v>
      </c>
      <c r="E2618" t="n">
        <v>26275</v>
      </c>
    </row>
    <row r="2619">
      <c r="A2619" t="inlineStr">
        <is>
          <t>28/08/2026</t>
        </is>
      </c>
      <c r="B2619" t="inlineStr">
        <is>
          <t>Techcombank</t>
        </is>
      </c>
      <c r="C2619" t="n">
        <v>25876</v>
      </c>
      <c r="D2619" t="n">
        <v>25890</v>
      </c>
      <c r="E2619" t="n">
        <v>26270</v>
      </c>
    </row>
    <row r="2620">
      <c r="A2620" t="inlineStr">
        <is>
          <t>27/08/2026</t>
        </is>
      </c>
      <c r="B2620" t="inlineStr">
        <is>
          <t>Techcombank</t>
        </is>
      </c>
      <c r="C2620" t="n">
        <v>25886</v>
      </c>
      <c r="D2620" t="n">
        <v>25900</v>
      </c>
      <c r="E2620" t="n">
        <v>26266</v>
      </c>
    </row>
    <row r="2621">
      <c r="A2621" t="inlineStr">
        <is>
          <t>26/08/2026</t>
        </is>
      </c>
      <c r="B2621" t="inlineStr">
        <is>
          <t>Techcombank</t>
        </is>
      </c>
      <c r="C2621" t="n">
        <v>25903</v>
      </c>
      <c r="D2621" t="n">
        <v>25917</v>
      </c>
      <c r="E2621" t="n">
        <v>26285</v>
      </c>
    </row>
    <row r="2622">
      <c r="A2622" t="inlineStr">
        <is>
          <t>25/08/2026</t>
        </is>
      </c>
      <c r="B2622" t="inlineStr">
        <is>
          <t>Techcombank</t>
        </is>
      </c>
      <c r="C2622" t="n">
        <v>25916</v>
      </c>
      <c r="D2622" t="n">
        <v>25930</v>
      </c>
      <c r="E2622" t="n">
        <v>26300</v>
      </c>
    </row>
    <row r="2623">
      <c r="A2623" t="inlineStr">
        <is>
          <t>24/08/2026</t>
        </is>
      </c>
      <c r="B2623" t="inlineStr">
        <is>
          <t>Techcombank</t>
        </is>
      </c>
      <c r="C2623" t="n">
        <v>25978</v>
      </c>
      <c r="D2623" t="n">
        <v>25992</v>
      </c>
      <c r="E2623" t="n">
        <v>26360</v>
      </c>
    </row>
    <row r="2624">
      <c r="A2624" t="inlineStr">
        <is>
          <t>23/08/2026</t>
        </is>
      </c>
      <c r="B2624" t="inlineStr">
        <is>
          <t>Techcombank</t>
        </is>
      </c>
      <c r="C2624" t="n">
        <v>25926</v>
      </c>
      <c r="D2624" t="n">
        <v>25940</v>
      </c>
      <c r="E2624" t="n">
        <v>26315</v>
      </c>
    </row>
    <row r="2625">
      <c r="A2625" t="inlineStr">
        <is>
          <t>22/08/2026</t>
        </is>
      </c>
      <c r="B2625" t="inlineStr">
        <is>
          <t>Techcombank</t>
        </is>
      </c>
      <c r="C2625" t="n">
        <v>25926</v>
      </c>
      <c r="D2625" t="n">
        <v>25940</v>
      </c>
      <c r="E2625" t="n">
        <v>26315</v>
      </c>
    </row>
    <row r="2626">
      <c r="A2626" t="inlineStr">
        <is>
          <t>21/08/2026</t>
        </is>
      </c>
      <c r="B2626" t="inlineStr">
        <is>
          <t>Techcombank</t>
        </is>
      </c>
      <c r="C2626" t="n">
        <v>25931</v>
      </c>
      <c r="D2626" t="n">
        <v>25945</v>
      </c>
      <c r="E2626" t="n">
        <v>26315</v>
      </c>
    </row>
    <row r="2627">
      <c r="A2627" t="inlineStr">
        <is>
          <t>20/08/2026</t>
        </is>
      </c>
      <c r="B2627" t="inlineStr">
        <is>
          <t>Techcombank</t>
        </is>
      </c>
      <c r="C2627" t="n">
        <v>25906</v>
      </c>
      <c r="D2627" t="n">
        <v>25920</v>
      </c>
      <c r="E2627" t="n">
        <v>26287</v>
      </c>
    </row>
    <row r="2628">
      <c r="A2628" t="inlineStr">
        <is>
          <t>19/08/2026</t>
        </is>
      </c>
      <c r="B2628" t="inlineStr">
        <is>
          <t>Techcombank</t>
        </is>
      </c>
      <c r="C2628" t="n">
        <v>25983</v>
      </c>
      <c r="D2628" t="n">
        <v>25997</v>
      </c>
      <c r="E2628" t="n">
        <v>26367</v>
      </c>
    </row>
    <row r="2629">
      <c r="A2629" t="inlineStr">
        <is>
          <t>18/08/2026</t>
        </is>
      </c>
      <c r="B2629" t="inlineStr">
        <is>
          <t>Techcombank</t>
        </is>
      </c>
      <c r="C2629" t="n">
        <v>25984</v>
      </c>
      <c r="D2629" t="n">
        <v>25998</v>
      </c>
      <c r="E2629" t="n">
        <v>26365</v>
      </c>
    </row>
    <row r="2630">
      <c r="A2630" t="inlineStr">
        <is>
          <t>17/08/2026</t>
        </is>
      </c>
      <c r="B2630" t="inlineStr">
        <is>
          <t>Techcombank</t>
        </is>
      </c>
      <c r="C2630" t="n">
        <v>26011</v>
      </c>
      <c r="D2630" t="n">
        <v>26025</v>
      </c>
      <c r="E2630" t="n">
        <v>26395</v>
      </c>
    </row>
    <row r="2631">
      <c r="A2631" t="inlineStr">
        <is>
          <t>16/08/2026</t>
        </is>
      </c>
      <c r="B2631" t="inlineStr">
        <is>
          <t>Techcombank</t>
        </is>
      </c>
      <c r="C2631" t="n">
        <v>25941</v>
      </c>
      <c r="D2631" t="n">
        <v>25975</v>
      </c>
      <c r="E2631" t="n">
        <v>26350</v>
      </c>
    </row>
    <row r="2632">
      <c r="A2632" t="inlineStr">
        <is>
          <t>15/08/2026</t>
        </is>
      </c>
      <c r="B2632" t="inlineStr">
        <is>
          <t>Techcombank</t>
        </is>
      </c>
      <c r="C2632" t="n">
        <v>25941</v>
      </c>
      <c r="D2632" t="n">
        <v>25975</v>
      </c>
      <c r="E2632" t="n">
        <v>26350</v>
      </c>
    </row>
    <row r="2633">
      <c r="A2633" t="inlineStr">
        <is>
          <t>14/08/2026</t>
        </is>
      </c>
      <c r="B2633" t="inlineStr">
        <is>
          <t>Techcombank</t>
        </is>
      </c>
      <c r="C2633" t="n">
        <v>25946</v>
      </c>
      <c r="D2633" t="n">
        <v>25980</v>
      </c>
      <c r="E2633" t="n">
        <v>26350</v>
      </c>
    </row>
    <row r="2634">
      <c r="A2634" t="inlineStr">
        <is>
          <t>13/08/2026</t>
        </is>
      </c>
      <c r="B2634" t="inlineStr">
        <is>
          <t>Techcombank</t>
        </is>
      </c>
      <c r="C2634" t="n">
        <v>25879</v>
      </c>
      <c r="D2634" t="n">
        <v>25913</v>
      </c>
      <c r="E2634" t="n">
        <v>26283</v>
      </c>
    </row>
    <row r="2635">
      <c r="A2635" t="inlineStr">
        <is>
          <t>12/08/2026</t>
        </is>
      </c>
      <c r="B2635" t="inlineStr">
        <is>
          <t>Techcombank</t>
        </is>
      </c>
      <c r="C2635" t="n">
        <v>25861</v>
      </c>
      <c r="D2635" t="n">
        <v>25875</v>
      </c>
      <c r="E2635" t="n">
        <v>26245</v>
      </c>
    </row>
    <row r="2636">
      <c r="A2636" t="inlineStr">
        <is>
          <t>11/08/2026</t>
        </is>
      </c>
      <c r="B2636" t="inlineStr">
        <is>
          <t>Techcombank</t>
        </is>
      </c>
      <c r="C2636" t="n">
        <v>25931</v>
      </c>
      <c r="D2636" t="n">
        <v>25945</v>
      </c>
      <c r="E2636" t="n">
        <v>26315</v>
      </c>
    </row>
    <row r="2637">
      <c r="A2637" t="inlineStr">
        <is>
          <t>10/08/2026</t>
        </is>
      </c>
      <c r="B2637" t="inlineStr">
        <is>
          <t>Techcombank</t>
        </is>
      </c>
      <c r="C2637" t="n">
        <v>25956</v>
      </c>
      <c r="D2637" t="n">
        <v>25970</v>
      </c>
      <c r="E2637" t="n">
        <v>26340</v>
      </c>
    </row>
    <row r="2638">
      <c r="A2638" t="inlineStr">
        <is>
          <t>09/08/2026</t>
        </is>
      </c>
      <c r="B2638" t="inlineStr">
        <is>
          <t>Techcombank</t>
        </is>
      </c>
      <c r="C2638" t="n">
        <v>26001</v>
      </c>
      <c r="D2638" t="n">
        <v>26015</v>
      </c>
      <c r="E2638" t="n">
        <v>26385</v>
      </c>
    </row>
    <row r="2639">
      <c r="A2639" t="inlineStr">
        <is>
          <t>08/08/2026</t>
        </is>
      </c>
      <c r="B2639" t="inlineStr">
        <is>
          <t>Techcombank</t>
        </is>
      </c>
      <c r="C2639" t="n">
        <v>26001</v>
      </c>
      <c r="D2639" t="n">
        <v>26015</v>
      </c>
      <c r="E2639" t="n">
        <v>26385</v>
      </c>
    </row>
    <row r="2640">
      <c r="A2640" t="inlineStr">
        <is>
          <t>07/08/2026</t>
        </is>
      </c>
      <c r="B2640" t="inlineStr">
        <is>
          <t>Techcombank</t>
        </is>
      </c>
      <c r="C2640" t="n">
        <v>26003</v>
      </c>
      <c r="D2640" t="n">
        <v>26017</v>
      </c>
      <c r="E2640" t="n">
        <v>26382</v>
      </c>
    </row>
    <row r="2641">
      <c r="A2641" t="inlineStr">
        <is>
          <t>06/08/2026</t>
        </is>
      </c>
      <c r="B2641" t="inlineStr">
        <is>
          <t>Techcombank</t>
        </is>
      </c>
      <c r="C2641" t="n">
        <v>26041</v>
      </c>
      <c r="D2641" t="n">
        <v>26055</v>
      </c>
      <c r="E2641" t="n">
        <v>26425</v>
      </c>
    </row>
    <row r="2642">
      <c r="A2642" t="inlineStr">
        <is>
          <t>05/08/2026</t>
        </is>
      </c>
      <c r="B2642" t="inlineStr">
        <is>
          <t>Techcombank</t>
        </is>
      </c>
      <c r="C2642" t="n">
        <v>26056</v>
      </c>
      <c r="D2642" t="n">
        <v>26070</v>
      </c>
      <c r="E2642" t="n">
        <v>26435</v>
      </c>
    </row>
    <row r="2643">
      <c r="A2643" t="inlineStr">
        <is>
          <t>04/08/2026</t>
        </is>
      </c>
      <c r="B2643" t="inlineStr">
        <is>
          <t>Techcombank</t>
        </is>
      </c>
      <c r="C2643" t="n">
        <v>26070</v>
      </c>
      <c r="D2643" t="n">
        <v>26079</v>
      </c>
      <c r="E2643" t="n">
        <v>26445</v>
      </c>
    </row>
    <row r="2644">
      <c r="A2644" t="inlineStr">
        <is>
          <t>03/08/2026</t>
        </is>
      </c>
      <c r="B2644" t="inlineStr">
        <is>
          <t>Techcombank</t>
        </is>
      </c>
      <c r="C2644" t="n">
        <v>26081</v>
      </c>
      <c r="D2644" t="n">
        <v>26090</v>
      </c>
      <c r="E2644" t="n">
        <v>26455</v>
      </c>
    </row>
    <row r="2645">
      <c r="A2645" t="inlineStr">
        <is>
          <t>02/08/2026</t>
        </is>
      </c>
      <c r="B2645" t="inlineStr">
        <is>
          <t>Techcombank</t>
        </is>
      </c>
      <c r="C2645" t="n">
        <v>26101</v>
      </c>
      <c r="D2645" t="n">
        <v>26110</v>
      </c>
      <c r="E2645" t="n">
        <v>26480</v>
      </c>
    </row>
    <row r="2646">
      <c r="A2646" t="inlineStr">
        <is>
          <t>01/08/2026</t>
        </is>
      </c>
      <c r="B2646" t="inlineStr">
        <is>
          <t>Techcombank</t>
        </is>
      </c>
      <c r="C2646" t="n">
        <v>26101</v>
      </c>
      <c r="D2646" t="n">
        <v>26110</v>
      </c>
      <c r="E2646" t="n">
        <v>26480</v>
      </c>
    </row>
    <row r="2647">
      <c r="A2647" t="inlineStr">
        <is>
          <t>31/07/2026</t>
        </is>
      </c>
      <c r="B2647" t="inlineStr">
        <is>
          <t>Techcombank</t>
        </is>
      </c>
      <c r="C2647" t="n">
        <v>26096</v>
      </c>
      <c r="D2647" t="n">
        <v>26105</v>
      </c>
      <c r="E2647" t="n">
        <v>26475</v>
      </c>
    </row>
    <row r="2648">
      <c r="A2648" t="inlineStr">
        <is>
          <t>30/07/2026</t>
        </is>
      </c>
      <c r="B2648" t="inlineStr">
        <is>
          <t>Techcombank</t>
        </is>
      </c>
      <c r="C2648" t="n">
        <v>26081</v>
      </c>
      <c r="D2648" t="n">
        <v>26090</v>
      </c>
      <c r="E2648" t="n">
        <v>26460</v>
      </c>
    </row>
    <row r="2649">
      <c r="A2649" t="inlineStr">
        <is>
          <t>29/07/2026</t>
        </is>
      </c>
      <c r="B2649" t="inlineStr">
        <is>
          <t>Techcombank</t>
        </is>
      </c>
      <c r="C2649" t="n">
        <v>26126</v>
      </c>
      <c r="D2649" t="n">
        <v>26135</v>
      </c>
      <c r="E2649" t="n">
        <v>26505</v>
      </c>
    </row>
    <row r="2650">
      <c r="A2650" t="inlineStr">
        <is>
          <t>28/07/2026</t>
        </is>
      </c>
      <c r="B2650" t="inlineStr">
        <is>
          <t>Techcombank</t>
        </is>
      </c>
      <c r="C2650" t="n">
        <v>26140</v>
      </c>
      <c r="D2650" t="n">
        <v>26150</v>
      </c>
      <c r="E2650" t="n">
        <v>26520</v>
      </c>
    </row>
    <row r="2651">
      <c r="A2651" t="inlineStr">
        <is>
          <t>27/07/2026</t>
        </is>
      </c>
      <c r="B2651" t="inlineStr">
        <is>
          <t>Techcombank</t>
        </is>
      </c>
      <c r="C2651" t="n">
        <v>26126</v>
      </c>
      <c r="D2651" t="n">
        <v>26135</v>
      </c>
      <c r="E2651" t="n">
        <v>26505</v>
      </c>
    </row>
    <row r="2652">
      <c r="A2652" t="inlineStr">
        <is>
          <t>26/07/2026</t>
        </is>
      </c>
      <c r="B2652" t="inlineStr">
        <is>
          <t>Techcombank</t>
        </is>
      </c>
      <c r="C2652" t="n">
        <v>26129</v>
      </c>
      <c r="D2652" t="n">
        <v>26138</v>
      </c>
      <c r="E2652" t="n">
        <v>26508</v>
      </c>
    </row>
    <row r="2653">
      <c r="A2653" t="inlineStr">
        <is>
          <t>25/07/2026</t>
        </is>
      </c>
      <c r="B2653" t="inlineStr">
        <is>
          <t>Techcombank</t>
        </is>
      </c>
      <c r="C2653" t="n">
        <v>26129</v>
      </c>
      <c r="D2653" t="n">
        <v>26138</v>
      </c>
      <c r="E2653" t="n">
        <v>26508</v>
      </c>
    </row>
    <row r="2654">
      <c r="A2654" t="inlineStr">
        <is>
          <t>24/07/2026</t>
        </is>
      </c>
      <c r="B2654" t="inlineStr">
        <is>
          <t>Techcombank</t>
        </is>
      </c>
      <c r="C2654" t="n">
        <v>26129</v>
      </c>
      <c r="D2654" t="n">
        <v>26138</v>
      </c>
      <c r="E2654" t="n">
        <v>26508</v>
      </c>
    </row>
    <row r="2655">
      <c r="A2655" t="inlineStr">
        <is>
          <t>23/07/2026</t>
        </is>
      </c>
      <c r="B2655" t="inlineStr">
        <is>
          <t>Techcombank</t>
        </is>
      </c>
      <c r="C2655" t="n">
        <v>26116</v>
      </c>
      <c r="D2655" t="n">
        <v>26130</v>
      </c>
      <c r="E2655" t="n">
        <v>26495</v>
      </c>
    </row>
    <row r="2656">
      <c r="A2656" t="inlineStr">
        <is>
          <t>22/07/2026</t>
        </is>
      </c>
      <c r="B2656" t="inlineStr">
        <is>
          <t>Techcombank</t>
        </is>
      </c>
      <c r="C2656" t="n">
        <v>26116</v>
      </c>
      <c r="D2656" t="n">
        <v>26130</v>
      </c>
      <c r="E2656" t="n">
        <v>26495</v>
      </c>
    </row>
    <row r="2657">
      <c r="A2657" t="inlineStr">
        <is>
          <t>21/07/2026</t>
        </is>
      </c>
      <c r="B2657" t="inlineStr">
        <is>
          <t>Techcombank</t>
        </is>
      </c>
      <c r="C2657" t="n">
        <v>26128</v>
      </c>
      <c r="D2657" t="n">
        <v>26142</v>
      </c>
      <c r="E2657" t="n">
        <v>26507</v>
      </c>
    </row>
    <row r="2658">
      <c r="A2658" t="inlineStr">
        <is>
          <t>20/07/2026</t>
        </is>
      </c>
      <c r="B2658" t="inlineStr">
        <is>
          <t>Techcombank</t>
        </is>
      </c>
      <c r="C2658" t="n">
        <v>26099</v>
      </c>
      <c r="D2658" t="n">
        <v>26113</v>
      </c>
      <c r="E2658" t="n">
        <v>26478</v>
      </c>
    </row>
    <row r="2659">
      <c r="A2659" t="inlineStr">
        <is>
          <t>19/07/2026</t>
        </is>
      </c>
      <c r="B2659" t="inlineStr">
        <is>
          <t>Techcombank</t>
        </is>
      </c>
      <c r="C2659" t="n">
        <v>26135</v>
      </c>
      <c r="D2659" t="n">
        <v>26144</v>
      </c>
      <c r="E2659" t="n">
        <v>26508</v>
      </c>
    </row>
    <row r="2660">
      <c r="A2660" t="inlineStr">
        <is>
          <t>18/07/2026</t>
        </is>
      </c>
      <c r="B2660" t="inlineStr">
        <is>
          <t>Techcombank</t>
        </is>
      </c>
      <c r="C2660" t="n">
        <v>26096</v>
      </c>
      <c r="D2660" t="n">
        <v>26110</v>
      </c>
      <c r="E2660" t="n">
        <v>26475</v>
      </c>
    </row>
    <row r="2661">
      <c r="A2661" t="inlineStr">
        <is>
          <t>17/07/2026</t>
        </is>
      </c>
      <c r="B2661" t="inlineStr">
        <is>
          <t>Techcombank</t>
        </is>
      </c>
      <c r="C2661" t="n">
        <v>26096</v>
      </c>
      <c r="D2661" t="n">
        <v>26110</v>
      </c>
      <c r="E2661" t="n">
        <v>26475</v>
      </c>
    </row>
    <row r="2662">
      <c r="A2662" t="inlineStr">
        <is>
          <t>16/07/2026</t>
        </is>
      </c>
      <c r="B2662" t="inlineStr">
        <is>
          <t>Techcombank</t>
        </is>
      </c>
      <c r="C2662" t="n">
        <v>26056</v>
      </c>
      <c r="D2662" t="n">
        <v>26070</v>
      </c>
      <c r="E2662" t="n">
        <v>26435</v>
      </c>
    </row>
    <row r="2663">
      <c r="A2663" t="inlineStr">
        <is>
          <t>15/07/2026</t>
        </is>
      </c>
      <c r="B2663" t="inlineStr">
        <is>
          <t>Techcombank</t>
        </is>
      </c>
      <c r="C2663" t="n">
        <v>26056</v>
      </c>
      <c r="D2663" t="n">
        <v>26070</v>
      </c>
      <c r="E2663" t="n">
        <v>26435</v>
      </c>
    </row>
    <row r="2664">
      <c r="A2664" t="inlineStr">
        <is>
          <t>14/07/2026</t>
        </is>
      </c>
      <c r="B2664" t="inlineStr">
        <is>
          <t>Techcombank</t>
        </is>
      </c>
      <c r="C2664" t="n">
        <v>26061</v>
      </c>
      <c r="D2664" t="n">
        <v>26075</v>
      </c>
      <c r="E2664" t="n">
        <v>26440</v>
      </c>
    </row>
    <row r="2665">
      <c r="A2665" t="inlineStr">
        <is>
          <t>13/07/2026</t>
        </is>
      </c>
      <c r="B2665" t="inlineStr">
        <is>
          <t>Techcombank</t>
        </is>
      </c>
      <c r="C2665" t="n">
        <v>26061</v>
      </c>
      <c r="D2665" t="n">
        <v>26075</v>
      </c>
      <c r="E2665" t="n">
        <v>26440</v>
      </c>
    </row>
    <row r="2666">
      <c r="A2666" t="inlineStr">
        <is>
          <t>12/07/2026</t>
        </is>
      </c>
      <c r="B2666" t="inlineStr">
        <is>
          <t>Techcombank</t>
        </is>
      </c>
      <c r="C2666" t="n">
        <v>26066</v>
      </c>
      <c r="D2666" t="n">
        <v>26080</v>
      </c>
      <c r="E2666" t="n">
        <v>26445</v>
      </c>
    </row>
    <row r="2667">
      <c r="A2667" t="inlineStr">
        <is>
          <t>11/07/2026</t>
        </is>
      </c>
      <c r="B2667" t="inlineStr">
        <is>
          <t>Techcombank</t>
        </is>
      </c>
      <c r="C2667" t="n">
        <v>26066</v>
      </c>
      <c r="D2667" t="n">
        <v>26080</v>
      </c>
      <c r="E2667" t="n">
        <v>26445</v>
      </c>
    </row>
    <row r="2668">
      <c r="A2668" t="inlineStr">
        <is>
          <t>10/07/2026</t>
        </is>
      </c>
      <c r="B2668" t="inlineStr">
        <is>
          <t>Techcombank</t>
        </is>
      </c>
      <c r="C2668" t="n">
        <v>26066</v>
      </c>
      <c r="D2668" t="n">
        <v>26080</v>
      </c>
      <c r="E2668" t="n">
        <v>26445</v>
      </c>
    </row>
    <row r="2669">
      <c r="A2669" t="inlineStr">
        <is>
          <t>09/07/2026</t>
        </is>
      </c>
      <c r="B2669" t="inlineStr">
        <is>
          <t>Techcombank</t>
        </is>
      </c>
      <c r="C2669" t="n">
        <v>26096</v>
      </c>
      <c r="D2669" t="n">
        <v>26110</v>
      </c>
      <c r="E2669" t="n">
        <v>26471</v>
      </c>
    </row>
    <row r="2670">
      <c r="A2670" t="inlineStr">
        <is>
          <t>08/07/2026</t>
        </is>
      </c>
      <c r="B2670" t="inlineStr">
        <is>
          <t>Techcombank</t>
        </is>
      </c>
      <c r="C2670" t="n">
        <v>26096</v>
      </c>
      <c r="D2670" t="n">
        <v>26110</v>
      </c>
      <c r="E2670" t="n">
        <v>26466</v>
      </c>
    </row>
    <row r="2671">
      <c r="A2671" t="inlineStr">
        <is>
          <t>07/07/2026</t>
        </is>
      </c>
      <c r="B2671" t="inlineStr">
        <is>
          <t>Techcombank</t>
        </is>
      </c>
      <c r="C2671" t="n">
        <v>26096</v>
      </c>
      <c r="D2671" t="n">
        <v>26110</v>
      </c>
      <c r="E2671" t="n">
        <v>26462</v>
      </c>
    </row>
    <row r="2672">
      <c r="A2672" t="inlineStr">
        <is>
          <t>06/07/2026</t>
        </is>
      </c>
      <c r="B2672" t="inlineStr">
        <is>
          <t>Techcombank</t>
        </is>
      </c>
      <c r="C2672" t="n">
        <v>26101</v>
      </c>
      <c r="D2672" t="n">
        <v>26115</v>
      </c>
      <c r="E2672" t="n">
        <v>26462</v>
      </c>
    </row>
    <row r="2673">
      <c r="A2673" t="inlineStr">
        <is>
          <t>05/07/2026</t>
        </is>
      </c>
      <c r="B2673" t="inlineStr">
        <is>
          <t>Techcombank</t>
        </is>
      </c>
      <c r="C2673" t="n">
        <v>26096</v>
      </c>
      <c r="D2673" t="n">
        <v>26110</v>
      </c>
      <c r="E2673" t="n">
        <v>26463</v>
      </c>
    </row>
    <row r="2674">
      <c r="A2674" t="inlineStr">
        <is>
          <t>04/07/2026</t>
        </is>
      </c>
      <c r="B2674" t="inlineStr">
        <is>
          <t>Techcombank</t>
        </is>
      </c>
      <c r="C2674" t="n">
        <v>26096</v>
      </c>
      <c r="D2674" t="n">
        <v>26110</v>
      </c>
      <c r="E2674" t="n">
        <v>26463</v>
      </c>
    </row>
    <row r="2675">
      <c r="A2675" t="inlineStr">
        <is>
          <t>03/07/2026</t>
        </is>
      </c>
      <c r="B2675" t="inlineStr">
        <is>
          <t>Techcombank</t>
        </is>
      </c>
      <c r="C2675" t="n">
        <v>26096</v>
      </c>
      <c r="D2675" t="n">
        <v>26110</v>
      </c>
      <c r="E2675" t="n">
        <v>26463</v>
      </c>
    </row>
    <row r="2676">
      <c r="A2676" t="inlineStr">
        <is>
          <t>02/07/2026</t>
        </is>
      </c>
      <c r="B2676" t="inlineStr">
        <is>
          <t>Techcombank</t>
        </is>
      </c>
      <c r="C2676" t="n">
        <v>26093</v>
      </c>
      <c r="D2676" t="n">
        <v>26107</v>
      </c>
      <c r="E2676" t="n">
        <v>26465</v>
      </c>
    </row>
    <row r="2677">
      <c r="A2677" t="inlineStr">
        <is>
          <t>01/07/2026</t>
        </is>
      </c>
      <c r="B2677" t="inlineStr">
        <is>
          <t>Techcombank</t>
        </is>
      </c>
      <c r="C2677" t="n">
        <v>26101</v>
      </c>
      <c r="D2677" t="n">
        <v>26115</v>
      </c>
      <c r="E2677" t="n">
        <v>26466</v>
      </c>
    </row>
    <row r="2678">
      <c r="A2678" t="inlineStr">
        <is>
          <t>30/06/2026</t>
        </is>
      </c>
      <c r="B2678" t="inlineStr">
        <is>
          <t>Techcombank</t>
        </is>
      </c>
      <c r="C2678" t="n">
        <v>26111</v>
      </c>
      <c r="D2678" t="n">
        <v>26125</v>
      </c>
      <c r="E2678" t="n">
        <v>26466</v>
      </c>
    </row>
    <row r="2679">
      <c r="A2679" t="inlineStr">
        <is>
          <t>29/06/2026</t>
        </is>
      </c>
      <c r="B2679" t="inlineStr">
        <is>
          <t>Techcombank</t>
        </is>
      </c>
      <c r="C2679" t="n">
        <v>26091</v>
      </c>
      <c r="D2679" t="n">
        <v>26105</v>
      </c>
      <c r="E2679" t="n">
        <v>26461</v>
      </c>
    </row>
    <row r="2680">
      <c r="A2680" t="inlineStr">
        <is>
          <t>28/06/2026</t>
        </is>
      </c>
      <c r="B2680" t="inlineStr">
        <is>
          <t>Techcombank</t>
        </is>
      </c>
      <c r="C2680" t="n">
        <v>26101</v>
      </c>
      <c r="D2680" t="n">
        <v>26115</v>
      </c>
      <c r="E2680" t="n">
        <v>26454</v>
      </c>
    </row>
    <row r="2681">
      <c r="A2681" t="inlineStr">
        <is>
          <t>27/06/2026</t>
        </is>
      </c>
      <c r="B2681" t="inlineStr">
        <is>
          <t>Techcombank</t>
        </is>
      </c>
      <c r="C2681" t="n">
        <v>26101</v>
      </c>
      <c r="D2681" t="n">
        <v>26115</v>
      </c>
      <c r="E2681" t="n">
        <v>26454</v>
      </c>
    </row>
    <row r="2682">
      <c r="A2682" t="inlineStr">
        <is>
          <t>26/06/2026</t>
        </is>
      </c>
      <c r="B2682" t="inlineStr">
        <is>
          <t>Techcombank</t>
        </is>
      </c>
      <c r="C2682" t="n">
        <v>26103</v>
      </c>
      <c r="D2682" t="n">
        <v>26117</v>
      </c>
      <c r="E2682" t="n">
        <v>26454</v>
      </c>
    </row>
    <row r="2683">
      <c r="A2683" t="inlineStr">
        <is>
          <t>25/06/2026</t>
        </is>
      </c>
      <c r="B2683" t="inlineStr">
        <is>
          <t>Techcombank</t>
        </is>
      </c>
      <c r="C2683" t="n">
        <v>26121</v>
      </c>
      <c r="D2683" t="n">
        <v>26135</v>
      </c>
      <c r="E2683" t="n">
        <v>26456</v>
      </c>
    </row>
    <row r="2684">
      <c r="A2684" t="inlineStr">
        <is>
          <t>24/06/2026</t>
        </is>
      </c>
      <c r="B2684" t="inlineStr">
        <is>
          <t>Techcombank</t>
        </is>
      </c>
      <c r="C2684" t="n">
        <v>26136</v>
      </c>
      <c r="D2684" t="n">
        <v>26150</v>
      </c>
      <c r="E2684" t="n">
        <v>26451</v>
      </c>
    </row>
    <row r="2685">
      <c r="A2685" t="inlineStr">
        <is>
          <t>23/06/2026</t>
        </is>
      </c>
      <c r="B2685" t="inlineStr">
        <is>
          <t>Techcombank</t>
        </is>
      </c>
      <c r="C2685" t="n">
        <v>26126</v>
      </c>
      <c r="D2685" t="n">
        <v>26140</v>
      </c>
      <c r="E2685" t="n">
        <v>26448</v>
      </c>
    </row>
    <row r="2686">
      <c r="A2686" t="inlineStr">
        <is>
          <t>22/06/2026</t>
        </is>
      </c>
      <c r="B2686" t="inlineStr">
        <is>
          <t>Techcombank</t>
        </is>
      </c>
      <c r="C2686" t="n">
        <v>26121</v>
      </c>
      <c r="D2686" t="n">
        <v>26135</v>
      </c>
      <c r="E2686" t="n">
        <v>26442</v>
      </c>
    </row>
    <row r="2687">
      <c r="A2687" t="inlineStr">
        <is>
          <t>21/06/2026</t>
        </is>
      </c>
      <c r="B2687" t="inlineStr">
        <is>
          <t>Techcombank</t>
        </is>
      </c>
      <c r="C2687" t="n">
        <v>26119</v>
      </c>
      <c r="D2687" t="n">
        <v>26133</v>
      </c>
      <c r="E2687" t="n">
        <v>26440</v>
      </c>
    </row>
    <row r="2688">
      <c r="A2688" t="inlineStr">
        <is>
          <t>20/06/2026</t>
        </is>
      </c>
      <c r="B2688" t="inlineStr">
        <is>
          <t>Techcombank</t>
        </is>
      </c>
      <c r="C2688" t="n">
        <v>26119</v>
      </c>
      <c r="D2688" t="n">
        <v>26133</v>
      </c>
      <c r="E2688" t="n">
        <v>26440</v>
      </c>
    </row>
    <row r="2689">
      <c r="A2689" t="inlineStr">
        <is>
          <t>19/06/2026</t>
        </is>
      </c>
      <c r="B2689" t="inlineStr">
        <is>
          <t>Techcombank</t>
        </is>
      </c>
      <c r="C2689" t="n">
        <v>26119</v>
      </c>
      <c r="D2689" t="n">
        <v>26133</v>
      </c>
      <c r="E2689" t="n">
        <v>26440</v>
      </c>
    </row>
    <row r="2690">
      <c r="A2690" t="inlineStr">
        <is>
          <t>18/06/2026</t>
        </is>
      </c>
      <c r="B2690" t="inlineStr">
        <is>
          <t>Techcombank</t>
        </is>
      </c>
      <c r="C2690" t="n">
        <v>26126</v>
      </c>
      <c r="D2690" t="n">
        <v>26140</v>
      </c>
      <c r="E2690" t="n">
        <v>26431</v>
      </c>
    </row>
    <row r="2691">
      <c r="A2691" t="inlineStr">
        <is>
          <t>17/06/2026</t>
        </is>
      </c>
      <c r="B2691" t="inlineStr">
        <is>
          <t>Techcombank</t>
        </is>
      </c>
      <c r="C2691" t="n">
        <v>26126</v>
      </c>
      <c r="D2691" t="n">
        <v>26140</v>
      </c>
      <c r="E2691" t="n">
        <v>26433</v>
      </c>
    </row>
    <row r="2692">
      <c r="A2692" t="inlineStr">
        <is>
          <t>16/06/2026</t>
        </is>
      </c>
      <c r="B2692" t="inlineStr">
        <is>
          <t>Techcombank</t>
        </is>
      </c>
      <c r="C2692" t="n">
        <v>26104</v>
      </c>
      <c r="D2692" t="n">
        <v>26118</v>
      </c>
      <c r="E2692" t="n">
        <v>26423</v>
      </c>
    </row>
    <row r="2693">
      <c r="A2693" t="inlineStr">
        <is>
          <t>15/06/2026</t>
        </is>
      </c>
      <c r="B2693" t="inlineStr">
        <is>
          <t>Techcombank</t>
        </is>
      </c>
      <c r="C2693" t="n">
        <v>26091</v>
      </c>
      <c r="D2693" t="n">
        <v>26105</v>
      </c>
      <c r="E2693" t="n">
        <v>26423</v>
      </c>
    </row>
    <row r="2694">
      <c r="A2694" t="inlineStr">
        <is>
          <t>14/06/2026</t>
        </is>
      </c>
      <c r="B2694" t="inlineStr">
        <is>
          <t>Techcombank</t>
        </is>
      </c>
      <c r="C2694" t="n">
        <v>26111</v>
      </c>
      <c r="D2694" t="n">
        <v>26125</v>
      </c>
      <c r="E2694" t="n">
        <v>26412</v>
      </c>
    </row>
    <row r="2695">
      <c r="A2695" t="inlineStr">
        <is>
          <t>13/06/2026</t>
        </is>
      </c>
      <c r="B2695" t="inlineStr">
        <is>
          <t>Techcombank</t>
        </is>
      </c>
      <c r="C2695" t="n">
        <v>26111</v>
      </c>
      <c r="D2695" t="n">
        <v>26125</v>
      </c>
      <c r="E2695" t="n">
        <v>26412</v>
      </c>
    </row>
    <row r="2696">
      <c r="A2696" t="inlineStr">
        <is>
          <t>12/06/2026</t>
        </is>
      </c>
      <c r="B2696" t="inlineStr">
        <is>
          <t>Techcombank</t>
        </is>
      </c>
      <c r="C2696" t="n">
        <v>26111</v>
      </c>
      <c r="D2696" t="n">
        <v>26125</v>
      </c>
      <c r="E2696" t="n">
        <v>26412</v>
      </c>
    </row>
    <row r="2697">
      <c r="A2697" t="inlineStr">
        <is>
          <t>11/06/2026</t>
        </is>
      </c>
      <c r="B2697" t="inlineStr">
        <is>
          <t>Techcombank</t>
        </is>
      </c>
      <c r="C2697" t="n">
        <v>26129</v>
      </c>
      <c r="D2697" t="n">
        <v>26143</v>
      </c>
      <c r="E2697" t="n">
        <v>26410</v>
      </c>
    </row>
    <row r="2698">
      <c r="A2698" t="inlineStr">
        <is>
          <t>10/06/2026</t>
        </is>
      </c>
      <c r="B2698" t="inlineStr">
        <is>
          <t>Techcombank</t>
        </is>
      </c>
      <c r="C2698" t="n">
        <v>26124</v>
      </c>
      <c r="D2698" t="n">
        <v>26138</v>
      </c>
      <c r="E2698" t="n">
        <v>26410</v>
      </c>
    </row>
    <row r="2699">
      <c r="A2699" t="inlineStr">
        <is>
          <t>09/06/2026</t>
        </is>
      </c>
      <c r="B2699" t="inlineStr">
        <is>
          <t>Techcombank</t>
        </is>
      </c>
      <c r="C2699" t="n">
        <v>26136</v>
      </c>
      <c r="D2699" t="n">
        <v>26150</v>
      </c>
      <c r="E2699" t="n">
        <v>26408</v>
      </c>
    </row>
    <row r="2700">
      <c r="A2700" t="inlineStr">
        <is>
          <t>08/06/2026</t>
        </is>
      </c>
      <c r="B2700" t="inlineStr">
        <is>
          <t>Techcombank</t>
        </is>
      </c>
      <c r="C2700" t="n">
        <v>26149</v>
      </c>
      <c r="D2700" t="n">
        <v>26164</v>
      </c>
      <c r="E2700" t="n">
        <v>26407</v>
      </c>
    </row>
    <row r="2701">
      <c r="A2701" t="inlineStr">
        <is>
          <t>07/06/2026</t>
        </is>
      </c>
      <c r="B2701" t="inlineStr">
        <is>
          <t>Techcombank</t>
        </is>
      </c>
      <c r="C2701" t="n">
        <v>26114</v>
      </c>
      <c r="D2701" t="n">
        <v>26128</v>
      </c>
      <c r="E2701" t="n">
        <v>26442</v>
      </c>
    </row>
    <row r="2702">
      <c r="A2702" t="inlineStr">
        <is>
          <t>06/06/2026</t>
        </is>
      </c>
      <c r="B2702" t="inlineStr">
        <is>
          <t>Techcombank</t>
        </is>
      </c>
      <c r="C2702" t="n">
        <v>26136</v>
      </c>
      <c r="D2702" t="n">
        <v>26150</v>
      </c>
      <c r="E2702" t="n">
        <v>26404</v>
      </c>
    </row>
    <row r="2703">
      <c r="A2703" t="inlineStr">
        <is>
          <t>05/06/2026</t>
        </is>
      </c>
      <c r="B2703" t="inlineStr">
        <is>
          <t>Techcombank</t>
        </is>
      </c>
      <c r="C2703" t="n">
        <v>26131</v>
      </c>
      <c r="D2703" t="n">
        <v>26145</v>
      </c>
      <c r="E2703" t="n">
        <v>26404</v>
      </c>
    </row>
    <row r="2704">
      <c r="A2704" t="inlineStr">
        <is>
          <t>04/06/2026</t>
        </is>
      </c>
      <c r="B2704" t="inlineStr">
        <is>
          <t>Techcombank</t>
        </is>
      </c>
      <c r="C2704" t="n">
        <v>26136</v>
      </c>
      <c r="D2704" t="n">
        <v>26150</v>
      </c>
      <c r="E2704" t="n">
        <v>26402</v>
      </c>
    </row>
    <row r="2705">
      <c r="A2705" t="inlineStr">
        <is>
          <t>03/06/2026</t>
        </is>
      </c>
      <c r="B2705" t="inlineStr">
        <is>
          <t>Techcombank</t>
        </is>
      </c>
      <c r="C2705" t="n">
        <v>26147</v>
      </c>
      <c r="D2705" t="n">
        <v>26162</v>
      </c>
      <c r="E2705" t="n">
        <v>26402</v>
      </c>
    </row>
    <row r="2706">
      <c r="A2706" t="inlineStr">
        <is>
          <t>02/06/2026</t>
        </is>
      </c>
      <c r="B2706" t="inlineStr">
        <is>
          <t>Techcombank</t>
        </is>
      </c>
      <c r="C2706" t="n">
        <v>26136</v>
      </c>
      <c r="D2706" t="n">
        <v>26150</v>
      </c>
      <c r="E2706" t="n">
        <v>26398</v>
      </c>
    </row>
    <row r="2707">
      <c r="A2707" t="inlineStr">
        <is>
          <t>01/06/2026</t>
        </is>
      </c>
      <c r="B2707" t="inlineStr">
        <is>
          <t>Techcombank</t>
        </is>
      </c>
      <c r="C2707" t="n">
        <v>26121</v>
      </c>
      <c r="D2707" t="n">
        <v>26135</v>
      </c>
      <c r="E2707" t="n">
        <v>26394</v>
      </c>
    </row>
    <row r="2708">
      <c r="A2708" t="inlineStr">
        <is>
          <t>31/05/2026</t>
        </is>
      </c>
      <c r="B2708" t="inlineStr">
        <is>
          <t>Techcombank</t>
        </is>
      </c>
      <c r="C2708" t="n">
        <v>26114</v>
      </c>
      <c r="D2708" t="n">
        <v>26128</v>
      </c>
      <c r="E2708" t="n">
        <v>26442</v>
      </c>
    </row>
    <row r="2709">
      <c r="A2709" t="inlineStr">
        <is>
          <t>30/05/2026</t>
        </is>
      </c>
      <c r="B2709" t="inlineStr">
        <is>
          <t>Techcombank</t>
        </is>
      </c>
      <c r="C2709" t="n">
        <v>26111</v>
      </c>
      <c r="D2709" t="n">
        <v>26125</v>
      </c>
      <c r="E2709" t="n">
        <v>26395</v>
      </c>
    </row>
    <row r="2710">
      <c r="A2710" t="inlineStr">
        <is>
          <t>29/05/2026</t>
        </is>
      </c>
      <c r="B2710" t="inlineStr">
        <is>
          <t>Techcombank</t>
        </is>
      </c>
      <c r="C2710" t="n">
        <v>26106</v>
      </c>
      <c r="D2710" t="n">
        <v>26120</v>
      </c>
      <c r="E2710" t="n">
        <v>26395</v>
      </c>
    </row>
    <row r="2711">
      <c r="A2711" t="inlineStr">
        <is>
          <t>28/05/2026</t>
        </is>
      </c>
      <c r="B2711" t="inlineStr">
        <is>
          <t>Techcombank</t>
        </is>
      </c>
      <c r="C2711" t="n">
        <v>26130</v>
      </c>
      <c r="D2711" t="n">
        <v>26144</v>
      </c>
      <c r="E2711" t="n">
        <v>26393</v>
      </c>
    </row>
    <row r="2712">
      <c r="A2712" t="inlineStr">
        <is>
          <t>27/05/2026</t>
        </is>
      </c>
      <c r="B2712" t="inlineStr">
        <is>
          <t>Techcombank</t>
        </is>
      </c>
      <c r="C2712" t="n">
        <v>26136</v>
      </c>
      <c r="D2712" t="n">
        <v>26150</v>
      </c>
      <c r="E2712" t="n">
        <v>26393</v>
      </c>
    </row>
    <row r="2713">
      <c r="A2713" t="inlineStr">
        <is>
          <t>26/05/2026</t>
        </is>
      </c>
      <c r="B2713" t="inlineStr">
        <is>
          <t>Techcombank</t>
        </is>
      </c>
      <c r="C2713" t="n">
        <v>26148</v>
      </c>
      <c r="D2713" t="n">
        <v>26163</v>
      </c>
      <c r="E2713" t="n">
        <v>26394</v>
      </c>
    </row>
    <row r="2714">
      <c r="A2714" t="inlineStr">
        <is>
          <t>25/05/2026</t>
        </is>
      </c>
      <c r="B2714" t="inlineStr">
        <is>
          <t>Techcombank</t>
        </is>
      </c>
      <c r="C2714" t="n">
        <v>26160</v>
      </c>
      <c r="D2714" t="n">
        <v>26175</v>
      </c>
      <c r="E2714" t="n">
        <v>26392</v>
      </c>
    </row>
    <row r="2715">
      <c r="A2715" t="inlineStr">
        <is>
          <t>24/05/2026</t>
        </is>
      </c>
      <c r="B2715" t="inlineStr">
        <is>
          <t>Techcombank</t>
        </is>
      </c>
      <c r="C2715" t="n">
        <v>26114</v>
      </c>
      <c r="D2715" t="n">
        <v>26128</v>
      </c>
      <c r="E2715" t="n">
        <v>26442</v>
      </c>
    </row>
    <row r="2716">
      <c r="A2716" t="inlineStr">
        <is>
          <t>23/05/2026</t>
        </is>
      </c>
      <c r="B2716" t="inlineStr">
        <is>
          <t>Techcombank</t>
        </is>
      </c>
      <c r="C2716" t="n">
        <v>26160</v>
      </c>
      <c r="D2716" t="n">
        <v>26175</v>
      </c>
      <c r="E2716" t="n">
        <v>26390</v>
      </c>
    </row>
    <row r="2717">
      <c r="A2717" t="inlineStr">
        <is>
          <t>22/05/2026</t>
        </is>
      </c>
      <c r="B2717" t="inlineStr">
        <is>
          <t>Techcombank</t>
        </is>
      </c>
      <c r="C2717" t="n">
        <v>26163</v>
      </c>
      <c r="D2717" t="n">
        <v>26178</v>
      </c>
      <c r="E2717" t="n">
        <v>26390</v>
      </c>
    </row>
    <row r="2718">
      <c r="A2718" t="inlineStr">
        <is>
          <t>21/05/2026</t>
        </is>
      </c>
      <c r="B2718" t="inlineStr">
        <is>
          <t>Techcombank</t>
        </is>
      </c>
      <c r="C2718" t="n">
        <v>26165</v>
      </c>
      <c r="D2718" t="n">
        <v>26180</v>
      </c>
      <c r="E2718" t="n">
        <v>26391</v>
      </c>
    </row>
    <row r="2719">
      <c r="A2719" t="inlineStr">
        <is>
          <t>20/05/2026</t>
        </is>
      </c>
      <c r="B2719" t="inlineStr">
        <is>
          <t>Techcombank</t>
        </is>
      </c>
      <c r="C2719" t="n">
        <v>26177</v>
      </c>
      <c r="D2719" t="n">
        <v>26197</v>
      </c>
      <c r="E2719" t="n">
        <v>26391</v>
      </c>
    </row>
    <row r="2720">
      <c r="A2720" t="inlineStr">
        <is>
          <t>19/05/2026</t>
        </is>
      </c>
      <c r="B2720" t="inlineStr">
        <is>
          <t>Techcombank</t>
        </is>
      </c>
      <c r="C2720" t="n">
        <v>26162</v>
      </c>
      <c r="D2720" t="n">
        <v>26182</v>
      </c>
      <c r="E2720" t="n">
        <v>26389</v>
      </c>
    </row>
    <row r="2721">
      <c r="A2721" t="inlineStr">
        <is>
          <t>18/05/2026</t>
        </is>
      </c>
      <c r="B2721" t="inlineStr">
        <is>
          <t>Techcombank</t>
        </is>
      </c>
      <c r="C2721" t="n">
        <v>26161</v>
      </c>
      <c r="D2721" t="n">
        <v>26181</v>
      </c>
      <c r="E2721" t="n">
        <v>26387</v>
      </c>
    </row>
    <row r="2722">
      <c r="A2722" t="inlineStr">
        <is>
          <t>17/05/2026</t>
        </is>
      </c>
      <c r="B2722" t="inlineStr">
        <is>
          <t>Techcombank</t>
        </is>
      </c>
      <c r="C2722" t="n">
        <v>26136</v>
      </c>
      <c r="D2722" t="n">
        <v>26150</v>
      </c>
      <c r="E2722" t="n">
        <v>26404</v>
      </c>
    </row>
    <row r="2723">
      <c r="A2723" t="inlineStr">
        <is>
          <t>16/05/2026</t>
        </is>
      </c>
      <c r="B2723" t="inlineStr">
        <is>
          <t>Techcombank</t>
        </is>
      </c>
      <c r="C2723" t="n">
        <v>26155</v>
      </c>
      <c r="D2723" t="n">
        <v>26175</v>
      </c>
      <c r="E2723" t="n">
        <v>26387</v>
      </c>
    </row>
    <row r="2724">
      <c r="A2724" t="inlineStr">
        <is>
          <t>15/05/2026</t>
        </is>
      </c>
      <c r="B2724" t="inlineStr">
        <is>
          <t>Techcombank</t>
        </is>
      </c>
      <c r="C2724" t="n">
        <v>26156</v>
      </c>
      <c r="D2724" t="n">
        <v>26176</v>
      </c>
      <c r="E2724" t="n">
        <v>26387</v>
      </c>
    </row>
    <row r="2725">
      <c r="A2725" t="inlineStr">
        <is>
          <t>14/05/2026</t>
        </is>
      </c>
      <c r="B2725" t="inlineStr">
        <is>
          <t>Techcombank</t>
        </is>
      </c>
      <c r="C2725" t="n">
        <v>26150</v>
      </c>
      <c r="D2725" t="n">
        <v>26170</v>
      </c>
      <c r="E2725" t="n">
        <v>26382</v>
      </c>
    </row>
    <row r="2726">
      <c r="A2726" t="inlineStr">
        <is>
          <t>13/05/2026</t>
        </is>
      </c>
      <c r="B2726" t="inlineStr">
        <is>
          <t>Techcombank</t>
        </is>
      </c>
      <c r="C2726" t="n">
        <v>26153</v>
      </c>
      <c r="D2726" t="n">
        <v>26173</v>
      </c>
      <c r="E2726" t="n">
        <v>26379</v>
      </c>
    </row>
    <row r="2727">
      <c r="A2727" t="inlineStr">
        <is>
          <t>12/05/2026</t>
        </is>
      </c>
      <c r="B2727" t="inlineStr">
        <is>
          <t>Techcombank</t>
        </is>
      </c>
      <c r="C2727" t="n">
        <v>26142</v>
      </c>
      <c r="D2727" t="n">
        <v>26162</v>
      </c>
      <c r="E2727" t="n">
        <v>26379</v>
      </c>
    </row>
    <row r="2728">
      <c r="A2728" t="inlineStr">
        <is>
          <t>11/05/2026</t>
        </is>
      </c>
      <c r="B2728" t="inlineStr">
        <is>
          <t>Techcombank</t>
        </is>
      </c>
      <c r="C2728" t="n">
        <v>26127</v>
      </c>
      <c r="D2728" t="n">
        <v>26146</v>
      </c>
      <c r="E2728" t="n">
        <v>26373</v>
      </c>
    </row>
    <row r="2729">
      <c r="A2729" t="inlineStr">
        <is>
          <t>10/05/2026</t>
        </is>
      </c>
      <c r="B2729" t="inlineStr">
        <is>
          <t>Techcombank</t>
        </is>
      </c>
      <c r="C2729" t="n">
        <v>26114</v>
      </c>
      <c r="D2729" t="n">
        <v>26128</v>
      </c>
      <c r="E2729" t="n">
        <v>26442</v>
      </c>
    </row>
    <row r="2730">
      <c r="A2730" t="inlineStr">
        <is>
          <t>09/05/2026</t>
        </is>
      </c>
      <c r="B2730" t="inlineStr">
        <is>
          <t>Techcombank</t>
        </is>
      </c>
      <c r="C2730" t="n">
        <v>26108</v>
      </c>
      <c r="D2730" t="n">
        <v>26127</v>
      </c>
      <c r="E2730" t="n">
        <v>26367</v>
      </c>
    </row>
    <row r="2731">
      <c r="A2731" t="inlineStr">
        <is>
          <t>08/05/2026</t>
        </is>
      </c>
      <c r="B2731" t="inlineStr">
        <is>
          <t>Techcombank</t>
        </is>
      </c>
      <c r="C2731" t="n">
        <v>26108</v>
      </c>
      <c r="D2731" t="n">
        <v>26127</v>
      </c>
      <c r="E2731" t="n">
        <v>26367</v>
      </c>
    </row>
    <row r="2732">
      <c r="A2732" t="inlineStr">
        <is>
          <t>07/05/2026</t>
        </is>
      </c>
      <c r="B2732" t="inlineStr">
        <is>
          <t>Techcombank</t>
        </is>
      </c>
      <c r="C2732" t="n">
        <v>26114</v>
      </c>
      <c r="D2732" t="n">
        <v>26133</v>
      </c>
      <c r="E2732" t="n">
        <v>26368</v>
      </c>
    </row>
    <row r="2733">
      <c r="A2733" t="inlineStr">
        <is>
          <t>06/05/2026</t>
        </is>
      </c>
      <c r="B2733" t="inlineStr">
        <is>
          <t>Techcombank</t>
        </is>
      </c>
      <c r="C2733" t="n">
        <v>26126</v>
      </c>
      <c r="D2733" t="n">
        <v>26145</v>
      </c>
      <c r="E2733" t="n">
        <v>26368</v>
      </c>
    </row>
    <row r="2734">
      <c r="A2734" t="inlineStr">
        <is>
          <t>05/05/2026</t>
        </is>
      </c>
      <c r="B2734" t="inlineStr">
        <is>
          <t>Techcombank</t>
        </is>
      </c>
      <c r="C2734" t="n">
        <v>26126</v>
      </c>
      <c r="D2734" t="n">
        <v>26145</v>
      </c>
      <c r="E2734" t="n">
        <v>26366</v>
      </c>
    </row>
    <row r="2735">
      <c r="A2735" t="inlineStr">
        <is>
          <t>04/05/2026</t>
        </is>
      </c>
      <c r="B2735" t="inlineStr">
        <is>
          <t>Techcombank</t>
        </is>
      </c>
      <c r="C2735" t="n">
        <v>26142</v>
      </c>
      <c r="D2735" t="n">
        <v>26162</v>
      </c>
      <c r="E2735" t="n">
        <v>26367</v>
      </c>
    </row>
    <row r="2736">
      <c r="A2736" t="inlineStr">
        <is>
          <t>03/05/2026</t>
        </is>
      </c>
      <c r="B2736" t="inlineStr">
        <is>
          <t>Techcombank</t>
        </is>
      </c>
      <c r="C2736" t="n">
        <v>26160</v>
      </c>
      <c r="D2736" t="n">
        <v>26175</v>
      </c>
      <c r="E2736" t="n">
        <v>26390</v>
      </c>
    </row>
    <row r="2737">
      <c r="A2737" t="inlineStr">
        <is>
          <t>02/05/2026</t>
        </is>
      </c>
      <c r="B2737" t="inlineStr">
        <is>
          <t>Techcombank</t>
        </is>
      </c>
      <c r="C2737" t="n">
        <v>26111</v>
      </c>
      <c r="D2737" t="n">
        <v>26125</v>
      </c>
      <c r="E2737" t="n">
        <v>26395</v>
      </c>
    </row>
    <row r="2738">
      <c r="A2738" t="inlineStr">
        <is>
          <t>01/05/2026</t>
        </is>
      </c>
      <c r="B2738" t="inlineStr">
        <is>
          <t>Techcombank</t>
        </is>
      </c>
      <c r="C2738" t="n">
        <v>26155</v>
      </c>
      <c r="D2738" t="n">
        <v>26175</v>
      </c>
      <c r="E2738" t="n">
        <v>26387</v>
      </c>
    </row>
    <row r="2739">
      <c r="A2739" t="inlineStr">
        <is>
          <t>30/04/2026</t>
        </is>
      </c>
      <c r="B2739" t="inlineStr">
        <is>
          <t>Techcombank</t>
        </is>
      </c>
      <c r="C2739" t="n">
        <v>26108</v>
      </c>
      <c r="D2739" t="n">
        <v>26127</v>
      </c>
      <c r="E2739" t="n">
        <v>26367</v>
      </c>
    </row>
    <row r="2740">
      <c r="A2740" t="inlineStr">
        <is>
          <t>29/04/2026</t>
        </is>
      </c>
      <c r="B2740" t="inlineStr">
        <is>
          <t>Techcombank</t>
        </is>
      </c>
      <c r="C2740" t="n">
        <v>26158</v>
      </c>
      <c r="D2740" t="n">
        <v>26178</v>
      </c>
      <c r="E2740" t="n">
        <v>26368</v>
      </c>
    </row>
    <row r="2741">
      <c r="A2741" t="inlineStr">
        <is>
          <t>28/04/2026</t>
        </is>
      </c>
      <c r="B2741" t="inlineStr">
        <is>
          <t>Techcombank</t>
        </is>
      </c>
      <c r="C2741" t="n">
        <v>26153</v>
      </c>
      <c r="D2741" t="n">
        <v>26173</v>
      </c>
      <c r="E2741" t="n">
        <v>26366</v>
      </c>
    </row>
    <row r="2742">
      <c r="A2742" t="inlineStr">
        <is>
          <t>27/04/2026</t>
        </is>
      </c>
      <c r="B2742" t="inlineStr">
        <is>
          <t>Techcombank</t>
        </is>
      </c>
      <c r="C2742" t="n">
        <v>26158</v>
      </c>
      <c r="D2742" t="n">
        <v>26178</v>
      </c>
      <c r="E2742" t="n">
        <v>26368</v>
      </c>
    </row>
    <row r="2743">
      <c r="A2743" t="inlineStr">
        <is>
          <t>26/04/2026</t>
        </is>
      </c>
      <c r="B2743" t="inlineStr">
        <is>
          <t>Techcombank</t>
        </is>
      </c>
      <c r="C2743" t="n">
        <v>26158</v>
      </c>
      <c r="D2743" t="n">
        <v>26178</v>
      </c>
      <c r="E2743" t="n">
        <v>26368</v>
      </c>
    </row>
    <row r="2744">
      <c r="A2744" t="inlineStr">
        <is>
          <t>25/04/2026</t>
        </is>
      </c>
      <c r="B2744" t="inlineStr">
        <is>
          <t>Techcombank</t>
        </is>
      </c>
      <c r="C2744" t="n">
        <v>26160</v>
      </c>
      <c r="D2744" t="n">
        <v>26180</v>
      </c>
      <c r="E2744" t="n">
        <v>26368</v>
      </c>
    </row>
    <row r="2745">
      <c r="A2745" t="inlineStr">
        <is>
          <t>24/04/2026</t>
        </is>
      </c>
      <c r="B2745" t="inlineStr">
        <is>
          <t>Techcombank</t>
        </is>
      </c>
      <c r="C2745" t="n">
        <v>26163</v>
      </c>
      <c r="D2745" t="n">
        <v>26183</v>
      </c>
      <c r="E2745" t="n">
        <v>26368</v>
      </c>
    </row>
    <row r="2746">
      <c r="A2746" t="inlineStr">
        <is>
          <t>23/04/2026</t>
        </is>
      </c>
      <c r="B2746" t="inlineStr">
        <is>
          <t>Techcombank</t>
        </is>
      </c>
      <c r="C2746" t="n">
        <v>26132</v>
      </c>
      <c r="D2746" t="n">
        <v>26151</v>
      </c>
      <c r="E2746" t="n">
        <v>26360</v>
      </c>
    </row>
    <row r="2747">
      <c r="A2747" t="inlineStr">
        <is>
          <t>22/04/2026</t>
        </is>
      </c>
      <c r="B2747" t="inlineStr">
        <is>
          <t>Techcombank</t>
        </is>
      </c>
      <c r="C2747" t="n">
        <v>26125</v>
      </c>
      <c r="D2747" t="n">
        <v>26144</v>
      </c>
      <c r="E2747" t="n">
        <v>26355</v>
      </c>
    </row>
    <row r="2748">
      <c r="A2748" t="inlineStr">
        <is>
          <t>21/04/2026</t>
        </is>
      </c>
      <c r="B2748" t="inlineStr">
        <is>
          <t>Techcombank</t>
        </is>
      </c>
      <c r="C2748" t="n">
        <v>26131</v>
      </c>
      <c r="D2748" t="n">
        <v>26150</v>
      </c>
      <c r="E2748" t="n">
        <v>26357</v>
      </c>
    </row>
    <row r="2749">
      <c r="A2749" t="inlineStr">
        <is>
          <t>20/04/2026</t>
        </is>
      </c>
      <c r="B2749" t="inlineStr">
        <is>
          <t>Techcombank</t>
        </is>
      </c>
      <c r="C2749" t="n">
        <v>26136</v>
      </c>
      <c r="D2749" t="n">
        <v>26156</v>
      </c>
      <c r="E2749" t="n">
        <v>26358</v>
      </c>
    </row>
    <row r="2750">
      <c r="A2750" t="inlineStr">
        <is>
          <t>19/04/2026</t>
        </is>
      </c>
      <c r="B2750" t="inlineStr">
        <is>
          <t>Techcombank</t>
        </is>
      </c>
      <c r="C2750" t="n">
        <v>26158</v>
      </c>
      <c r="D2750" t="n">
        <v>26178</v>
      </c>
      <c r="E2750" t="n">
        <v>26368</v>
      </c>
    </row>
    <row r="2751">
      <c r="A2751" t="inlineStr">
        <is>
          <t>18/04/2026</t>
        </is>
      </c>
      <c r="B2751" t="inlineStr">
        <is>
          <t>Techcombank</t>
        </is>
      </c>
      <c r="C2751" t="n">
        <v>26136</v>
      </c>
      <c r="D2751" t="n">
        <v>26155</v>
      </c>
      <c r="E2751" t="n">
        <v>26357</v>
      </c>
    </row>
    <row r="2752">
      <c r="A2752" t="inlineStr">
        <is>
          <t>17/04/2026</t>
        </is>
      </c>
      <c r="B2752" t="inlineStr">
        <is>
          <t>Techcombank</t>
        </is>
      </c>
      <c r="C2752" t="n">
        <v>26137</v>
      </c>
      <c r="D2752" t="n">
        <v>26157</v>
      </c>
      <c r="E2752" t="n">
        <v>26357</v>
      </c>
    </row>
    <row r="2753">
      <c r="A2753" t="inlineStr">
        <is>
          <t>16/04/2026</t>
        </is>
      </c>
      <c r="B2753" t="inlineStr">
        <is>
          <t>Techcombank</t>
        </is>
      </c>
      <c r="C2753" t="n">
        <v>26137</v>
      </c>
      <c r="D2753" t="n">
        <v>26157</v>
      </c>
      <c r="E2753" t="n">
        <v>26357</v>
      </c>
    </row>
    <row r="2754">
      <c r="A2754" t="inlineStr">
        <is>
          <t>15/04/2026</t>
        </is>
      </c>
      <c r="B2754" t="inlineStr">
        <is>
          <t>Techcombank</t>
        </is>
      </c>
      <c r="C2754" t="n">
        <v>26136</v>
      </c>
      <c r="D2754" t="n">
        <v>26155</v>
      </c>
      <c r="E2754" t="n">
        <v>26358</v>
      </c>
    </row>
    <row r="2755">
      <c r="A2755" t="inlineStr">
        <is>
          <t>14/04/2026</t>
        </is>
      </c>
      <c r="B2755" t="inlineStr">
        <is>
          <t>Techcombank</t>
        </is>
      </c>
      <c r="C2755" t="n">
        <v>26138</v>
      </c>
      <c r="D2755" t="n">
        <v>26158</v>
      </c>
      <c r="E2755" t="n">
        <v>26361</v>
      </c>
    </row>
    <row r="2756">
      <c r="A2756" t="inlineStr">
        <is>
          <t>13/04/2026</t>
        </is>
      </c>
      <c r="B2756" t="inlineStr">
        <is>
          <t>Techcombank</t>
        </is>
      </c>
      <c r="C2756" t="n">
        <v>26144</v>
      </c>
      <c r="D2756" t="n">
        <v>26164</v>
      </c>
      <c r="E2756" t="n">
        <v>26361</v>
      </c>
    </row>
    <row r="2757">
      <c r="A2757" t="inlineStr">
        <is>
          <t>12/04/2026</t>
        </is>
      </c>
      <c r="B2757" t="inlineStr">
        <is>
          <t>Techcombank</t>
        </is>
      </c>
      <c r="C2757" t="n">
        <v>26160</v>
      </c>
      <c r="D2757" t="n">
        <v>26180</v>
      </c>
      <c r="E2757" t="n">
        <v>26368</v>
      </c>
    </row>
    <row r="2758">
      <c r="A2758" t="inlineStr">
        <is>
          <t>11/04/2026</t>
        </is>
      </c>
      <c r="B2758" t="inlineStr">
        <is>
          <t>Techcombank</t>
        </is>
      </c>
      <c r="C2758" t="n">
        <v>26136</v>
      </c>
      <c r="D2758" t="n">
        <v>26155</v>
      </c>
      <c r="E2758" t="n">
        <v>26360</v>
      </c>
    </row>
    <row r="2759">
      <c r="A2759" t="inlineStr">
        <is>
          <t>10/04/2026</t>
        </is>
      </c>
      <c r="B2759" t="inlineStr">
        <is>
          <t>Techcombank</t>
        </is>
      </c>
      <c r="C2759" t="n">
        <v>26138</v>
      </c>
      <c r="D2759" t="n">
        <v>26158</v>
      </c>
      <c r="E2759" t="n">
        <v>26360</v>
      </c>
    </row>
    <row r="2760">
      <c r="A2760" t="inlineStr">
        <is>
          <t>09/04/2026</t>
        </is>
      </c>
      <c r="B2760" t="inlineStr">
        <is>
          <t>Techcombank</t>
        </is>
      </c>
      <c r="C2760" t="n">
        <v>26130</v>
      </c>
      <c r="D2760" t="n">
        <v>26149</v>
      </c>
      <c r="E2760" t="n">
        <v>26357</v>
      </c>
    </row>
    <row r="2761">
      <c r="A2761" t="inlineStr">
        <is>
          <t>08/04/2026</t>
        </is>
      </c>
      <c r="B2761" t="inlineStr">
        <is>
          <t>Techcombank</t>
        </is>
      </c>
      <c r="C2761" t="n">
        <v>26137</v>
      </c>
      <c r="D2761" t="n">
        <v>26157</v>
      </c>
      <c r="E2761" t="n">
        <v>26361</v>
      </c>
    </row>
    <row r="2762">
      <c r="A2762" t="inlineStr">
        <is>
          <t>07/04/2026</t>
        </is>
      </c>
      <c r="B2762" t="inlineStr">
        <is>
          <t>Techcombank</t>
        </is>
      </c>
      <c r="C2762" t="n">
        <v>26141</v>
      </c>
      <c r="D2762" t="n">
        <v>26161</v>
      </c>
      <c r="E2762" t="n">
        <v>26363</v>
      </c>
    </row>
    <row r="2763">
      <c r="A2763" t="inlineStr">
        <is>
          <t>06/04/2026</t>
        </is>
      </c>
      <c r="B2763" t="inlineStr">
        <is>
          <t>Techcombank</t>
        </is>
      </c>
      <c r="C2763" t="n">
        <v>26140</v>
      </c>
      <c r="D2763" t="n">
        <v>26160</v>
      </c>
      <c r="E2763" t="n">
        <v>26361</v>
      </c>
    </row>
    <row r="2764">
      <c r="A2764" t="inlineStr">
        <is>
          <t>05/04/2026</t>
        </is>
      </c>
      <c r="B2764" t="inlineStr">
        <is>
          <t>Techcombank</t>
        </is>
      </c>
      <c r="C2764" t="n">
        <v>26160</v>
      </c>
      <c r="D2764" t="n">
        <v>26180</v>
      </c>
      <c r="E2764" t="n">
        <v>26368</v>
      </c>
    </row>
    <row r="2765">
      <c r="A2765" t="inlineStr">
        <is>
          <t>04/04/2026</t>
        </is>
      </c>
      <c r="B2765" t="inlineStr">
        <is>
          <t>Techcombank</t>
        </is>
      </c>
      <c r="C2765" t="n">
        <v>26140</v>
      </c>
      <c r="D2765" t="n">
        <v>26160</v>
      </c>
      <c r="E2765" t="n">
        <v>26362</v>
      </c>
    </row>
    <row r="2766">
      <c r="A2766" t="inlineStr">
        <is>
          <t>03/04/2026</t>
        </is>
      </c>
      <c r="B2766" t="inlineStr">
        <is>
          <t>Techcombank</t>
        </is>
      </c>
      <c r="C2766" t="n">
        <v>26141</v>
      </c>
      <c r="D2766" t="n">
        <v>26161</v>
      </c>
      <c r="E2766" t="n">
        <v>26362</v>
      </c>
    </row>
    <row r="2767">
      <c r="A2767" t="inlineStr">
        <is>
          <t>02/04/2026</t>
        </is>
      </c>
      <c r="B2767" t="inlineStr">
        <is>
          <t>Techcombank</t>
        </is>
      </c>
      <c r="C2767" t="n">
        <v>26136</v>
      </c>
      <c r="D2767" t="n">
        <v>26155</v>
      </c>
      <c r="E2767" t="n">
        <v>26362</v>
      </c>
    </row>
    <row r="2768">
      <c r="A2768" t="inlineStr">
        <is>
          <t>01/04/2026</t>
        </is>
      </c>
      <c r="B2768" t="inlineStr">
        <is>
          <t>Techcombank</t>
        </is>
      </c>
      <c r="C2768" t="n">
        <v>26139</v>
      </c>
      <c r="D2768" t="n">
        <v>26159</v>
      </c>
      <c r="E2768" t="n">
        <v>26360</v>
      </c>
    </row>
    <row r="2769">
      <c r="A2769" t="inlineStr">
        <is>
          <t>31/03/2026</t>
        </is>
      </c>
      <c r="B2769" t="inlineStr">
        <is>
          <t>Techcombank</t>
        </is>
      </c>
      <c r="C2769" t="n">
        <v>26143</v>
      </c>
      <c r="D2769" t="n">
        <v>26163</v>
      </c>
      <c r="E2769" t="n">
        <v>26357</v>
      </c>
    </row>
    <row r="2770">
      <c r="A2770" t="inlineStr">
        <is>
          <t>30/03/2026</t>
        </is>
      </c>
      <c r="B2770" t="inlineStr">
        <is>
          <t>Techcombank</t>
        </is>
      </c>
      <c r="C2770" t="n">
        <v>26144</v>
      </c>
      <c r="D2770" t="n">
        <v>26164</v>
      </c>
      <c r="E2770" t="n">
        <v>26355</v>
      </c>
    </row>
    <row r="2771">
      <c r="A2771" t="inlineStr">
        <is>
          <t>29/03/2026</t>
        </is>
      </c>
      <c r="B2771" t="inlineStr">
        <is>
          <t>Techcombank</t>
        </is>
      </c>
      <c r="C2771" t="n">
        <v>26158</v>
      </c>
      <c r="D2771" t="n">
        <v>26178</v>
      </c>
      <c r="E2771" t="n">
        <v>26368</v>
      </c>
    </row>
    <row r="2772">
      <c r="A2772" t="inlineStr">
        <is>
          <t>28/03/2026</t>
        </is>
      </c>
      <c r="B2772" t="inlineStr">
        <is>
          <t>Techcombank</t>
        </is>
      </c>
      <c r="C2772" t="n">
        <v>26145</v>
      </c>
      <c r="D2772" t="n">
        <v>26165</v>
      </c>
      <c r="E2772" t="n">
        <v>26355</v>
      </c>
    </row>
    <row r="2773">
      <c r="A2773" t="inlineStr">
        <is>
          <t>27/03/2026</t>
        </is>
      </c>
      <c r="B2773" t="inlineStr">
        <is>
          <t>Techcombank</t>
        </is>
      </c>
      <c r="C2773" t="n">
        <v>26138</v>
      </c>
      <c r="D2773" t="n">
        <v>26158</v>
      </c>
      <c r="E2773" t="n">
        <v>26355</v>
      </c>
    </row>
    <row r="2774">
      <c r="A2774" t="inlineStr">
        <is>
          <t>26/03/2026</t>
        </is>
      </c>
      <c r="B2774" t="inlineStr">
        <is>
          <t>Techcombank</t>
        </is>
      </c>
      <c r="C2774" t="n">
        <v>26153</v>
      </c>
      <c r="D2774" t="n">
        <v>26173</v>
      </c>
      <c r="E2774" t="n">
        <v>26357</v>
      </c>
    </row>
    <row r="2775">
      <c r="A2775" t="inlineStr">
        <is>
          <t>25/03/2026</t>
        </is>
      </c>
      <c r="B2775" t="inlineStr">
        <is>
          <t>Techcombank</t>
        </is>
      </c>
      <c r="C2775" t="n">
        <v>26153</v>
      </c>
      <c r="D2775" t="n">
        <v>26173</v>
      </c>
      <c r="E2775" t="n">
        <v>26359</v>
      </c>
    </row>
    <row r="2776">
      <c r="A2776" t="inlineStr">
        <is>
          <t>24/03/2026</t>
        </is>
      </c>
      <c r="B2776" t="inlineStr">
        <is>
          <t>Techcombank</t>
        </is>
      </c>
      <c r="C2776" t="n">
        <v>26163</v>
      </c>
      <c r="D2776" t="n">
        <v>26183</v>
      </c>
      <c r="E2776" t="n">
        <v>26364</v>
      </c>
    </row>
    <row r="2777">
      <c r="A2777" t="inlineStr">
        <is>
          <t>23/03/2026</t>
        </is>
      </c>
      <c r="B2777" t="inlineStr">
        <is>
          <t>Techcombank</t>
        </is>
      </c>
      <c r="C2777" t="n">
        <v>26145</v>
      </c>
      <c r="D2777" t="n">
        <v>26165</v>
      </c>
      <c r="E2777" t="n">
        <v>26344</v>
      </c>
    </row>
    <row r="2778">
      <c r="A2778" t="inlineStr">
        <is>
          <t>22/03/2026</t>
        </is>
      </c>
      <c r="B2778" t="inlineStr">
        <is>
          <t>Techcombank</t>
        </is>
      </c>
      <c r="C2778" t="n">
        <v>26136</v>
      </c>
      <c r="D2778" t="n">
        <v>26155</v>
      </c>
      <c r="E2778" t="n">
        <v>26360</v>
      </c>
    </row>
    <row r="2779">
      <c r="A2779" t="inlineStr">
        <is>
          <t>21/03/2026</t>
        </is>
      </c>
      <c r="B2779" t="inlineStr">
        <is>
          <t>Techcombank</t>
        </is>
      </c>
      <c r="C2779" t="n">
        <v>26101</v>
      </c>
      <c r="D2779" t="n">
        <v>26120</v>
      </c>
      <c r="E2779" t="n">
        <v>26339</v>
      </c>
    </row>
    <row r="2780">
      <c r="A2780" t="inlineStr">
        <is>
          <t>20/03/2026</t>
        </is>
      </c>
      <c r="B2780" t="inlineStr">
        <is>
          <t>Techcombank</t>
        </is>
      </c>
      <c r="C2780" t="n">
        <v>26101</v>
      </c>
      <c r="D2780" t="n">
        <v>26120</v>
      </c>
      <c r="E2780" t="n">
        <v>26339</v>
      </c>
    </row>
    <row r="2781">
      <c r="A2781" t="inlineStr">
        <is>
          <t>19/03/2026</t>
        </is>
      </c>
      <c r="B2781" t="inlineStr">
        <is>
          <t>Techcombank</t>
        </is>
      </c>
      <c r="C2781" t="n">
        <v>26096</v>
      </c>
      <c r="D2781" t="n">
        <v>26115</v>
      </c>
      <c r="E2781" t="n">
        <v>26325</v>
      </c>
    </row>
    <row r="2782">
      <c r="A2782" t="inlineStr">
        <is>
          <t>18/03/2026</t>
        </is>
      </c>
      <c r="B2782" t="inlineStr">
        <is>
          <t>Techcombank</t>
        </is>
      </c>
      <c r="C2782" t="n">
        <v>26118</v>
      </c>
      <c r="D2782" t="n">
        <v>26137</v>
      </c>
      <c r="E2782" t="n">
        <v>26320</v>
      </c>
    </row>
    <row r="2783">
      <c r="A2783" t="inlineStr">
        <is>
          <t>17/03/2026</t>
        </is>
      </c>
      <c r="B2783" t="inlineStr">
        <is>
          <t>Techcombank</t>
        </is>
      </c>
      <c r="C2783" t="n">
        <v>26106</v>
      </c>
      <c r="D2783" t="n">
        <v>26125</v>
      </c>
      <c r="E2783" t="n">
        <v>26321</v>
      </c>
    </row>
    <row r="2784">
      <c r="A2784" t="inlineStr">
        <is>
          <t>16/03/2026</t>
        </is>
      </c>
      <c r="B2784" t="inlineStr">
        <is>
          <t>Techcombank</t>
        </is>
      </c>
      <c r="C2784" t="n">
        <v>26098</v>
      </c>
      <c r="D2784" t="n">
        <v>26117</v>
      </c>
      <c r="E2784" t="n">
        <v>26321</v>
      </c>
    </row>
    <row r="2785">
      <c r="A2785" t="inlineStr">
        <is>
          <t>15/03/2026</t>
        </is>
      </c>
      <c r="B2785" t="inlineStr">
        <is>
          <t>Techcombank</t>
        </is>
      </c>
      <c r="C2785" t="n">
        <v>26140</v>
      </c>
      <c r="D2785" t="n">
        <v>26160</v>
      </c>
      <c r="E2785" t="n">
        <v>26362</v>
      </c>
    </row>
    <row r="2786">
      <c r="A2786" t="inlineStr">
        <is>
          <t>14/03/2026</t>
        </is>
      </c>
      <c r="B2786" t="inlineStr">
        <is>
          <t>Techcombank</t>
        </is>
      </c>
      <c r="C2786" t="n">
        <v>26091</v>
      </c>
      <c r="D2786" t="n">
        <v>26110</v>
      </c>
      <c r="E2786" t="n">
        <v>26318</v>
      </c>
    </row>
    <row r="2787">
      <c r="A2787" t="inlineStr">
        <is>
          <t>13/03/2026</t>
        </is>
      </c>
      <c r="B2787" t="inlineStr">
        <is>
          <t>Techcombank</t>
        </is>
      </c>
      <c r="C2787" t="n">
        <v>26096</v>
      </c>
      <c r="D2787" t="n">
        <v>26115</v>
      </c>
      <c r="E2787" t="n">
        <v>26318</v>
      </c>
    </row>
    <row r="2788">
      <c r="A2788" t="inlineStr">
        <is>
          <t>12/03/2026</t>
        </is>
      </c>
      <c r="B2788" t="inlineStr">
        <is>
          <t>Techcombank</t>
        </is>
      </c>
      <c r="C2788" t="n">
        <v>26078</v>
      </c>
      <c r="D2788" t="n">
        <v>26097</v>
      </c>
      <c r="E2788" t="n">
        <v>26314</v>
      </c>
    </row>
    <row r="2789">
      <c r="A2789" t="inlineStr">
        <is>
          <t>11/03/2026</t>
        </is>
      </c>
      <c r="B2789" t="inlineStr">
        <is>
          <t>Techcombank</t>
        </is>
      </c>
      <c r="C2789" t="n">
        <v>26059</v>
      </c>
      <c r="D2789" t="n">
        <v>26078</v>
      </c>
      <c r="E2789" t="n">
        <v>26311</v>
      </c>
    </row>
    <row r="2790">
      <c r="A2790" t="inlineStr">
        <is>
          <t>10/03/2026</t>
        </is>
      </c>
      <c r="B2790" t="inlineStr">
        <is>
          <t>Techcombank</t>
        </is>
      </c>
      <c r="C2790" t="n">
        <v>26036</v>
      </c>
      <c r="D2790" t="n">
        <v>26055</v>
      </c>
      <c r="E2790" t="n">
        <v>26315</v>
      </c>
    </row>
    <row r="2791">
      <c r="A2791" t="inlineStr">
        <is>
          <t>09/03/2026</t>
        </is>
      </c>
      <c r="B2791" t="inlineStr">
        <is>
          <t>Techcombank</t>
        </is>
      </c>
      <c r="C2791" t="n">
        <v>26081</v>
      </c>
      <c r="D2791" t="n">
        <v>26100</v>
      </c>
      <c r="E2791" t="n">
        <v>26311</v>
      </c>
    </row>
    <row r="2792">
      <c r="A2792" t="inlineStr">
        <is>
          <t>08/03/2026</t>
        </is>
      </c>
      <c r="B2792" t="inlineStr">
        <is>
          <t>Techcombank</t>
        </is>
      </c>
      <c r="C2792" t="n">
        <v>26101</v>
      </c>
      <c r="D2792" t="n">
        <v>26120</v>
      </c>
      <c r="E2792" t="n">
        <v>26339</v>
      </c>
    </row>
    <row r="2793">
      <c r="A2793" t="inlineStr">
        <is>
          <t>07/03/2026</t>
        </is>
      </c>
      <c r="B2793" t="inlineStr">
        <is>
          <t>Techcombank</t>
        </is>
      </c>
      <c r="C2793" t="n">
        <v>26031</v>
      </c>
      <c r="D2793" t="n">
        <v>26050</v>
      </c>
      <c r="E2793" t="n">
        <v>26309</v>
      </c>
    </row>
    <row r="2794">
      <c r="A2794" t="inlineStr">
        <is>
          <t>06/03/2026</t>
        </is>
      </c>
      <c r="B2794" t="inlineStr">
        <is>
          <t>Techcombank</t>
        </is>
      </c>
      <c r="C2794" t="n">
        <v>26041</v>
      </c>
      <c r="D2794" t="n">
        <v>26060</v>
      </c>
      <c r="E2794" t="n">
        <v>26309</v>
      </c>
    </row>
    <row r="2795">
      <c r="A2795" t="inlineStr">
        <is>
          <t>05/03/2026</t>
        </is>
      </c>
      <c r="B2795" t="inlineStr">
        <is>
          <t>Techcombank</t>
        </is>
      </c>
      <c r="C2795" t="n">
        <v>26029</v>
      </c>
      <c r="D2795" t="n">
        <v>26048</v>
      </c>
      <c r="E2795" t="n">
        <v>26307</v>
      </c>
    </row>
    <row r="2796">
      <c r="A2796" t="inlineStr">
        <is>
          <t>04/03/2026</t>
        </is>
      </c>
      <c r="B2796" t="inlineStr">
        <is>
          <t>Techcombank</t>
        </is>
      </c>
      <c r="C2796" t="n">
        <v>26021</v>
      </c>
      <c r="D2796" t="n">
        <v>26040</v>
      </c>
      <c r="E2796" t="n">
        <v>26304</v>
      </c>
    </row>
    <row r="2797">
      <c r="A2797" t="inlineStr">
        <is>
          <t>03/03/2026</t>
        </is>
      </c>
      <c r="B2797" t="inlineStr">
        <is>
          <t>Techcombank</t>
        </is>
      </c>
      <c r="C2797" t="n">
        <v>26006</v>
      </c>
      <c r="D2797" t="n">
        <v>26025</v>
      </c>
      <c r="E2797" t="n">
        <v>26298</v>
      </c>
    </row>
    <row r="2798">
      <c r="A2798" t="inlineStr">
        <is>
          <t>02/03/2026</t>
        </is>
      </c>
      <c r="B2798" t="inlineStr">
        <is>
          <t>Techcombank</t>
        </is>
      </c>
      <c r="C2798" t="n">
        <v>26006</v>
      </c>
      <c r="D2798" t="n">
        <v>26025</v>
      </c>
      <c r="E2798" t="n">
        <v>26289</v>
      </c>
    </row>
    <row r="2799">
      <c r="A2799" t="inlineStr">
        <is>
          <t>01/03/2026</t>
        </is>
      </c>
      <c r="B2799" t="inlineStr">
        <is>
          <t>Techcombank</t>
        </is>
      </c>
      <c r="C2799" t="n">
        <v>26031</v>
      </c>
      <c r="D2799" t="n">
        <v>26050</v>
      </c>
      <c r="E2799" t="n">
        <v>26309</v>
      </c>
    </row>
    <row r="2800">
      <c r="A2800" t="inlineStr">
        <is>
          <t>28/02/2026</t>
        </is>
      </c>
      <c r="B2800" t="inlineStr">
        <is>
          <t>Techcombank</t>
        </is>
      </c>
      <c r="C2800" t="n">
        <v>25851</v>
      </c>
      <c r="D2800" t="n">
        <v>25870</v>
      </c>
      <c r="E2800" t="n">
        <v>26240</v>
      </c>
    </row>
    <row r="2801">
      <c r="A2801" t="inlineStr">
        <is>
          <t>27/02/2026</t>
        </is>
      </c>
      <c r="B2801" t="inlineStr">
        <is>
          <t>Techcombank</t>
        </is>
      </c>
      <c r="C2801" t="n">
        <v>25856</v>
      </c>
      <c r="D2801" t="n">
        <v>25875</v>
      </c>
      <c r="E2801" t="n">
        <v>26235</v>
      </c>
    </row>
    <row r="2802">
      <c r="A2802" t="inlineStr">
        <is>
          <t>26/02/2026</t>
        </is>
      </c>
      <c r="B2802" t="inlineStr">
        <is>
          <t>Techcombank</t>
        </is>
      </c>
      <c r="C2802" t="n">
        <v>25876</v>
      </c>
      <c r="D2802" t="n">
        <v>25895</v>
      </c>
      <c r="E2802" t="n">
        <v>26255</v>
      </c>
    </row>
    <row r="2803">
      <c r="A2803" t="inlineStr">
        <is>
          <t>25/02/2026</t>
        </is>
      </c>
      <c r="B2803" t="inlineStr">
        <is>
          <t>Techcombank</t>
        </is>
      </c>
      <c r="C2803" t="n">
        <v>25906</v>
      </c>
      <c r="D2803" t="n">
        <v>25925</v>
      </c>
      <c r="E2803" t="n">
        <v>26285</v>
      </c>
    </row>
    <row r="2804">
      <c r="A2804" t="inlineStr">
        <is>
          <t>24/02/2026</t>
        </is>
      </c>
      <c r="B2804" t="inlineStr">
        <is>
          <t>Techcombank</t>
        </is>
      </c>
      <c r="C2804" t="n">
        <v>25996</v>
      </c>
      <c r="D2804" t="n">
        <v>26015</v>
      </c>
      <c r="E2804" t="n">
        <v>26305</v>
      </c>
    </row>
    <row r="2805">
      <c r="A2805" t="inlineStr">
        <is>
          <t>23/02/2026</t>
        </is>
      </c>
      <c r="B2805" t="inlineStr">
        <is>
          <t>Techcombank</t>
        </is>
      </c>
      <c r="C2805" t="n">
        <v>25911</v>
      </c>
      <c r="D2805" t="n">
        <v>25930</v>
      </c>
      <c r="E2805" t="n">
        <v>26300</v>
      </c>
    </row>
    <row r="2806">
      <c r="A2806" t="inlineStr">
        <is>
          <t>22/02/2026</t>
        </is>
      </c>
      <c r="B2806" t="inlineStr">
        <is>
          <t>Techcombank</t>
        </is>
      </c>
      <c r="C2806" t="n">
        <v>26138</v>
      </c>
      <c r="D2806" t="n">
        <v>26158</v>
      </c>
      <c r="E2806" t="n">
        <v>26355</v>
      </c>
    </row>
    <row r="2807">
      <c r="A2807" t="inlineStr">
        <is>
          <t>21/02/2026</t>
        </is>
      </c>
      <c r="B2807" t="inlineStr">
        <is>
          <t>Techcombank</t>
        </is>
      </c>
      <c r="C2807" t="n">
        <v>26138</v>
      </c>
      <c r="D2807" t="n">
        <v>26158</v>
      </c>
      <c r="E2807" t="n">
        <v>26355</v>
      </c>
    </row>
    <row r="2808">
      <c r="A2808" t="inlineStr">
        <is>
          <t>20/02/2026</t>
        </is>
      </c>
      <c r="B2808" t="inlineStr">
        <is>
          <t>Techcombank</t>
        </is>
      </c>
      <c r="C2808" t="n">
        <v>26091</v>
      </c>
      <c r="D2808" t="n">
        <v>26110</v>
      </c>
      <c r="E2808" t="n">
        <v>26318</v>
      </c>
    </row>
    <row r="2809">
      <c r="A2809" t="inlineStr">
        <is>
          <t>19/02/2026</t>
        </is>
      </c>
      <c r="B2809" t="inlineStr">
        <is>
          <t>Techcombank</t>
        </is>
      </c>
      <c r="C2809" t="n">
        <v>25766</v>
      </c>
      <c r="D2809" t="n">
        <v>25785</v>
      </c>
      <c r="E2809" t="n">
        <v>26175</v>
      </c>
    </row>
    <row r="2810">
      <c r="A2810" t="inlineStr">
        <is>
          <t>18/02/2026</t>
        </is>
      </c>
      <c r="B2810" t="inlineStr">
        <is>
          <t>Techcombank</t>
        </is>
      </c>
      <c r="C2810" t="n">
        <v>25851</v>
      </c>
      <c r="D2810" t="n">
        <v>25870</v>
      </c>
      <c r="E2810" t="n">
        <v>26240</v>
      </c>
    </row>
    <row r="2811">
      <c r="A2811" t="inlineStr">
        <is>
          <t>17/02/2026</t>
        </is>
      </c>
      <c r="B2811" t="inlineStr">
        <is>
          <t>Techcombank</t>
        </is>
      </c>
      <c r="C2811" t="n">
        <v>25766</v>
      </c>
      <c r="D2811" t="n">
        <v>25785</v>
      </c>
      <c r="E2811" t="n">
        <v>26175</v>
      </c>
    </row>
    <row r="2812">
      <c r="A2812" t="inlineStr">
        <is>
          <t>16/02/2026</t>
        </is>
      </c>
      <c r="B2812" t="inlineStr">
        <is>
          <t>Techcombank</t>
        </is>
      </c>
      <c r="C2812" t="n">
        <v>25766</v>
      </c>
      <c r="D2812" t="n">
        <v>25785</v>
      </c>
      <c r="E2812" t="n">
        <v>26175</v>
      </c>
    </row>
    <row r="2813">
      <c r="A2813" t="inlineStr">
        <is>
          <t>15/02/2026</t>
        </is>
      </c>
      <c r="B2813" t="inlineStr">
        <is>
          <t>Techcombank</t>
        </is>
      </c>
      <c r="C2813" t="n">
        <v>25766</v>
      </c>
      <c r="D2813" t="n">
        <v>25785</v>
      </c>
      <c r="E2813" t="n">
        <v>26175</v>
      </c>
    </row>
    <row r="2814">
      <c r="A2814" t="inlineStr">
        <is>
          <t>14/02/2026</t>
        </is>
      </c>
      <c r="B2814" t="inlineStr">
        <is>
          <t>Techcombank</t>
        </is>
      </c>
      <c r="C2814" t="n">
        <v>25766</v>
      </c>
      <c r="D2814" t="n">
        <v>25785</v>
      </c>
      <c r="E2814" t="n">
        <v>26175</v>
      </c>
    </row>
    <row r="2815">
      <c r="A2815" t="inlineStr">
        <is>
          <t>13/02/2026</t>
        </is>
      </c>
      <c r="B2815" t="inlineStr">
        <is>
          <t>Techcombank</t>
        </is>
      </c>
      <c r="C2815" t="n">
        <v>25766</v>
      </c>
      <c r="D2815" t="n">
        <v>25785</v>
      </c>
      <c r="E2815" t="n">
        <v>26175</v>
      </c>
    </row>
    <row r="2816">
      <c r="A2816" t="inlineStr">
        <is>
          <t>12/02/2026</t>
        </is>
      </c>
      <c r="B2816" t="inlineStr">
        <is>
          <t>Techcombank</t>
        </is>
      </c>
      <c r="C2816" t="n">
        <v>25766</v>
      </c>
      <c r="D2816" t="n">
        <v>25785</v>
      </c>
      <c r="E2816" t="n">
        <v>26143</v>
      </c>
    </row>
    <row r="2817">
      <c r="A2817" t="inlineStr">
        <is>
          <t>11/02/2026</t>
        </is>
      </c>
      <c r="B2817" t="inlineStr">
        <is>
          <t>Techcombank</t>
        </is>
      </c>
      <c r="C2817" t="n">
        <v>25799</v>
      </c>
      <c r="D2817" t="n">
        <v>25818</v>
      </c>
      <c r="E2817" t="n">
        <v>26175</v>
      </c>
    </row>
    <row r="2818">
      <c r="A2818" t="inlineStr">
        <is>
          <t>10/02/2026</t>
        </is>
      </c>
      <c r="B2818" t="inlineStr">
        <is>
          <t>Techcombank</t>
        </is>
      </c>
      <c r="C2818" t="n">
        <v>25691</v>
      </c>
      <c r="D2818" t="n">
        <v>25710</v>
      </c>
      <c r="E2818" t="n">
        <v>26068</v>
      </c>
    </row>
    <row r="2819">
      <c r="A2819" t="inlineStr">
        <is>
          <t>09/02/2026</t>
        </is>
      </c>
      <c r="B2819" t="inlineStr">
        <is>
          <t>Techcombank</t>
        </is>
      </c>
      <c r="C2819" t="n">
        <v>25716</v>
      </c>
      <c r="D2819" t="n">
        <v>25735</v>
      </c>
      <c r="E2819" t="n">
        <v>26092</v>
      </c>
    </row>
    <row r="2820">
      <c r="A2820" t="inlineStr">
        <is>
          <t>08/02/2026</t>
        </is>
      </c>
      <c r="B2820" t="inlineStr">
        <is>
          <t>Techcombank</t>
        </is>
      </c>
      <c r="C2820" t="n">
        <v>25766</v>
      </c>
      <c r="D2820" t="n">
        <v>25785</v>
      </c>
      <c r="E2820" t="n">
        <v>26175</v>
      </c>
    </row>
    <row r="2821">
      <c r="A2821" t="inlineStr">
        <is>
          <t>07/02/2026</t>
        </is>
      </c>
      <c r="B2821" t="inlineStr">
        <is>
          <t>Techcombank</t>
        </is>
      </c>
      <c r="C2821" t="n">
        <v>25756</v>
      </c>
      <c r="D2821" t="n">
        <v>25775</v>
      </c>
      <c r="E2821" t="n">
        <v>26145</v>
      </c>
    </row>
    <row r="2822">
      <c r="A2822" t="inlineStr">
        <is>
          <t>06/02/2026</t>
        </is>
      </c>
      <c r="B2822" t="inlineStr">
        <is>
          <t>Techcombank</t>
        </is>
      </c>
      <c r="C2822" t="n">
        <v>25756</v>
      </c>
      <c r="D2822" t="n">
        <v>25775</v>
      </c>
      <c r="E2822" t="n">
        <v>26135</v>
      </c>
    </row>
    <row r="2823">
      <c r="A2823" t="inlineStr">
        <is>
          <t>05/02/2026</t>
        </is>
      </c>
      <c r="B2823" t="inlineStr">
        <is>
          <t>Techcombank</t>
        </is>
      </c>
      <c r="C2823" t="n">
        <v>25770</v>
      </c>
      <c r="D2823" t="n">
        <v>25789</v>
      </c>
      <c r="E2823" t="n">
        <v>26145</v>
      </c>
    </row>
    <row r="2824">
      <c r="A2824" t="inlineStr">
        <is>
          <t>04/02/2026</t>
        </is>
      </c>
      <c r="B2824" t="inlineStr">
        <is>
          <t>Techcombank</t>
        </is>
      </c>
      <c r="C2824" t="n">
        <v>25786</v>
      </c>
      <c r="D2824" t="n">
        <v>25805</v>
      </c>
      <c r="E2824" t="n">
        <v>26165</v>
      </c>
    </row>
    <row r="2825">
      <c r="A2825" t="inlineStr">
        <is>
          <t>03/02/2026</t>
        </is>
      </c>
      <c r="B2825" t="inlineStr">
        <is>
          <t>Techcombank</t>
        </is>
      </c>
      <c r="C2825" t="n">
        <v>25799</v>
      </c>
      <c r="D2825" t="n">
        <v>25818</v>
      </c>
      <c r="E2825" t="n">
        <v>26178</v>
      </c>
    </row>
    <row r="2826">
      <c r="A2826" t="inlineStr">
        <is>
          <t>02/02/2026</t>
        </is>
      </c>
      <c r="B2826" t="inlineStr">
        <is>
          <t>Techcombank</t>
        </is>
      </c>
      <c r="C2826" t="n">
        <v>25826</v>
      </c>
      <c r="D2826" t="n">
        <v>25845</v>
      </c>
      <c r="E2826" t="n">
        <v>26205</v>
      </c>
    </row>
    <row r="2827">
      <c r="A2827" t="inlineStr">
        <is>
          <t>01/02/2026</t>
        </is>
      </c>
      <c r="B2827" t="inlineStr">
        <is>
          <t>Techcombank</t>
        </is>
      </c>
      <c r="C2827" t="n">
        <v>25766</v>
      </c>
      <c r="D2827" t="n">
        <v>25785</v>
      </c>
      <c r="E2827" t="n">
        <v>26175</v>
      </c>
    </row>
    <row r="2828">
      <c r="A2828" t="inlineStr">
        <is>
          <t>31/01/2026</t>
        </is>
      </c>
      <c r="B2828" t="inlineStr">
        <is>
          <t>Techcombank</t>
        </is>
      </c>
      <c r="C2828" t="n">
        <v>25746</v>
      </c>
      <c r="D2828" t="n">
        <v>25765</v>
      </c>
      <c r="E2828" t="n">
        <v>26145</v>
      </c>
    </row>
    <row r="2829">
      <c r="A2829" t="inlineStr">
        <is>
          <t>30/01/2026</t>
        </is>
      </c>
      <c r="B2829" t="inlineStr">
        <is>
          <t>Techcombank</t>
        </is>
      </c>
      <c r="C2829" t="n">
        <v>25741</v>
      </c>
      <c r="D2829" t="n">
        <v>25760</v>
      </c>
      <c r="E2829" t="n">
        <v>26130</v>
      </c>
    </row>
    <row r="2830">
      <c r="A2830" t="inlineStr">
        <is>
          <t>29/01/2026</t>
        </is>
      </c>
      <c r="B2830" t="inlineStr">
        <is>
          <t>Techcombank</t>
        </is>
      </c>
      <c r="C2830" t="n">
        <v>25806</v>
      </c>
      <c r="D2830" t="n">
        <v>25825</v>
      </c>
      <c r="E2830" t="n">
        <v>26185</v>
      </c>
    </row>
    <row r="2831">
      <c r="A2831" t="inlineStr">
        <is>
          <t>28/01/2026</t>
        </is>
      </c>
      <c r="B2831" t="inlineStr">
        <is>
          <t>Techcombank</t>
        </is>
      </c>
      <c r="C2831" t="n">
        <v>25869</v>
      </c>
      <c r="D2831" t="n">
        <v>25888</v>
      </c>
      <c r="E2831" t="n">
        <v>26244</v>
      </c>
    </row>
    <row r="2832">
      <c r="A2832" t="inlineStr">
        <is>
          <t>27/01/2026</t>
        </is>
      </c>
      <c r="B2832" t="inlineStr">
        <is>
          <t>Techcombank</t>
        </is>
      </c>
      <c r="C2832" t="n">
        <v>25934</v>
      </c>
      <c r="D2832" t="n">
        <v>25953</v>
      </c>
      <c r="E2832" t="n">
        <v>26309</v>
      </c>
    </row>
    <row r="2833">
      <c r="A2833" t="inlineStr">
        <is>
          <t>26/01/2026</t>
        </is>
      </c>
      <c r="B2833" t="inlineStr">
        <is>
          <t>Techcombank</t>
        </is>
      </c>
      <c r="C2833" t="n">
        <v>25991</v>
      </c>
      <c r="D2833" t="n">
        <v>26010</v>
      </c>
      <c r="E2833" t="n">
        <v>26365</v>
      </c>
    </row>
    <row r="2834">
      <c r="A2834" t="inlineStr">
        <is>
          <t>25/01/2026</t>
        </is>
      </c>
      <c r="B2834" t="inlineStr">
        <is>
          <t>Techcombank</t>
        </is>
      </c>
      <c r="C2834" t="n">
        <v>25766</v>
      </c>
      <c r="D2834" t="n">
        <v>25785</v>
      </c>
      <c r="E2834" t="n">
        <v>26175</v>
      </c>
    </row>
    <row r="2835">
      <c r="A2835" t="inlineStr">
        <is>
          <t>24/01/2026</t>
        </is>
      </c>
      <c r="B2835" t="inlineStr">
        <is>
          <t>Techcombank</t>
        </is>
      </c>
      <c r="C2835" t="n">
        <v>26047</v>
      </c>
      <c r="D2835" t="n">
        <v>26066</v>
      </c>
      <c r="E2835" t="n">
        <v>26381</v>
      </c>
    </row>
    <row r="2836">
      <c r="A2836" t="inlineStr">
        <is>
          <t>23/01/2026</t>
        </is>
      </c>
      <c r="B2836" t="inlineStr">
        <is>
          <t>Techcombank</t>
        </is>
      </c>
      <c r="C2836" t="n">
        <v>26047</v>
      </c>
      <c r="D2836" t="n">
        <v>26066</v>
      </c>
      <c r="E2836" t="n">
        <v>26381</v>
      </c>
    </row>
    <row r="2837">
      <c r="A2837" t="inlineStr">
        <is>
          <t>22/01/2026</t>
        </is>
      </c>
      <c r="B2837" t="inlineStr">
        <is>
          <t>Techcombank</t>
        </is>
      </c>
      <c r="C2837" t="n">
        <v>26077</v>
      </c>
      <c r="D2837" t="n">
        <v>26096</v>
      </c>
      <c r="E2837" t="n">
        <v>26381</v>
      </c>
    </row>
    <row r="2838">
      <c r="A2838" t="inlineStr">
        <is>
          <t>21/01/2026</t>
        </is>
      </c>
      <c r="B2838" t="inlineStr">
        <is>
          <t>Techcombank</t>
        </is>
      </c>
      <c r="C2838" t="n">
        <v>26071</v>
      </c>
      <c r="D2838" t="n">
        <v>26090</v>
      </c>
      <c r="E2838" t="n">
        <v>26380</v>
      </c>
    </row>
    <row r="2839">
      <c r="A2839" t="inlineStr">
        <is>
          <t>20/01/2026</t>
        </is>
      </c>
      <c r="B2839" t="inlineStr">
        <is>
          <t>Techcombank</t>
        </is>
      </c>
      <c r="C2839" t="n">
        <v>26069</v>
      </c>
      <c r="D2839" t="n">
        <v>26088</v>
      </c>
      <c r="E2839" t="n">
        <v>26386</v>
      </c>
    </row>
    <row r="2840">
      <c r="A2840" t="inlineStr">
        <is>
          <t>19/01/2026</t>
        </is>
      </c>
      <c r="B2840" t="inlineStr">
        <is>
          <t>Techcombank</t>
        </is>
      </c>
      <c r="C2840" t="n">
        <v>26068</v>
      </c>
      <c r="D2840" t="n">
        <v>26087</v>
      </c>
      <c r="E2840" t="n">
        <v>26388</v>
      </c>
    </row>
    <row r="2841">
      <c r="A2841" t="inlineStr">
        <is>
          <t>18/01/2026</t>
        </is>
      </c>
      <c r="B2841" t="inlineStr">
        <is>
          <t>Techcombank</t>
        </is>
      </c>
      <c r="C2841" t="n">
        <v>25766</v>
      </c>
      <c r="D2841" t="n">
        <v>25785</v>
      </c>
      <c r="E2841" t="n">
        <v>26175</v>
      </c>
    </row>
    <row r="2842">
      <c r="A2842" t="inlineStr">
        <is>
          <t>17/01/2026</t>
        </is>
      </c>
      <c r="B2842" t="inlineStr">
        <is>
          <t>Techcombank</t>
        </is>
      </c>
      <c r="C2842" t="n">
        <v>26076</v>
      </c>
      <c r="D2842" t="n">
        <v>26095</v>
      </c>
      <c r="E2842" t="n">
        <v>26387</v>
      </c>
    </row>
    <row r="2843">
      <c r="A2843" t="inlineStr">
        <is>
          <t>16/01/2026</t>
        </is>
      </c>
      <c r="B2843" t="inlineStr">
        <is>
          <t>Techcombank</t>
        </is>
      </c>
      <c r="C2843" t="n">
        <v>26080</v>
      </c>
      <c r="D2843" t="n">
        <v>26099</v>
      </c>
      <c r="E2843" t="n">
        <v>26387</v>
      </c>
    </row>
    <row r="2844">
      <c r="A2844" t="inlineStr">
        <is>
          <t>15/01/2026</t>
        </is>
      </c>
      <c r="B2844" t="inlineStr">
        <is>
          <t>Techcombank</t>
        </is>
      </c>
      <c r="C2844" t="n">
        <v>26076</v>
      </c>
      <c r="D2844" t="n">
        <v>26095</v>
      </c>
      <c r="E2844" t="n">
        <v>26391</v>
      </c>
    </row>
    <row r="2845">
      <c r="A2845" t="inlineStr">
        <is>
          <t>14/01/2026</t>
        </is>
      </c>
      <c r="B2845" t="inlineStr">
        <is>
          <t>Techcombank</t>
        </is>
      </c>
      <c r="C2845" t="n">
        <v>26082</v>
      </c>
      <c r="D2845" t="n">
        <v>26101</v>
      </c>
      <c r="E2845" t="n">
        <v>26391</v>
      </c>
    </row>
    <row r="2846">
      <c r="A2846" t="inlineStr">
        <is>
          <t>13/01/2026</t>
        </is>
      </c>
      <c r="B2846" t="inlineStr">
        <is>
          <t>Techcombank</t>
        </is>
      </c>
      <c r="C2846" t="n">
        <v>26090</v>
      </c>
      <c r="D2846" t="n">
        <v>26109</v>
      </c>
      <c r="E2846" t="n">
        <v>26385</v>
      </c>
    </row>
    <row r="2847">
      <c r="A2847" t="inlineStr">
        <is>
          <t>12/01/2026</t>
        </is>
      </c>
      <c r="B2847" t="inlineStr">
        <is>
          <t>Techcombank</t>
        </is>
      </c>
      <c r="C2847" t="n">
        <v>26072</v>
      </c>
      <c r="D2847" t="n">
        <v>26091</v>
      </c>
      <c r="E2847" t="n">
        <v>26385</v>
      </c>
    </row>
    <row r="2848">
      <c r="A2848" t="inlineStr">
        <is>
          <t>11/01/2026</t>
        </is>
      </c>
      <c r="B2848" t="inlineStr">
        <is>
          <t>Techcombank</t>
        </is>
      </c>
      <c r="C2848" t="n">
        <v>25746</v>
      </c>
      <c r="D2848" t="n">
        <v>25765</v>
      </c>
      <c r="E2848" t="n">
        <v>26145</v>
      </c>
    </row>
    <row r="2849">
      <c r="A2849" t="inlineStr">
        <is>
          <t>10/01/2026</t>
        </is>
      </c>
      <c r="B2849" t="inlineStr">
        <is>
          <t>Techcombank</t>
        </is>
      </c>
      <c r="C2849" t="n">
        <v>26068</v>
      </c>
      <c r="D2849" t="n">
        <v>26087</v>
      </c>
      <c r="E2849" t="n">
        <v>26387</v>
      </c>
    </row>
    <row r="2850">
      <c r="A2850" t="inlineStr">
        <is>
          <t>09/01/2026</t>
        </is>
      </c>
      <c r="B2850" t="inlineStr">
        <is>
          <t>Techcombank</t>
        </is>
      </c>
      <c r="C2850" t="n">
        <v>26068</v>
      </c>
      <c r="D2850" t="n">
        <v>26087</v>
      </c>
      <c r="E2850" t="n">
        <v>26383</v>
      </c>
    </row>
    <row r="2851">
      <c r="A2851" t="inlineStr">
        <is>
          <t>08/01/2026</t>
        </is>
      </c>
      <c r="B2851" t="inlineStr">
        <is>
          <t>Techcombank</t>
        </is>
      </c>
      <c r="C2851" t="n">
        <v>26076</v>
      </c>
      <c r="D2851" t="n">
        <v>26095</v>
      </c>
      <c r="E2851" t="n">
        <v>26381</v>
      </c>
    </row>
    <row r="2852">
      <c r="A2852" t="inlineStr">
        <is>
          <t>07/01/2026</t>
        </is>
      </c>
      <c r="B2852" t="inlineStr">
        <is>
          <t>Techcombank</t>
        </is>
      </c>
      <c r="C2852" t="n">
        <v>26081</v>
      </c>
      <c r="D2852" t="n">
        <v>26100</v>
      </c>
      <c r="E2852" t="n">
        <v>26378</v>
      </c>
    </row>
    <row r="2853">
      <c r="A2853" t="inlineStr">
        <is>
          <t>06/01/2026</t>
        </is>
      </c>
      <c r="B2853" t="inlineStr">
        <is>
          <t>Techcombank</t>
        </is>
      </c>
      <c r="C2853" t="n">
        <v>26080</v>
      </c>
      <c r="D2853" t="n">
        <v>26099</v>
      </c>
      <c r="E2853" t="n">
        <v>26378</v>
      </c>
    </row>
    <row r="2854">
      <c r="A2854" t="inlineStr">
        <is>
          <t>05/01/2026</t>
        </is>
      </c>
      <c r="B2854" t="inlineStr">
        <is>
          <t>Techcombank</t>
        </is>
      </c>
      <c r="C2854" t="n">
        <v>26079</v>
      </c>
      <c r="D2854" t="n">
        <v>26098</v>
      </c>
      <c r="E2854" t="n">
        <v>26380</v>
      </c>
    </row>
    <row r="2855">
      <c r="A2855" t="inlineStr">
        <is>
          <t>04/01/2026</t>
        </is>
      </c>
      <c r="B2855" t="inlineStr">
        <is>
          <t>Techcombank</t>
        </is>
      </c>
      <c r="C2855" t="n">
        <v>26047</v>
      </c>
      <c r="D2855" t="n">
        <v>26066</v>
      </c>
      <c r="E2855" t="n">
        <v>26381</v>
      </c>
    </row>
    <row r="2856">
      <c r="A2856" t="inlineStr">
        <is>
          <t>03/01/2026</t>
        </is>
      </c>
      <c r="B2856" t="inlineStr">
        <is>
          <t>Techcombank</t>
        </is>
      </c>
      <c r="C2856" t="n">
        <v>25756</v>
      </c>
      <c r="D2856" t="n">
        <v>25775</v>
      </c>
      <c r="E2856" t="n">
        <v>26145</v>
      </c>
    </row>
    <row r="2857">
      <c r="A2857" t="inlineStr">
        <is>
          <t>02/01/2026</t>
        </is>
      </c>
      <c r="B2857" t="inlineStr">
        <is>
          <t>Techcombank</t>
        </is>
      </c>
      <c r="C2857" t="n">
        <v>26076</v>
      </c>
      <c r="D2857" t="n">
        <v>26095</v>
      </c>
      <c r="E2857" t="n">
        <v>26387</v>
      </c>
    </row>
    <row r="2858">
      <c r="A2858" t="inlineStr">
        <is>
          <t>01/01/2026</t>
        </is>
      </c>
      <c r="B2858" t="inlineStr">
        <is>
          <t>Techcombank</t>
        </is>
      </c>
      <c r="C2858" t="n">
        <v>26068</v>
      </c>
      <c r="D2858" t="n">
        <v>26087</v>
      </c>
      <c r="E2858" t="n">
        <v>26387</v>
      </c>
    </row>
    <row r="2859">
      <c r="A2859" t="inlineStr">
        <is>
          <t>10/09/2026</t>
        </is>
      </c>
      <c r="B2859" t="inlineStr">
        <is>
          <t>Techcombank</t>
        </is>
      </c>
      <c r="C2859" t="n">
        <v>25726</v>
      </c>
      <c r="D2859" t="n">
        <v>25740</v>
      </c>
      <c r="E2859" t="n">
        <v>26110</v>
      </c>
    </row>
    <row r="2860">
      <c r="A2860" t="inlineStr">
        <is>
          <t>11/09/2026</t>
        </is>
      </c>
      <c r="B2860" t="inlineStr">
        <is>
          <t>Techcombank</t>
        </is>
      </c>
      <c r="C2860" t="n">
        <v>25724</v>
      </c>
      <c r="D2860" t="n">
        <v>25738</v>
      </c>
      <c r="E2860" t="n">
        <v>26108</v>
      </c>
    </row>
    <row r="2861">
      <c r="A2861" t="inlineStr">
        <is>
          <t>12/09/2026</t>
        </is>
      </c>
      <c r="B2861" t="inlineStr">
        <is>
          <t>Techcombank</t>
        </is>
      </c>
      <c r="C2861" t="n">
        <v>25724</v>
      </c>
      <c r="D2861" t="n">
        <v>25738</v>
      </c>
      <c r="E2861" t="n">
        <v>26108</v>
      </c>
    </row>
    <row r="2862">
      <c r="A2862" t="inlineStr">
        <is>
          <t>13/09/2026</t>
        </is>
      </c>
      <c r="B2862" t="inlineStr">
        <is>
          <t>Techcombank</t>
        </is>
      </c>
      <c r="C2862" t="n">
        <v>25724</v>
      </c>
      <c r="D2862" t="n">
        <v>25738</v>
      </c>
      <c r="E2862" t="n">
        <v>26108</v>
      </c>
    </row>
    <row r="2863">
      <c r="A2863" t="inlineStr">
        <is>
          <t>14/09/2026</t>
        </is>
      </c>
      <c r="B2863" t="inlineStr">
        <is>
          <t>Techcombank</t>
        </is>
      </c>
      <c r="C2863" t="n">
        <v>25786</v>
      </c>
      <c r="D2863" t="n">
        <v>25800</v>
      </c>
      <c r="E2863" t="n">
        <v>26170</v>
      </c>
    </row>
    <row r="2864">
      <c r="A2864" t="inlineStr">
        <is>
          <t>15/09/2026</t>
        </is>
      </c>
      <c r="B2864" t="inlineStr">
        <is>
          <t>Techcombank</t>
        </is>
      </c>
      <c r="C2864" t="n">
        <v>25766</v>
      </c>
      <c r="D2864" t="n">
        <v>25780</v>
      </c>
      <c r="E2864" t="n">
        <v>26150</v>
      </c>
    </row>
    <row r="2865">
      <c r="A2865" t="inlineStr">
        <is>
          <t>16/09/2026</t>
        </is>
      </c>
      <c r="B2865" t="inlineStr">
        <is>
          <t>Techcombank</t>
        </is>
      </c>
      <c r="C2865" t="n">
        <v>25801</v>
      </c>
      <c r="D2865" t="n">
        <v>25815</v>
      </c>
      <c r="E2865" t="n">
        <v>26185</v>
      </c>
    </row>
    <row r="2866">
      <c r="A2866" t="inlineStr">
        <is>
          <t>17/09/2026</t>
        </is>
      </c>
      <c r="B2866" t="inlineStr">
        <is>
          <t>Techcombank</t>
        </is>
      </c>
      <c r="C2866" t="n">
        <v>25816</v>
      </c>
      <c r="D2866" t="n">
        <v>25830</v>
      </c>
      <c r="E2866" t="n">
        <v>26200</v>
      </c>
    </row>
    <row r="2867">
      <c r="A2867" t="inlineStr">
        <is>
          <t>18/09/2026</t>
        </is>
      </c>
      <c r="B2867" t="inlineStr">
        <is>
          <t>Techcombank</t>
        </is>
      </c>
      <c r="C2867" t="n">
        <v>25821</v>
      </c>
      <c r="D2867" t="n">
        <v>25835</v>
      </c>
      <c r="E2867" t="n">
        <v>26205</v>
      </c>
    </row>
    <row r="2868">
      <c r="A2868" t="inlineStr">
        <is>
          <t>09/09/2026</t>
        </is>
      </c>
      <c r="B2868" t="inlineStr">
        <is>
          <t>VPBank</t>
        </is>
      </c>
      <c r="C2868" t="n">
        <v>26099</v>
      </c>
      <c r="D2868" t="n">
        <v>26099</v>
      </c>
      <c r="E2868" t="n">
        <v>26379</v>
      </c>
    </row>
    <row r="2869">
      <c r="A2869" t="inlineStr">
        <is>
          <t>08/09/2026</t>
        </is>
      </c>
      <c r="B2869" t="inlineStr">
        <is>
          <t>VPBank</t>
        </is>
      </c>
      <c r="C2869" t="n">
        <v>26169</v>
      </c>
      <c r="D2869" t="n">
        <v>26169</v>
      </c>
      <c r="E2869" t="n">
        <v>26449</v>
      </c>
    </row>
    <row r="2870">
      <c r="A2870" t="inlineStr">
        <is>
          <t>07/09/2026</t>
        </is>
      </c>
      <c r="B2870" t="inlineStr">
        <is>
          <t>VPBank</t>
        </is>
      </c>
      <c r="C2870" t="n">
        <v>26219</v>
      </c>
      <c r="D2870" t="n">
        <v>26219</v>
      </c>
      <c r="E2870" t="n">
        <v>26499</v>
      </c>
    </row>
    <row r="2871">
      <c r="A2871" t="inlineStr">
        <is>
          <t>06/09/2026</t>
        </is>
      </c>
      <c r="B2871" t="inlineStr">
        <is>
          <t>VPBank</t>
        </is>
      </c>
      <c r="C2871" t="n">
        <v>26264</v>
      </c>
      <c r="D2871" t="n">
        <v>26264</v>
      </c>
      <c r="E2871" t="n">
        <v>26544</v>
      </c>
    </row>
    <row r="2872">
      <c r="A2872" t="inlineStr">
        <is>
          <t>05/09/2026</t>
        </is>
      </c>
      <c r="B2872" t="inlineStr">
        <is>
          <t>VPBank</t>
        </is>
      </c>
      <c r="C2872" t="n">
        <v>26264</v>
      </c>
      <c r="D2872" t="n">
        <v>26264</v>
      </c>
      <c r="E2872" t="n">
        <v>26544</v>
      </c>
    </row>
    <row r="2873">
      <c r="A2873" t="inlineStr">
        <is>
          <t>04/09/2026</t>
        </is>
      </c>
      <c r="B2873" t="inlineStr">
        <is>
          <t>VPBank</t>
        </is>
      </c>
      <c r="C2873" t="n">
        <v>26264</v>
      </c>
      <c r="D2873" t="n">
        <v>26264</v>
      </c>
      <c r="E2873" t="n">
        <v>26544</v>
      </c>
    </row>
    <row r="2874">
      <c r="A2874" t="inlineStr">
        <is>
          <t>03/09/2026</t>
        </is>
      </c>
      <c r="B2874" t="inlineStr">
        <is>
          <t>VPBank</t>
        </is>
      </c>
      <c r="C2874" t="n">
        <v>26269</v>
      </c>
      <c r="D2874" t="n">
        <v>26269</v>
      </c>
      <c r="E2874" t="n">
        <v>26549</v>
      </c>
    </row>
    <row r="2875">
      <c r="A2875" t="inlineStr">
        <is>
          <t>02/09/2026</t>
        </is>
      </c>
      <c r="B2875" t="inlineStr">
        <is>
          <t>VPBank</t>
        </is>
      </c>
      <c r="C2875" t="n">
        <v>26269</v>
      </c>
      <c r="D2875" t="n">
        <v>26269</v>
      </c>
      <c r="E2875" t="n">
        <v>26549</v>
      </c>
    </row>
    <row r="2876">
      <c r="A2876" t="inlineStr">
        <is>
          <t>01/09/2026</t>
        </is>
      </c>
      <c r="B2876" t="inlineStr">
        <is>
          <t>VPBank</t>
        </is>
      </c>
      <c r="C2876" t="n">
        <v>26269</v>
      </c>
      <c r="D2876" t="n">
        <v>26269</v>
      </c>
      <c r="E2876" t="n">
        <v>26549</v>
      </c>
    </row>
    <row r="2877">
      <c r="A2877" t="inlineStr">
        <is>
          <t>31/08/2026</t>
        </is>
      </c>
      <c r="B2877" t="inlineStr">
        <is>
          <t>VPBank</t>
        </is>
      </c>
      <c r="C2877" t="n">
        <v>26269</v>
      </c>
      <c r="D2877" t="n">
        <v>26269</v>
      </c>
      <c r="E2877" t="n">
        <v>26549</v>
      </c>
    </row>
    <row r="2878">
      <c r="A2878" t="inlineStr">
        <is>
          <t>30/08/2026</t>
        </is>
      </c>
      <c r="B2878" t="inlineStr">
        <is>
          <t>VPBank</t>
        </is>
      </c>
      <c r="C2878" t="n">
        <v>26269</v>
      </c>
      <c r="D2878" t="n">
        <v>26269</v>
      </c>
      <c r="E2878" t="n">
        <v>26549</v>
      </c>
    </row>
    <row r="2879">
      <c r="A2879" t="inlineStr">
        <is>
          <t>29/08/2026</t>
        </is>
      </c>
      <c r="B2879" t="inlineStr">
        <is>
          <t>VPBank</t>
        </is>
      </c>
      <c r="C2879" t="n">
        <v>26269</v>
      </c>
      <c r="D2879" t="n">
        <v>26269</v>
      </c>
      <c r="E2879" t="n">
        <v>26549</v>
      </c>
    </row>
    <row r="2880">
      <c r="A2880" t="inlineStr">
        <is>
          <t>28/08/2026</t>
        </is>
      </c>
      <c r="B2880" t="inlineStr">
        <is>
          <t>VPBank</t>
        </is>
      </c>
      <c r="C2880" t="n">
        <v>26269</v>
      </c>
      <c r="D2880" t="n">
        <v>26269</v>
      </c>
      <c r="E2880" t="n">
        <v>26549</v>
      </c>
    </row>
    <row r="2881">
      <c r="A2881" t="inlineStr">
        <is>
          <t>27/08/2026</t>
        </is>
      </c>
      <c r="B2881" t="inlineStr">
        <is>
          <t>VPBank</t>
        </is>
      </c>
      <c r="C2881" t="n">
        <v>26279</v>
      </c>
      <c r="D2881" t="n">
        <v>26279</v>
      </c>
      <c r="E2881" t="n">
        <v>26559</v>
      </c>
    </row>
    <row r="2882">
      <c r="A2882" t="inlineStr">
        <is>
          <t>26/08/2026</t>
        </is>
      </c>
      <c r="B2882" t="inlineStr">
        <is>
          <t>VPBank</t>
        </is>
      </c>
      <c r="C2882" t="n">
        <v>26309</v>
      </c>
      <c r="D2882" t="n">
        <v>26309</v>
      </c>
      <c r="E2882" t="n">
        <v>26589</v>
      </c>
    </row>
    <row r="2883">
      <c r="A2883" t="inlineStr">
        <is>
          <t>25/08/2026</t>
        </is>
      </c>
      <c r="B2883" t="inlineStr">
        <is>
          <t>VPBank</t>
        </is>
      </c>
      <c r="C2883" t="n">
        <v>26319</v>
      </c>
      <c r="D2883" t="n">
        <v>26319</v>
      </c>
      <c r="E2883" t="n">
        <v>26599</v>
      </c>
    </row>
    <row r="2884">
      <c r="A2884" t="inlineStr">
        <is>
          <t>24/08/2026</t>
        </is>
      </c>
      <c r="B2884" t="inlineStr">
        <is>
          <t>VPBank</t>
        </is>
      </c>
      <c r="C2884" t="n">
        <v>26369</v>
      </c>
      <c r="D2884" t="n">
        <v>26369</v>
      </c>
      <c r="E2884" t="n">
        <v>26649</v>
      </c>
    </row>
    <row r="2885">
      <c r="A2885" t="inlineStr">
        <is>
          <t>23/08/2026</t>
        </is>
      </c>
      <c r="B2885" t="inlineStr">
        <is>
          <t>VPBank</t>
        </is>
      </c>
      <c r="C2885" t="n">
        <v>26319</v>
      </c>
      <c r="D2885" t="n">
        <v>26319</v>
      </c>
      <c r="E2885" t="n">
        <v>26599</v>
      </c>
    </row>
    <row r="2886">
      <c r="A2886" t="inlineStr">
        <is>
          <t>22/08/2026</t>
        </is>
      </c>
      <c r="B2886" t="inlineStr">
        <is>
          <t>VPBank</t>
        </is>
      </c>
      <c r="C2886" t="n">
        <v>26319</v>
      </c>
      <c r="D2886" t="n">
        <v>26319</v>
      </c>
      <c r="E2886" t="n">
        <v>26599</v>
      </c>
    </row>
    <row r="2887">
      <c r="A2887" t="inlineStr">
        <is>
          <t>21/08/2026</t>
        </is>
      </c>
      <c r="B2887" t="inlineStr">
        <is>
          <t>VPBank</t>
        </is>
      </c>
      <c r="C2887" t="n">
        <v>26289</v>
      </c>
      <c r="D2887" t="n">
        <v>26289</v>
      </c>
      <c r="E2887" t="n">
        <v>26569</v>
      </c>
    </row>
    <row r="2888">
      <c r="A2888" t="inlineStr">
        <is>
          <t>20/08/2026</t>
        </is>
      </c>
      <c r="B2888" t="inlineStr">
        <is>
          <t>VPBank</t>
        </is>
      </c>
      <c r="C2888" t="n">
        <v>26319</v>
      </c>
      <c r="D2888" t="n">
        <v>26319</v>
      </c>
      <c r="E2888" t="n">
        <v>26599</v>
      </c>
    </row>
    <row r="2889">
      <c r="A2889" t="inlineStr">
        <is>
          <t>19/08/2026</t>
        </is>
      </c>
      <c r="B2889" t="inlineStr">
        <is>
          <t>VPBank</t>
        </is>
      </c>
      <c r="C2889" t="n">
        <v>26379</v>
      </c>
      <c r="D2889" t="n">
        <v>26379</v>
      </c>
      <c r="E2889" t="n">
        <v>26659</v>
      </c>
    </row>
    <row r="2890">
      <c r="A2890" t="inlineStr">
        <is>
          <t>18/08/2026</t>
        </is>
      </c>
      <c r="B2890" t="inlineStr">
        <is>
          <t>VPBank</t>
        </is>
      </c>
      <c r="C2890" t="n">
        <v>26389</v>
      </c>
      <c r="D2890" t="n">
        <v>26389</v>
      </c>
      <c r="E2890" t="n">
        <v>26669</v>
      </c>
    </row>
    <row r="2891">
      <c r="A2891" t="inlineStr">
        <is>
          <t>17/08/2026</t>
        </is>
      </c>
      <c r="B2891" t="inlineStr">
        <is>
          <t>VPBank</t>
        </is>
      </c>
      <c r="C2891" t="n">
        <v>26409</v>
      </c>
      <c r="D2891" t="n">
        <v>26409</v>
      </c>
      <c r="E2891" t="n">
        <v>26689</v>
      </c>
    </row>
    <row r="2892">
      <c r="A2892" t="inlineStr">
        <is>
          <t>16/08/2026</t>
        </is>
      </c>
      <c r="B2892" t="inlineStr">
        <is>
          <t>VPBank</t>
        </is>
      </c>
      <c r="C2892" t="n">
        <v>26339</v>
      </c>
      <c r="D2892" t="n">
        <v>26339</v>
      </c>
      <c r="E2892" t="n">
        <v>26619</v>
      </c>
    </row>
    <row r="2893">
      <c r="A2893" t="inlineStr">
        <is>
          <t>15/08/2026</t>
        </is>
      </c>
      <c r="B2893" t="inlineStr">
        <is>
          <t>VPBank</t>
        </is>
      </c>
      <c r="C2893" t="n">
        <v>26339</v>
      </c>
      <c r="D2893" t="n">
        <v>26339</v>
      </c>
      <c r="E2893" t="n">
        <v>26619</v>
      </c>
    </row>
    <row r="2894">
      <c r="A2894" t="inlineStr">
        <is>
          <t>14/08/2026</t>
        </is>
      </c>
      <c r="B2894" t="inlineStr">
        <is>
          <t>VPBank</t>
        </is>
      </c>
      <c r="C2894" t="n">
        <v>26339</v>
      </c>
      <c r="D2894" t="n">
        <v>26339</v>
      </c>
      <c r="E2894" t="n">
        <v>26619</v>
      </c>
    </row>
    <row r="2895">
      <c r="A2895" t="inlineStr">
        <is>
          <t>13/08/2026</t>
        </is>
      </c>
      <c r="B2895" t="inlineStr">
        <is>
          <t>VPBank</t>
        </is>
      </c>
      <c r="C2895" t="n">
        <v>26259</v>
      </c>
      <c r="D2895" t="n">
        <v>26259</v>
      </c>
      <c r="E2895" t="n">
        <v>26539</v>
      </c>
    </row>
    <row r="2896">
      <c r="A2896" t="inlineStr">
        <is>
          <t>12/08/2026</t>
        </is>
      </c>
      <c r="B2896" t="inlineStr">
        <is>
          <t>VPBank</t>
        </is>
      </c>
      <c r="C2896" t="n">
        <v>26279</v>
      </c>
      <c r="D2896" t="n">
        <v>26279</v>
      </c>
      <c r="E2896" t="n">
        <v>26559</v>
      </c>
    </row>
    <row r="2897">
      <c r="A2897" t="inlineStr">
        <is>
          <t>11/08/2026</t>
        </is>
      </c>
      <c r="B2897" t="inlineStr">
        <is>
          <t>VPBank</t>
        </is>
      </c>
      <c r="C2897" t="n">
        <v>26329</v>
      </c>
      <c r="D2897" t="n">
        <v>26329</v>
      </c>
      <c r="E2897" t="n">
        <v>26609</v>
      </c>
    </row>
    <row r="2898">
      <c r="A2898" t="inlineStr">
        <is>
          <t>10/08/2026</t>
        </is>
      </c>
      <c r="B2898" t="inlineStr">
        <is>
          <t>VPBank</t>
        </is>
      </c>
      <c r="C2898" t="n">
        <v>26359</v>
      </c>
      <c r="D2898" t="n">
        <v>26359</v>
      </c>
      <c r="E2898" t="n">
        <v>26639</v>
      </c>
    </row>
    <row r="2899">
      <c r="A2899" t="inlineStr">
        <is>
          <t>09/08/2026</t>
        </is>
      </c>
      <c r="B2899" t="inlineStr">
        <is>
          <t>VPBank</t>
        </is>
      </c>
      <c r="C2899" t="n">
        <v>26419</v>
      </c>
      <c r="D2899" t="n">
        <v>26419</v>
      </c>
      <c r="E2899" t="n">
        <v>26699</v>
      </c>
    </row>
    <row r="2900">
      <c r="A2900" t="inlineStr">
        <is>
          <t>08/08/2026</t>
        </is>
      </c>
      <c r="B2900" t="inlineStr">
        <is>
          <t>VPBank</t>
        </is>
      </c>
      <c r="C2900" t="n">
        <v>26419</v>
      </c>
      <c r="D2900" t="n">
        <v>26419</v>
      </c>
      <c r="E2900" t="n">
        <v>26699</v>
      </c>
    </row>
    <row r="2901">
      <c r="A2901" t="inlineStr">
        <is>
          <t>07/08/2026</t>
        </is>
      </c>
      <c r="B2901" t="inlineStr">
        <is>
          <t>VPBank</t>
        </is>
      </c>
      <c r="C2901" t="n">
        <v>26419</v>
      </c>
      <c r="D2901" t="n">
        <v>26419</v>
      </c>
      <c r="E2901" t="n">
        <v>26699</v>
      </c>
    </row>
    <row r="2902">
      <c r="A2902" t="inlineStr">
        <is>
          <t>06/08/2026</t>
        </is>
      </c>
      <c r="B2902" t="inlineStr">
        <is>
          <t>VPBank</t>
        </is>
      </c>
      <c r="C2902" t="n">
        <v>26429</v>
      </c>
      <c r="D2902" t="n">
        <v>26429</v>
      </c>
      <c r="E2902" t="n">
        <v>26709</v>
      </c>
    </row>
    <row r="2903">
      <c r="A2903" t="inlineStr">
        <is>
          <t>05/08/2026</t>
        </is>
      </c>
      <c r="B2903" t="inlineStr">
        <is>
          <t>VPBank</t>
        </is>
      </c>
      <c r="C2903" t="n">
        <v>26469</v>
      </c>
      <c r="D2903" t="n">
        <v>26469</v>
      </c>
      <c r="E2903" t="n">
        <v>26749</v>
      </c>
    </row>
    <row r="2904">
      <c r="A2904" t="inlineStr">
        <is>
          <t>04/08/2026</t>
        </is>
      </c>
      <c r="B2904" t="inlineStr">
        <is>
          <t>VPBank</t>
        </is>
      </c>
      <c r="C2904" t="n">
        <v>26469</v>
      </c>
      <c r="D2904" t="n">
        <v>26469</v>
      </c>
      <c r="E2904" t="n">
        <v>26749</v>
      </c>
    </row>
    <row r="2905">
      <c r="A2905" t="inlineStr">
        <is>
          <t>03/08/2026</t>
        </is>
      </c>
      <c r="B2905" t="inlineStr">
        <is>
          <t>VPBank</t>
        </is>
      </c>
      <c r="C2905" t="n">
        <v>26489</v>
      </c>
      <c r="D2905" t="n">
        <v>26489</v>
      </c>
      <c r="E2905" t="n">
        <v>26769</v>
      </c>
    </row>
    <row r="2906">
      <c r="A2906" t="inlineStr">
        <is>
          <t>02/08/2026</t>
        </is>
      </c>
      <c r="B2906" t="inlineStr">
        <is>
          <t>VPBank</t>
        </is>
      </c>
      <c r="C2906" t="n">
        <v>26499</v>
      </c>
      <c r="D2906" t="n">
        <v>26499</v>
      </c>
      <c r="E2906" t="n">
        <v>26779</v>
      </c>
    </row>
    <row r="2907">
      <c r="A2907" t="inlineStr">
        <is>
          <t>01/08/2026</t>
        </is>
      </c>
      <c r="B2907" t="inlineStr">
        <is>
          <t>VPBank</t>
        </is>
      </c>
      <c r="C2907" t="n">
        <v>26499</v>
      </c>
      <c r="D2907" t="n">
        <v>26499</v>
      </c>
      <c r="E2907" t="n">
        <v>26779</v>
      </c>
    </row>
    <row r="2908">
      <c r="A2908" t="inlineStr">
        <is>
          <t>31/07/2026</t>
        </is>
      </c>
      <c r="B2908" t="inlineStr">
        <is>
          <t>VPBank</t>
        </is>
      </c>
      <c r="C2908" t="n">
        <v>26499</v>
      </c>
      <c r="D2908" t="n">
        <v>26499</v>
      </c>
      <c r="E2908" t="n">
        <v>26779</v>
      </c>
    </row>
    <row r="2909">
      <c r="A2909" t="inlineStr">
        <is>
          <t>30/07/2026</t>
        </is>
      </c>
      <c r="B2909" t="inlineStr">
        <is>
          <t>VPBank</t>
        </is>
      </c>
      <c r="C2909" t="n">
        <v>26499</v>
      </c>
      <c r="D2909" t="n">
        <v>26499</v>
      </c>
      <c r="E2909" t="n">
        <v>26779</v>
      </c>
    </row>
    <row r="2910">
      <c r="A2910" t="inlineStr">
        <is>
          <t>29/07/2026</t>
        </is>
      </c>
      <c r="B2910" t="inlineStr">
        <is>
          <t>VPBank</t>
        </is>
      </c>
      <c r="C2910" t="n">
        <v>26524</v>
      </c>
      <c r="D2910" t="n">
        <v>26524</v>
      </c>
      <c r="E2910" t="n">
        <v>26804</v>
      </c>
    </row>
    <row r="2911">
      <c r="A2911" t="inlineStr">
        <is>
          <t>28/07/2026</t>
        </is>
      </c>
      <c r="B2911" t="inlineStr">
        <is>
          <t>VPBank</t>
        </is>
      </c>
      <c r="C2911" t="n">
        <v>26534</v>
      </c>
      <c r="D2911" t="n">
        <v>26534</v>
      </c>
      <c r="E2911" t="n">
        <v>26814</v>
      </c>
    </row>
    <row r="2912">
      <c r="A2912" t="inlineStr">
        <is>
          <t>27/07/2026</t>
        </is>
      </c>
      <c r="B2912" t="inlineStr">
        <is>
          <t>VPBank</t>
        </is>
      </c>
      <c r="C2912" t="n">
        <v>26529</v>
      </c>
      <c r="D2912" t="n">
        <v>26529</v>
      </c>
      <c r="E2912" t="n">
        <v>26809</v>
      </c>
    </row>
    <row r="2913">
      <c r="A2913" t="inlineStr">
        <is>
          <t>26/07/2026</t>
        </is>
      </c>
      <c r="B2913" t="inlineStr">
        <is>
          <t>VPBank</t>
        </is>
      </c>
      <c r="C2913" t="n">
        <v>26519</v>
      </c>
      <c r="D2913" t="n">
        <v>26519</v>
      </c>
      <c r="E2913" t="n">
        <v>26799</v>
      </c>
    </row>
    <row r="2914">
      <c r="A2914" t="inlineStr">
        <is>
          <t>25/07/2026</t>
        </is>
      </c>
      <c r="B2914" t="inlineStr">
        <is>
          <t>VPBank</t>
        </is>
      </c>
      <c r="C2914" t="n">
        <v>26519</v>
      </c>
      <c r="D2914" t="n">
        <v>26519</v>
      </c>
      <c r="E2914" t="n">
        <v>26799</v>
      </c>
    </row>
    <row r="2915">
      <c r="A2915" t="inlineStr">
        <is>
          <t>24/07/2026</t>
        </is>
      </c>
      <c r="B2915" t="inlineStr">
        <is>
          <t>VPBank</t>
        </is>
      </c>
      <c r="C2915" t="n">
        <v>26519</v>
      </c>
      <c r="D2915" t="n">
        <v>26519</v>
      </c>
      <c r="E2915" t="n">
        <v>26799</v>
      </c>
    </row>
    <row r="2916">
      <c r="A2916" t="inlineStr">
        <is>
          <t>23/07/2026</t>
        </is>
      </c>
      <c r="B2916" t="inlineStr">
        <is>
          <t>VPBank</t>
        </is>
      </c>
      <c r="C2916" t="n">
        <v>26509</v>
      </c>
      <c r="D2916" t="n">
        <v>26509</v>
      </c>
      <c r="E2916" t="n">
        <v>26789</v>
      </c>
    </row>
    <row r="2917">
      <c r="A2917" t="inlineStr">
        <is>
          <t>22/07/2026</t>
        </is>
      </c>
      <c r="B2917" t="inlineStr">
        <is>
          <t>VPBank</t>
        </is>
      </c>
      <c r="C2917" t="n">
        <v>26509</v>
      </c>
      <c r="D2917" t="n">
        <v>26509</v>
      </c>
      <c r="E2917" t="n">
        <v>26789</v>
      </c>
    </row>
    <row r="2918">
      <c r="A2918" t="inlineStr">
        <is>
          <t>21/07/2026</t>
        </is>
      </c>
      <c r="B2918" t="inlineStr">
        <is>
          <t>VPBank</t>
        </is>
      </c>
      <c r="C2918" t="n">
        <v>26519</v>
      </c>
      <c r="D2918" t="n">
        <v>26519</v>
      </c>
      <c r="E2918" t="n">
        <v>26799</v>
      </c>
    </row>
    <row r="2919">
      <c r="A2919" t="inlineStr">
        <is>
          <t>20/07/2026</t>
        </is>
      </c>
      <c r="B2919" t="inlineStr">
        <is>
          <t>VPBank</t>
        </is>
      </c>
      <c r="C2919" t="n">
        <v>26499</v>
      </c>
      <c r="D2919" t="n">
        <v>26499</v>
      </c>
      <c r="E2919" t="n">
        <v>26779</v>
      </c>
    </row>
    <row r="2920">
      <c r="A2920" t="inlineStr">
        <is>
          <t>19/07/2026</t>
        </is>
      </c>
      <c r="B2920" t="inlineStr">
        <is>
          <t>VPBank</t>
        </is>
      </c>
      <c r="C2920" t="n">
        <v>26499</v>
      </c>
      <c r="D2920" t="n">
        <v>26499</v>
      </c>
      <c r="E2920" t="n">
        <v>26779</v>
      </c>
    </row>
    <row r="2921">
      <c r="A2921" t="inlineStr">
        <is>
          <t>18/07/2026</t>
        </is>
      </c>
      <c r="B2921" t="inlineStr">
        <is>
          <t>VPBank</t>
        </is>
      </c>
      <c r="C2921" t="n">
        <v>26499</v>
      </c>
      <c r="D2921" t="n">
        <v>26499</v>
      </c>
      <c r="E2921" t="n">
        <v>26779</v>
      </c>
    </row>
    <row r="2922">
      <c r="A2922" t="inlineStr">
        <is>
          <t>17/07/2026</t>
        </is>
      </c>
      <c r="B2922" t="inlineStr">
        <is>
          <t>VPBank</t>
        </is>
      </c>
      <c r="C2922" t="n">
        <v>26499</v>
      </c>
      <c r="D2922" t="n">
        <v>26499</v>
      </c>
      <c r="E2922" t="n">
        <v>26779</v>
      </c>
    </row>
    <row r="2923">
      <c r="A2923" t="inlineStr">
        <is>
          <t>16/07/2026</t>
        </is>
      </c>
      <c r="B2923" t="inlineStr">
        <is>
          <t>VPBank</t>
        </is>
      </c>
      <c r="C2923" t="n">
        <v>26459</v>
      </c>
      <c r="D2923" t="n">
        <v>26459</v>
      </c>
      <c r="E2923" t="n">
        <v>26739</v>
      </c>
    </row>
    <row r="2924">
      <c r="A2924" t="inlineStr">
        <is>
          <t>15/07/2026</t>
        </is>
      </c>
      <c r="B2924" t="inlineStr">
        <is>
          <t>VPBank</t>
        </is>
      </c>
      <c r="C2924" t="n">
        <v>26459</v>
      </c>
      <c r="D2924" t="n">
        <v>26459</v>
      </c>
      <c r="E2924" t="n">
        <v>26739</v>
      </c>
    </row>
    <row r="2925">
      <c r="A2925" t="inlineStr">
        <is>
          <t>14/07/2026</t>
        </is>
      </c>
      <c r="B2925" t="inlineStr">
        <is>
          <t>VPBank</t>
        </is>
      </c>
      <c r="C2925" t="n">
        <v>26459</v>
      </c>
      <c r="D2925" t="n">
        <v>26459</v>
      </c>
      <c r="E2925" t="n">
        <v>26739</v>
      </c>
    </row>
    <row r="2926">
      <c r="A2926" t="inlineStr">
        <is>
          <t>13/07/2026</t>
        </is>
      </c>
      <c r="B2926" t="inlineStr">
        <is>
          <t>VPBank</t>
        </is>
      </c>
      <c r="C2926" t="n">
        <v>26469</v>
      </c>
      <c r="D2926" t="n">
        <v>26469</v>
      </c>
      <c r="E2926" t="n">
        <v>26749</v>
      </c>
    </row>
    <row r="2927">
      <c r="A2927" t="inlineStr">
        <is>
          <t>12/07/2026</t>
        </is>
      </c>
      <c r="B2927" t="inlineStr">
        <is>
          <t>VPBank</t>
        </is>
      </c>
      <c r="C2927" t="n">
        <v>26479</v>
      </c>
      <c r="D2927" t="n">
        <v>26479</v>
      </c>
      <c r="E2927" t="n">
        <v>26759</v>
      </c>
    </row>
    <row r="2928">
      <c r="A2928" t="inlineStr">
        <is>
          <t>11/07/2026</t>
        </is>
      </c>
      <c r="B2928" t="inlineStr">
        <is>
          <t>VPBank</t>
        </is>
      </c>
      <c r="C2928" t="n">
        <v>26479</v>
      </c>
      <c r="D2928" t="n">
        <v>26479</v>
      </c>
      <c r="E2928" t="n">
        <v>26759</v>
      </c>
    </row>
    <row r="2929">
      <c r="A2929" t="inlineStr">
        <is>
          <t>10/07/2026</t>
        </is>
      </c>
      <c r="B2929" t="inlineStr">
        <is>
          <t>VPBank</t>
        </is>
      </c>
      <c r="C2929" t="n">
        <v>26479</v>
      </c>
      <c r="D2929" t="n">
        <v>26479</v>
      </c>
      <c r="E2929" t="n">
        <v>26759</v>
      </c>
    </row>
    <row r="2930">
      <c r="A2930" t="inlineStr">
        <is>
          <t>09/07/2026</t>
        </is>
      </c>
      <c r="B2930" t="inlineStr">
        <is>
          <t>VPBank</t>
        </is>
      </c>
      <c r="C2930" t="n">
        <v>26500</v>
      </c>
      <c r="D2930" t="n">
        <v>26500</v>
      </c>
      <c r="E2930" t="n">
        <v>26760</v>
      </c>
    </row>
    <row r="2931">
      <c r="A2931" t="inlineStr">
        <is>
          <t>08/07/2026</t>
        </is>
      </c>
      <c r="B2931" t="inlineStr">
        <is>
          <t>VPBank</t>
        </is>
      </c>
      <c r="C2931" t="n">
        <v>26495</v>
      </c>
      <c r="D2931" t="n">
        <v>26495</v>
      </c>
      <c r="E2931" t="n">
        <v>26755</v>
      </c>
    </row>
    <row r="2932">
      <c r="A2932" t="inlineStr">
        <is>
          <t>07/07/2026</t>
        </is>
      </c>
      <c r="B2932" t="inlineStr">
        <is>
          <t>VPBank</t>
        </is>
      </c>
      <c r="C2932" t="n">
        <v>26491</v>
      </c>
      <c r="D2932" t="n">
        <v>26491</v>
      </c>
      <c r="E2932" t="n">
        <v>26751</v>
      </c>
    </row>
    <row r="2933">
      <c r="A2933" t="inlineStr">
        <is>
          <t>06/07/2026</t>
        </is>
      </c>
      <c r="B2933" t="inlineStr">
        <is>
          <t>VPBank</t>
        </is>
      </c>
      <c r="C2933" t="n">
        <v>26491</v>
      </c>
      <c r="D2933" t="n">
        <v>26491</v>
      </c>
      <c r="E2933" t="n">
        <v>26751</v>
      </c>
    </row>
    <row r="2934">
      <c r="A2934" t="inlineStr">
        <is>
          <t>05/07/2026</t>
        </is>
      </c>
      <c r="B2934" t="inlineStr">
        <is>
          <t>VPBank</t>
        </is>
      </c>
      <c r="C2934" t="n">
        <v>26492</v>
      </c>
      <c r="D2934" t="n">
        <v>26492</v>
      </c>
      <c r="E2934" t="n">
        <v>26752</v>
      </c>
    </row>
    <row r="2935">
      <c r="A2935" t="inlineStr">
        <is>
          <t>04/07/2026</t>
        </is>
      </c>
      <c r="B2935" t="inlineStr">
        <is>
          <t>VPBank</t>
        </is>
      </c>
      <c r="C2935" t="n">
        <v>26492</v>
      </c>
      <c r="D2935" t="n">
        <v>26492</v>
      </c>
      <c r="E2935" t="n">
        <v>26752</v>
      </c>
    </row>
    <row r="2936">
      <c r="A2936" t="inlineStr">
        <is>
          <t>03/07/2026</t>
        </is>
      </c>
      <c r="B2936" t="inlineStr">
        <is>
          <t>VPBank</t>
        </is>
      </c>
      <c r="C2936" t="n">
        <v>26492</v>
      </c>
      <c r="D2936" t="n">
        <v>26492</v>
      </c>
      <c r="E2936" t="n">
        <v>26752</v>
      </c>
    </row>
    <row r="2937">
      <c r="A2937" t="inlineStr">
        <is>
          <t>02/07/2026</t>
        </is>
      </c>
      <c r="B2937" t="inlineStr">
        <is>
          <t>VPBank</t>
        </is>
      </c>
      <c r="C2937" t="n">
        <v>26494</v>
      </c>
      <c r="D2937" t="n">
        <v>26494</v>
      </c>
      <c r="E2937" t="n">
        <v>26754</v>
      </c>
    </row>
    <row r="2938">
      <c r="A2938" t="inlineStr">
        <is>
          <t>01/07/2026</t>
        </is>
      </c>
      <c r="B2938" t="inlineStr">
        <is>
          <t>VPBank</t>
        </is>
      </c>
      <c r="C2938" t="n">
        <v>26495</v>
      </c>
      <c r="D2938" t="n">
        <v>26495</v>
      </c>
      <c r="E2938" t="n">
        <v>26755</v>
      </c>
    </row>
    <row r="2939">
      <c r="A2939" t="inlineStr">
        <is>
          <t>30/06/2026</t>
        </is>
      </c>
      <c r="B2939" t="inlineStr">
        <is>
          <t>VPBank</t>
        </is>
      </c>
      <c r="C2939" t="n">
        <v>26495</v>
      </c>
      <c r="D2939" t="n">
        <v>26495</v>
      </c>
      <c r="E2939" t="n">
        <v>26755</v>
      </c>
    </row>
    <row r="2940">
      <c r="A2940" t="inlineStr">
        <is>
          <t>29/06/2026</t>
        </is>
      </c>
      <c r="B2940" t="inlineStr">
        <is>
          <t>VPBank</t>
        </is>
      </c>
      <c r="C2940" t="n">
        <v>26510</v>
      </c>
      <c r="D2940" t="n">
        <v>26510</v>
      </c>
      <c r="E2940" t="n">
        <v>26750</v>
      </c>
    </row>
    <row r="2941">
      <c r="A2941" t="inlineStr">
        <is>
          <t>28/06/2026</t>
        </is>
      </c>
      <c r="B2941" t="inlineStr">
        <is>
          <t>VPBank</t>
        </is>
      </c>
      <c r="C2941" t="n">
        <v>26503</v>
      </c>
      <c r="D2941" t="n">
        <v>26503</v>
      </c>
      <c r="E2941" t="n">
        <v>26743</v>
      </c>
    </row>
    <row r="2942">
      <c r="A2942" t="inlineStr">
        <is>
          <t>27/06/2026</t>
        </is>
      </c>
      <c r="B2942" t="inlineStr">
        <is>
          <t>VPBank</t>
        </is>
      </c>
      <c r="C2942" t="n">
        <v>26503</v>
      </c>
      <c r="D2942" t="n">
        <v>26503</v>
      </c>
      <c r="E2942" t="n">
        <v>26743</v>
      </c>
    </row>
    <row r="2943">
      <c r="A2943" t="inlineStr">
        <is>
          <t>26/06/2026</t>
        </is>
      </c>
      <c r="B2943" t="inlineStr">
        <is>
          <t>VPBank</t>
        </is>
      </c>
      <c r="C2943" t="n">
        <v>26503</v>
      </c>
      <c r="D2943" t="n">
        <v>26503</v>
      </c>
      <c r="E2943" t="n">
        <v>26743</v>
      </c>
    </row>
    <row r="2944">
      <c r="A2944" t="inlineStr">
        <is>
          <t>25/06/2026</t>
        </is>
      </c>
      <c r="B2944" t="inlineStr">
        <is>
          <t>VPBank</t>
        </is>
      </c>
      <c r="C2944" t="n">
        <v>26525</v>
      </c>
      <c r="D2944" t="n">
        <v>26525</v>
      </c>
      <c r="E2944" t="n">
        <v>26745</v>
      </c>
    </row>
    <row r="2945">
      <c r="A2945" t="inlineStr">
        <is>
          <t>24/06/2026</t>
        </is>
      </c>
      <c r="B2945" t="inlineStr">
        <is>
          <t>VPBank</t>
        </is>
      </c>
      <c r="C2945" t="n">
        <v>26520</v>
      </c>
      <c r="D2945" t="n">
        <v>26520</v>
      </c>
      <c r="E2945" t="n">
        <v>26740</v>
      </c>
    </row>
    <row r="2946">
      <c r="A2946" t="inlineStr">
        <is>
          <t>23/06/2026</t>
        </is>
      </c>
      <c r="B2946" t="inlineStr">
        <is>
          <t>VPBank</t>
        </is>
      </c>
      <c r="C2946" t="n">
        <v>26517</v>
      </c>
      <c r="D2946" t="n">
        <v>26517</v>
      </c>
      <c r="E2946" t="n">
        <v>26737</v>
      </c>
    </row>
    <row r="2947">
      <c r="A2947" t="inlineStr">
        <is>
          <t>22/06/2026</t>
        </is>
      </c>
      <c r="B2947" t="inlineStr">
        <is>
          <t>VPBank</t>
        </is>
      </c>
      <c r="C2947" t="n">
        <v>26511</v>
      </c>
      <c r="D2947" t="n">
        <v>26511</v>
      </c>
      <c r="E2947" t="n">
        <v>26731</v>
      </c>
    </row>
    <row r="2948">
      <c r="A2948" t="inlineStr">
        <is>
          <t>21/06/2026</t>
        </is>
      </c>
      <c r="B2948" t="inlineStr">
        <is>
          <t>VPBank</t>
        </is>
      </c>
      <c r="C2948" t="n">
        <v>26509</v>
      </c>
      <c r="D2948" t="n">
        <v>26509</v>
      </c>
      <c r="E2948" t="n">
        <v>26729</v>
      </c>
    </row>
    <row r="2949">
      <c r="A2949" t="inlineStr">
        <is>
          <t>20/06/2026</t>
        </is>
      </c>
      <c r="B2949" t="inlineStr">
        <is>
          <t>VPBank</t>
        </is>
      </c>
      <c r="C2949" t="n">
        <v>26509</v>
      </c>
      <c r="D2949" t="n">
        <v>26509</v>
      </c>
      <c r="E2949" t="n">
        <v>26729</v>
      </c>
    </row>
    <row r="2950">
      <c r="A2950" t="inlineStr">
        <is>
          <t>19/06/2026</t>
        </is>
      </c>
      <c r="B2950" t="inlineStr">
        <is>
          <t>VPBank</t>
        </is>
      </c>
      <c r="C2950" t="n">
        <v>26509</v>
      </c>
      <c r="D2950" t="n">
        <v>26509</v>
      </c>
      <c r="E2950" t="n">
        <v>26729</v>
      </c>
    </row>
    <row r="2951">
      <c r="A2951" t="inlineStr">
        <is>
          <t>18/06/2026</t>
        </is>
      </c>
      <c r="B2951" t="inlineStr">
        <is>
          <t>VPBank</t>
        </is>
      </c>
      <c r="C2951" t="n">
        <v>26500</v>
      </c>
      <c r="D2951" t="n">
        <v>26500</v>
      </c>
      <c r="E2951" t="n">
        <v>26720</v>
      </c>
    </row>
    <row r="2952">
      <c r="A2952" t="inlineStr">
        <is>
          <t>17/06/2026</t>
        </is>
      </c>
      <c r="B2952" t="inlineStr">
        <is>
          <t>VPBank</t>
        </is>
      </c>
      <c r="C2952" t="n">
        <v>26502</v>
      </c>
      <c r="D2952" t="n">
        <v>26502</v>
      </c>
      <c r="E2952" t="n">
        <v>26722</v>
      </c>
    </row>
    <row r="2953">
      <c r="A2953" t="inlineStr">
        <is>
          <t>16/06/2026</t>
        </is>
      </c>
      <c r="B2953" t="inlineStr">
        <is>
          <t>VPBank</t>
        </is>
      </c>
      <c r="C2953" t="n">
        <v>26492</v>
      </c>
      <c r="D2953" t="n">
        <v>26492</v>
      </c>
      <c r="E2953" t="n">
        <v>26712</v>
      </c>
    </row>
    <row r="2954">
      <c r="A2954" t="inlineStr">
        <is>
          <t>15/06/2026</t>
        </is>
      </c>
      <c r="B2954" t="inlineStr">
        <is>
          <t>VPBank</t>
        </is>
      </c>
      <c r="C2954" t="n">
        <v>26492</v>
      </c>
      <c r="D2954" t="n">
        <v>26492</v>
      </c>
      <c r="E2954" t="n">
        <v>26712</v>
      </c>
    </row>
    <row r="2955">
      <c r="A2955" t="inlineStr">
        <is>
          <t>14/06/2026</t>
        </is>
      </c>
      <c r="B2955" t="inlineStr">
        <is>
          <t>VPBank</t>
        </is>
      </c>
      <c r="C2955" t="n">
        <v>26511</v>
      </c>
      <c r="D2955" t="n">
        <v>26511</v>
      </c>
      <c r="E2955" t="n">
        <v>26701</v>
      </c>
    </row>
    <row r="2956">
      <c r="A2956" t="inlineStr">
        <is>
          <t>13/06/2026</t>
        </is>
      </c>
      <c r="B2956" t="inlineStr">
        <is>
          <t>VPBank</t>
        </is>
      </c>
      <c r="C2956" t="n">
        <v>26511</v>
      </c>
      <c r="D2956" t="n">
        <v>26511</v>
      </c>
      <c r="E2956" t="n">
        <v>26701</v>
      </c>
    </row>
    <row r="2957">
      <c r="A2957" t="inlineStr">
        <is>
          <t>12/06/2026</t>
        </is>
      </c>
      <c r="B2957" t="inlineStr">
        <is>
          <t>VPBank</t>
        </is>
      </c>
      <c r="C2957" t="n">
        <v>26511</v>
      </c>
      <c r="D2957" t="n">
        <v>26511</v>
      </c>
      <c r="E2957" t="n">
        <v>26701</v>
      </c>
    </row>
    <row r="2958">
      <c r="A2958" t="inlineStr">
        <is>
          <t>11/06/2026</t>
        </is>
      </c>
      <c r="B2958" t="inlineStr">
        <is>
          <t>VPBank</t>
        </is>
      </c>
      <c r="C2958" t="n">
        <v>26519</v>
      </c>
      <c r="D2958" t="n">
        <v>26519</v>
      </c>
      <c r="E2958" t="n">
        <v>26699</v>
      </c>
    </row>
    <row r="2959">
      <c r="A2959" t="inlineStr">
        <is>
          <t>10/06/2026</t>
        </is>
      </c>
      <c r="B2959" t="inlineStr">
        <is>
          <t>VPBank</t>
        </is>
      </c>
      <c r="C2959" t="n">
        <v>26519</v>
      </c>
      <c r="D2959" t="n">
        <v>26519</v>
      </c>
      <c r="E2959" t="n">
        <v>26699</v>
      </c>
    </row>
    <row r="2960">
      <c r="A2960" t="inlineStr">
        <is>
          <t>09/06/2026</t>
        </is>
      </c>
      <c r="B2960" t="inlineStr">
        <is>
          <t>VPBank</t>
        </is>
      </c>
      <c r="C2960" t="n">
        <v>26517</v>
      </c>
      <c r="D2960" t="n">
        <v>26517</v>
      </c>
      <c r="E2960" t="n">
        <v>26697</v>
      </c>
    </row>
    <row r="2961">
      <c r="A2961" t="inlineStr">
        <is>
          <t>08/06/2026</t>
        </is>
      </c>
      <c r="B2961" t="inlineStr">
        <is>
          <t>VPBank</t>
        </is>
      </c>
      <c r="C2961" t="n">
        <v>26516</v>
      </c>
      <c r="D2961" t="n">
        <v>26516</v>
      </c>
      <c r="E2961" t="n">
        <v>26696</v>
      </c>
    </row>
    <row r="2962">
      <c r="A2962" t="inlineStr">
        <is>
          <t>07/06/2026</t>
        </is>
      </c>
      <c r="B2962" t="inlineStr">
        <is>
          <t>VPBank</t>
        </is>
      </c>
      <c r="C2962" t="n">
        <v>26491</v>
      </c>
      <c r="D2962" t="n">
        <v>26491</v>
      </c>
      <c r="E2962" t="n">
        <v>26751</v>
      </c>
    </row>
    <row r="2963">
      <c r="A2963" t="inlineStr">
        <is>
          <t>06/06/2026</t>
        </is>
      </c>
      <c r="B2963" t="inlineStr">
        <is>
          <t>VPBank</t>
        </is>
      </c>
      <c r="C2963" t="n">
        <v>26513</v>
      </c>
      <c r="D2963" t="n">
        <v>26513</v>
      </c>
      <c r="E2963" t="n">
        <v>26693</v>
      </c>
    </row>
    <row r="2964">
      <c r="A2964" t="inlineStr">
        <is>
          <t>05/06/2026</t>
        </is>
      </c>
      <c r="B2964" t="inlineStr">
        <is>
          <t>VPBank</t>
        </is>
      </c>
      <c r="C2964" t="n">
        <v>26513</v>
      </c>
      <c r="D2964" t="n">
        <v>26513</v>
      </c>
      <c r="E2964" t="n">
        <v>26693</v>
      </c>
    </row>
    <row r="2965">
      <c r="A2965" t="inlineStr">
        <is>
          <t>04/06/2026</t>
        </is>
      </c>
      <c r="B2965" t="inlineStr">
        <is>
          <t>VPBank</t>
        </is>
      </c>
      <c r="C2965" t="n">
        <v>26511</v>
      </c>
      <c r="D2965" t="n">
        <v>26511</v>
      </c>
      <c r="E2965" t="n">
        <v>26691</v>
      </c>
    </row>
    <row r="2966">
      <c r="A2966" t="inlineStr">
        <is>
          <t>03/06/2026</t>
        </is>
      </c>
      <c r="B2966" t="inlineStr">
        <is>
          <t>VPBank</t>
        </is>
      </c>
      <c r="C2966" t="n">
        <v>26511</v>
      </c>
      <c r="D2966" t="n">
        <v>26511</v>
      </c>
      <c r="E2966" t="n">
        <v>26691</v>
      </c>
    </row>
    <row r="2967">
      <c r="A2967" t="inlineStr">
        <is>
          <t>02/06/2026</t>
        </is>
      </c>
      <c r="B2967" t="inlineStr">
        <is>
          <t>VPBank</t>
        </is>
      </c>
      <c r="C2967" t="n">
        <v>26507</v>
      </c>
      <c r="D2967" t="n">
        <v>26507</v>
      </c>
      <c r="E2967" t="n">
        <v>26687</v>
      </c>
    </row>
    <row r="2968">
      <c r="A2968" t="inlineStr">
        <is>
          <t>01/06/2026</t>
        </is>
      </c>
      <c r="B2968" t="inlineStr">
        <is>
          <t>VPBank</t>
        </is>
      </c>
      <c r="C2968" t="n">
        <v>26503</v>
      </c>
      <c r="D2968" t="n">
        <v>26503</v>
      </c>
      <c r="E2968" t="n">
        <v>26683</v>
      </c>
    </row>
    <row r="2969">
      <c r="A2969" t="inlineStr">
        <is>
          <t>31/05/2026</t>
        </is>
      </c>
      <c r="B2969" t="inlineStr">
        <is>
          <t>VPBank</t>
        </is>
      </c>
      <c r="C2969" t="n">
        <v>26504</v>
      </c>
      <c r="D2969" t="n">
        <v>26504</v>
      </c>
      <c r="E2969" t="n">
        <v>26684</v>
      </c>
    </row>
    <row r="2970">
      <c r="A2970" t="inlineStr">
        <is>
          <t>30/05/2026</t>
        </is>
      </c>
      <c r="B2970" t="inlineStr">
        <is>
          <t>VPBank</t>
        </is>
      </c>
      <c r="C2970" t="n">
        <v>26504</v>
      </c>
      <c r="D2970" t="n">
        <v>26504</v>
      </c>
      <c r="E2970" t="n">
        <v>26684</v>
      </c>
    </row>
    <row r="2971">
      <c r="A2971" t="inlineStr">
        <is>
          <t>29/05/2026</t>
        </is>
      </c>
      <c r="B2971" t="inlineStr">
        <is>
          <t>VPBank</t>
        </is>
      </c>
      <c r="C2971" t="n">
        <v>26504</v>
      </c>
      <c r="D2971" t="n">
        <v>26504</v>
      </c>
      <c r="E2971" t="n">
        <v>26684</v>
      </c>
    </row>
    <row r="2972">
      <c r="A2972" t="inlineStr">
        <is>
          <t>28/05/2026</t>
        </is>
      </c>
      <c r="B2972" t="inlineStr">
        <is>
          <t>VPBank</t>
        </is>
      </c>
      <c r="C2972" t="n">
        <v>26532</v>
      </c>
      <c r="D2972" t="n">
        <v>26532</v>
      </c>
      <c r="E2972" t="n">
        <v>26682</v>
      </c>
    </row>
    <row r="2973">
      <c r="A2973" t="inlineStr">
        <is>
          <t>27/05/2026</t>
        </is>
      </c>
      <c r="B2973" t="inlineStr">
        <is>
          <t>VPBank</t>
        </is>
      </c>
      <c r="C2973" t="n">
        <v>26532</v>
      </c>
      <c r="D2973" t="n">
        <v>26532</v>
      </c>
      <c r="E2973" t="n">
        <v>26682</v>
      </c>
    </row>
    <row r="2974">
      <c r="A2974" t="inlineStr">
        <is>
          <t>26/05/2026</t>
        </is>
      </c>
      <c r="B2974" t="inlineStr">
        <is>
          <t>VPBank</t>
        </is>
      </c>
      <c r="C2974" t="n">
        <v>26551</v>
      </c>
      <c r="D2974" t="n">
        <v>26551</v>
      </c>
      <c r="E2974" t="n">
        <v>26681</v>
      </c>
    </row>
    <row r="2975">
      <c r="A2975" t="inlineStr">
        <is>
          <t>25/05/2026</t>
        </is>
      </c>
      <c r="B2975" t="inlineStr">
        <is>
          <t>VPBank</t>
        </is>
      </c>
      <c r="C2975" t="n">
        <v>26551</v>
      </c>
      <c r="D2975" t="n">
        <v>26551</v>
      </c>
      <c r="E2975" t="n">
        <v>26681</v>
      </c>
    </row>
    <row r="2976">
      <c r="A2976" t="inlineStr">
        <is>
          <t>24/05/2026</t>
        </is>
      </c>
      <c r="B2976" t="inlineStr">
        <is>
          <t>VPBank</t>
        </is>
      </c>
      <c r="C2976" t="n">
        <v>26549</v>
      </c>
      <c r="D2976" t="n">
        <v>26549</v>
      </c>
      <c r="E2976" t="n">
        <v>26679</v>
      </c>
    </row>
    <row r="2977">
      <c r="A2977" t="inlineStr">
        <is>
          <t>23/05/2026</t>
        </is>
      </c>
      <c r="B2977" t="inlineStr">
        <is>
          <t>VPBank</t>
        </is>
      </c>
      <c r="C2977" t="n">
        <v>26549</v>
      </c>
      <c r="D2977" t="n">
        <v>26549</v>
      </c>
      <c r="E2977" t="n">
        <v>26679</v>
      </c>
    </row>
    <row r="2978">
      <c r="A2978" t="inlineStr">
        <is>
          <t>22/05/2026</t>
        </is>
      </c>
      <c r="B2978" t="inlineStr">
        <is>
          <t>VPBank</t>
        </is>
      </c>
      <c r="C2978" t="n">
        <v>26549</v>
      </c>
      <c r="D2978" t="n">
        <v>26549</v>
      </c>
      <c r="E2978" t="n">
        <v>26679</v>
      </c>
    </row>
    <row r="2979">
      <c r="A2979" t="inlineStr">
        <is>
          <t>21/05/2026</t>
        </is>
      </c>
      <c r="B2979" t="inlineStr">
        <is>
          <t>VPBank</t>
        </is>
      </c>
      <c r="C2979" t="n">
        <v>26550</v>
      </c>
      <c r="D2979" t="n">
        <v>26550</v>
      </c>
      <c r="E2979" t="n">
        <v>26680</v>
      </c>
    </row>
    <row r="2980">
      <c r="A2980" t="inlineStr">
        <is>
          <t>20/05/2026</t>
        </is>
      </c>
      <c r="B2980" t="inlineStr">
        <is>
          <t>VPBank</t>
        </is>
      </c>
      <c r="C2980" t="n">
        <v>26550</v>
      </c>
      <c r="D2980" t="n">
        <v>26550</v>
      </c>
      <c r="E2980" t="n">
        <v>26680</v>
      </c>
    </row>
    <row r="2981">
      <c r="A2981" t="inlineStr">
        <is>
          <t>19/05/2026</t>
        </is>
      </c>
      <c r="B2981" t="inlineStr">
        <is>
          <t>VPBank</t>
        </is>
      </c>
      <c r="C2981" t="n">
        <v>26538</v>
      </c>
      <c r="D2981" t="n">
        <v>26538</v>
      </c>
      <c r="E2981" t="n">
        <v>26678</v>
      </c>
    </row>
    <row r="2982">
      <c r="A2982" t="inlineStr">
        <is>
          <t>18/05/2026</t>
        </is>
      </c>
      <c r="B2982" t="inlineStr">
        <is>
          <t>VPBank</t>
        </is>
      </c>
      <c r="C2982" t="n">
        <v>26526</v>
      </c>
      <c r="D2982" t="n">
        <v>26526</v>
      </c>
      <c r="E2982" t="n">
        <v>26676</v>
      </c>
    </row>
    <row r="2983">
      <c r="A2983" t="inlineStr">
        <is>
          <t>17/05/2026</t>
        </is>
      </c>
      <c r="B2983" t="inlineStr">
        <is>
          <t>VPBank</t>
        </is>
      </c>
      <c r="C2983" t="n">
        <v>26526</v>
      </c>
      <c r="D2983" t="n">
        <v>26526</v>
      </c>
      <c r="E2983" t="n">
        <v>26676</v>
      </c>
    </row>
    <row r="2984">
      <c r="A2984" t="inlineStr">
        <is>
          <t>16/05/2026</t>
        </is>
      </c>
      <c r="B2984" t="inlineStr">
        <is>
          <t>VPBank</t>
        </is>
      </c>
      <c r="C2984" t="n">
        <v>26526</v>
      </c>
      <c r="D2984" t="n">
        <v>26526</v>
      </c>
      <c r="E2984" t="n">
        <v>26676</v>
      </c>
    </row>
    <row r="2985">
      <c r="A2985" t="inlineStr">
        <is>
          <t>15/05/2026</t>
        </is>
      </c>
      <c r="B2985" t="inlineStr">
        <is>
          <t>VPBank</t>
        </is>
      </c>
      <c r="C2985" t="n">
        <v>26526</v>
      </c>
      <c r="D2985" t="n">
        <v>26526</v>
      </c>
      <c r="E2985" t="n">
        <v>26676</v>
      </c>
    </row>
    <row r="2986">
      <c r="A2986" t="inlineStr">
        <is>
          <t>14/05/2026</t>
        </is>
      </c>
      <c r="B2986" t="inlineStr">
        <is>
          <t>VPBank</t>
        </is>
      </c>
      <c r="C2986" t="n">
        <v>26521</v>
      </c>
      <c r="D2986" t="n">
        <v>26521</v>
      </c>
      <c r="E2986" t="n">
        <v>26671</v>
      </c>
    </row>
    <row r="2987">
      <c r="A2987" t="inlineStr">
        <is>
          <t>13/05/2026</t>
        </is>
      </c>
      <c r="B2987" t="inlineStr">
        <is>
          <t>VPBank</t>
        </is>
      </c>
      <c r="C2987" t="n">
        <v>26518</v>
      </c>
      <c r="D2987" t="n">
        <v>26518</v>
      </c>
      <c r="E2987" t="n">
        <v>26668</v>
      </c>
    </row>
    <row r="2988">
      <c r="A2988" t="inlineStr">
        <is>
          <t>12/05/2026</t>
        </is>
      </c>
      <c r="B2988" t="inlineStr">
        <is>
          <t>VPBank</t>
        </is>
      </c>
      <c r="C2988" t="n">
        <v>26518</v>
      </c>
      <c r="D2988" t="n">
        <v>26518</v>
      </c>
      <c r="E2988" t="n">
        <v>26668</v>
      </c>
    </row>
    <row r="2989">
      <c r="A2989" t="inlineStr">
        <is>
          <t>11/05/2026</t>
        </is>
      </c>
      <c r="B2989" t="inlineStr">
        <is>
          <t>VPBank</t>
        </is>
      </c>
      <c r="C2989" t="n">
        <v>26512</v>
      </c>
      <c r="D2989" t="n">
        <v>26512</v>
      </c>
      <c r="E2989" t="n">
        <v>26662</v>
      </c>
    </row>
    <row r="2990">
      <c r="A2990" t="inlineStr">
        <is>
          <t>10/05/2026</t>
        </is>
      </c>
      <c r="B2990" t="inlineStr">
        <is>
          <t>VPBank</t>
        </is>
      </c>
      <c r="C2990" t="n">
        <v>26506</v>
      </c>
      <c r="D2990" t="n">
        <v>26506</v>
      </c>
      <c r="E2990" t="n">
        <v>26656</v>
      </c>
    </row>
    <row r="2991">
      <c r="A2991" t="inlineStr">
        <is>
          <t>09/05/2026</t>
        </is>
      </c>
      <c r="B2991" t="inlineStr">
        <is>
          <t>VPBank</t>
        </is>
      </c>
      <c r="C2991" t="n">
        <v>26506</v>
      </c>
      <c r="D2991" t="n">
        <v>26506</v>
      </c>
      <c r="E2991" t="n">
        <v>26656</v>
      </c>
    </row>
    <row r="2992">
      <c r="A2992" t="inlineStr">
        <is>
          <t>08/05/2026</t>
        </is>
      </c>
      <c r="B2992" t="inlineStr">
        <is>
          <t>VPBank</t>
        </is>
      </c>
      <c r="C2992" t="n">
        <v>26506</v>
      </c>
      <c r="D2992" t="n">
        <v>26506</v>
      </c>
      <c r="E2992" t="n">
        <v>26656</v>
      </c>
    </row>
    <row r="2993">
      <c r="A2993" t="inlineStr">
        <is>
          <t>07/05/2026</t>
        </is>
      </c>
      <c r="B2993" t="inlineStr">
        <is>
          <t>VPBank</t>
        </is>
      </c>
      <c r="C2993" t="n">
        <v>26507</v>
      </c>
      <c r="D2993" t="n">
        <v>26507</v>
      </c>
      <c r="E2993" t="n">
        <v>26657</v>
      </c>
    </row>
    <row r="2994">
      <c r="A2994" t="inlineStr">
        <is>
          <t>06/05/2026</t>
        </is>
      </c>
      <c r="B2994" t="inlineStr">
        <is>
          <t>VPBank</t>
        </is>
      </c>
      <c r="C2994" t="n">
        <v>26517</v>
      </c>
      <c r="D2994" t="n">
        <v>26517</v>
      </c>
      <c r="E2994" t="n">
        <v>26657</v>
      </c>
    </row>
    <row r="2995">
      <c r="A2995" t="inlineStr">
        <is>
          <t>05/05/2026</t>
        </is>
      </c>
      <c r="B2995" t="inlineStr">
        <is>
          <t>VPBank</t>
        </is>
      </c>
      <c r="C2995" t="n">
        <v>26515</v>
      </c>
      <c r="D2995" t="n">
        <v>26515</v>
      </c>
      <c r="E2995" t="n">
        <v>26655</v>
      </c>
    </row>
    <row r="2996">
      <c r="A2996" t="inlineStr">
        <is>
          <t>04/05/2026</t>
        </is>
      </c>
      <c r="B2996" t="inlineStr">
        <is>
          <t>VPBank</t>
        </is>
      </c>
      <c r="C2996" t="n">
        <v>26526</v>
      </c>
      <c r="D2996" t="n">
        <v>26526</v>
      </c>
      <c r="E2996" t="n">
        <v>26656</v>
      </c>
    </row>
    <row r="2997">
      <c r="A2997" t="inlineStr">
        <is>
          <t>03/05/2026</t>
        </is>
      </c>
      <c r="B2997" t="inlineStr">
        <is>
          <t>VPBank</t>
        </is>
      </c>
      <c r="C2997" t="n">
        <v>26527</v>
      </c>
      <c r="D2997" t="n">
        <v>26527</v>
      </c>
      <c r="E2997" t="n">
        <v>26657</v>
      </c>
    </row>
    <row r="2998">
      <c r="A2998" t="inlineStr">
        <is>
          <t>02/05/2026</t>
        </is>
      </c>
      <c r="B2998" t="inlineStr">
        <is>
          <t>VPBank</t>
        </is>
      </c>
      <c r="C2998" t="n">
        <v>26527</v>
      </c>
      <c r="D2998" t="n">
        <v>26527</v>
      </c>
      <c r="E2998" t="n">
        <v>26657</v>
      </c>
    </row>
    <row r="2999">
      <c r="A2999" t="inlineStr">
        <is>
          <t>01/05/2026</t>
        </is>
      </c>
      <c r="B2999" t="inlineStr">
        <is>
          <t>VPBank</t>
        </is>
      </c>
      <c r="C2999" t="n">
        <v>26527</v>
      </c>
      <c r="D2999" t="n">
        <v>26527</v>
      </c>
      <c r="E2999" t="n">
        <v>26657</v>
      </c>
    </row>
    <row r="3000">
      <c r="A3000" t="inlineStr">
        <is>
          <t>30/04/2026</t>
        </is>
      </c>
      <c r="B3000" t="inlineStr">
        <is>
          <t>VPBank</t>
        </is>
      </c>
      <c r="C3000" t="n">
        <v>26527</v>
      </c>
      <c r="D3000" t="n">
        <v>26527</v>
      </c>
      <c r="E3000" t="n">
        <v>26657</v>
      </c>
    </row>
    <row r="3001">
      <c r="A3001" t="inlineStr">
        <is>
          <t>29/04/2026</t>
        </is>
      </c>
      <c r="B3001" t="inlineStr">
        <is>
          <t>VPBank</t>
        </is>
      </c>
      <c r="C3001" t="n">
        <v>26527</v>
      </c>
      <c r="D3001" t="n">
        <v>26527</v>
      </c>
      <c r="E3001" t="n">
        <v>26657</v>
      </c>
    </row>
    <row r="3002">
      <c r="A3002" t="inlineStr">
        <is>
          <t>28/04/2026</t>
        </is>
      </c>
      <c r="B3002" t="inlineStr">
        <is>
          <t>VPBank</t>
        </is>
      </c>
      <c r="C3002" t="n">
        <v>26525</v>
      </c>
      <c r="D3002" t="n">
        <v>26525</v>
      </c>
      <c r="E3002" t="n">
        <v>26655</v>
      </c>
    </row>
    <row r="3003">
      <c r="A3003" t="inlineStr">
        <is>
          <t>27/04/2026</t>
        </is>
      </c>
      <c r="B3003" t="inlineStr">
        <is>
          <t>VPBank</t>
        </is>
      </c>
      <c r="C3003" t="n">
        <v>26527</v>
      </c>
      <c r="D3003" t="n">
        <v>26527</v>
      </c>
      <c r="E3003" t="n">
        <v>26657</v>
      </c>
    </row>
    <row r="3004">
      <c r="A3004" t="inlineStr">
        <is>
          <t>26/04/2026</t>
        </is>
      </c>
      <c r="B3004" t="inlineStr">
        <is>
          <t>VPBank</t>
        </is>
      </c>
      <c r="C3004" t="n">
        <v>26527</v>
      </c>
      <c r="D3004" t="n">
        <v>26527</v>
      </c>
      <c r="E3004" t="n">
        <v>26657</v>
      </c>
    </row>
    <row r="3005">
      <c r="A3005" t="inlineStr">
        <is>
          <t>25/04/2026</t>
        </is>
      </c>
      <c r="B3005" t="inlineStr">
        <is>
          <t>VPBank</t>
        </is>
      </c>
      <c r="C3005" t="n">
        <v>26527</v>
      </c>
      <c r="D3005" t="n">
        <v>26527</v>
      </c>
      <c r="E3005" t="n">
        <v>26657</v>
      </c>
    </row>
    <row r="3006">
      <c r="A3006" t="inlineStr">
        <is>
          <t>24/04/2026</t>
        </is>
      </c>
      <c r="B3006" t="inlineStr">
        <is>
          <t>VPBank</t>
        </is>
      </c>
      <c r="C3006" t="n">
        <v>26527</v>
      </c>
      <c r="D3006" t="n">
        <v>26527</v>
      </c>
      <c r="E3006" t="n">
        <v>26657</v>
      </c>
    </row>
    <row r="3007">
      <c r="A3007" t="inlineStr">
        <is>
          <t>23/04/2026</t>
        </is>
      </c>
      <c r="B3007" t="inlineStr">
        <is>
          <t>VPBank</t>
        </is>
      </c>
      <c r="C3007" t="n">
        <v>26519</v>
      </c>
      <c r="D3007" t="n">
        <v>26519</v>
      </c>
      <c r="E3007" t="n">
        <v>26649</v>
      </c>
    </row>
    <row r="3008">
      <c r="A3008" t="inlineStr">
        <is>
          <t>22/04/2026</t>
        </is>
      </c>
      <c r="B3008" t="inlineStr">
        <is>
          <t>VPBank</t>
        </is>
      </c>
      <c r="C3008" t="n">
        <v>26514</v>
      </c>
      <c r="D3008" t="n">
        <v>26514</v>
      </c>
      <c r="E3008" t="n">
        <v>26644</v>
      </c>
    </row>
    <row r="3009">
      <c r="A3009" t="inlineStr">
        <is>
          <t>21/04/2026</t>
        </is>
      </c>
      <c r="B3009" t="inlineStr">
        <is>
          <t>VPBank</t>
        </is>
      </c>
      <c r="C3009" t="n">
        <v>26516</v>
      </c>
      <c r="D3009" t="n">
        <v>26516</v>
      </c>
      <c r="E3009" t="n">
        <v>26646</v>
      </c>
    </row>
    <row r="3010">
      <c r="A3010" t="inlineStr">
        <is>
          <t>20/04/2026</t>
        </is>
      </c>
      <c r="B3010" t="inlineStr">
        <is>
          <t>VPBank</t>
        </is>
      </c>
      <c r="C3010" t="n">
        <v>26517</v>
      </c>
      <c r="D3010" t="n">
        <v>26517</v>
      </c>
      <c r="E3010" t="n">
        <v>26647</v>
      </c>
    </row>
    <row r="3011">
      <c r="A3011" t="inlineStr">
        <is>
          <t>19/04/2026</t>
        </is>
      </c>
      <c r="B3011" t="inlineStr">
        <is>
          <t>VPBank</t>
        </is>
      </c>
      <c r="C3011" t="n">
        <v>26516</v>
      </c>
      <c r="D3011" t="n">
        <v>26516</v>
      </c>
      <c r="E3011" t="n">
        <v>26646</v>
      </c>
    </row>
    <row r="3012">
      <c r="A3012" t="inlineStr">
        <is>
          <t>18/04/2026</t>
        </is>
      </c>
      <c r="B3012" t="inlineStr">
        <is>
          <t>VPBank</t>
        </is>
      </c>
      <c r="C3012" t="n">
        <v>26516</v>
      </c>
      <c r="D3012" t="n">
        <v>26516</v>
      </c>
      <c r="E3012" t="n">
        <v>26646</v>
      </c>
    </row>
    <row r="3013">
      <c r="A3013" t="inlineStr">
        <is>
          <t>17/04/2026</t>
        </is>
      </c>
      <c r="B3013" t="inlineStr">
        <is>
          <t>VPBank</t>
        </is>
      </c>
      <c r="C3013" t="n">
        <v>26516</v>
      </c>
      <c r="D3013" t="n">
        <v>26516</v>
      </c>
      <c r="E3013" t="n">
        <v>26646</v>
      </c>
    </row>
    <row r="3014">
      <c r="A3014" t="inlineStr">
        <is>
          <t>16/04/2026</t>
        </is>
      </c>
      <c r="B3014" t="inlineStr">
        <is>
          <t>VPBank</t>
        </is>
      </c>
      <c r="C3014" t="n">
        <v>26516</v>
      </c>
      <c r="D3014" t="n">
        <v>26516</v>
      </c>
      <c r="E3014" t="n">
        <v>26646</v>
      </c>
    </row>
    <row r="3015">
      <c r="A3015" t="inlineStr">
        <is>
          <t>15/04/2026</t>
        </is>
      </c>
      <c r="B3015" t="inlineStr">
        <is>
          <t>VPBank</t>
        </is>
      </c>
      <c r="C3015" t="n">
        <v>26527</v>
      </c>
      <c r="D3015" t="n">
        <v>26527</v>
      </c>
      <c r="E3015" t="n">
        <v>26647</v>
      </c>
    </row>
    <row r="3016">
      <c r="A3016" t="inlineStr">
        <is>
          <t>14/04/2026</t>
        </is>
      </c>
      <c r="B3016" t="inlineStr">
        <is>
          <t>VPBank</t>
        </is>
      </c>
      <c r="C3016" t="n">
        <v>26530</v>
      </c>
      <c r="D3016" t="n">
        <v>26530</v>
      </c>
      <c r="E3016" t="n">
        <v>26650</v>
      </c>
    </row>
    <row r="3017">
      <c r="A3017" t="inlineStr">
        <is>
          <t>13/04/2026</t>
        </is>
      </c>
      <c r="B3017" t="inlineStr">
        <is>
          <t>VPBank</t>
        </is>
      </c>
      <c r="C3017" t="n">
        <v>26530</v>
      </c>
      <c r="D3017" t="n">
        <v>26530</v>
      </c>
      <c r="E3017" t="n">
        <v>26650</v>
      </c>
    </row>
    <row r="3018">
      <c r="A3018" t="inlineStr">
        <is>
          <t>12/04/2026</t>
        </is>
      </c>
      <c r="B3018" t="inlineStr">
        <is>
          <t>VPBank</t>
        </is>
      </c>
      <c r="C3018" t="n">
        <v>26519</v>
      </c>
      <c r="D3018" t="n">
        <v>26519</v>
      </c>
      <c r="E3018" t="n">
        <v>26649</v>
      </c>
    </row>
    <row r="3019">
      <c r="A3019" t="inlineStr">
        <is>
          <t>11/04/2026</t>
        </is>
      </c>
      <c r="B3019" t="inlineStr">
        <is>
          <t>VPBank</t>
        </is>
      </c>
      <c r="C3019" t="n">
        <v>26519</v>
      </c>
      <c r="D3019" t="n">
        <v>26519</v>
      </c>
      <c r="E3019" t="n">
        <v>26649</v>
      </c>
    </row>
    <row r="3020">
      <c r="A3020" t="inlineStr">
        <is>
          <t>10/04/2026</t>
        </is>
      </c>
      <c r="B3020" t="inlineStr">
        <is>
          <t>VPBank</t>
        </is>
      </c>
      <c r="C3020" t="n">
        <v>26519</v>
      </c>
      <c r="D3020" t="n">
        <v>26519</v>
      </c>
      <c r="E3020" t="n">
        <v>26649</v>
      </c>
    </row>
    <row r="3021">
      <c r="A3021" t="inlineStr">
        <is>
          <t>09/04/2026</t>
        </is>
      </c>
      <c r="B3021" t="inlineStr">
        <is>
          <t>VPBank</t>
        </is>
      </c>
      <c r="C3021" t="n">
        <v>26506</v>
      </c>
      <c r="D3021" t="n">
        <v>26506</v>
      </c>
      <c r="E3021" t="n">
        <v>26646</v>
      </c>
    </row>
    <row r="3022">
      <c r="A3022" t="inlineStr">
        <is>
          <t>08/04/2026</t>
        </is>
      </c>
      <c r="B3022" t="inlineStr">
        <is>
          <t>VPBank</t>
        </is>
      </c>
      <c r="C3022" t="n">
        <v>26530</v>
      </c>
      <c r="D3022" t="n">
        <v>26530</v>
      </c>
      <c r="E3022" t="n">
        <v>26650</v>
      </c>
    </row>
    <row r="3023">
      <c r="A3023" t="inlineStr">
        <is>
          <t>07/04/2026</t>
        </is>
      </c>
      <c r="B3023" t="inlineStr">
        <is>
          <t>VPBank</t>
        </is>
      </c>
      <c r="C3023" t="n">
        <v>26532</v>
      </c>
      <c r="D3023" t="n">
        <v>26532</v>
      </c>
      <c r="E3023" t="n">
        <v>26652</v>
      </c>
    </row>
    <row r="3024">
      <c r="A3024" t="inlineStr">
        <is>
          <t>06/04/2026</t>
        </is>
      </c>
      <c r="B3024" t="inlineStr">
        <is>
          <t>VPBank</t>
        </is>
      </c>
      <c r="C3024" t="n">
        <v>26530</v>
      </c>
      <c r="D3024" t="n">
        <v>26530</v>
      </c>
      <c r="E3024" t="n">
        <v>26650</v>
      </c>
    </row>
    <row r="3025">
      <c r="A3025" t="inlineStr">
        <is>
          <t>05/04/2026</t>
        </is>
      </c>
      <c r="B3025" t="inlineStr">
        <is>
          <t>VPBank</t>
        </is>
      </c>
      <c r="C3025" t="n">
        <v>26531</v>
      </c>
      <c r="D3025" t="n">
        <v>26531</v>
      </c>
      <c r="E3025" t="n">
        <v>26651</v>
      </c>
    </row>
    <row r="3026">
      <c r="A3026" t="inlineStr">
        <is>
          <t>04/04/2026</t>
        </is>
      </c>
      <c r="B3026" t="inlineStr">
        <is>
          <t>VPBank</t>
        </is>
      </c>
      <c r="C3026" t="n">
        <v>26531</v>
      </c>
      <c r="D3026" t="n">
        <v>26531</v>
      </c>
      <c r="E3026" t="n">
        <v>26651</v>
      </c>
    </row>
    <row r="3027">
      <c r="A3027" t="inlineStr">
        <is>
          <t>03/04/2026</t>
        </is>
      </c>
      <c r="B3027" t="inlineStr">
        <is>
          <t>VPBank</t>
        </is>
      </c>
      <c r="C3027" t="n">
        <v>26531</v>
      </c>
      <c r="D3027" t="n">
        <v>26531</v>
      </c>
      <c r="E3027" t="n">
        <v>26651</v>
      </c>
    </row>
    <row r="3028">
      <c r="A3028" t="inlineStr">
        <is>
          <t>02/04/2026</t>
        </is>
      </c>
      <c r="B3028" t="inlineStr">
        <is>
          <t>VPBank</t>
        </is>
      </c>
      <c r="C3028" t="n">
        <v>26531</v>
      </c>
      <c r="D3028" t="n">
        <v>26531</v>
      </c>
      <c r="E3028" t="n">
        <v>26651</v>
      </c>
    </row>
    <row r="3029">
      <c r="A3029" t="inlineStr">
        <is>
          <t>01/04/2026</t>
        </is>
      </c>
      <c r="B3029" t="inlineStr">
        <is>
          <t>VPBank</t>
        </is>
      </c>
      <c r="C3029" t="n">
        <v>26529</v>
      </c>
      <c r="D3029" t="n">
        <v>26529</v>
      </c>
      <c r="E3029" t="n">
        <v>26649</v>
      </c>
    </row>
    <row r="3030">
      <c r="A3030" t="inlineStr">
        <is>
          <t>31/03/2026</t>
        </is>
      </c>
      <c r="B3030" t="inlineStr">
        <is>
          <t>VPBank</t>
        </is>
      </c>
      <c r="C3030" t="n">
        <v>26526</v>
      </c>
      <c r="D3030" t="n">
        <v>26526</v>
      </c>
      <c r="E3030" t="n">
        <v>26646</v>
      </c>
    </row>
    <row r="3031">
      <c r="A3031" t="inlineStr">
        <is>
          <t>30/03/2026</t>
        </is>
      </c>
      <c r="B3031" t="inlineStr">
        <is>
          <t>VPBank</t>
        </is>
      </c>
      <c r="C3031" t="n">
        <v>26524</v>
      </c>
      <c r="D3031" t="n">
        <v>26524</v>
      </c>
      <c r="E3031" t="n">
        <v>26644</v>
      </c>
    </row>
    <row r="3032">
      <c r="A3032" t="inlineStr">
        <is>
          <t>29/03/2026</t>
        </is>
      </c>
      <c r="B3032" t="inlineStr">
        <is>
          <t>VPBank</t>
        </is>
      </c>
      <c r="C3032" t="n">
        <v>26524</v>
      </c>
      <c r="D3032" t="n">
        <v>26524</v>
      </c>
      <c r="E3032" t="n">
        <v>26644</v>
      </c>
    </row>
    <row r="3033">
      <c r="A3033" t="inlineStr">
        <is>
          <t>28/03/2026</t>
        </is>
      </c>
      <c r="B3033" t="inlineStr">
        <is>
          <t>VPBank</t>
        </is>
      </c>
      <c r="C3033" t="n">
        <v>26524</v>
      </c>
      <c r="D3033" t="n">
        <v>26524</v>
      </c>
      <c r="E3033" t="n">
        <v>26644</v>
      </c>
    </row>
    <row r="3034">
      <c r="A3034" t="inlineStr">
        <is>
          <t>27/03/2026</t>
        </is>
      </c>
      <c r="B3034" t="inlineStr">
        <is>
          <t>VPBank</t>
        </is>
      </c>
      <c r="C3034" t="n">
        <v>26524</v>
      </c>
      <c r="D3034" t="n">
        <v>26524</v>
      </c>
      <c r="E3034" t="n">
        <v>26644</v>
      </c>
    </row>
    <row r="3035">
      <c r="A3035" t="inlineStr">
        <is>
          <t>26/03/2026</t>
        </is>
      </c>
      <c r="B3035" t="inlineStr">
        <is>
          <t>VPBank</t>
        </is>
      </c>
      <c r="C3035" t="n">
        <v>26526</v>
      </c>
      <c r="D3035" t="n">
        <v>26526</v>
      </c>
      <c r="E3035" t="n">
        <v>26646</v>
      </c>
    </row>
    <row r="3036">
      <c r="A3036" t="inlineStr">
        <is>
          <t>25/03/2026</t>
        </is>
      </c>
      <c r="B3036" t="inlineStr">
        <is>
          <t>VPBank</t>
        </is>
      </c>
      <c r="C3036" t="n">
        <v>26528</v>
      </c>
      <c r="D3036" t="n">
        <v>26528</v>
      </c>
      <c r="E3036" t="n">
        <v>26648</v>
      </c>
    </row>
    <row r="3037">
      <c r="A3037" t="inlineStr">
        <is>
          <t>24/03/2026</t>
        </is>
      </c>
      <c r="B3037" t="inlineStr">
        <is>
          <t>VPBank</t>
        </is>
      </c>
      <c r="C3037" t="n">
        <v>26533</v>
      </c>
      <c r="D3037" t="n">
        <v>26533</v>
      </c>
      <c r="E3037" t="n">
        <v>26653</v>
      </c>
    </row>
    <row r="3038">
      <c r="A3038" t="inlineStr">
        <is>
          <t>23/03/2026</t>
        </is>
      </c>
      <c r="B3038" t="inlineStr">
        <is>
          <t>VPBank</t>
        </is>
      </c>
      <c r="C3038" t="n">
        <v>26493</v>
      </c>
      <c r="D3038" t="n">
        <v>26493</v>
      </c>
      <c r="E3038" t="n">
        <v>26633</v>
      </c>
    </row>
    <row r="3039">
      <c r="A3039" t="inlineStr">
        <is>
          <t>22/03/2026</t>
        </is>
      </c>
      <c r="B3039" t="inlineStr">
        <is>
          <t>VPBank</t>
        </is>
      </c>
      <c r="C3039" t="n">
        <v>26488</v>
      </c>
      <c r="D3039" t="n">
        <v>26488</v>
      </c>
      <c r="E3039" t="n">
        <v>26628</v>
      </c>
    </row>
    <row r="3040">
      <c r="A3040" t="inlineStr">
        <is>
          <t>21/03/2026</t>
        </is>
      </c>
      <c r="B3040" t="inlineStr">
        <is>
          <t>VPBank</t>
        </is>
      </c>
      <c r="C3040" t="n">
        <v>26488</v>
      </c>
      <c r="D3040" t="n">
        <v>26488</v>
      </c>
      <c r="E3040" t="n">
        <v>26628</v>
      </c>
    </row>
    <row r="3041">
      <c r="A3041" t="inlineStr">
        <is>
          <t>20/03/2026</t>
        </is>
      </c>
      <c r="B3041" t="inlineStr">
        <is>
          <t>VPBank</t>
        </is>
      </c>
      <c r="C3041" t="n">
        <v>26488</v>
      </c>
      <c r="D3041" t="n">
        <v>26488</v>
      </c>
      <c r="E3041" t="n">
        <v>26628</v>
      </c>
    </row>
    <row r="3042">
      <c r="A3042" t="inlineStr">
        <is>
          <t>19/03/2026</t>
        </is>
      </c>
      <c r="B3042" t="inlineStr">
        <is>
          <t>VPBank</t>
        </is>
      </c>
      <c r="C3042" t="n">
        <v>26474</v>
      </c>
      <c r="D3042" t="n">
        <v>26474</v>
      </c>
      <c r="E3042" t="n">
        <v>26614</v>
      </c>
    </row>
    <row r="3043">
      <c r="A3043" t="inlineStr">
        <is>
          <t>18/03/2026</t>
        </is>
      </c>
      <c r="B3043" t="inlineStr">
        <is>
          <t>VPBank</t>
        </is>
      </c>
      <c r="C3043" t="n">
        <v>26469</v>
      </c>
      <c r="D3043" t="n">
        <v>26469</v>
      </c>
      <c r="E3043" t="n">
        <v>26609</v>
      </c>
    </row>
    <row r="3044">
      <c r="A3044" t="inlineStr">
        <is>
          <t>17/03/2026</t>
        </is>
      </c>
      <c r="B3044" t="inlineStr">
        <is>
          <t>VPBank</t>
        </is>
      </c>
      <c r="C3044" t="n">
        <v>26470</v>
      </c>
      <c r="D3044" t="n">
        <v>26470</v>
      </c>
      <c r="E3044" t="n">
        <v>26610</v>
      </c>
    </row>
    <row r="3045">
      <c r="A3045" t="inlineStr">
        <is>
          <t>16/03/2026</t>
        </is>
      </c>
      <c r="B3045" t="inlineStr">
        <is>
          <t>VPBank</t>
        </is>
      </c>
      <c r="C3045" t="n">
        <v>26470</v>
      </c>
      <c r="D3045" t="n">
        <v>26470</v>
      </c>
      <c r="E3045" t="n">
        <v>26610</v>
      </c>
    </row>
    <row r="3046">
      <c r="A3046" t="inlineStr">
        <is>
          <t>15/03/2026</t>
        </is>
      </c>
      <c r="B3046" t="inlineStr">
        <is>
          <t>VPBank</t>
        </is>
      </c>
      <c r="C3046" t="n">
        <v>26467</v>
      </c>
      <c r="D3046" t="n">
        <v>26467</v>
      </c>
      <c r="E3046" t="n">
        <v>26607</v>
      </c>
    </row>
    <row r="3047">
      <c r="A3047" t="inlineStr">
        <is>
          <t>14/03/2026</t>
        </is>
      </c>
      <c r="B3047" t="inlineStr">
        <is>
          <t>VPBank</t>
        </is>
      </c>
      <c r="C3047" t="n">
        <v>26467</v>
      </c>
      <c r="D3047" t="n">
        <v>26467</v>
      </c>
      <c r="E3047" t="n">
        <v>26607</v>
      </c>
    </row>
    <row r="3048">
      <c r="A3048" t="inlineStr">
        <is>
          <t>13/03/2026</t>
        </is>
      </c>
      <c r="B3048" t="inlineStr">
        <is>
          <t>VPBank</t>
        </is>
      </c>
      <c r="C3048" t="n">
        <v>26467</v>
      </c>
      <c r="D3048" t="n">
        <v>26467</v>
      </c>
      <c r="E3048" t="n">
        <v>26607</v>
      </c>
    </row>
    <row r="3049">
      <c r="A3049" t="inlineStr">
        <is>
          <t>12/03/2026</t>
        </is>
      </c>
      <c r="B3049" t="inlineStr">
        <is>
          <t>VPBank</t>
        </is>
      </c>
      <c r="C3049" t="n">
        <v>26463</v>
      </c>
      <c r="D3049" t="n">
        <v>26463</v>
      </c>
      <c r="E3049" t="n">
        <v>26603</v>
      </c>
    </row>
    <row r="3050">
      <c r="A3050" t="inlineStr">
        <is>
          <t>11/03/2026</t>
        </is>
      </c>
      <c r="B3050" t="inlineStr">
        <is>
          <t>VPBank</t>
        </is>
      </c>
      <c r="C3050" t="n">
        <v>26420</v>
      </c>
      <c r="D3050" t="n">
        <v>26420</v>
      </c>
      <c r="E3050" t="n">
        <v>26600</v>
      </c>
    </row>
    <row r="3051">
      <c r="A3051" t="inlineStr">
        <is>
          <t>10/03/2026</t>
        </is>
      </c>
      <c r="B3051" t="inlineStr">
        <is>
          <t>VPBank</t>
        </is>
      </c>
      <c r="C3051" t="n">
        <v>26404</v>
      </c>
      <c r="D3051" t="n">
        <v>26404</v>
      </c>
      <c r="E3051" t="n">
        <v>26604</v>
      </c>
    </row>
    <row r="3052">
      <c r="A3052" t="inlineStr">
        <is>
          <t>09/03/2026</t>
        </is>
      </c>
      <c r="B3052" t="inlineStr">
        <is>
          <t>VPBank</t>
        </is>
      </c>
      <c r="C3052" t="n">
        <v>26460</v>
      </c>
      <c r="D3052" t="n">
        <v>26460</v>
      </c>
      <c r="E3052" t="n">
        <v>26600</v>
      </c>
    </row>
    <row r="3053">
      <c r="A3053" t="inlineStr">
        <is>
          <t>08/03/2026</t>
        </is>
      </c>
      <c r="B3053" t="inlineStr">
        <is>
          <t>VPBank</t>
        </is>
      </c>
      <c r="C3053" t="n">
        <v>26418</v>
      </c>
      <c r="D3053" t="n">
        <v>26418</v>
      </c>
      <c r="E3053" t="n">
        <v>26598</v>
      </c>
    </row>
    <row r="3054">
      <c r="A3054" t="inlineStr">
        <is>
          <t>07/03/2026</t>
        </is>
      </c>
      <c r="B3054" t="inlineStr">
        <is>
          <t>VPBank</t>
        </is>
      </c>
      <c r="C3054" t="n">
        <v>26418</v>
      </c>
      <c r="D3054" t="n">
        <v>26418</v>
      </c>
      <c r="E3054" t="n">
        <v>26598</v>
      </c>
    </row>
    <row r="3055">
      <c r="A3055" t="inlineStr">
        <is>
          <t>06/03/2026</t>
        </is>
      </c>
      <c r="B3055" t="inlineStr">
        <is>
          <t>VPBank</t>
        </is>
      </c>
      <c r="C3055" t="n">
        <v>26418</v>
      </c>
      <c r="D3055" t="n">
        <v>26418</v>
      </c>
      <c r="E3055" t="n">
        <v>26598</v>
      </c>
    </row>
    <row r="3056">
      <c r="A3056" t="inlineStr">
        <is>
          <t>05/03/2026</t>
        </is>
      </c>
      <c r="B3056" t="inlineStr">
        <is>
          <t>VPBank</t>
        </is>
      </c>
      <c r="C3056" t="n">
        <v>26416</v>
      </c>
      <c r="D3056" t="n">
        <v>26416</v>
      </c>
      <c r="E3056" t="n">
        <v>26596</v>
      </c>
    </row>
    <row r="3057">
      <c r="A3057" t="inlineStr">
        <is>
          <t>04/03/2026</t>
        </is>
      </c>
      <c r="B3057" t="inlineStr">
        <is>
          <t>VPBank</t>
        </is>
      </c>
      <c r="C3057" t="n">
        <v>26393</v>
      </c>
      <c r="D3057" t="n">
        <v>26393</v>
      </c>
      <c r="E3057" t="n">
        <v>26593</v>
      </c>
    </row>
    <row r="3058">
      <c r="A3058" t="inlineStr">
        <is>
          <t>03/03/2026</t>
        </is>
      </c>
      <c r="B3058" t="inlineStr">
        <is>
          <t>VPBank</t>
        </is>
      </c>
      <c r="C3058" t="n">
        <v>26387</v>
      </c>
      <c r="D3058" t="n">
        <v>26387</v>
      </c>
      <c r="E3058" t="n">
        <v>26587</v>
      </c>
    </row>
    <row r="3059">
      <c r="A3059" t="inlineStr">
        <is>
          <t>02/03/2026</t>
        </is>
      </c>
      <c r="B3059" t="inlineStr">
        <is>
          <t>VPBank</t>
        </is>
      </c>
      <c r="C3059" t="n">
        <v>26378</v>
      </c>
      <c r="D3059" t="n">
        <v>26378</v>
      </c>
      <c r="E3059" t="n">
        <v>26578</v>
      </c>
    </row>
    <row r="3060">
      <c r="A3060" t="inlineStr">
        <is>
          <t>01/03/2026</t>
        </is>
      </c>
      <c r="B3060" t="inlineStr">
        <is>
          <t>VPBank</t>
        </is>
      </c>
      <c r="C3060" t="n">
        <v>26239</v>
      </c>
      <c r="D3060" t="n">
        <v>26239</v>
      </c>
      <c r="E3060" t="n">
        <v>26519</v>
      </c>
    </row>
    <row r="3061">
      <c r="A3061" t="inlineStr">
        <is>
          <t>28/02/2026</t>
        </is>
      </c>
      <c r="B3061" t="inlineStr">
        <is>
          <t>VPBank</t>
        </is>
      </c>
      <c r="C3061" t="n">
        <v>26239</v>
      </c>
      <c r="D3061" t="n">
        <v>26239</v>
      </c>
      <c r="E3061" t="n">
        <v>26519</v>
      </c>
    </row>
    <row r="3062">
      <c r="A3062" t="inlineStr">
        <is>
          <t>27/02/2026</t>
        </is>
      </c>
      <c r="B3062" t="inlineStr">
        <is>
          <t>VPBank</t>
        </is>
      </c>
      <c r="C3062" t="n">
        <v>26239</v>
      </c>
      <c r="D3062" t="n">
        <v>26239</v>
      </c>
      <c r="E3062" t="n">
        <v>26519</v>
      </c>
    </row>
    <row r="3063">
      <c r="A3063" t="inlineStr">
        <is>
          <t>26/02/2026</t>
        </is>
      </c>
      <c r="B3063" t="inlineStr">
        <is>
          <t>VPBank</t>
        </is>
      </c>
      <c r="C3063" t="n">
        <v>26269</v>
      </c>
      <c r="D3063" t="n">
        <v>26269</v>
      </c>
      <c r="E3063" t="n">
        <v>26549</v>
      </c>
    </row>
    <row r="3064">
      <c r="A3064" t="inlineStr">
        <is>
          <t>25/02/2026</t>
        </is>
      </c>
      <c r="B3064" t="inlineStr">
        <is>
          <t>VPBank</t>
        </is>
      </c>
      <c r="C3064" t="n">
        <v>26318</v>
      </c>
      <c r="D3064" t="n">
        <v>26318</v>
      </c>
      <c r="E3064" t="n">
        <v>26598</v>
      </c>
    </row>
    <row r="3065">
      <c r="A3065" t="inlineStr">
        <is>
          <t>24/02/2026</t>
        </is>
      </c>
      <c r="B3065" t="inlineStr">
        <is>
          <t>VPBank</t>
        </is>
      </c>
      <c r="C3065" t="n">
        <v>26374</v>
      </c>
      <c r="D3065" t="n">
        <v>26374</v>
      </c>
      <c r="E3065" t="n">
        <v>26594</v>
      </c>
    </row>
    <row r="3066">
      <c r="A3066" t="inlineStr">
        <is>
          <t>23/02/2026</t>
        </is>
      </c>
      <c r="B3066" t="inlineStr">
        <is>
          <t>VPBank</t>
        </is>
      </c>
      <c r="C3066" t="n">
        <v>26299</v>
      </c>
      <c r="D3066" t="n">
        <v>26299</v>
      </c>
      <c r="E3066" t="n">
        <v>26579</v>
      </c>
    </row>
    <row r="3067">
      <c r="A3067" t="inlineStr">
        <is>
          <t>22/02/2026</t>
        </is>
      </c>
      <c r="B3067" t="inlineStr">
        <is>
          <t>VPBank</t>
        </is>
      </c>
      <c r="C3067" t="n">
        <v>26169</v>
      </c>
      <c r="D3067" t="n">
        <v>26169</v>
      </c>
      <c r="E3067" t="n">
        <v>26449</v>
      </c>
    </row>
    <row r="3068">
      <c r="A3068" t="inlineStr">
        <is>
          <t>21/02/2026</t>
        </is>
      </c>
      <c r="B3068" t="inlineStr">
        <is>
          <t>VPBank</t>
        </is>
      </c>
      <c r="C3068" t="n">
        <v>26169</v>
      </c>
      <c r="D3068" t="n">
        <v>26169</v>
      </c>
      <c r="E3068" t="n">
        <v>26449</v>
      </c>
    </row>
    <row r="3069">
      <c r="A3069" t="inlineStr">
        <is>
          <t>20/02/2026</t>
        </is>
      </c>
      <c r="B3069" t="inlineStr">
        <is>
          <t>VPBank</t>
        </is>
      </c>
      <c r="C3069" t="n">
        <v>26169</v>
      </c>
      <c r="D3069" t="n">
        <v>26169</v>
      </c>
      <c r="E3069" t="n">
        <v>26449</v>
      </c>
    </row>
    <row r="3070">
      <c r="A3070" t="inlineStr">
        <is>
          <t>19/02/2026</t>
        </is>
      </c>
      <c r="B3070" t="inlineStr">
        <is>
          <t>VPBank</t>
        </is>
      </c>
      <c r="C3070" t="n">
        <v>26169</v>
      </c>
      <c r="D3070" t="n">
        <v>26169</v>
      </c>
      <c r="E3070" t="n">
        <v>26449</v>
      </c>
    </row>
    <row r="3071">
      <c r="A3071" t="inlineStr">
        <is>
          <t>18/02/2026</t>
        </is>
      </c>
      <c r="B3071" t="inlineStr">
        <is>
          <t>VPBank</t>
        </is>
      </c>
      <c r="C3071" t="n">
        <v>26169</v>
      </c>
      <c r="D3071" t="n">
        <v>26169</v>
      </c>
      <c r="E3071" t="n">
        <v>26449</v>
      </c>
    </row>
    <row r="3072">
      <c r="A3072" t="inlineStr">
        <is>
          <t>17/02/2026</t>
        </is>
      </c>
      <c r="B3072" t="inlineStr">
        <is>
          <t>VPBank</t>
        </is>
      </c>
      <c r="C3072" t="n">
        <v>26169</v>
      </c>
      <c r="D3072" t="n">
        <v>26169</v>
      </c>
      <c r="E3072" t="n">
        <v>26449</v>
      </c>
    </row>
    <row r="3073">
      <c r="A3073" t="inlineStr">
        <is>
          <t>16/02/2026</t>
        </is>
      </c>
      <c r="B3073" t="inlineStr">
        <is>
          <t>VPBank</t>
        </is>
      </c>
      <c r="C3073" t="n">
        <v>26169</v>
      </c>
      <c r="D3073" t="n">
        <v>26169</v>
      </c>
      <c r="E3073" t="n">
        <v>26449</v>
      </c>
    </row>
    <row r="3074">
      <c r="A3074" t="inlineStr">
        <is>
          <t>15/02/2026</t>
        </is>
      </c>
      <c r="B3074" t="inlineStr">
        <is>
          <t>VPBank</t>
        </is>
      </c>
      <c r="C3074" t="n">
        <v>26169</v>
      </c>
      <c r="D3074" t="n">
        <v>26169</v>
      </c>
      <c r="E3074" t="n">
        <v>26449</v>
      </c>
    </row>
    <row r="3075">
      <c r="A3075" t="inlineStr">
        <is>
          <t>14/02/2026</t>
        </is>
      </c>
      <c r="B3075" t="inlineStr">
        <is>
          <t>VPBank</t>
        </is>
      </c>
      <c r="C3075" t="n">
        <v>26169</v>
      </c>
      <c r="D3075" t="n">
        <v>26169</v>
      </c>
      <c r="E3075" t="n">
        <v>26449</v>
      </c>
    </row>
    <row r="3076">
      <c r="A3076" t="inlineStr">
        <is>
          <t>13/02/2026</t>
        </is>
      </c>
      <c r="B3076" t="inlineStr">
        <is>
          <t>VPBank</t>
        </is>
      </c>
      <c r="C3076" t="n">
        <v>26169</v>
      </c>
      <c r="D3076" t="n">
        <v>26169</v>
      </c>
      <c r="E3076" t="n">
        <v>26449</v>
      </c>
    </row>
    <row r="3077">
      <c r="A3077" t="inlineStr">
        <is>
          <t>12/02/2026</t>
        </is>
      </c>
      <c r="B3077" t="inlineStr">
        <is>
          <t>VPBank</t>
        </is>
      </c>
      <c r="C3077" t="n">
        <v>26169</v>
      </c>
      <c r="D3077" t="n">
        <v>26169</v>
      </c>
      <c r="E3077" t="n">
        <v>26449</v>
      </c>
    </row>
    <row r="3078">
      <c r="A3078" t="inlineStr">
        <is>
          <t>11/02/2026</t>
        </is>
      </c>
      <c r="B3078" t="inlineStr">
        <is>
          <t>VPBank</t>
        </is>
      </c>
      <c r="C3078" t="n">
        <v>26169</v>
      </c>
      <c r="D3078" t="n">
        <v>26169</v>
      </c>
      <c r="E3078" t="n">
        <v>26449</v>
      </c>
    </row>
    <row r="3079">
      <c r="A3079" t="inlineStr">
        <is>
          <t>10/02/2026</t>
        </is>
      </c>
      <c r="B3079" t="inlineStr">
        <is>
          <t>VPBank</t>
        </is>
      </c>
      <c r="C3079" t="n">
        <v>26069</v>
      </c>
      <c r="D3079" t="n">
        <v>26069</v>
      </c>
      <c r="E3079" t="n">
        <v>26349</v>
      </c>
    </row>
    <row r="3080">
      <c r="A3080" t="inlineStr">
        <is>
          <t>09/02/2026</t>
        </is>
      </c>
      <c r="B3080" t="inlineStr">
        <is>
          <t>VPBank</t>
        </is>
      </c>
      <c r="C3080" t="n">
        <v>26109</v>
      </c>
      <c r="D3080" t="n">
        <v>26109</v>
      </c>
      <c r="E3080" t="n">
        <v>26389</v>
      </c>
    </row>
    <row r="3081">
      <c r="A3081" t="inlineStr">
        <is>
          <t>08/02/2026</t>
        </is>
      </c>
      <c r="B3081" t="inlineStr">
        <is>
          <t>VPBank</t>
        </is>
      </c>
      <c r="C3081" t="n">
        <v>26149</v>
      </c>
      <c r="D3081" t="n">
        <v>26149</v>
      </c>
      <c r="E3081" t="n">
        <v>26429</v>
      </c>
    </row>
    <row r="3082">
      <c r="A3082" t="inlineStr">
        <is>
          <t>07/02/2026</t>
        </is>
      </c>
      <c r="B3082" t="inlineStr">
        <is>
          <t>VPBank</t>
        </is>
      </c>
      <c r="C3082" t="n">
        <v>26149</v>
      </c>
      <c r="D3082" t="n">
        <v>26149</v>
      </c>
      <c r="E3082" t="n">
        <v>26429</v>
      </c>
    </row>
    <row r="3083">
      <c r="A3083" t="inlineStr">
        <is>
          <t>06/02/2026</t>
        </is>
      </c>
      <c r="B3083" t="inlineStr">
        <is>
          <t>VPBank</t>
        </is>
      </c>
      <c r="C3083" t="n">
        <v>26149</v>
      </c>
      <c r="D3083" t="n">
        <v>26149</v>
      </c>
      <c r="E3083" t="n">
        <v>26429</v>
      </c>
    </row>
    <row r="3084">
      <c r="A3084" t="inlineStr">
        <is>
          <t>05/02/2026</t>
        </is>
      </c>
      <c r="B3084" t="inlineStr">
        <is>
          <t>VPBank</t>
        </is>
      </c>
      <c r="C3084" t="n">
        <v>26179</v>
      </c>
      <c r="D3084" t="n">
        <v>26179</v>
      </c>
      <c r="E3084" t="n">
        <v>26439</v>
      </c>
    </row>
    <row r="3085">
      <c r="A3085" t="inlineStr">
        <is>
          <t>04/02/2026</t>
        </is>
      </c>
      <c r="B3085" t="inlineStr">
        <is>
          <t>VPBank</t>
        </is>
      </c>
      <c r="C3085" t="n">
        <v>26209</v>
      </c>
      <c r="D3085" t="n">
        <v>26209</v>
      </c>
      <c r="E3085" t="n">
        <v>26469</v>
      </c>
    </row>
    <row r="3086">
      <c r="A3086" t="inlineStr">
        <is>
          <t>03/02/2026</t>
        </is>
      </c>
      <c r="B3086" t="inlineStr">
        <is>
          <t>VPBank</t>
        </is>
      </c>
      <c r="C3086" t="n">
        <v>26209</v>
      </c>
      <c r="D3086" t="n">
        <v>26209</v>
      </c>
      <c r="E3086" t="n">
        <v>26469</v>
      </c>
    </row>
    <row r="3087">
      <c r="A3087" t="inlineStr">
        <is>
          <t>02/02/2026</t>
        </is>
      </c>
      <c r="B3087" t="inlineStr">
        <is>
          <t>VPBank</t>
        </is>
      </c>
      <c r="C3087" t="n">
        <v>26209</v>
      </c>
      <c r="D3087" t="n">
        <v>26209</v>
      </c>
      <c r="E3087" t="n">
        <v>26469</v>
      </c>
    </row>
    <row r="3088">
      <c r="A3088" t="inlineStr">
        <is>
          <t>01/02/2026</t>
        </is>
      </c>
      <c r="B3088" t="inlineStr">
        <is>
          <t>VPBank</t>
        </is>
      </c>
      <c r="C3088" t="n">
        <v>26139</v>
      </c>
      <c r="D3088" t="n">
        <v>26139</v>
      </c>
      <c r="E3088" t="n">
        <v>26399</v>
      </c>
    </row>
    <row r="3089">
      <c r="A3089" t="inlineStr">
        <is>
          <t>31/01/2026</t>
        </is>
      </c>
      <c r="B3089" t="inlineStr">
        <is>
          <t>VPBank</t>
        </is>
      </c>
      <c r="C3089" t="n">
        <v>26139</v>
      </c>
      <c r="D3089" t="n">
        <v>26139</v>
      </c>
      <c r="E3089" t="n">
        <v>26399</v>
      </c>
    </row>
    <row r="3090">
      <c r="A3090" t="inlineStr">
        <is>
          <t>30/01/2026</t>
        </is>
      </c>
      <c r="B3090" t="inlineStr">
        <is>
          <t>VPBank</t>
        </is>
      </c>
      <c r="C3090" t="n">
        <v>26139</v>
      </c>
      <c r="D3090" t="n">
        <v>26139</v>
      </c>
      <c r="E3090" t="n">
        <v>26399</v>
      </c>
    </row>
    <row r="3091">
      <c r="A3091" t="inlineStr">
        <is>
          <t>29/01/2026</t>
        </is>
      </c>
      <c r="B3091" t="inlineStr">
        <is>
          <t>VPBank</t>
        </is>
      </c>
      <c r="C3091" t="n">
        <v>26229</v>
      </c>
      <c r="D3091" t="n">
        <v>26229</v>
      </c>
      <c r="E3091" t="n">
        <v>26489</v>
      </c>
    </row>
    <row r="3092">
      <c r="A3092" t="inlineStr">
        <is>
          <t>28/01/2026</t>
        </is>
      </c>
      <c r="B3092" t="inlineStr">
        <is>
          <t>VPBank</t>
        </is>
      </c>
      <c r="C3092" t="n">
        <v>26289</v>
      </c>
      <c r="D3092" t="n">
        <v>26289</v>
      </c>
      <c r="E3092" t="n">
        <v>26549</v>
      </c>
    </row>
    <row r="3093">
      <c r="A3093" t="inlineStr">
        <is>
          <t>27/01/2026</t>
        </is>
      </c>
      <c r="B3093" t="inlineStr">
        <is>
          <t>VPBank</t>
        </is>
      </c>
      <c r="C3093" t="n">
        <v>26359</v>
      </c>
      <c r="D3093" t="n">
        <v>26359</v>
      </c>
      <c r="E3093" t="n">
        <v>26619</v>
      </c>
    </row>
    <row r="3094">
      <c r="A3094" t="inlineStr">
        <is>
          <t>26/01/2026</t>
        </is>
      </c>
      <c r="B3094" t="inlineStr">
        <is>
          <t>VPBank</t>
        </is>
      </c>
      <c r="C3094" t="n">
        <v>26397</v>
      </c>
      <c r="D3094" t="n">
        <v>26397</v>
      </c>
      <c r="E3094" t="n">
        <v>26657</v>
      </c>
    </row>
    <row r="3095">
      <c r="A3095" t="inlineStr">
        <is>
          <t>25/01/2026</t>
        </is>
      </c>
      <c r="B3095" t="inlineStr">
        <is>
          <t>VPBank</t>
        </is>
      </c>
      <c r="C3095" t="n">
        <v>26450</v>
      </c>
      <c r="D3095" t="n">
        <v>26450</v>
      </c>
      <c r="E3095" t="n">
        <v>26670</v>
      </c>
    </row>
    <row r="3096">
      <c r="A3096" t="inlineStr">
        <is>
          <t>24/01/2026</t>
        </is>
      </c>
      <c r="B3096" t="inlineStr">
        <is>
          <t>VPBank</t>
        </is>
      </c>
      <c r="C3096" t="n">
        <v>26450</v>
      </c>
      <c r="D3096" t="n">
        <v>26450</v>
      </c>
      <c r="E3096" t="n">
        <v>26670</v>
      </c>
    </row>
    <row r="3097">
      <c r="A3097" t="inlineStr">
        <is>
          <t>23/01/2026</t>
        </is>
      </c>
      <c r="B3097" t="inlineStr">
        <is>
          <t>VPBank</t>
        </is>
      </c>
      <c r="C3097" t="n">
        <v>26450</v>
      </c>
      <c r="D3097" t="n">
        <v>26450</v>
      </c>
      <c r="E3097" t="n">
        <v>26670</v>
      </c>
    </row>
    <row r="3098">
      <c r="A3098" t="inlineStr">
        <is>
          <t>22/01/2026</t>
        </is>
      </c>
      <c r="B3098" t="inlineStr">
        <is>
          <t>VPBank</t>
        </is>
      </c>
      <c r="C3098" t="n">
        <v>26470</v>
      </c>
      <c r="D3098" t="n">
        <v>26470</v>
      </c>
      <c r="E3098" t="n">
        <v>26670</v>
      </c>
    </row>
    <row r="3099">
      <c r="A3099" t="inlineStr">
        <is>
          <t>21/01/2026</t>
        </is>
      </c>
      <c r="B3099" t="inlineStr">
        <is>
          <t>VPBank</t>
        </is>
      </c>
      <c r="C3099" t="n">
        <v>26469</v>
      </c>
      <c r="D3099" t="n">
        <v>26469</v>
      </c>
      <c r="E3099" t="n">
        <v>26669</v>
      </c>
    </row>
    <row r="3100">
      <c r="A3100" t="inlineStr">
        <is>
          <t>20/01/2026</t>
        </is>
      </c>
      <c r="B3100" t="inlineStr">
        <is>
          <t>VPBank</t>
        </is>
      </c>
      <c r="C3100" t="n">
        <v>26475</v>
      </c>
      <c r="D3100" t="n">
        <v>26475</v>
      </c>
      <c r="E3100" t="n">
        <v>26675</v>
      </c>
    </row>
    <row r="3101">
      <c r="A3101" t="inlineStr">
        <is>
          <t>19/01/2026</t>
        </is>
      </c>
      <c r="B3101" t="inlineStr">
        <is>
          <t>VPBank</t>
        </is>
      </c>
      <c r="C3101" t="n">
        <v>26477</v>
      </c>
      <c r="D3101" t="n">
        <v>26477</v>
      </c>
      <c r="E3101" t="n">
        <v>26677</v>
      </c>
    </row>
    <row r="3102">
      <c r="A3102" t="inlineStr">
        <is>
          <t>18/01/2026</t>
        </is>
      </c>
      <c r="B3102" t="inlineStr">
        <is>
          <t>VPBank</t>
        </is>
      </c>
      <c r="C3102" t="n">
        <v>26476</v>
      </c>
      <c r="D3102" t="n">
        <v>26476</v>
      </c>
      <c r="E3102" t="n">
        <v>26676</v>
      </c>
    </row>
    <row r="3103">
      <c r="A3103" t="inlineStr">
        <is>
          <t>17/01/2026</t>
        </is>
      </c>
      <c r="B3103" t="inlineStr">
        <is>
          <t>VPBank</t>
        </is>
      </c>
      <c r="C3103" t="n">
        <v>26476</v>
      </c>
      <c r="D3103" t="n">
        <v>26476</v>
      </c>
      <c r="E3103" t="n">
        <v>26676</v>
      </c>
    </row>
    <row r="3104">
      <c r="A3104" t="inlineStr">
        <is>
          <t>16/01/2026</t>
        </is>
      </c>
      <c r="B3104" t="inlineStr">
        <is>
          <t>VPBank</t>
        </is>
      </c>
      <c r="C3104" t="n">
        <v>26476</v>
      </c>
      <c r="D3104" t="n">
        <v>26476</v>
      </c>
      <c r="E3104" t="n">
        <v>26676</v>
      </c>
    </row>
    <row r="3105">
      <c r="A3105" t="inlineStr">
        <is>
          <t>15/01/2026</t>
        </is>
      </c>
      <c r="B3105" t="inlineStr">
        <is>
          <t>VPBank</t>
        </is>
      </c>
      <c r="C3105" t="n">
        <v>26480</v>
      </c>
      <c r="D3105" t="n">
        <v>26480</v>
      </c>
      <c r="E3105" t="n">
        <v>26680</v>
      </c>
    </row>
    <row r="3106">
      <c r="A3106" t="inlineStr">
        <is>
          <t>14/01/2026</t>
        </is>
      </c>
      <c r="B3106" t="inlineStr">
        <is>
          <t>VPBank</t>
        </is>
      </c>
      <c r="C3106" t="n">
        <v>26480</v>
      </c>
      <c r="D3106" t="n">
        <v>26480</v>
      </c>
      <c r="E3106" t="n">
        <v>26680</v>
      </c>
    </row>
    <row r="3107">
      <c r="A3107" t="inlineStr">
        <is>
          <t>13/01/2026</t>
        </is>
      </c>
      <c r="B3107" t="inlineStr">
        <is>
          <t>VPBank</t>
        </is>
      </c>
      <c r="C3107" t="n">
        <v>26474</v>
      </c>
      <c r="D3107" t="n">
        <v>26474</v>
      </c>
      <c r="E3107" t="n">
        <v>26674</v>
      </c>
    </row>
    <row r="3108">
      <c r="A3108" t="inlineStr">
        <is>
          <t>12/01/2026</t>
        </is>
      </c>
      <c r="B3108" t="inlineStr">
        <is>
          <t>VPBank</t>
        </is>
      </c>
      <c r="C3108" t="n">
        <v>26474</v>
      </c>
      <c r="D3108" t="n">
        <v>26474</v>
      </c>
      <c r="E3108" t="n">
        <v>26674</v>
      </c>
    </row>
    <row r="3109">
      <c r="A3109" t="inlineStr">
        <is>
          <t>11/01/2026</t>
        </is>
      </c>
      <c r="B3109" t="inlineStr">
        <is>
          <t>VPBank</t>
        </is>
      </c>
      <c r="C3109" t="n">
        <v>26476</v>
      </c>
      <c r="D3109" t="n">
        <v>26476</v>
      </c>
      <c r="E3109" t="n">
        <v>26676</v>
      </c>
    </row>
    <row r="3110">
      <c r="A3110" t="inlineStr">
        <is>
          <t>10/01/2026</t>
        </is>
      </c>
      <c r="B3110" t="inlineStr">
        <is>
          <t>VPBank</t>
        </is>
      </c>
      <c r="C3110" t="n">
        <v>26476</v>
      </c>
      <c r="D3110" t="n">
        <v>26476</v>
      </c>
      <c r="E3110" t="n">
        <v>26676</v>
      </c>
    </row>
    <row r="3111">
      <c r="A3111" t="inlineStr">
        <is>
          <t>09/01/2026</t>
        </is>
      </c>
      <c r="B3111" t="inlineStr">
        <is>
          <t>VPBank</t>
        </is>
      </c>
      <c r="C3111" t="n">
        <v>26472</v>
      </c>
      <c r="D3111" t="n">
        <v>26472</v>
      </c>
      <c r="E3111" t="n">
        <v>26672</v>
      </c>
    </row>
    <row r="3112">
      <c r="A3112" t="inlineStr">
        <is>
          <t>08/01/2026</t>
        </is>
      </c>
      <c r="B3112" t="inlineStr">
        <is>
          <t>VPBank</t>
        </is>
      </c>
      <c r="C3112" t="n">
        <v>26470</v>
      </c>
      <c r="D3112" t="n">
        <v>26470</v>
      </c>
      <c r="E3112" t="n">
        <v>26670</v>
      </c>
    </row>
    <row r="3113">
      <c r="A3113" t="inlineStr">
        <is>
          <t>07/01/2026</t>
        </is>
      </c>
      <c r="B3113" t="inlineStr">
        <is>
          <t>VPBank</t>
        </is>
      </c>
      <c r="C3113" t="n">
        <v>26467</v>
      </c>
      <c r="D3113" t="n">
        <v>26467</v>
      </c>
      <c r="E3113" t="n">
        <v>26667</v>
      </c>
    </row>
    <row r="3114">
      <c r="A3114" t="inlineStr">
        <is>
          <t>06/01/2026</t>
        </is>
      </c>
      <c r="B3114" t="inlineStr">
        <is>
          <t>VPBank</t>
        </is>
      </c>
      <c r="C3114" t="n">
        <v>26467</v>
      </c>
      <c r="D3114" t="n">
        <v>26467</v>
      </c>
      <c r="E3114" t="n">
        <v>26667</v>
      </c>
    </row>
    <row r="3115">
      <c r="A3115" t="inlineStr">
        <is>
          <t>05/01/2026</t>
        </is>
      </c>
      <c r="B3115" t="inlineStr">
        <is>
          <t>VPBank</t>
        </is>
      </c>
      <c r="C3115" t="n">
        <v>26469</v>
      </c>
      <c r="D3115" t="n">
        <v>26469</v>
      </c>
      <c r="E3115" t="n">
        <v>26669</v>
      </c>
    </row>
    <row r="3116">
      <c r="A3116" t="inlineStr">
        <is>
          <t>04/01/2026</t>
        </is>
      </c>
      <c r="B3116" t="inlineStr">
        <is>
          <t>VPBank</t>
        </is>
      </c>
      <c r="C3116" t="n">
        <v>26466</v>
      </c>
      <c r="D3116" t="n">
        <v>26466</v>
      </c>
      <c r="E3116" t="n">
        <v>26666</v>
      </c>
    </row>
    <row r="3117">
      <c r="A3117" t="inlineStr">
        <is>
          <t>03/01/2026</t>
        </is>
      </c>
      <c r="B3117" t="inlineStr">
        <is>
          <t>VPBank</t>
        </is>
      </c>
      <c r="C3117" t="n">
        <v>26466</v>
      </c>
      <c r="D3117" t="n">
        <v>26466</v>
      </c>
      <c r="E3117" t="n">
        <v>26666</v>
      </c>
    </row>
    <row r="3118">
      <c r="A3118" t="inlineStr">
        <is>
          <t>02/01/2026</t>
        </is>
      </c>
      <c r="B3118" t="inlineStr">
        <is>
          <t>VPBank</t>
        </is>
      </c>
      <c r="C3118" t="n">
        <v>26466</v>
      </c>
      <c r="D3118" t="n">
        <v>26466</v>
      </c>
      <c r="E3118" t="n">
        <v>26666</v>
      </c>
    </row>
    <row r="3119">
      <c r="A3119" t="inlineStr">
        <is>
          <t>01/01/2026</t>
        </is>
      </c>
      <c r="B3119" t="inlineStr">
        <is>
          <t>VPBank</t>
        </is>
      </c>
      <c r="C3119" t="n">
        <v>26466</v>
      </c>
      <c r="D3119" t="n">
        <v>26466</v>
      </c>
      <c r="E3119" t="n">
        <v>26666</v>
      </c>
    </row>
    <row r="3120">
      <c r="A3120" t="inlineStr">
        <is>
          <t>10/09/2026</t>
        </is>
      </c>
      <c r="B3120" t="inlineStr">
        <is>
          <t>VPBank</t>
        </is>
      </c>
      <c r="C3120" t="n">
        <v>26099</v>
      </c>
      <c r="D3120" t="n">
        <v>26099</v>
      </c>
      <c r="E3120" t="n">
        <v>26379</v>
      </c>
    </row>
    <row r="3121">
      <c r="A3121" t="inlineStr">
        <is>
          <t>11/09/2026</t>
        </is>
      </c>
      <c r="B3121" t="inlineStr">
        <is>
          <t>VPBank</t>
        </is>
      </c>
      <c r="C3121" t="n">
        <v>26099</v>
      </c>
      <c r="D3121" t="n">
        <v>26099</v>
      </c>
      <c r="E3121" t="n">
        <v>26379</v>
      </c>
    </row>
    <row r="3122">
      <c r="A3122" t="inlineStr">
        <is>
          <t>12/09/2026</t>
        </is>
      </c>
      <c r="B3122" t="inlineStr">
        <is>
          <t>VPBank</t>
        </is>
      </c>
      <c r="C3122" t="n">
        <v>26099</v>
      </c>
      <c r="D3122" t="n">
        <v>26099</v>
      </c>
      <c r="E3122" t="n">
        <v>26379</v>
      </c>
    </row>
    <row r="3123">
      <c r="A3123" t="inlineStr">
        <is>
          <t>13/09/2026</t>
        </is>
      </c>
      <c r="B3123" t="inlineStr">
        <is>
          <t>VPBank</t>
        </is>
      </c>
      <c r="C3123" t="n">
        <v>26099</v>
      </c>
      <c r="D3123" t="n">
        <v>26099</v>
      </c>
      <c r="E3123" t="n">
        <v>26379</v>
      </c>
    </row>
    <row r="3124">
      <c r="A3124" t="inlineStr">
        <is>
          <t>14/09/2026</t>
        </is>
      </c>
      <c r="B3124" t="inlineStr">
        <is>
          <t>VPBank</t>
        </is>
      </c>
      <c r="C3124" t="n">
        <v>26099</v>
      </c>
      <c r="D3124" t="n">
        <v>26099</v>
      </c>
      <c r="E3124" t="n">
        <v>26379</v>
      </c>
    </row>
    <row r="3125">
      <c r="A3125" t="inlineStr">
        <is>
          <t>15/09/2026</t>
        </is>
      </c>
      <c r="B3125" t="inlineStr">
        <is>
          <t>VPBank</t>
        </is>
      </c>
      <c r="C3125" t="n">
        <v>26099</v>
      </c>
      <c r="D3125" t="n">
        <v>26099</v>
      </c>
      <c r="E3125" t="n">
        <v>26379</v>
      </c>
    </row>
    <row r="3126">
      <c r="A3126" t="inlineStr">
        <is>
          <t>16/09/2026</t>
        </is>
      </c>
      <c r="B3126" t="inlineStr">
        <is>
          <t>VPBank</t>
        </is>
      </c>
      <c r="C3126" t="n">
        <v>26099</v>
      </c>
      <c r="D3126" t="n">
        <v>26099</v>
      </c>
      <c r="E3126" t="n">
        <v>26379</v>
      </c>
    </row>
    <row r="3127">
      <c r="A3127" t="inlineStr">
        <is>
          <t>18/09/2026</t>
        </is>
      </c>
      <c r="B3127" t="inlineStr">
        <is>
          <t>VPBank</t>
        </is>
      </c>
      <c r="C3127" t="n">
        <v>26099</v>
      </c>
      <c r="D3127" t="n">
        <v>26099</v>
      </c>
      <c r="E3127" t="n">
        <v>26379</v>
      </c>
    </row>
    <row r="3128">
      <c r="A3128" t="inlineStr">
        <is>
          <t>09/09/2026</t>
        </is>
      </c>
      <c r="B3128" t="inlineStr">
        <is>
          <t>VietABank</t>
        </is>
      </c>
      <c r="C3128" t="n">
        <v>25690</v>
      </c>
      <c r="D3128" t="n">
        <v>25740</v>
      </c>
      <c r="E3128" t="n">
        <v>26090</v>
      </c>
    </row>
    <row r="3129">
      <c r="A3129" t="inlineStr">
        <is>
          <t>08/09/2026</t>
        </is>
      </c>
      <c r="B3129" t="inlineStr">
        <is>
          <t>VietABank</t>
        </is>
      </c>
      <c r="C3129" t="n">
        <v>25760</v>
      </c>
      <c r="D3129" t="n">
        <v>25810</v>
      </c>
      <c r="E3129" t="n">
        <v>26160</v>
      </c>
    </row>
    <row r="3130">
      <c r="A3130" t="inlineStr">
        <is>
          <t>07/09/2026</t>
        </is>
      </c>
      <c r="B3130" t="inlineStr">
        <is>
          <t>VietABank</t>
        </is>
      </c>
      <c r="C3130" t="n">
        <v>25810</v>
      </c>
      <c r="D3130" t="n">
        <v>25860</v>
      </c>
      <c r="E3130" t="n">
        <v>26210</v>
      </c>
    </row>
    <row r="3131">
      <c r="A3131" t="inlineStr">
        <is>
          <t>06/09/2026</t>
        </is>
      </c>
      <c r="B3131" t="inlineStr">
        <is>
          <t>VietABank</t>
        </is>
      </c>
      <c r="C3131" t="n">
        <v>25855</v>
      </c>
      <c r="D3131" t="n">
        <v>25905</v>
      </c>
      <c r="E3131" t="n">
        <v>26255</v>
      </c>
    </row>
    <row r="3132">
      <c r="A3132" t="inlineStr">
        <is>
          <t>05/09/2026</t>
        </is>
      </c>
      <c r="B3132" t="inlineStr">
        <is>
          <t>VietABank</t>
        </is>
      </c>
      <c r="C3132" t="n">
        <v>25855</v>
      </c>
      <c r="D3132" t="n">
        <v>25905</v>
      </c>
      <c r="E3132" t="n">
        <v>26255</v>
      </c>
    </row>
    <row r="3133">
      <c r="A3133" t="inlineStr">
        <is>
          <t>04/09/2026</t>
        </is>
      </c>
      <c r="B3133" t="inlineStr">
        <is>
          <t>VietABank</t>
        </is>
      </c>
      <c r="C3133" t="n">
        <v>25855</v>
      </c>
      <c r="D3133" t="n">
        <v>25905</v>
      </c>
      <c r="E3133" t="n">
        <v>26255</v>
      </c>
    </row>
    <row r="3134">
      <c r="A3134" t="inlineStr">
        <is>
          <t>03/09/2026</t>
        </is>
      </c>
      <c r="B3134" t="inlineStr">
        <is>
          <t>VietABank</t>
        </is>
      </c>
      <c r="C3134" t="n">
        <v>25860</v>
      </c>
      <c r="D3134" t="n">
        <v>25910</v>
      </c>
      <c r="E3134" t="n">
        <v>26260</v>
      </c>
    </row>
    <row r="3135">
      <c r="A3135" t="inlineStr">
        <is>
          <t>02/09/2026</t>
        </is>
      </c>
      <c r="B3135" t="inlineStr">
        <is>
          <t>VietABank</t>
        </is>
      </c>
      <c r="C3135" t="n">
        <v>25860</v>
      </c>
      <c r="D3135" t="n">
        <v>25910</v>
      </c>
      <c r="E3135" t="n">
        <v>26260</v>
      </c>
    </row>
    <row r="3136">
      <c r="A3136" t="inlineStr">
        <is>
          <t>01/09/2026</t>
        </is>
      </c>
      <c r="B3136" t="inlineStr">
        <is>
          <t>VietABank</t>
        </is>
      </c>
      <c r="C3136" t="n">
        <v>25860</v>
      </c>
      <c r="D3136" t="n">
        <v>25910</v>
      </c>
      <c r="E3136" t="n">
        <v>26260</v>
      </c>
    </row>
    <row r="3137">
      <c r="A3137" t="inlineStr">
        <is>
          <t>31/08/2026</t>
        </is>
      </c>
      <c r="B3137" t="inlineStr">
        <is>
          <t>VietABank</t>
        </is>
      </c>
      <c r="C3137" t="n">
        <v>25860</v>
      </c>
      <c r="D3137" t="n">
        <v>25910</v>
      </c>
      <c r="E3137" t="n">
        <v>26260</v>
      </c>
    </row>
    <row r="3138">
      <c r="A3138" t="inlineStr">
        <is>
          <t>30/08/2026</t>
        </is>
      </c>
      <c r="B3138" t="inlineStr">
        <is>
          <t>VietABank</t>
        </is>
      </c>
      <c r="C3138" t="n">
        <v>25860</v>
      </c>
      <c r="D3138" t="n">
        <v>25910</v>
      </c>
      <c r="E3138" t="n">
        <v>26260</v>
      </c>
    </row>
    <row r="3139">
      <c r="A3139" t="inlineStr">
        <is>
          <t>29/08/2026</t>
        </is>
      </c>
      <c r="B3139" t="inlineStr">
        <is>
          <t>VietABank</t>
        </is>
      </c>
      <c r="C3139" t="n">
        <v>25860</v>
      </c>
      <c r="D3139" t="n">
        <v>25910</v>
      </c>
      <c r="E3139" t="n">
        <v>26260</v>
      </c>
    </row>
    <row r="3140">
      <c r="A3140" t="inlineStr">
        <is>
          <t>28/08/2026</t>
        </is>
      </c>
      <c r="B3140" t="inlineStr">
        <is>
          <t>VietABank</t>
        </is>
      </c>
      <c r="C3140" t="n">
        <v>25860</v>
      </c>
      <c r="D3140" t="n">
        <v>25910</v>
      </c>
      <c r="E3140" t="n">
        <v>26260</v>
      </c>
    </row>
    <row r="3141">
      <c r="A3141" t="inlineStr">
        <is>
          <t>27/08/2026</t>
        </is>
      </c>
      <c r="B3141" t="inlineStr">
        <is>
          <t>VietABank</t>
        </is>
      </c>
      <c r="C3141" t="n">
        <v>25870</v>
      </c>
      <c r="D3141" t="n">
        <v>25920</v>
      </c>
      <c r="E3141" t="n">
        <v>26270</v>
      </c>
    </row>
    <row r="3142">
      <c r="A3142" t="inlineStr">
        <is>
          <t>26/08/2026</t>
        </is>
      </c>
      <c r="B3142" t="inlineStr">
        <is>
          <t>VietABank</t>
        </is>
      </c>
      <c r="C3142" t="n">
        <v>25900</v>
      </c>
      <c r="D3142" t="n">
        <v>25950</v>
      </c>
      <c r="E3142" t="n">
        <v>26300</v>
      </c>
    </row>
    <row r="3143">
      <c r="A3143" t="inlineStr">
        <is>
          <t>25/08/2026</t>
        </is>
      </c>
      <c r="B3143" t="inlineStr">
        <is>
          <t>VietABank</t>
        </is>
      </c>
      <c r="C3143" t="n">
        <v>25910</v>
      </c>
      <c r="D3143" t="n">
        <v>25960</v>
      </c>
      <c r="E3143" t="n">
        <v>26310</v>
      </c>
    </row>
    <row r="3144">
      <c r="A3144" t="inlineStr">
        <is>
          <t>24/08/2026</t>
        </is>
      </c>
      <c r="B3144" t="inlineStr">
        <is>
          <t>VietABank</t>
        </is>
      </c>
      <c r="C3144" t="n">
        <v>25960</v>
      </c>
      <c r="D3144" t="n">
        <v>26010</v>
      </c>
      <c r="E3144" t="n">
        <v>26360</v>
      </c>
    </row>
    <row r="3145">
      <c r="A3145" t="inlineStr">
        <is>
          <t>23/08/2026</t>
        </is>
      </c>
      <c r="B3145" t="inlineStr">
        <is>
          <t>VietABank</t>
        </is>
      </c>
      <c r="C3145" t="n">
        <v>25910</v>
      </c>
      <c r="D3145" t="n">
        <v>25960</v>
      </c>
      <c r="E3145" t="n">
        <v>26310</v>
      </c>
    </row>
    <row r="3146">
      <c r="A3146" t="inlineStr">
        <is>
          <t>22/08/2026</t>
        </is>
      </c>
      <c r="B3146" t="inlineStr">
        <is>
          <t>VietABank</t>
        </is>
      </c>
      <c r="C3146" t="n">
        <v>25910</v>
      </c>
      <c r="D3146" t="n">
        <v>25960</v>
      </c>
      <c r="E3146" t="n">
        <v>26310</v>
      </c>
    </row>
    <row r="3147">
      <c r="A3147" t="inlineStr">
        <is>
          <t>21/08/2026</t>
        </is>
      </c>
      <c r="B3147" t="inlineStr">
        <is>
          <t>VietABank</t>
        </is>
      </c>
      <c r="C3147" t="n">
        <v>25880</v>
      </c>
      <c r="D3147" t="n">
        <v>25930</v>
      </c>
      <c r="E3147" t="n">
        <v>26280</v>
      </c>
    </row>
    <row r="3148">
      <c r="A3148" t="inlineStr">
        <is>
          <t>20/08/2026</t>
        </is>
      </c>
      <c r="B3148" t="inlineStr">
        <is>
          <t>VietABank</t>
        </is>
      </c>
      <c r="C3148" t="n">
        <v>25910</v>
      </c>
      <c r="D3148" t="n">
        <v>25960</v>
      </c>
      <c r="E3148" t="n">
        <v>26310</v>
      </c>
    </row>
    <row r="3149">
      <c r="A3149" t="inlineStr">
        <is>
          <t>19/08/2026</t>
        </is>
      </c>
      <c r="B3149" t="inlineStr">
        <is>
          <t>VietABank</t>
        </is>
      </c>
      <c r="C3149" t="n">
        <v>25970</v>
      </c>
      <c r="D3149" t="n">
        <v>26020</v>
      </c>
      <c r="E3149" t="n">
        <v>26370</v>
      </c>
    </row>
    <row r="3150">
      <c r="A3150" t="inlineStr">
        <is>
          <t>18/08/2026</t>
        </is>
      </c>
      <c r="B3150" t="inlineStr">
        <is>
          <t>VietABank</t>
        </is>
      </c>
      <c r="C3150" t="n">
        <v>25980</v>
      </c>
      <c r="D3150" t="n">
        <v>26030</v>
      </c>
      <c r="E3150" t="n">
        <v>26380</v>
      </c>
    </row>
    <row r="3151">
      <c r="A3151" t="inlineStr">
        <is>
          <t>17/08/2026</t>
        </is>
      </c>
      <c r="B3151" t="inlineStr">
        <is>
          <t>VietABank</t>
        </is>
      </c>
      <c r="C3151" t="n">
        <v>26000</v>
      </c>
      <c r="D3151" t="n">
        <v>26050</v>
      </c>
      <c r="E3151" t="n">
        <v>26400</v>
      </c>
    </row>
    <row r="3152">
      <c r="A3152" t="inlineStr">
        <is>
          <t>16/08/2026</t>
        </is>
      </c>
      <c r="B3152" t="inlineStr">
        <is>
          <t>VietABank</t>
        </is>
      </c>
      <c r="C3152" t="n">
        <v>25930</v>
      </c>
      <c r="D3152" t="n">
        <v>25980</v>
      </c>
      <c r="E3152" t="n">
        <v>26330</v>
      </c>
    </row>
    <row r="3153">
      <c r="A3153" t="inlineStr">
        <is>
          <t>15/08/2026</t>
        </is>
      </c>
      <c r="B3153" t="inlineStr">
        <is>
          <t>VietABank</t>
        </is>
      </c>
      <c r="C3153" t="n">
        <v>25930</v>
      </c>
      <c r="D3153" t="n">
        <v>25980</v>
      </c>
      <c r="E3153" t="n">
        <v>26330</v>
      </c>
    </row>
    <row r="3154">
      <c r="A3154" t="inlineStr">
        <is>
          <t>14/08/2026</t>
        </is>
      </c>
      <c r="B3154" t="inlineStr">
        <is>
          <t>VietABank</t>
        </is>
      </c>
      <c r="C3154" t="n">
        <v>25930</v>
      </c>
      <c r="D3154" t="n">
        <v>25980</v>
      </c>
      <c r="E3154" t="n">
        <v>26330</v>
      </c>
    </row>
    <row r="3155">
      <c r="A3155" t="inlineStr">
        <is>
          <t>13/08/2026</t>
        </is>
      </c>
      <c r="B3155" t="inlineStr">
        <is>
          <t>VietABank</t>
        </is>
      </c>
      <c r="C3155" t="n">
        <v>25850</v>
      </c>
      <c r="D3155" t="n">
        <v>25900</v>
      </c>
      <c r="E3155" t="n">
        <v>26250</v>
      </c>
    </row>
    <row r="3156">
      <c r="A3156" t="inlineStr">
        <is>
          <t>12/08/2026</t>
        </is>
      </c>
      <c r="B3156" t="inlineStr">
        <is>
          <t>VietABank</t>
        </is>
      </c>
      <c r="C3156" t="n">
        <v>25870</v>
      </c>
      <c r="D3156" t="n">
        <v>25920</v>
      </c>
      <c r="E3156" t="n">
        <v>26270</v>
      </c>
    </row>
    <row r="3157">
      <c r="A3157" t="inlineStr">
        <is>
          <t>11/08/2026</t>
        </is>
      </c>
      <c r="B3157" t="inlineStr">
        <is>
          <t>VietABank</t>
        </is>
      </c>
      <c r="C3157" t="n">
        <v>25920</v>
      </c>
      <c r="D3157" t="n">
        <v>25970</v>
      </c>
      <c r="E3157" t="n">
        <v>26320</v>
      </c>
    </row>
    <row r="3158">
      <c r="A3158" t="inlineStr">
        <is>
          <t>10/08/2026</t>
        </is>
      </c>
      <c r="B3158" t="inlineStr">
        <is>
          <t>VietABank</t>
        </is>
      </c>
      <c r="C3158" t="n">
        <v>25950</v>
      </c>
      <c r="D3158" t="n">
        <v>26000</v>
      </c>
      <c r="E3158" t="n">
        <v>26350</v>
      </c>
    </row>
    <row r="3159">
      <c r="A3159" t="inlineStr">
        <is>
          <t>09/08/2026</t>
        </is>
      </c>
      <c r="B3159" t="inlineStr">
        <is>
          <t>VietABank</t>
        </is>
      </c>
      <c r="C3159" t="n">
        <v>26010</v>
      </c>
      <c r="D3159" t="n">
        <v>26060</v>
      </c>
      <c r="E3159" t="n">
        <v>26410</v>
      </c>
    </row>
    <row r="3160">
      <c r="A3160" t="inlineStr">
        <is>
          <t>08/08/2026</t>
        </is>
      </c>
      <c r="B3160" t="inlineStr">
        <is>
          <t>VietABank</t>
        </is>
      </c>
      <c r="C3160" t="n">
        <v>26010</v>
      </c>
      <c r="D3160" t="n">
        <v>26060</v>
      </c>
      <c r="E3160" t="n">
        <v>26410</v>
      </c>
    </row>
    <row r="3161">
      <c r="A3161" t="inlineStr">
        <is>
          <t>07/08/2026</t>
        </is>
      </c>
      <c r="B3161" t="inlineStr">
        <is>
          <t>VietABank</t>
        </is>
      </c>
      <c r="C3161" t="n">
        <v>26010</v>
      </c>
      <c r="D3161" t="n">
        <v>26060</v>
      </c>
      <c r="E3161" t="n">
        <v>26410</v>
      </c>
    </row>
    <row r="3162">
      <c r="A3162" t="inlineStr">
        <is>
          <t>06/08/2026</t>
        </is>
      </c>
      <c r="B3162" t="inlineStr">
        <is>
          <t>VietABank</t>
        </is>
      </c>
      <c r="C3162" t="n">
        <v>26020</v>
      </c>
      <c r="D3162" t="n">
        <v>26070</v>
      </c>
      <c r="E3162" t="n">
        <v>26420</v>
      </c>
    </row>
    <row r="3163">
      <c r="A3163" t="inlineStr">
        <is>
          <t>05/08/2026</t>
        </is>
      </c>
      <c r="B3163" t="inlineStr">
        <is>
          <t>VietABank</t>
        </is>
      </c>
      <c r="C3163" t="n">
        <v>26060</v>
      </c>
      <c r="D3163" t="n">
        <v>26110</v>
      </c>
      <c r="E3163" t="n">
        <v>26460</v>
      </c>
    </row>
    <row r="3164">
      <c r="A3164" t="inlineStr">
        <is>
          <t>04/08/2026</t>
        </is>
      </c>
      <c r="B3164" t="inlineStr">
        <is>
          <t>VietABank</t>
        </is>
      </c>
      <c r="C3164" t="n">
        <v>26060</v>
      </c>
      <c r="D3164" t="n">
        <v>26110</v>
      </c>
      <c r="E3164" t="n">
        <v>26460</v>
      </c>
    </row>
    <row r="3165">
      <c r="A3165" t="inlineStr">
        <is>
          <t>03/08/2026</t>
        </is>
      </c>
      <c r="B3165" t="inlineStr">
        <is>
          <t>VietABank</t>
        </is>
      </c>
      <c r="C3165" t="n">
        <v>26080</v>
      </c>
      <c r="D3165" t="n">
        <v>26130</v>
      </c>
      <c r="E3165" t="n">
        <v>26480</v>
      </c>
    </row>
    <row r="3166">
      <c r="A3166" t="inlineStr">
        <is>
          <t>02/08/2026</t>
        </is>
      </c>
      <c r="B3166" t="inlineStr">
        <is>
          <t>VietABank</t>
        </is>
      </c>
      <c r="C3166" t="n">
        <v>26090</v>
      </c>
      <c r="D3166" t="n">
        <v>26140</v>
      </c>
      <c r="E3166" t="n">
        <v>26490</v>
      </c>
    </row>
    <row r="3167">
      <c r="A3167" t="inlineStr">
        <is>
          <t>01/08/2026</t>
        </is>
      </c>
      <c r="B3167" t="inlineStr">
        <is>
          <t>VietABank</t>
        </is>
      </c>
      <c r="C3167" t="n">
        <v>26090</v>
      </c>
      <c r="D3167" t="n">
        <v>26140</v>
      </c>
      <c r="E3167" t="n">
        <v>26490</v>
      </c>
    </row>
    <row r="3168">
      <c r="A3168" t="inlineStr">
        <is>
          <t>31/07/2026</t>
        </is>
      </c>
      <c r="B3168" t="inlineStr">
        <is>
          <t>VietABank</t>
        </is>
      </c>
      <c r="C3168" t="n">
        <v>26090</v>
      </c>
      <c r="D3168" t="n">
        <v>26140</v>
      </c>
      <c r="E3168" t="n">
        <v>26490</v>
      </c>
    </row>
    <row r="3169">
      <c r="A3169" t="inlineStr">
        <is>
          <t>30/07/2026</t>
        </is>
      </c>
      <c r="B3169" t="inlineStr">
        <is>
          <t>VietABank</t>
        </is>
      </c>
      <c r="C3169" t="n">
        <v>26090</v>
      </c>
      <c r="D3169" t="n">
        <v>26140</v>
      </c>
      <c r="E3169" t="n">
        <v>26490</v>
      </c>
    </row>
    <row r="3170">
      <c r="A3170" t="inlineStr">
        <is>
          <t>29/07/2026</t>
        </is>
      </c>
      <c r="B3170" t="inlineStr">
        <is>
          <t>VietABank</t>
        </is>
      </c>
      <c r="C3170" t="n">
        <v>26115</v>
      </c>
      <c r="D3170" t="n">
        <v>26165</v>
      </c>
      <c r="E3170" t="n">
        <v>26515</v>
      </c>
    </row>
    <row r="3171">
      <c r="A3171" t="inlineStr">
        <is>
          <t>28/07/2026</t>
        </is>
      </c>
      <c r="B3171" t="inlineStr">
        <is>
          <t>VietABank</t>
        </is>
      </c>
      <c r="C3171" t="n">
        <v>26125</v>
      </c>
      <c r="D3171" t="n">
        <v>26175</v>
      </c>
      <c r="E3171" t="n">
        <v>26525</v>
      </c>
    </row>
    <row r="3172">
      <c r="A3172" t="inlineStr">
        <is>
          <t>27/07/2026</t>
        </is>
      </c>
      <c r="B3172" t="inlineStr">
        <is>
          <t>VietABank</t>
        </is>
      </c>
      <c r="C3172" t="n">
        <v>26120</v>
      </c>
      <c r="D3172" t="n">
        <v>26170</v>
      </c>
      <c r="E3172" t="n">
        <v>26520</v>
      </c>
    </row>
    <row r="3173">
      <c r="A3173" t="inlineStr">
        <is>
          <t>26/07/2026</t>
        </is>
      </c>
      <c r="B3173" t="inlineStr">
        <is>
          <t>VietABank</t>
        </is>
      </c>
      <c r="C3173" t="n">
        <v>26110</v>
      </c>
      <c r="D3173" t="n">
        <v>26160</v>
      </c>
      <c r="E3173" t="n">
        <v>26510</v>
      </c>
    </row>
    <row r="3174">
      <c r="A3174" t="inlineStr">
        <is>
          <t>25/07/2026</t>
        </is>
      </c>
      <c r="B3174" t="inlineStr">
        <is>
          <t>VietABank</t>
        </is>
      </c>
      <c r="C3174" t="n">
        <v>26110</v>
      </c>
      <c r="D3174" t="n">
        <v>26160</v>
      </c>
      <c r="E3174" t="n">
        <v>26510</v>
      </c>
    </row>
    <row r="3175">
      <c r="A3175" t="inlineStr">
        <is>
          <t>24/07/2026</t>
        </is>
      </c>
      <c r="B3175" t="inlineStr">
        <is>
          <t>VietABank</t>
        </is>
      </c>
      <c r="C3175" t="n">
        <v>26110</v>
      </c>
      <c r="D3175" t="n">
        <v>26160</v>
      </c>
      <c r="E3175" t="n">
        <v>26510</v>
      </c>
    </row>
    <row r="3176">
      <c r="A3176" t="inlineStr">
        <is>
          <t>23/07/2026</t>
        </is>
      </c>
      <c r="B3176" t="inlineStr">
        <is>
          <t>VietABank</t>
        </is>
      </c>
      <c r="C3176" t="n">
        <v>26100</v>
      </c>
      <c r="D3176" t="n">
        <v>26150</v>
      </c>
      <c r="E3176" t="n">
        <v>26500</v>
      </c>
    </row>
    <row r="3177">
      <c r="A3177" t="inlineStr">
        <is>
          <t>22/07/2026</t>
        </is>
      </c>
      <c r="B3177" t="inlineStr">
        <is>
          <t>VietABank</t>
        </is>
      </c>
      <c r="C3177" t="n">
        <v>26100</v>
      </c>
      <c r="D3177" t="n">
        <v>26150</v>
      </c>
      <c r="E3177" t="n">
        <v>26500</v>
      </c>
    </row>
    <row r="3178">
      <c r="A3178" t="inlineStr">
        <is>
          <t>21/07/2026</t>
        </is>
      </c>
      <c r="B3178" t="inlineStr">
        <is>
          <t>VietABank</t>
        </is>
      </c>
      <c r="C3178" t="n">
        <v>26110</v>
      </c>
      <c r="D3178" t="n">
        <v>26160</v>
      </c>
      <c r="E3178" t="n">
        <v>26510</v>
      </c>
    </row>
    <row r="3179">
      <c r="A3179" t="inlineStr">
        <is>
          <t>20/07/2026</t>
        </is>
      </c>
      <c r="B3179" t="inlineStr">
        <is>
          <t>VietABank</t>
        </is>
      </c>
      <c r="C3179" t="n">
        <v>26090</v>
      </c>
      <c r="D3179" t="n">
        <v>26140</v>
      </c>
      <c r="E3179" t="n">
        <v>26490</v>
      </c>
    </row>
    <row r="3180">
      <c r="A3180" t="inlineStr">
        <is>
          <t>19/07/2026</t>
        </is>
      </c>
      <c r="B3180" t="inlineStr">
        <is>
          <t>VietABank</t>
        </is>
      </c>
      <c r="C3180" t="n">
        <v>26090</v>
      </c>
      <c r="D3180" t="n">
        <v>26140</v>
      </c>
      <c r="E3180" t="n">
        <v>26490</v>
      </c>
    </row>
    <row r="3181">
      <c r="A3181" t="inlineStr">
        <is>
          <t>18/07/2026</t>
        </is>
      </c>
      <c r="B3181" t="inlineStr">
        <is>
          <t>VietABank</t>
        </is>
      </c>
      <c r="C3181" t="n">
        <v>26090</v>
      </c>
      <c r="D3181" t="n">
        <v>26140</v>
      </c>
      <c r="E3181" t="n">
        <v>26490</v>
      </c>
    </row>
    <row r="3182">
      <c r="A3182" t="inlineStr">
        <is>
          <t>17/07/2026</t>
        </is>
      </c>
      <c r="B3182" t="inlineStr">
        <is>
          <t>VietABank</t>
        </is>
      </c>
      <c r="C3182" t="n">
        <v>26090</v>
      </c>
      <c r="D3182" t="n">
        <v>26140</v>
      </c>
      <c r="E3182" t="n">
        <v>26490</v>
      </c>
    </row>
    <row r="3183">
      <c r="A3183" t="inlineStr">
        <is>
          <t>16/07/2026</t>
        </is>
      </c>
      <c r="B3183" t="inlineStr">
        <is>
          <t>VietABank</t>
        </is>
      </c>
      <c r="C3183" t="n">
        <v>26050</v>
      </c>
      <c r="D3183" t="n">
        <v>26100</v>
      </c>
      <c r="E3183" t="n">
        <v>26450</v>
      </c>
    </row>
    <row r="3184">
      <c r="A3184" t="inlineStr">
        <is>
          <t>15/07/2026</t>
        </is>
      </c>
      <c r="B3184" t="inlineStr">
        <is>
          <t>VietABank</t>
        </is>
      </c>
      <c r="C3184" t="n">
        <v>26050</v>
      </c>
      <c r="D3184" t="n">
        <v>26100</v>
      </c>
      <c r="E3184" t="n">
        <v>26450</v>
      </c>
    </row>
    <row r="3185">
      <c r="A3185" t="inlineStr">
        <is>
          <t>14/07/2026</t>
        </is>
      </c>
      <c r="B3185" t="inlineStr">
        <is>
          <t>VietABank</t>
        </is>
      </c>
      <c r="C3185" t="n">
        <v>26050</v>
      </c>
      <c r="D3185" t="n">
        <v>26100</v>
      </c>
      <c r="E3185" t="n">
        <v>26450</v>
      </c>
    </row>
    <row r="3186">
      <c r="A3186" t="inlineStr">
        <is>
          <t>13/07/2026</t>
        </is>
      </c>
      <c r="B3186" t="inlineStr">
        <is>
          <t>VietABank</t>
        </is>
      </c>
      <c r="C3186" t="n">
        <v>26060</v>
      </c>
      <c r="D3186" t="n">
        <v>26110</v>
      </c>
      <c r="E3186" t="n">
        <v>26460</v>
      </c>
    </row>
    <row r="3187">
      <c r="A3187" t="inlineStr">
        <is>
          <t>12/07/2026</t>
        </is>
      </c>
      <c r="B3187" t="inlineStr">
        <is>
          <t>VietABank</t>
        </is>
      </c>
      <c r="C3187" t="n">
        <v>26070</v>
      </c>
      <c r="D3187" t="n">
        <v>26120</v>
      </c>
      <c r="E3187" t="n">
        <v>26470</v>
      </c>
    </row>
    <row r="3188">
      <c r="A3188" t="inlineStr">
        <is>
          <t>11/07/2026</t>
        </is>
      </c>
      <c r="B3188" t="inlineStr">
        <is>
          <t>VietABank</t>
        </is>
      </c>
      <c r="C3188" t="n">
        <v>26070</v>
      </c>
      <c r="D3188" t="n">
        <v>26120</v>
      </c>
      <c r="E3188" t="n">
        <v>26470</v>
      </c>
    </row>
    <row r="3189">
      <c r="A3189" t="inlineStr">
        <is>
          <t>10/07/2026</t>
        </is>
      </c>
      <c r="B3189" t="inlineStr">
        <is>
          <t>VietABank</t>
        </is>
      </c>
      <c r="C3189" t="n">
        <v>26070</v>
      </c>
      <c r="D3189" t="n">
        <v>26120</v>
      </c>
      <c r="E3189" t="n">
        <v>26470</v>
      </c>
    </row>
    <row r="3190">
      <c r="A3190" t="inlineStr">
        <is>
          <t>09/07/2026</t>
        </is>
      </c>
      <c r="B3190" t="inlineStr">
        <is>
          <t>VietABank</t>
        </is>
      </c>
      <c r="C3190" t="n">
        <v>26091</v>
      </c>
      <c r="D3190" t="n">
        <v>26141</v>
      </c>
      <c r="E3190" t="n">
        <v>26471</v>
      </c>
    </row>
    <row r="3191">
      <c r="A3191" t="inlineStr">
        <is>
          <t>08/07/2026</t>
        </is>
      </c>
      <c r="B3191" t="inlineStr">
        <is>
          <t>VietABank</t>
        </is>
      </c>
      <c r="C3191" t="n">
        <v>26086</v>
      </c>
      <c r="D3191" t="n">
        <v>26136</v>
      </c>
      <c r="E3191" t="n">
        <v>26466</v>
      </c>
    </row>
    <row r="3192">
      <c r="A3192" t="inlineStr">
        <is>
          <t>07/07/2026</t>
        </is>
      </c>
      <c r="B3192" t="inlineStr">
        <is>
          <t>VietABank</t>
        </is>
      </c>
      <c r="C3192" t="n">
        <v>26082</v>
      </c>
      <c r="D3192" t="n">
        <v>26132</v>
      </c>
      <c r="E3192" t="n">
        <v>26462</v>
      </c>
    </row>
    <row r="3193">
      <c r="A3193" t="inlineStr">
        <is>
          <t>06/07/2026</t>
        </is>
      </c>
      <c r="B3193" t="inlineStr">
        <is>
          <t>VietABank</t>
        </is>
      </c>
      <c r="C3193" t="n">
        <v>26082</v>
      </c>
      <c r="D3193" t="n">
        <v>26132</v>
      </c>
      <c r="E3193" t="n">
        <v>26462</v>
      </c>
    </row>
    <row r="3194">
      <c r="A3194" t="inlineStr">
        <is>
          <t>05/07/2026</t>
        </is>
      </c>
      <c r="B3194" t="inlineStr">
        <is>
          <t>VietABank</t>
        </is>
      </c>
      <c r="C3194" t="n">
        <v>26083</v>
      </c>
      <c r="D3194" t="n">
        <v>26133</v>
      </c>
      <c r="E3194" t="n">
        <v>26463</v>
      </c>
    </row>
    <row r="3195">
      <c r="A3195" t="inlineStr">
        <is>
          <t>04/07/2026</t>
        </is>
      </c>
      <c r="B3195" t="inlineStr">
        <is>
          <t>VietABank</t>
        </is>
      </c>
      <c r="C3195" t="n">
        <v>26083</v>
      </c>
      <c r="D3195" t="n">
        <v>26133</v>
      </c>
      <c r="E3195" t="n">
        <v>26463</v>
      </c>
    </row>
    <row r="3196">
      <c r="A3196" t="inlineStr">
        <is>
          <t>03/07/2026</t>
        </is>
      </c>
      <c r="B3196" t="inlineStr">
        <is>
          <t>VietABank</t>
        </is>
      </c>
      <c r="C3196" t="n">
        <v>26083</v>
      </c>
      <c r="D3196" t="n">
        <v>26133</v>
      </c>
      <c r="E3196" t="n">
        <v>26463</v>
      </c>
    </row>
    <row r="3197">
      <c r="A3197" t="inlineStr">
        <is>
          <t>02/07/2026</t>
        </is>
      </c>
      <c r="B3197" t="inlineStr">
        <is>
          <t>VietABank</t>
        </is>
      </c>
      <c r="C3197" t="n">
        <v>26085</v>
      </c>
      <c r="D3197" t="n">
        <v>26135</v>
      </c>
      <c r="E3197" t="n">
        <v>26465</v>
      </c>
    </row>
    <row r="3198">
      <c r="A3198" t="inlineStr">
        <is>
          <t>01/07/2026</t>
        </is>
      </c>
      <c r="B3198" t="inlineStr">
        <is>
          <t>VietABank</t>
        </is>
      </c>
      <c r="C3198" t="n">
        <v>26086</v>
      </c>
      <c r="D3198" t="n">
        <v>26136</v>
      </c>
      <c r="E3198" t="n">
        <v>26466</v>
      </c>
    </row>
    <row r="3199">
      <c r="A3199" t="inlineStr">
        <is>
          <t>30/06/2026</t>
        </is>
      </c>
      <c r="B3199" t="inlineStr">
        <is>
          <t>VietABank</t>
        </is>
      </c>
      <c r="C3199" t="n">
        <v>26086</v>
      </c>
      <c r="D3199" t="n">
        <v>26136</v>
      </c>
      <c r="E3199" t="n">
        <v>26466</v>
      </c>
    </row>
    <row r="3200">
      <c r="A3200" t="inlineStr">
        <is>
          <t>29/06/2026</t>
        </is>
      </c>
      <c r="B3200" t="inlineStr">
        <is>
          <t>VietABank</t>
        </is>
      </c>
      <c r="C3200" t="n">
        <v>26101</v>
      </c>
      <c r="D3200" t="n">
        <v>26151</v>
      </c>
      <c r="E3200" t="n">
        <v>26461</v>
      </c>
    </row>
    <row r="3201">
      <c r="A3201" t="inlineStr">
        <is>
          <t>28/06/2026</t>
        </is>
      </c>
      <c r="B3201" t="inlineStr">
        <is>
          <t>VietABank</t>
        </is>
      </c>
      <c r="C3201" t="n">
        <v>26094</v>
      </c>
      <c r="D3201" t="n">
        <v>26144</v>
      </c>
      <c r="E3201" t="n">
        <v>26454</v>
      </c>
    </row>
    <row r="3202">
      <c r="A3202" t="inlineStr">
        <is>
          <t>27/06/2026</t>
        </is>
      </c>
      <c r="B3202" t="inlineStr">
        <is>
          <t>VietABank</t>
        </is>
      </c>
      <c r="C3202" t="n">
        <v>26094</v>
      </c>
      <c r="D3202" t="n">
        <v>26144</v>
      </c>
      <c r="E3202" t="n">
        <v>26454</v>
      </c>
    </row>
    <row r="3203">
      <c r="A3203" t="inlineStr">
        <is>
          <t>26/06/2026</t>
        </is>
      </c>
      <c r="B3203" t="inlineStr">
        <is>
          <t>VietABank</t>
        </is>
      </c>
      <c r="C3203" t="n">
        <v>26094</v>
      </c>
      <c r="D3203" t="n">
        <v>26144</v>
      </c>
      <c r="E3203" t="n">
        <v>26454</v>
      </c>
    </row>
    <row r="3204">
      <c r="A3204" t="inlineStr">
        <is>
          <t>25/06/2026</t>
        </is>
      </c>
      <c r="B3204" t="inlineStr">
        <is>
          <t>VietABank</t>
        </is>
      </c>
      <c r="C3204" t="n">
        <v>26116</v>
      </c>
      <c r="D3204" t="n">
        <v>26166</v>
      </c>
      <c r="E3204" t="n">
        <v>26456</v>
      </c>
    </row>
    <row r="3205">
      <c r="A3205" t="inlineStr">
        <is>
          <t>24/06/2026</t>
        </is>
      </c>
      <c r="B3205" t="inlineStr">
        <is>
          <t>VietABank</t>
        </is>
      </c>
      <c r="C3205" t="n">
        <v>26111</v>
      </c>
      <c r="D3205" t="n">
        <v>26161</v>
      </c>
      <c r="E3205" t="n">
        <v>26451</v>
      </c>
    </row>
    <row r="3206">
      <c r="A3206" t="inlineStr">
        <is>
          <t>23/06/2026</t>
        </is>
      </c>
      <c r="B3206" t="inlineStr">
        <is>
          <t>VietABank</t>
        </is>
      </c>
      <c r="C3206" t="n">
        <v>26108</v>
      </c>
      <c r="D3206" t="n">
        <v>26158</v>
      </c>
      <c r="E3206" t="n">
        <v>26448</v>
      </c>
    </row>
    <row r="3207">
      <c r="A3207" t="inlineStr">
        <is>
          <t>22/06/2026</t>
        </is>
      </c>
      <c r="B3207" t="inlineStr">
        <is>
          <t>VietABank</t>
        </is>
      </c>
      <c r="C3207" t="n">
        <v>26102</v>
      </c>
      <c r="D3207" t="n">
        <v>26152</v>
      </c>
      <c r="E3207" t="n">
        <v>26442</v>
      </c>
    </row>
    <row r="3208">
      <c r="A3208" t="inlineStr">
        <is>
          <t>21/06/2026</t>
        </is>
      </c>
      <c r="B3208" t="inlineStr">
        <is>
          <t>VietABank</t>
        </is>
      </c>
      <c r="C3208" t="n">
        <v>26100</v>
      </c>
      <c r="D3208" t="n">
        <v>26150</v>
      </c>
      <c r="E3208" t="n">
        <v>26440</v>
      </c>
    </row>
    <row r="3209">
      <c r="A3209" t="inlineStr">
        <is>
          <t>20/06/2026</t>
        </is>
      </c>
      <c r="B3209" t="inlineStr">
        <is>
          <t>VietABank</t>
        </is>
      </c>
      <c r="C3209" t="n">
        <v>26100</v>
      </c>
      <c r="D3209" t="n">
        <v>26150</v>
      </c>
      <c r="E3209" t="n">
        <v>26440</v>
      </c>
    </row>
    <row r="3210">
      <c r="A3210" t="inlineStr">
        <is>
          <t>19/06/2026</t>
        </is>
      </c>
      <c r="B3210" t="inlineStr">
        <is>
          <t>VietABank</t>
        </is>
      </c>
      <c r="C3210" t="n">
        <v>26100</v>
      </c>
      <c r="D3210" t="n">
        <v>26150</v>
      </c>
      <c r="E3210" t="n">
        <v>26440</v>
      </c>
    </row>
    <row r="3211">
      <c r="A3211" t="inlineStr">
        <is>
          <t>18/06/2026</t>
        </is>
      </c>
      <c r="B3211" t="inlineStr">
        <is>
          <t>VietABank</t>
        </is>
      </c>
      <c r="C3211" t="n">
        <v>26091</v>
      </c>
      <c r="D3211" t="n">
        <v>26141</v>
      </c>
      <c r="E3211" t="n">
        <v>26431</v>
      </c>
    </row>
    <row r="3212">
      <c r="A3212" t="inlineStr">
        <is>
          <t>17/06/2026</t>
        </is>
      </c>
      <c r="B3212" t="inlineStr">
        <is>
          <t>VietABank</t>
        </is>
      </c>
      <c r="C3212" t="n">
        <v>26093</v>
      </c>
      <c r="D3212" t="n">
        <v>26143</v>
      </c>
      <c r="E3212" t="n">
        <v>26433</v>
      </c>
    </row>
    <row r="3213">
      <c r="A3213" t="inlineStr">
        <is>
          <t>16/06/2026</t>
        </is>
      </c>
      <c r="B3213" t="inlineStr">
        <is>
          <t>VietABank</t>
        </is>
      </c>
      <c r="C3213" t="n">
        <v>26083</v>
      </c>
      <c r="D3213" t="n">
        <v>26133</v>
      </c>
      <c r="E3213" t="n">
        <v>26423</v>
      </c>
    </row>
    <row r="3214">
      <c r="A3214" t="inlineStr">
        <is>
          <t>15/06/2026</t>
        </is>
      </c>
      <c r="B3214" t="inlineStr">
        <is>
          <t>VietABank</t>
        </is>
      </c>
      <c r="C3214" t="n">
        <v>26083</v>
      </c>
      <c r="D3214" t="n">
        <v>26133</v>
      </c>
      <c r="E3214" t="n">
        <v>26423</v>
      </c>
    </row>
    <row r="3215">
      <c r="A3215" t="inlineStr">
        <is>
          <t>14/06/2026</t>
        </is>
      </c>
      <c r="B3215" t="inlineStr">
        <is>
          <t>VietABank</t>
        </is>
      </c>
      <c r="C3215" t="n">
        <v>26102</v>
      </c>
      <c r="D3215" t="n">
        <v>26152</v>
      </c>
      <c r="E3215" t="n">
        <v>26412</v>
      </c>
    </row>
    <row r="3216">
      <c r="A3216" t="inlineStr">
        <is>
          <t>13/06/2026</t>
        </is>
      </c>
      <c r="B3216" t="inlineStr">
        <is>
          <t>VietABank</t>
        </is>
      </c>
      <c r="C3216" t="n">
        <v>26102</v>
      </c>
      <c r="D3216" t="n">
        <v>26152</v>
      </c>
      <c r="E3216" t="n">
        <v>26412</v>
      </c>
    </row>
    <row r="3217">
      <c r="A3217" t="inlineStr">
        <is>
          <t>12/06/2026</t>
        </is>
      </c>
      <c r="B3217" t="inlineStr">
        <is>
          <t>VietABank</t>
        </is>
      </c>
      <c r="C3217" t="n">
        <v>26102</v>
      </c>
      <c r="D3217" t="n">
        <v>26152</v>
      </c>
      <c r="E3217" t="n">
        <v>26412</v>
      </c>
    </row>
    <row r="3218">
      <c r="A3218" t="inlineStr">
        <is>
          <t>11/06/2026</t>
        </is>
      </c>
      <c r="B3218" t="inlineStr">
        <is>
          <t>VietABank</t>
        </is>
      </c>
      <c r="C3218" t="n">
        <v>26110</v>
      </c>
      <c r="D3218" t="n">
        <v>26160</v>
      </c>
      <c r="E3218" t="n">
        <v>26410</v>
      </c>
    </row>
    <row r="3219">
      <c r="A3219" t="inlineStr">
        <is>
          <t>10/06/2026</t>
        </is>
      </c>
      <c r="B3219" t="inlineStr">
        <is>
          <t>VietABank</t>
        </is>
      </c>
      <c r="C3219" t="n">
        <v>26110</v>
      </c>
      <c r="D3219" t="n">
        <v>26160</v>
      </c>
      <c r="E3219" t="n">
        <v>26410</v>
      </c>
    </row>
    <row r="3220">
      <c r="A3220" t="inlineStr">
        <is>
          <t>09/06/2026</t>
        </is>
      </c>
      <c r="B3220" t="inlineStr">
        <is>
          <t>VietABank</t>
        </is>
      </c>
      <c r="C3220" t="n">
        <v>26108</v>
      </c>
      <c r="D3220" t="n">
        <v>26158</v>
      </c>
      <c r="E3220" t="n">
        <v>26408</v>
      </c>
    </row>
    <row r="3221">
      <c r="A3221" t="inlineStr">
        <is>
          <t>08/06/2026</t>
        </is>
      </c>
      <c r="B3221" t="inlineStr">
        <is>
          <t>VietABank</t>
        </is>
      </c>
      <c r="C3221" t="n">
        <v>26107</v>
      </c>
      <c r="D3221" t="n">
        <v>26157</v>
      </c>
      <c r="E3221" t="n">
        <v>26407</v>
      </c>
    </row>
    <row r="3222">
      <c r="A3222" t="inlineStr">
        <is>
          <t>07/06/2026</t>
        </is>
      </c>
      <c r="B3222" t="inlineStr">
        <is>
          <t>VietABank</t>
        </is>
      </c>
      <c r="C3222" t="n">
        <v>26082</v>
      </c>
      <c r="D3222" t="n">
        <v>26132</v>
      </c>
      <c r="E3222" t="n">
        <v>26462</v>
      </c>
    </row>
    <row r="3223">
      <c r="A3223" t="inlineStr">
        <is>
          <t>06/06/2026</t>
        </is>
      </c>
      <c r="B3223" t="inlineStr">
        <is>
          <t>VietABank</t>
        </is>
      </c>
      <c r="C3223" t="n">
        <v>26104</v>
      </c>
      <c r="D3223" t="n">
        <v>26154</v>
      </c>
      <c r="E3223" t="n">
        <v>26404</v>
      </c>
    </row>
    <row r="3224">
      <c r="A3224" t="inlineStr">
        <is>
          <t>05/06/2026</t>
        </is>
      </c>
      <c r="B3224" t="inlineStr">
        <is>
          <t>VietABank</t>
        </is>
      </c>
      <c r="C3224" t="n">
        <v>26104</v>
      </c>
      <c r="D3224" t="n">
        <v>26154</v>
      </c>
      <c r="E3224" t="n">
        <v>26404</v>
      </c>
    </row>
    <row r="3225">
      <c r="A3225" t="inlineStr">
        <is>
          <t>04/06/2026</t>
        </is>
      </c>
      <c r="B3225" t="inlineStr">
        <is>
          <t>VietABank</t>
        </is>
      </c>
      <c r="C3225" t="n">
        <v>26102</v>
      </c>
      <c r="D3225" t="n">
        <v>26152</v>
      </c>
      <c r="E3225" t="n">
        <v>26402</v>
      </c>
    </row>
    <row r="3226">
      <c r="A3226" t="inlineStr">
        <is>
          <t>03/06/2026</t>
        </is>
      </c>
      <c r="B3226" t="inlineStr">
        <is>
          <t>VietABank</t>
        </is>
      </c>
      <c r="C3226" t="n">
        <v>26102</v>
      </c>
      <c r="D3226" t="n">
        <v>26152</v>
      </c>
      <c r="E3226" t="n">
        <v>26402</v>
      </c>
    </row>
    <row r="3227">
      <c r="A3227" t="inlineStr">
        <is>
          <t>02/06/2026</t>
        </is>
      </c>
      <c r="B3227" t="inlineStr">
        <is>
          <t>VietABank</t>
        </is>
      </c>
      <c r="C3227" t="n">
        <v>26098</v>
      </c>
      <c r="D3227" t="n">
        <v>26148</v>
      </c>
      <c r="E3227" t="n">
        <v>26398</v>
      </c>
    </row>
    <row r="3228">
      <c r="A3228" t="inlineStr">
        <is>
          <t>01/06/2026</t>
        </is>
      </c>
      <c r="B3228" t="inlineStr">
        <is>
          <t>VietABank</t>
        </is>
      </c>
      <c r="C3228" t="n">
        <v>26094</v>
      </c>
      <c r="D3228" t="n">
        <v>26144</v>
      </c>
      <c r="E3228" t="n">
        <v>26394</v>
      </c>
    </row>
    <row r="3229">
      <c r="A3229" t="inlineStr">
        <is>
          <t>31/05/2026</t>
        </is>
      </c>
      <c r="B3229" t="inlineStr">
        <is>
          <t>VietABank</t>
        </is>
      </c>
      <c r="C3229" t="n">
        <v>26095</v>
      </c>
      <c r="D3229" t="n">
        <v>26145</v>
      </c>
      <c r="E3229" t="n">
        <v>26395</v>
      </c>
    </row>
    <row r="3230">
      <c r="A3230" t="inlineStr">
        <is>
          <t>30/05/2026</t>
        </is>
      </c>
      <c r="B3230" t="inlineStr">
        <is>
          <t>VietABank</t>
        </is>
      </c>
      <c r="C3230" t="n">
        <v>26095</v>
      </c>
      <c r="D3230" t="n">
        <v>26145</v>
      </c>
      <c r="E3230" t="n">
        <v>26395</v>
      </c>
    </row>
    <row r="3231">
      <c r="A3231" t="inlineStr">
        <is>
          <t>29/05/2026</t>
        </is>
      </c>
      <c r="B3231" t="inlineStr">
        <is>
          <t>VietABank</t>
        </is>
      </c>
      <c r="C3231" t="n">
        <v>26095</v>
      </c>
      <c r="D3231" t="n">
        <v>26145</v>
      </c>
      <c r="E3231" t="n">
        <v>26395</v>
      </c>
    </row>
    <row r="3232">
      <c r="A3232" t="inlineStr">
        <is>
          <t>28/05/2026</t>
        </is>
      </c>
      <c r="B3232" t="inlineStr">
        <is>
          <t>VietABank</t>
        </is>
      </c>
      <c r="C3232" t="n">
        <v>26123</v>
      </c>
      <c r="D3232" t="n">
        <v>26173</v>
      </c>
      <c r="E3232" t="n">
        <v>26393</v>
      </c>
    </row>
    <row r="3233">
      <c r="A3233" t="inlineStr">
        <is>
          <t>27/05/2026</t>
        </is>
      </c>
      <c r="B3233" t="inlineStr">
        <is>
          <t>VietABank</t>
        </is>
      </c>
      <c r="C3233" t="n">
        <v>26123</v>
      </c>
      <c r="D3233" t="n">
        <v>26173</v>
      </c>
      <c r="E3233" t="n">
        <v>26393</v>
      </c>
    </row>
    <row r="3234">
      <c r="A3234" t="inlineStr">
        <is>
          <t>26/05/2026</t>
        </is>
      </c>
      <c r="B3234" t="inlineStr">
        <is>
          <t>VietABank</t>
        </is>
      </c>
      <c r="C3234" t="n">
        <v>26142</v>
      </c>
      <c r="D3234" t="n">
        <v>26192</v>
      </c>
      <c r="E3234" t="n">
        <v>26392</v>
      </c>
    </row>
    <row r="3235">
      <c r="A3235" t="inlineStr">
        <is>
          <t>25/05/2026</t>
        </is>
      </c>
      <c r="B3235" t="inlineStr">
        <is>
          <t>VietABank</t>
        </is>
      </c>
      <c r="C3235" t="n">
        <v>26142</v>
      </c>
      <c r="D3235" t="n">
        <v>26192</v>
      </c>
      <c r="E3235" t="n">
        <v>26392</v>
      </c>
    </row>
    <row r="3236">
      <c r="A3236" t="inlineStr">
        <is>
          <t>24/05/2026</t>
        </is>
      </c>
      <c r="B3236" t="inlineStr">
        <is>
          <t>VietABank</t>
        </is>
      </c>
      <c r="C3236" t="n">
        <v>26140</v>
      </c>
      <c r="D3236" t="n">
        <v>26190</v>
      </c>
      <c r="E3236" t="n">
        <v>26390</v>
      </c>
    </row>
    <row r="3237">
      <c r="A3237" t="inlineStr">
        <is>
          <t>23/05/2026</t>
        </is>
      </c>
      <c r="B3237" t="inlineStr">
        <is>
          <t>VietABank</t>
        </is>
      </c>
      <c r="C3237" t="n">
        <v>26140</v>
      </c>
      <c r="D3237" t="n">
        <v>26190</v>
      </c>
      <c r="E3237" t="n">
        <v>26390</v>
      </c>
    </row>
    <row r="3238">
      <c r="A3238" t="inlineStr">
        <is>
          <t>22/05/2026</t>
        </is>
      </c>
      <c r="B3238" t="inlineStr">
        <is>
          <t>VietABank</t>
        </is>
      </c>
      <c r="C3238" t="n">
        <v>26140</v>
      </c>
      <c r="D3238" t="n">
        <v>26190</v>
      </c>
      <c r="E3238" t="n">
        <v>26390</v>
      </c>
    </row>
    <row r="3239">
      <c r="A3239" t="inlineStr">
        <is>
          <t>21/05/2026</t>
        </is>
      </c>
      <c r="B3239" t="inlineStr">
        <is>
          <t>VietABank</t>
        </is>
      </c>
      <c r="C3239" t="n">
        <v>26141</v>
      </c>
      <c r="D3239" t="n">
        <v>26191</v>
      </c>
      <c r="E3239" t="n">
        <v>26391</v>
      </c>
    </row>
    <row r="3240">
      <c r="A3240" t="inlineStr">
        <is>
          <t>20/05/2026</t>
        </is>
      </c>
      <c r="B3240" t="inlineStr">
        <is>
          <t>VietABank</t>
        </is>
      </c>
      <c r="C3240" t="n">
        <v>26141</v>
      </c>
      <c r="D3240" t="n">
        <v>26191</v>
      </c>
      <c r="E3240" t="n">
        <v>26391</v>
      </c>
    </row>
    <row r="3241">
      <c r="A3241" t="inlineStr">
        <is>
          <t>19/05/2026</t>
        </is>
      </c>
      <c r="B3241" t="inlineStr">
        <is>
          <t>VietABank</t>
        </is>
      </c>
      <c r="C3241" t="n">
        <v>26129</v>
      </c>
      <c r="D3241" t="n">
        <v>26179</v>
      </c>
      <c r="E3241" t="n">
        <v>26389</v>
      </c>
    </row>
    <row r="3242">
      <c r="A3242" t="inlineStr">
        <is>
          <t>18/05/2026</t>
        </is>
      </c>
      <c r="B3242" t="inlineStr">
        <is>
          <t>VietABank</t>
        </is>
      </c>
      <c r="C3242" t="n">
        <v>26117</v>
      </c>
      <c r="D3242" t="n">
        <v>26167</v>
      </c>
      <c r="E3242" t="n">
        <v>26387</v>
      </c>
    </row>
    <row r="3243">
      <c r="A3243" t="inlineStr">
        <is>
          <t>17/05/2026</t>
        </is>
      </c>
      <c r="B3243" t="inlineStr">
        <is>
          <t>VietABank</t>
        </is>
      </c>
      <c r="C3243" t="n">
        <v>26117</v>
      </c>
      <c r="D3243" t="n">
        <v>26167</v>
      </c>
      <c r="E3243" t="n">
        <v>26387</v>
      </c>
    </row>
    <row r="3244">
      <c r="A3244" t="inlineStr">
        <is>
          <t>16/05/2026</t>
        </is>
      </c>
      <c r="B3244" t="inlineStr">
        <is>
          <t>VietABank</t>
        </is>
      </c>
      <c r="C3244" t="n">
        <v>26117</v>
      </c>
      <c r="D3244" t="n">
        <v>26167</v>
      </c>
      <c r="E3244" t="n">
        <v>26387</v>
      </c>
    </row>
    <row r="3245">
      <c r="A3245" t="inlineStr">
        <is>
          <t>15/05/2026</t>
        </is>
      </c>
      <c r="B3245" t="inlineStr">
        <is>
          <t>VietABank</t>
        </is>
      </c>
      <c r="C3245" t="n">
        <v>26117</v>
      </c>
      <c r="D3245" t="n">
        <v>26167</v>
      </c>
      <c r="E3245" t="n">
        <v>26387</v>
      </c>
    </row>
    <row r="3246">
      <c r="A3246" t="inlineStr">
        <is>
          <t>14/05/2026</t>
        </is>
      </c>
      <c r="B3246" t="inlineStr">
        <is>
          <t>VietABank</t>
        </is>
      </c>
      <c r="C3246" t="n">
        <v>26112</v>
      </c>
      <c r="D3246" t="n">
        <v>26162</v>
      </c>
      <c r="E3246" t="n">
        <v>26382</v>
      </c>
    </row>
    <row r="3247">
      <c r="A3247" t="inlineStr">
        <is>
          <t>13/05/2026</t>
        </is>
      </c>
      <c r="B3247" t="inlineStr">
        <is>
          <t>VietABank</t>
        </is>
      </c>
      <c r="C3247" t="n">
        <v>26109</v>
      </c>
      <c r="D3247" t="n">
        <v>26159</v>
      </c>
      <c r="E3247" t="n">
        <v>26379</v>
      </c>
    </row>
    <row r="3248">
      <c r="A3248" t="inlineStr">
        <is>
          <t>12/05/2026</t>
        </is>
      </c>
      <c r="B3248" t="inlineStr">
        <is>
          <t>VietABank</t>
        </is>
      </c>
      <c r="C3248" t="n">
        <v>26109</v>
      </c>
      <c r="D3248" t="n">
        <v>26159</v>
      </c>
      <c r="E3248" t="n">
        <v>26379</v>
      </c>
    </row>
    <row r="3249">
      <c r="A3249" t="inlineStr">
        <is>
          <t>11/05/2026</t>
        </is>
      </c>
      <c r="B3249" t="inlineStr">
        <is>
          <t>VietABank</t>
        </is>
      </c>
      <c r="C3249" t="n">
        <v>26103</v>
      </c>
      <c r="D3249" t="n">
        <v>26153</v>
      </c>
      <c r="E3249" t="n">
        <v>26373</v>
      </c>
    </row>
    <row r="3250">
      <c r="A3250" t="inlineStr">
        <is>
          <t>10/05/2026</t>
        </is>
      </c>
      <c r="B3250" t="inlineStr">
        <is>
          <t>VietABank</t>
        </is>
      </c>
      <c r="C3250" t="n">
        <v>26097</v>
      </c>
      <c r="D3250" t="n">
        <v>26147</v>
      </c>
      <c r="E3250" t="n">
        <v>26367</v>
      </c>
    </row>
    <row r="3251">
      <c r="A3251" t="inlineStr">
        <is>
          <t>09/05/2026</t>
        </is>
      </c>
      <c r="B3251" t="inlineStr">
        <is>
          <t>VietABank</t>
        </is>
      </c>
      <c r="C3251" t="n">
        <v>26097</v>
      </c>
      <c r="D3251" t="n">
        <v>26147</v>
      </c>
      <c r="E3251" t="n">
        <v>26367</v>
      </c>
    </row>
    <row r="3252">
      <c r="A3252" t="inlineStr">
        <is>
          <t>08/05/2026</t>
        </is>
      </c>
      <c r="B3252" t="inlineStr">
        <is>
          <t>VietABank</t>
        </is>
      </c>
      <c r="C3252" t="n">
        <v>26097</v>
      </c>
      <c r="D3252" t="n">
        <v>26147</v>
      </c>
      <c r="E3252" t="n">
        <v>26367</v>
      </c>
    </row>
    <row r="3253">
      <c r="A3253" t="inlineStr">
        <is>
          <t>07/05/2026</t>
        </is>
      </c>
      <c r="B3253" t="inlineStr">
        <is>
          <t>VietABank</t>
        </is>
      </c>
      <c r="C3253" t="n">
        <v>26098</v>
      </c>
      <c r="D3253" t="n">
        <v>26148</v>
      </c>
      <c r="E3253" t="n">
        <v>26368</v>
      </c>
    </row>
    <row r="3254">
      <c r="A3254" t="inlineStr">
        <is>
          <t>06/05/2026</t>
        </is>
      </c>
      <c r="B3254" t="inlineStr">
        <is>
          <t>VietABank</t>
        </is>
      </c>
      <c r="C3254" t="n">
        <v>26108</v>
      </c>
      <c r="D3254" t="n">
        <v>26158</v>
      </c>
      <c r="E3254" t="n">
        <v>26368</v>
      </c>
    </row>
    <row r="3255">
      <c r="A3255" t="inlineStr">
        <is>
          <t>05/05/2026</t>
        </is>
      </c>
      <c r="B3255" t="inlineStr">
        <is>
          <t>VietABank</t>
        </is>
      </c>
      <c r="C3255" t="n">
        <v>26106</v>
      </c>
      <c r="D3255" t="n">
        <v>26156</v>
      </c>
      <c r="E3255" t="n">
        <v>26366</v>
      </c>
    </row>
    <row r="3256">
      <c r="A3256" t="inlineStr">
        <is>
          <t>04/05/2026</t>
        </is>
      </c>
      <c r="B3256" t="inlineStr">
        <is>
          <t>VietABank</t>
        </is>
      </c>
      <c r="C3256" t="n">
        <v>26117</v>
      </c>
      <c r="D3256" t="n">
        <v>26167</v>
      </c>
      <c r="E3256" t="n">
        <v>26367</v>
      </c>
    </row>
    <row r="3257">
      <c r="A3257" t="inlineStr">
        <is>
          <t>03/05/2026</t>
        </is>
      </c>
      <c r="B3257" t="inlineStr">
        <is>
          <t>VietABank</t>
        </is>
      </c>
      <c r="C3257" t="n">
        <v>26118</v>
      </c>
      <c r="D3257" t="n">
        <v>26168</v>
      </c>
      <c r="E3257" t="n">
        <v>26368</v>
      </c>
    </row>
    <row r="3258">
      <c r="A3258" t="inlineStr">
        <is>
          <t>02/05/2026</t>
        </is>
      </c>
      <c r="B3258" t="inlineStr">
        <is>
          <t>VietABank</t>
        </is>
      </c>
      <c r="C3258" t="n">
        <v>26118</v>
      </c>
      <c r="D3258" t="n">
        <v>26168</v>
      </c>
      <c r="E3258" t="n">
        <v>26368</v>
      </c>
    </row>
    <row r="3259">
      <c r="A3259" t="inlineStr">
        <is>
          <t>01/05/2026</t>
        </is>
      </c>
      <c r="B3259" t="inlineStr">
        <is>
          <t>VietABank</t>
        </is>
      </c>
      <c r="C3259" t="n">
        <v>26118</v>
      </c>
      <c r="D3259" t="n">
        <v>26168</v>
      </c>
      <c r="E3259" t="n">
        <v>26368</v>
      </c>
    </row>
    <row r="3260">
      <c r="A3260" t="inlineStr">
        <is>
          <t>30/04/2026</t>
        </is>
      </c>
      <c r="B3260" t="inlineStr">
        <is>
          <t>VietABank</t>
        </is>
      </c>
      <c r="C3260" t="n">
        <v>26118</v>
      </c>
      <c r="D3260" t="n">
        <v>26168</v>
      </c>
      <c r="E3260" t="n">
        <v>26368</v>
      </c>
    </row>
    <row r="3261">
      <c r="A3261" t="inlineStr">
        <is>
          <t>29/04/2026</t>
        </is>
      </c>
      <c r="B3261" t="inlineStr">
        <is>
          <t>VietABank</t>
        </is>
      </c>
      <c r="C3261" t="n">
        <v>26118</v>
      </c>
      <c r="D3261" t="n">
        <v>26168</v>
      </c>
      <c r="E3261" t="n">
        <v>26368</v>
      </c>
    </row>
    <row r="3262">
      <c r="A3262" t="inlineStr">
        <is>
          <t>28/04/2026</t>
        </is>
      </c>
      <c r="B3262" t="inlineStr">
        <is>
          <t>VietABank</t>
        </is>
      </c>
      <c r="C3262" t="n">
        <v>26116</v>
      </c>
      <c r="D3262" t="n">
        <v>26166</v>
      </c>
      <c r="E3262" t="n">
        <v>26366</v>
      </c>
    </row>
    <row r="3263">
      <c r="A3263" t="inlineStr">
        <is>
          <t>27/04/2026</t>
        </is>
      </c>
      <c r="B3263" t="inlineStr">
        <is>
          <t>VietABank</t>
        </is>
      </c>
      <c r="C3263" t="n">
        <v>26118</v>
      </c>
      <c r="D3263" t="n">
        <v>26168</v>
      </c>
      <c r="E3263" t="n">
        <v>26368</v>
      </c>
    </row>
    <row r="3264">
      <c r="A3264" t="inlineStr">
        <is>
          <t>26/04/2026</t>
        </is>
      </c>
      <c r="B3264" t="inlineStr">
        <is>
          <t>VietABank</t>
        </is>
      </c>
      <c r="C3264" t="n">
        <v>26118</v>
      </c>
      <c r="D3264" t="n">
        <v>26168</v>
      </c>
      <c r="E3264" t="n">
        <v>26368</v>
      </c>
    </row>
    <row r="3265">
      <c r="A3265" t="inlineStr">
        <is>
          <t>25/04/2026</t>
        </is>
      </c>
      <c r="B3265" t="inlineStr">
        <is>
          <t>VietABank</t>
        </is>
      </c>
      <c r="C3265" t="n">
        <v>26118</v>
      </c>
      <c r="D3265" t="n">
        <v>26168</v>
      </c>
      <c r="E3265" t="n">
        <v>26368</v>
      </c>
    </row>
    <row r="3266">
      <c r="A3266" t="inlineStr">
        <is>
          <t>24/04/2026</t>
        </is>
      </c>
      <c r="B3266" t="inlineStr">
        <is>
          <t>VietABank</t>
        </is>
      </c>
      <c r="C3266" t="n">
        <v>26118</v>
      </c>
      <c r="D3266" t="n">
        <v>26168</v>
      </c>
      <c r="E3266" t="n">
        <v>26368</v>
      </c>
    </row>
    <row r="3267">
      <c r="A3267" t="inlineStr">
        <is>
          <t>23/04/2026</t>
        </is>
      </c>
      <c r="B3267" t="inlineStr">
        <is>
          <t>VietABank</t>
        </is>
      </c>
      <c r="C3267" t="n">
        <v>26110</v>
      </c>
      <c r="D3267" t="n">
        <v>26160</v>
      </c>
      <c r="E3267" t="n">
        <v>26360</v>
      </c>
    </row>
    <row r="3268">
      <c r="A3268" t="inlineStr">
        <is>
          <t>22/04/2026</t>
        </is>
      </c>
      <c r="B3268" t="inlineStr">
        <is>
          <t>VietABank</t>
        </is>
      </c>
      <c r="C3268" t="n">
        <v>26105</v>
      </c>
      <c r="D3268" t="n">
        <v>26155</v>
      </c>
      <c r="E3268" t="n">
        <v>26355</v>
      </c>
    </row>
    <row r="3269">
      <c r="A3269" t="inlineStr">
        <is>
          <t>21/04/2026</t>
        </is>
      </c>
      <c r="B3269" t="inlineStr">
        <is>
          <t>VietABank</t>
        </is>
      </c>
      <c r="C3269" t="n">
        <v>26107</v>
      </c>
      <c r="D3269" t="n">
        <v>26157</v>
      </c>
      <c r="E3269" t="n">
        <v>26357</v>
      </c>
    </row>
    <row r="3270">
      <c r="A3270" t="inlineStr">
        <is>
          <t>20/04/2026</t>
        </is>
      </c>
      <c r="B3270" t="inlineStr">
        <is>
          <t>VietABank</t>
        </is>
      </c>
      <c r="C3270" t="n">
        <v>26108</v>
      </c>
      <c r="D3270" t="n">
        <v>26158</v>
      </c>
      <c r="E3270" t="n">
        <v>26358</v>
      </c>
    </row>
    <row r="3271">
      <c r="A3271" t="inlineStr">
        <is>
          <t>19/04/2026</t>
        </is>
      </c>
      <c r="B3271" t="inlineStr">
        <is>
          <t>VietABank</t>
        </is>
      </c>
      <c r="C3271" t="n">
        <v>26107</v>
      </c>
      <c r="D3271" t="n">
        <v>26157</v>
      </c>
      <c r="E3271" t="n">
        <v>26357</v>
      </c>
    </row>
    <row r="3272">
      <c r="A3272" t="inlineStr">
        <is>
          <t>18/04/2026</t>
        </is>
      </c>
      <c r="B3272" t="inlineStr">
        <is>
          <t>VietABank</t>
        </is>
      </c>
      <c r="C3272" t="n">
        <v>26107</v>
      </c>
      <c r="D3272" t="n">
        <v>26157</v>
      </c>
      <c r="E3272" t="n">
        <v>26357</v>
      </c>
    </row>
    <row r="3273">
      <c r="A3273" t="inlineStr">
        <is>
          <t>17/04/2026</t>
        </is>
      </c>
      <c r="B3273" t="inlineStr">
        <is>
          <t>VietABank</t>
        </is>
      </c>
      <c r="C3273" t="n">
        <v>26107</v>
      </c>
      <c r="D3273" t="n">
        <v>26157</v>
      </c>
      <c r="E3273" t="n">
        <v>26357</v>
      </c>
    </row>
    <row r="3274">
      <c r="A3274" t="inlineStr">
        <is>
          <t>16/04/2026</t>
        </is>
      </c>
      <c r="B3274" t="inlineStr">
        <is>
          <t>VietABank</t>
        </is>
      </c>
      <c r="C3274" t="n">
        <v>26107</v>
      </c>
      <c r="D3274" t="n">
        <v>26157</v>
      </c>
      <c r="E3274" t="n">
        <v>26357</v>
      </c>
    </row>
    <row r="3275">
      <c r="A3275" t="inlineStr">
        <is>
          <t>15/04/2026</t>
        </is>
      </c>
      <c r="B3275" t="inlineStr">
        <is>
          <t>VietABank</t>
        </is>
      </c>
      <c r="C3275" t="n">
        <v>26118</v>
      </c>
      <c r="D3275" t="n">
        <v>26168</v>
      </c>
      <c r="E3275" t="n">
        <v>26358</v>
      </c>
    </row>
    <row r="3276">
      <c r="A3276" t="inlineStr">
        <is>
          <t>14/04/2026</t>
        </is>
      </c>
      <c r="B3276" t="inlineStr">
        <is>
          <t>VietABank</t>
        </is>
      </c>
      <c r="C3276" t="n">
        <v>26121</v>
      </c>
      <c r="D3276" t="n">
        <v>26171</v>
      </c>
      <c r="E3276" t="n">
        <v>26361</v>
      </c>
    </row>
    <row r="3277">
      <c r="A3277" t="inlineStr">
        <is>
          <t>13/04/2026</t>
        </is>
      </c>
      <c r="B3277" t="inlineStr">
        <is>
          <t>VietABank</t>
        </is>
      </c>
      <c r="C3277" t="n">
        <v>26121</v>
      </c>
      <c r="D3277" t="n">
        <v>26171</v>
      </c>
      <c r="E3277" t="n">
        <v>26361</v>
      </c>
    </row>
    <row r="3278">
      <c r="A3278" t="inlineStr">
        <is>
          <t>12/04/2026</t>
        </is>
      </c>
      <c r="B3278" t="inlineStr">
        <is>
          <t>VietABank</t>
        </is>
      </c>
      <c r="C3278" t="n">
        <v>26110</v>
      </c>
      <c r="D3278" t="n">
        <v>26160</v>
      </c>
      <c r="E3278" t="n">
        <v>26360</v>
      </c>
    </row>
    <row r="3279">
      <c r="A3279" t="inlineStr">
        <is>
          <t>11/04/2026</t>
        </is>
      </c>
      <c r="B3279" t="inlineStr">
        <is>
          <t>VietABank</t>
        </is>
      </c>
      <c r="C3279" t="n">
        <v>26110</v>
      </c>
      <c r="D3279" t="n">
        <v>26160</v>
      </c>
      <c r="E3279" t="n">
        <v>26360</v>
      </c>
    </row>
    <row r="3280">
      <c r="A3280" t="inlineStr">
        <is>
          <t>10/04/2026</t>
        </is>
      </c>
      <c r="B3280" t="inlineStr">
        <is>
          <t>VietABank</t>
        </is>
      </c>
      <c r="C3280" t="n">
        <v>26110</v>
      </c>
      <c r="D3280" t="n">
        <v>26160</v>
      </c>
      <c r="E3280" t="n">
        <v>26360</v>
      </c>
    </row>
    <row r="3281">
      <c r="A3281" t="inlineStr">
        <is>
          <t>09/04/2026</t>
        </is>
      </c>
      <c r="B3281" t="inlineStr">
        <is>
          <t>VietABank</t>
        </is>
      </c>
      <c r="C3281" t="n">
        <v>26097</v>
      </c>
      <c r="D3281" t="n">
        <v>26147</v>
      </c>
      <c r="E3281" t="n">
        <v>26357</v>
      </c>
    </row>
    <row r="3282">
      <c r="A3282" t="inlineStr">
        <is>
          <t>08/04/2026</t>
        </is>
      </c>
      <c r="B3282" t="inlineStr">
        <is>
          <t>VietABank</t>
        </is>
      </c>
      <c r="C3282" t="n">
        <v>26121</v>
      </c>
      <c r="D3282" t="n">
        <v>26171</v>
      </c>
      <c r="E3282" t="n">
        <v>26361</v>
      </c>
    </row>
    <row r="3283">
      <c r="A3283" t="inlineStr">
        <is>
          <t>07/04/2026</t>
        </is>
      </c>
      <c r="B3283" t="inlineStr">
        <is>
          <t>VietABank</t>
        </is>
      </c>
      <c r="C3283" t="n">
        <v>26123</v>
      </c>
      <c r="D3283" t="n">
        <v>26173</v>
      </c>
      <c r="E3283" t="n">
        <v>26363</v>
      </c>
    </row>
    <row r="3284">
      <c r="A3284" t="inlineStr">
        <is>
          <t>06/04/2026</t>
        </is>
      </c>
      <c r="B3284" t="inlineStr">
        <is>
          <t>VietABank</t>
        </is>
      </c>
      <c r="C3284" t="n">
        <v>26121</v>
      </c>
      <c r="D3284" t="n">
        <v>26171</v>
      </c>
      <c r="E3284" t="n">
        <v>26361</v>
      </c>
    </row>
    <row r="3285">
      <c r="A3285" t="inlineStr">
        <is>
          <t>05/04/2026</t>
        </is>
      </c>
      <c r="B3285" t="inlineStr">
        <is>
          <t>VietABank</t>
        </is>
      </c>
      <c r="C3285" t="n">
        <v>26122</v>
      </c>
      <c r="D3285" t="n">
        <v>26172</v>
      </c>
      <c r="E3285" t="n">
        <v>26362</v>
      </c>
    </row>
    <row r="3286">
      <c r="A3286" t="inlineStr">
        <is>
          <t>04/04/2026</t>
        </is>
      </c>
      <c r="B3286" t="inlineStr">
        <is>
          <t>VietABank</t>
        </is>
      </c>
      <c r="C3286" t="n">
        <v>26122</v>
      </c>
      <c r="D3286" t="n">
        <v>26172</v>
      </c>
      <c r="E3286" t="n">
        <v>26362</v>
      </c>
    </row>
    <row r="3287">
      <c r="A3287" t="inlineStr">
        <is>
          <t>03/04/2026</t>
        </is>
      </c>
      <c r="B3287" t="inlineStr">
        <is>
          <t>VietABank</t>
        </is>
      </c>
      <c r="C3287" t="n">
        <v>26122</v>
      </c>
      <c r="D3287" t="n">
        <v>26172</v>
      </c>
      <c r="E3287" t="n">
        <v>26362</v>
      </c>
    </row>
    <row r="3288">
      <c r="A3288" t="inlineStr">
        <is>
          <t>02/04/2026</t>
        </is>
      </c>
      <c r="B3288" t="inlineStr">
        <is>
          <t>VietABank</t>
        </is>
      </c>
      <c r="C3288" t="n">
        <v>26122</v>
      </c>
      <c r="D3288" t="n">
        <v>26172</v>
      </c>
      <c r="E3288" t="n">
        <v>26362</v>
      </c>
    </row>
    <row r="3289">
      <c r="A3289" t="inlineStr">
        <is>
          <t>01/04/2026</t>
        </is>
      </c>
      <c r="B3289" t="inlineStr">
        <is>
          <t>VietABank</t>
        </is>
      </c>
      <c r="C3289" t="n">
        <v>26120</v>
      </c>
      <c r="D3289" t="n">
        <v>26170</v>
      </c>
      <c r="E3289" t="n">
        <v>26360</v>
      </c>
    </row>
    <row r="3290">
      <c r="A3290" t="inlineStr">
        <is>
          <t>31/03/2026</t>
        </is>
      </c>
      <c r="B3290" t="inlineStr">
        <is>
          <t>VietABank</t>
        </is>
      </c>
      <c r="C3290" t="n">
        <v>26117</v>
      </c>
      <c r="D3290" t="n">
        <v>26167</v>
      </c>
      <c r="E3290" t="n">
        <v>26357</v>
      </c>
    </row>
    <row r="3291">
      <c r="A3291" t="inlineStr">
        <is>
          <t>30/03/2026</t>
        </is>
      </c>
      <c r="B3291" t="inlineStr">
        <is>
          <t>VietABank</t>
        </is>
      </c>
      <c r="C3291" t="n">
        <v>26115</v>
      </c>
      <c r="D3291" t="n">
        <v>26165</v>
      </c>
      <c r="E3291" t="n">
        <v>26355</v>
      </c>
    </row>
    <row r="3292">
      <c r="A3292" t="inlineStr">
        <is>
          <t>29/03/2026</t>
        </is>
      </c>
      <c r="B3292" t="inlineStr">
        <is>
          <t>VietABank</t>
        </is>
      </c>
      <c r="C3292" t="n">
        <v>26115</v>
      </c>
      <c r="D3292" t="n">
        <v>26165</v>
      </c>
      <c r="E3292" t="n">
        <v>26355</v>
      </c>
    </row>
    <row r="3293">
      <c r="A3293" t="inlineStr">
        <is>
          <t>28/03/2026</t>
        </is>
      </c>
      <c r="B3293" t="inlineStr">
        <is>
          <t>VietABank</t>
        </is>
      </c>
      <c r="C3293" t="n">
        <v>26115</v>
      </c>
      <c r="D3293" t="n">
        <v>26165</v>
      </c>
      <c r="E3293" t="n">
        <v>26355</v>
      </c>
    </row>
    <row r="3294">
      <c r="A3294" t="inlineStr">
        <is>
          <t>27/03/2026</t>
        </is>
      </c>
      <c r="B3294" t="inlineStr">
        <is>
          <t>VietABank</t>
        </is>
      </c>
      <c r="C3294" t="n">
        <v>26115</v>
      </c>
      <c r="D3294" t="n">
        <v>26165</v>
      </c>
      <c r="E3294" t="n">
        <v>26355</v>
      </c>
    </row>
    <row r="3295">
      <c r="A3295" t="inlineStr">
        <is>
          <t>26/03/2026</t>
        </is>
      </c>
      <c r="B3295" t="inlineStr">
        <is>
          <t>VietABank</t>
        </is>
      </c>
      <c r="C3295" t="n">
        <v>26117</v>
      </c>
      <c r="D3295" t="n">
        <v>26167</v>
      </c>
      <c r="E3295" t="n">
        <v>26357</v>
      </c>
    </row>
    <row r="3296">
      <c r="A3296" t="inlineStr">
        <is>
          <t>25/03/2026</t>
        </is>
      </c>
      <c r="B3296" t="inlineStr">
        <is>
          <t>VietABank</t>
        </is>
      </c>
      <c r="C3296" t="n">
        <v>26119</v>
      </c>
      <c r="D3296" t="n">
        <v>26169</v>
      </c>
      <c r="E3296" t="n">
        <v>26359</v>
      </c>
    </row>
    <row r="3297">
      <c r="A3297" t="inlineStr">
        <is>
          <t>24/03/2026</t>
        </is>
      </c>
      <c r="B3297" t="inlineStr">
        <is>
          <t>VietABank</t>
        </is>
      </c>
      <c r="C3297" t="n">
        <v>26124</v>
      </c>
      <c r="D3297" t="n">
        <v>26174</v>
      </c>
      <c r="E3297" t="n">
        <v>26364</v>
      </c>
    </row>
    <row r="3298">
      <c r="A3298" t="inlineStr">
        <is>
          <t>23/03/2026</t>
        </is>
      </c>
      <c r="B3298" t="inlineStr">
        <is>
          <t>VietABank</t>
        </is>
      </c>
      <c r="C3298" t="n">
        <v>26084</v>
      </c>
      <c r="D3298" t="n">
        <v>26134</v>
      </c>
      <c r="E3298" t="n">
        <v>26344</v>
      </c>
    </row>
    <row r="3299">
      <c r="A3299" t="inlineStr">
        <is>
          <t>22/03/2026</t>
        </is>
      </c>
      <c r="B3299" t="inlineStr">
        <is>
          <t>VietABank</t>
        </is>
      </c>
      <c r="C3299" t="n">
        <v>26079</v>
      </c>
      <c r="D3299" t="n">
        <v>26129</v>
      </c>
      <c r="E3299" t="n">
        <v>26339</v>
      </c>
    </row>
    <row r="3300">
      <c r="A3300" t="inlineStr">
        <is>
          <t>21/03/2026</t>
        </is>
      </c>
      <c r="B3300" t="inlineStr">
        <is>
          <t>VietABank</t>
        </is>
      </c>
      <c r="C3300" t="n">
        <v>26079</v>
      </c>
      <c r="D3300" t="n">
        <v>26129</v>
      </c>
      <c r="E3300" t="n">
        <v>26339</v>
      </c>
    </row>
    <row r="3301">
      <c r="A3301" t="inlineStr">
        <is>
          <t>20/03/2026</t>
        </is>
      </c>
      <c r="B3301" t="inlineStr">
        <is>
          <t>VietABank</t>
        </is>
      </c>
      <c r="C3301" t="n">
        <v>26079</v>
      </c>
      <c r="D3301" t="n">
        <v>26129</v>
      </c>
      <c r="E3301" t="n">
        <v>26339</v>
      </c>
    </row>
    <row r="3302">
      <c r="A3302" t="inlineStr">
        <is>
          <t>19/03/2026</t>
        </is>
      </c>
      <c r="B3302" t="inlineStr">
        <is>
          <t>VietABank</t>
        </is>
      </c>
      <c r="C3302" t="n">
        <v>26065</v>
      </c>
      <c r="D3302" t="n">
        <v>26115</v>
      </c>
      <c r="E3302" t="n">
        <v>26325</v>
      </c>
    </row>
    <row r="3303">
      <c r="A3303" t="inlineStr">
        <is>
          <t>18/03/2026</t>
        </is>
      </c>
      <c r="B3303" t="inlineStr">
        <is>
          <t>VietABank</t>
        </is>
      </c>
      <c r="C3303" t="n">
        <v>26060</v>
      </c>
      <c r="D3303" t="n">
        <v>26110</v>
      </c>
      <c r="E3303" t="n">
        <v>26320</v>
      </c>
    </row>
    <row r="3304">
      <c r="A3304" t="inlineStr">
        <is>
          <t>17/03/2026</t>
        </is>
      </c>
      <c r="B3304" t="inlineStr">
        <is>
          <t>VietABank</t>
        </is>
      </c>
      <c r="C3304" t="n">
        <v>26061</v>
      </c>
      <c r="D3304" t="n">
        <v>26111</v>
      </c>
      <c r="E3304" t="n">
        <v>26321</v>
      </c>
    </row>
    <row r="3305">
      <c r="A3305" t="inlineStr">
        <is>
          <t>16/03/2026</t>
        </is>
      </c>
      <c r="B3305" t="inlineStr">
        <is>
          <t>VietABank</t>
        </is>
      </c>
      <c r="C3305" t="n">
        <v>26061</v>
      </c>
      <c r="D3305" t="n">
        <v>26111</v>
      </c>
      <c r="E3305" t="n">
        <v>26321</v>
      </c>
    </row>
    <row r="3306">
      <c r="A3306" t="inlineStr">
        <is>
          <t>15/03/2026</t>
        </is>
      </c>
      <c r="B3306" t="inlineStr">
        <is>
          <t>VietABank</t>
        </is>
      </c>
      <c r="C3306" t="n">
        <v>26058</v>
      </c>
      <c r="D3306" t="n">
        <v>26108</v>
      </c>
      <c r="E3306" t="n">
        <v>26318</v>
      </c>
    </row>
    <row r="3307">
      <c r="A3307" t="inlineStr">
        <is>
          <t>14/03/2026</t>
        </is>
      </c>
      <c r="B3307" t="inlineStr">
        <is>
          <t>VietABank</t>
        </is>
      </c>
      <c r="C3307" t="n">
        <v>26058</v>
      </c>
      <c r="D3307" t="n">
        <v>26108</v>
      </c>
      <c r="E3307" t="n">
        <v>26318</v>
      </c>
    </row>
    <row r="3308">
      <c r="A3308" t="inlineStr">
        <is>
          <t>13/03/2026</t>
        </is>
      </c>
      <c r="B3308" t="inlineStr">
        <is>
          <t>VietABank</t>
        </is>
      </c>
      <c r="C3308" t="n">
        <v>26058</v>
      </c>
      <c r="D3308" t="n">
        <v>26108</v>
      </c>
      <c r="E3308" t="n">
        <v>26318</v>
      </c>
    </row>
    <row r="3309">
      <c r="A3309" t="inlineStr">
        <is>
          <t>12/03/2026</t>
        </is>
      </c>
      <c r="B3309" t="inlineStr">
        <is>
          <t>VietABank</t>
        </is>
      </c>
      <c r="C3309" t="n">
        <v>26054</v>
      </c>
      <c r="D3309" t="n">
        <v>26104</v>
      </c>
      <c r="E3309" t="n">
        <v>26314</v>
      </c>
    </row>
    <row r="3310">
      <c r="A3310" t="inlineStr">
        <is>
          <t>11/03/2026</t>
        </is>
      </c>
      <c r="B3310" t="inlineStr">
        <is>
          <t>VietABank</t>
        </is>
      </c>
      <c r="C3310" t="n">
        <v>26011</v>
      </c>
      <c r="D3310" t="n">
        <v>26061</v>
      </c>
      <c r="E3310" t="n">
        <v>26311</v>
      </c>
    </row>
    <row r="3311">
      <c r="A3311" t="inlineStr">
        <is>
          <t>10/03/2026</t>
        </is>
      </c>
      <c r="B3311" t="inlineStr">
        <is>
          <t>VietABank</t>
        </is>
      </c>
      <c r="C3311" t="n">
        <v>25995</v>
      </c>
      <c r="D3311" t="n">
        <v>26045</v>
      </c>
      <c r="E3311" t="n">
        <v>26315</v>
      </c>
    </row>
    <row r="3312">
      <c r="A3312" t="inlineStr">
        <is>
          <t>09/03/2026</t>
        </is>
      </c>
      <c r="B3312" t="inlineStr">
        <is>
          <t>VietABank</t>
        </is>
      </c>
      <c r="C3312" t="n">
        <v>26051</v>
      </c>
      <c r="D3312" t="n">
        <v>26101</v>
      </c>
      <c r="E3312" t="n">
        <v>26311</v>
      </c>
    </row>
    <row r="3313">
      <c r="A3313" t="inlineStr">
        <is>
          <t>08/03/2026</t>
        </is>
      </c>
      <c r="B3313" t="inlineStr">
        <is>
          <t>VietABank</t>
        </is>
      </c>
      <c r="C3313" t="n">
        <v>26009</v>
      </c>
      <c r="D3313" t="n">
        <v>26059</v>
      </c>
      <c r="E3313" t="n">
        <v>26309</v>
      </c>
    </row>
    <row r="3314">
      <c r="A3314" t="inlineStr">
        <is>
          <t>07/03/2026</t>
        </is>
      </c>
      <c r="B3314" t="inlineStr">
        <is>
          <t>VietABank</t>
        </is>
      </c>
      <c r="C3314" t="n">
        <v>26009</v>
      </c>
      <c r="D3314" t="n">
        <v>26059</v>
      </c>
      <c r="E3314" t="n">
        <v>26309</v>
      </c>
    </row>
    <row r="3315">
      <c r="A3315" t="inlineStr">
        <is>
          <t>06/03/2026</t>
        </is>
      </c>
      <c r="B3315" t="inlineStr">
        <is>
          <t>VietABank</t>
        </is>
      </c>
      <c r="C3315" t="n">
        <v>26009</v>
      </c>
      <c r="D3315" t="n">
        <v>26059</v>
      </c>
      <c r="E3315" t="n">
        <v>26309</v>
      </c>
    </row>
    <row r="3316">
      <c r="A3316" t="inlineStr">
        <is>
          <t>05/03/2026</t>
        </is>
      </c>
      <c r="B3316" t="inlineStr">
        <is>
          <t>VietABank</t>
        </is>
      </c>
      <c r="C3316" t="n">
        <v>26007</v>
      </c>
      <c r="D3316" t="n">
        <v>26057</v>
      </c>
      <c r="E3316" t="n">
        <v>26307</v>
      </c>
    </row>
    <row r="3317">
      <c r="A3317" t="inlineStr">
        <is>
          <t>04/03/2026</t>
        </is>
      </c>
      <c r="B3317" t="inlineStr">
        <is>
          <t>VietABank</t>
        </is>
      </c>
      <c r="C3317" t="n">
        <v>25984</v>
      </c>
      <c r="D3317" t="n">
        <v>26034</v>
      </c>
      <c r="E3317" t="n">
        <v>26304</v>
      </c>
    </row>
    <row r="3318">
      <c r="A3318" t="inlineStr">
        <is>
          <t>03/03/2026</t>
        </is>
      </c>
      <c r="B3318" t="inlineStr">
        <is>
          <t>VietABank</t>
        </is>
      </c>
      <c r="C3318" t="n">
        <v>25978</v>
      </c>
      <c r="D3318" t="n">
        <v>26028</v>
      </c>
      <c r="E3318" t="n">
        <v>26298</v>
      </c>
    </row>
    <row r="3319">
      <c r="A3319" t="inlineStr">
        <is>
          <t>02/03/2026</t>
        </is>
      </c>
      <c r="B3319" t="inlineStr">
        <is>
          <t>VietABank</t>
        </is>
      </c>
      <c r="C3319" t="n">
        <v>25969</v>
      </c>
      <c r="D3319" t="n">
        <v>26019</v>
      </c>
      <c r="E3319" t="n">
        <v>26289</v>
      </c>
    </row>
    <row r="3320">
      <c r="A3320" t="inlineStr">
        <is>
          <t>01/03/2026</t>
        </is>
      </c>
      <c r="B3320" t="inlineStr">
        <is>
          <t>VietABank</t>
        </is>
      </c>
      <c r="C3320" t="n">
        <v>25830</v>
      </c>
      <c r="D3320" t="n">
        <v>25880</v>
      </c>
      <c r="E3320" t="n">
        <v>26230</v>
      </c>
    </row>
    <row r="3321">
      <c r="A3321" t="inlineStr">
        <is>
          <t>28/02/2026</t>
        </is>
      </c>
      <c r="B3321" t="inlineStr">
        <is>
          <t>VietABank</t>
        </is>
      </c>
      <c r="C3321" t="n">
        <v>25830</v>
      </c>
      <c r="D3321" t="n">
        <v>25880</v>
      </c>
      <c r="E3321" t="n">
        <v>26230</v>
      </c>
    </row>
    <row r="3322">
      <c r="A3322" t="inlineStr">
        <is>
          <t>27/02/2026</t>
        </is>
      </c>
      <c r="B3322" t="inlineStr">
        <is>
          <t>VietABank</t>
        </is>
      </c>
      <c r="C3322" t="n">
        <v>25830</v>
      </c>
      <c r="D3322" t="n">
        <v>25880</v>
      </c>
      <c r="E3322" t="n">
        <v>26230</v>
      </c>
    </row>
    <row r="3323">
      <c r="A3323" t="inlineStr">
        <is>
          <t>26/02/2026</t>
        </is>
      </c>
      <c r="B3323" t="inlineStr">
        <is>
          <t>VietABank</t>
        </is>
      </c>
      <c r="C3323" t="n">
        <v>25860</v>
      </c>
      <c r="D3323" t="n">
        <v>25910</v>
      </c>
      <c r="E3323" t="n">
        <v>26260</v>
      </c>
    </row>
    <row r="3324">
      <c r="A3324" t="inlineStr">
        <is>
          <t>25/02/2026</t>
        </is>
      </c>
      <c r="B3324" t="inlineStr">
        <is>
          <t>VietABank</t>
        </is>
      </c>
      <c r="C3324" t="n">
        <v>25909</v>
      </c>
      <c r="D3324" t="n">
        <v>25959</v>
      </c>
      <c r="E3324" t="n">
        <v>26309</v>
      </c>
    </row>
    <row r="3325">
      <c r="A3325" t="inlineStr">
        <is>
          <t>24/02/2026</t>
        </is>
      </c>
      <c r="B3325" t="inlineStr">
        <is>
          <t>VietABank</t>
        </is>
      </c>
      <c r="C3325" t="n">
        <v>25965</v>
      </c>
      <c r="D3325" t="n">
        <v>26015</v>
      </c>
      <c r="E3325" t="n">
        <v>26305</v>
      </c>
    </row>
    <row r="3326">
      <c r="A3326" t="inlineStr">
        <is>
          <t>23/02/2026</t>
        </is>
      </c>
      <c r="B3326" t="inlineStr">
        <is>
          <t>VietABank</t>
        </is>
      </c>
      <c r="C3326" t="n">
        <v>25890</v>
      </c>
      <c r="D3326" t="n">
        <v>25940</v>
      </c>
      <c r="E3326" t="n">
        <v>26290</v>
      </c>
    </row>
    <row r="3327">
      <c r="A3327" t="inlineStr">
        <is>
          <t>22/02/2026</t>
        </is>
      </c>
      <c r="B3327" t="inlineStr">
        <is>
          <t>VietABank</t>
        </is>
      </c>
      <c r="C3327" t="n">
        <v>25760</v>
      </c>
      <c r="D3327" t="n">
        <v>25810</v>
      </c>
      <c r="E3327" t="n">
        <v>26160</v>
      </c>
    </row>
    <row r="3328">
      <c r="A3328" t="inlineStr">
        <is>
          <t>21/02/2026</t>
        </is>
      </c>
      <c r="B3328" t="inlineStr">
        <is>
          <t>VietABank</t>
        </is>
      </c>
      <c r="C3328" t="n">
        <v>25760</v>
      </c>
      <c r="D3328" t="n">
        <v>25810</v>
      </c>
      <c r="E3328" t="n">
        <v>26160</v>
      </c>
    </row>
    <row r="3329">
      <c r="A3329" t="inlineStr">
        <is>
          <t>20/02/2026</t>
        </is>
      </c>
      <c r="B3329" t="inlineStr">
        <is>
          <t>VietABank</t>
        </is>
      </c>
      <c r="C3329" t="n">
        <v>25760</v>
      </c>
      <c r="D3329" t="n">
        <v>25810</v>
      </c>
      <c r="E3329" t="n">
        <v>26160</v>
      </c>
    </row>
    <row r="3330">
      <c r="A3330" t="inlineStr">
        <is>
          <t>19/02/2026</t>
        </is>
      </c>
      <c r="B3330" t="inlineStr">
        <is>
          <t>VietABank</t>
        </is>
      </c>
      <c r="C3330" t="n">
        <v>25760</v>
      </c>
      <c r="D3330" t="n">
        <v>25810</v>
      </c>
      <c r="E3330" t="n">
        <v>26160</v>
      </c>
    </row>
    <row r="3331">
      <c r="A3331" t="inlineStr">
        <is>
          <t>18/02/2026</t>
        </is>
      </c>
      <c r="B3331" t="inlineStr">
        <is>
          <t>VietABank</t>
        </is>
      </c>
      <c r="C3331" t="n">
        <v>25760</v>
      </c>
      <c r="D3331" t="n">
        <v>25810</v>
      </c>
      <c r="E3331" t="n">
        <v>26160</v>
      </c>
    </row>
    <row r="3332">
      <c r="A3332" t="inlineStr">
        <is>
          <t>17/02/2026</t>
        </is>
      </c>
      <c r="B3332" t="inlineStr">
        <is>
          <t>VietABank</t>
        </is>
      </c>
      <c r="C3332" t="n">
        <v>25760</v>
      </c>
      <c r="D3332" t="n">
        <v>25810</v>
      </c>
      <c r="E3332" t="n">
        <v>26160</v>
      </c>
    </row>
    <row r="3333">
      <c r="A3333" t="inlineStr">
        <is>
          <t>16/02/2026</t>
        </is>
      </c>
      <c r="B3333" t="inlineStr">
        <is>
          <t>VietABank</t>
        </is>
      </c>
      <c r="C3333" t="n">
        <v>25760</v>
      </c>
      <c r="D3333" t="n">
        <v>25810</v>
      </c>
      <c r="E3333" t="n">
        <v>26160</v>
      </c>
    </row>
    <row r="3334">
      <c r="A3334" t="inlineStr">
        <is>
          <t>15/02/2026</t>
        </is>
      </c>
      <c r="B3334" t="inlineStr">
        <is>
          <t>VietABank</t>
        </is>
      </c>
      <c r="C3334" t="n">
        <v>25760</v>
      </c>
      <c r="D3334" t="n">
        <v>25810</v>
      </c>
      <c r="E3334" t="n">
        <v>26160</v>
      </c>
    </row>
    <row r="3335">
      <c r="A3335" t="inlineStr">
        <is>
          <t>14/02/2026</t>
        </is>
      </c>
      <c r="B3335" t="inlineStr">
        <is>
          <t>VietABank</t>
        </is>
      </c>
      <c r="C3335" t="n">
        <v>25760</v>
      </c>
      <c r="D3335" t="n">
        <v>25810</v>
      </c>
      <c r="E3335" t="n">
        <v>26160</v>
      </c>
    </row>
    <row r="3336">
      <c r="A3336" t="inlineStr">
        <is>
          <t>13/02/2026</t>
        </is>
      </c>
      <c r="B3336" t="inlineStr">
        <is>
          <t>VietABank</t>
        </is>
      </c>
      <c r="C3336" t="n">
        <v>25760</v>
      </c>
      <c r="D3336" t="n">
        <v>25810</v>
      </c>
      <c r="E3336" t="n">
        <v>26160</v>
      </c>
    </row>
    <row r="3337">
      <c r="A3337" t="inlineStr">
        <is>
          <t>12/02/2026</t>
        </is>
      </c>
      <c r="B3337" t="inlineStr">
        <is>
          <t>VietABank</t>
        </is>
      </c>
      <c r="C3337" t="n">
        <v>25760</v>
      </c>
      <c r="D3337" t="n">
        <v>25810</v>
      </c>
      <c r="E3337" t="n">
        <v>26160</v>
      </c>
    </row>
    <row r="3338">
      <c r="A3338" t="inlineStr">
        <is>
          <t>11/02/2026</t>
        </is>
      </c>
      <c r="B3338" t="inlineStr">
        <is>
          <t>VietABank</t>
        </is>
      </c>
      <c r="C3338" t="n">
        <v>25760</v>
      </c>
      <c r="D3338" t="n">
        <v>25810</v>
      </c>
      <c r="E3338" t="n">
        <v>26160</v>
      </c>
    </row>
    <row r="3339">
      <c r="A3339" t="inlineStr">
        <is>
          <t>10/02/2026</t>
        </is>
      </c>
      <c r="B3339" t="inlineStr">
        <is>
          <t>VietABank</t>
        </is>
      </c>
      <c r="C3339" t="n">
        <v>25660</v>
      </c>
      <c r="D3339" t="n">
        <v>25710</v>
      </c>
      <c r="E3339" t="n">
        <v>26060</v>
      </c>
    </row>
    <row r="3340">
      <c r="A3340" t="inlineStr">
        <is>
          <t>09/02/2026</t>
        </is>
      </c>
      <c r="B3340" t="inlineStr">
        <is>
          <t>VietABank</t>
        </is>
      </c>
      <c r="C3340" t="n">
        <v>25700</v>
      </c>
      <c r="D3340" t="n">
        <v>25750</v>
      </c>
      <c r="E3340" t="n">
        <v>26100</v>
      </c>
    </row>
    <row r="3341">
      <c r="A3341" t="inlineStr">
        <is>
          <t>08/02/2026</t>
        </is>
      </c>
      <c r="B3341" t="inlineStr">
        <is>
          <t>VietABank</t>
        </is>
      </c>
      <c r="C3341" t="n">
        <v>25740</v>
      </c>
      <c r="D3341" t="n">
        <v>25790</v>
      </c>
      <c r="E3341" t="n">
        <v>26140</v>
      </c>
    </row>
    <row r="3342">
      <c r="A3342" t="inlineStr">
        <is>
          <t>07/02/2026</t>
        </is>
      </c>
      <c r="B3342" t="inlineStr">
        <is>
          <t>VietABank</t>
        </is>
      </c>
      <c r="C3342" t="n">
        <v>25740</v>
      </c>
      <c r="D3342" t="n">
        <v>25790</v>
      </c>
      <c r="E3342" t="n">
        <v>26140</v>
      </c>
    </row>
    <row r="3343">
      <c r="A3343" t="inlineStr">
        <is>
          <t>06/02/2026</t>
        </is>
      </c>
      <c r="B3343" t="inlineStr">
        <is>
          <t>VietABank</t>
        </is>
      </c>
      <c r="C3343" t="n">
        <v>25740</v>
      </c>
      <c r="D3343" t="n">
        <v>25790</v>
      </c>
      <c r="E3343" t="n">
        <v>26140</v>
      </c>
    </row>
    <row r="3344">
      <c r="A3344" t="inlineStr">
        <is>
          <t>05/02/2026</t>
        </is>
      </c>
      <c r="B3344" t="inlineStr">
        <is>
          <t>VietABank</t>
        </is>
      </c>
      <c r="C3344" t="n">
        <v>25770</v>
      </c>
      <c r="D3344" t="n">
        <v>25820</v>
      </c>
      <c r="E3344" t="n">
        <v>26150</v>
      </c>
    </row>
    <row r="3345">
      <c r="A3345" t="inlineStr">
        <is>
          <t>04/02/2026</t>
        </is>
      </c>
      <c r="B3345" t="inlineStr">
        <is>
          <t>VietABank</t>
        </is>
      </c>
      <c r="C3345" t="n">
        <v>25800</v>
      </c>
      <c r="D3345" t="n">
        <v>25850</v>
      </c>
      <c r="E3345" t="n">
        <v>26180</v>
      </c>
    </row>
    <row r="3346">
      <c r="A3346" t="inlineStr">
        <is>
          <t>03/02/2026</t>
        </is>
      </c>
      <c r="B3346" t="inlineStr">
        <is>
          <t>VietABank</t>
        </is>
      </c>
      <c r="C3346" t="n">
        <v>25800</v>
      </c>
      <c r="D3346" t="n">
        <v>25850</v>
      </c>
      <c r="E3346" t="n">
        <v>26180</v>
      </c>
    </row>
    <row r="3347">
      <c r="A3347" t="inlineStr">
        <is>
          <t>02/02/2026</t>
        </is>
      </c>
      <c r="B3347" t="inlineStr">
        <is>
          <t>VietABank</t>
        </is>
      </c>
      <c r="C3347" t="n">
        <v>25800</v>
      </c>
      <c r="D3347" t="n">
        <v>25850</v>
      </c>
      <c r="E3347" t="n">
        <v>26180</v>
      </c>
    </row>
    <row r="3348">
      <c r="A3348" t="inlineStr">
        <is>
          <t>01/02/2026</t>
        </is>
      </c>
      <c r="B3348" t="inlineStr">
        <is>
          <t>VietABank</t>
        </is>
      </c>
      <c r="C3348" t="n">
        <v>25730</v>
      </c>
      <c r="D3348" t="n">
        <v>25780</v>
      </c>
      <c r="E3348" t="n">
        <v>26110</v>
      </c>
    </row>
    <row r="3349">
      <c r="A3349" t="inlineStr">
        <is>
          <t>31/01/2026</t>
        </is>
      </c>
      <c r="B3349" t="inlineStr">
        <is>
          <t>VietABank</t>
        </is>
      </c>
      <c r="C3349" t="n">
        <v>25730</v>
      </c>
      <c r="D3349" t="n">
        <v>25780</v>
      </c>
      <c r="E3349" t="n">
        <v>26110</v>
      </c>
    </row>
    <row r="3350">
      <c r="A3350" t="inlineStr">
        <is>
          <t>30/01/2026</t>
        </is>
      </c>
      <c r="B3350" t="inlineStr">
        <is>
          <t>VietABank</t>
        </is>
      </c>
      <c r="C3350" t="n">
        <v>25730</v>
      </c>
      <c r="D3350" t="n">
        <v>25780</v>
      </c>
      <c r="E3350" t="n">
        <v>26110</v>
      </c>
    </row>
    <row r="3351">
      <c r="A3351" t="inlineStr">
        <is>
          <t>29/01/2026</t>
        </is>
      </c>
      <c r="B3351" t="inlineStr">
        <is>
          <t>VietABank</t>
        </is>
      </c>
      <c r="C3351" t="n">
        <v>25820</v>
      </c>
      <c r="D3351" t="n">
        <v>25870</v>
      </c>
      <c r="E3351" t="n">
        <v>26200</v>
      </c>
    </row>
    <row r="3352">
      <c r="A3352" t="inlineStr">
        <is>
          <t>28/01/2026</t>
        </is>
      </c>
      <c r="B3352" t="inlineStr">
        <is>
          <t>VietABank</t>
        </is>
      </c>
      <c r="C3352" t="n">
        <v>25880</v>
      </c>
      <c r="D3352" t="n">
        <v>25930</v>
      </c>
      <c r="E3352" t="n">
        <v>26260</v>
      </c>
    </row>
    <row r="3353">
      <c r="A3353" t="inlineStr">
        <is>
          <t>27/01/2026</t>
        </is>
      </c>
      <c r="B3353" t="inlineStr">
        <is>
          <t>VietABank</t>
        </is>
      </c>
      <c r="C3353" t="n">
        <v>25950</v>
      </c>
      <c r="D3353" t="n">
        <v>26000</v>
      </c>
      <c r="E3353" t="n">
        <v>26330</v>
      </c>
    </row>
    <row r="3354">
      <c r="A3354" t="inlineStr">
        <is>
          <t>26/01/2026</t>
        </is>
      </c>
      <c r="B3354" t="inlineStr">
        <is>
          <t>VietABank</t>
        </is>
      </c>
      <c r="C3354" t="n">
        <v>25988</v>
      </c>
      <c r="D3354" t="n">
        <v>26038</v>
      </c>
      <c r="E3354" t="n">
        <v>26368</v>
      </c>
    </row>
    <row r="3355">
      <c r="A3355" t="inlineStr">
        <is>
          <t>25/01/2026</t>
        </is>
      </c>
      <c r="B3355" t="inlineStr">
        <is>
          <t>VietABank</t>
        </is>
      </c>
      <c r="C3355" t="n">
        <v>26041</v>
      </c>
      <c r="D3355" t="n">
        <v>26091</v>
      </c>
      <c r="E3355" t="n">
        <v>26381</v>
      </c>
    </row>
    <row r="3356">
      <c r="A3356" t="inlineStr">
        <is>
          <t>24/01/2026</t>
        </is>
      </c>
      <c r="B3356" t="inlineStr">
        <is>
          <t>VietABank</t>
        </is>
      </c>
      <c r="C3356" t="n">
        <v>26041</v>
      </c>
      <c r="D3356" t="n">
        <v>26091</v>
      </c>
      <c r="E3356" t="n">
        <v>26381</v>
      </c>
    </row>
    <row r="3357">
      <c r="A3357" t="inlineStr">
        <is>
          <t>23/01/2026</t>
        </is>
      </c>
      <c r="B3357" t="inlineStr">
        <is>
          <t>VietABank</t>
        </is>
      </c>
      <c r="C3357" t="n">
        <v>26041</v>
      </c>
      <c r="D3357" t="n">
        <v>26091</v>
      </c>
      <c r="E3357" t="n">
        <v>26381</v>
      </c>
    </row>
    <row r="3358">
      <c r="A3358" t="inlineStr">
        <is>
          <t>22/01/2026</t>
        </is>
      </c>
      <c r="B3358" t="inlineStr">
        <is>
          <t>VietABank</t>
        </is>
      </c>
      <c r="C3358" t="n">
        <v>26061</v>
      </c>
      <c r="D3358" t="n">
        <v>26111</v>
      </c>
      <c r="E3358" t="n">
        <v>26381</v>
      </c>
    </row>
    <row r="3359">
      <c r="A3359" t="inlineStr">
        <is>
          <t>21/01/2026</t>
        </is>
      </c>
      <c r="B3359" t="inlineStr">
        <is>
          <t>VietABank</t>
        </is>
      </c>
      <c r="C3359" t="n">
        <v>26060</v>
      </c>
      <c r="D3359" t="n">
        <v>26110</v>
      </c>
      <c r="E3359" t="n">
        <v>26380</v>
      </c>
    </row>
    <row r="3360">
      <c r="A3360" t="inlineStr">
        <is>
          <t>20/01/2026</t>
        </is>
      </c>
      <c r="B3360" t="inlineStr">
        <is>
          <t>VietABank</t>
        </is>
      </c>
      <c r="C3360" t="n">
        <v>26066</v>
      </c>
      <c r="D3360" t="n">
        <v>26116</v>
      </c>
      <c r="E3360" t="n">
        <v>26386</v>
      </c>
    </row>
    <row r="3361">
      <c r="A3361" t="inlineStr">
        <is>
          <t>19/01/2026</t>
        </is>
      </c>
      <c r="B3361" t="inlineStr">
        <is>
          <t>VietABank</t>
        </is>
      </c>
      <c r="C3361" t="n">
        <v>26068</v>
      </c>
      <c r="D3361" t="n">
        <v>26118</v>
      </c>
      <c r="E3361" t="n">
        <v>26388</v>
      </c>
    </row>
    <row r="3362">
      <c r="A3362" t="inlineStr">
        <is>
          <t>18/01/2026</t>
        </is>
      </c>
      <c r="B3362" t="inlineStr">
        <is>
          <t>VietABank</t>
        </is>
      </c>
      <c r="C3362" t="n">
        <v>26067</v>
      </c>
      <c r="D3362" t="n">
        <v>26117</v>
      </c>
      <c r="E3362" t="n">
        <v>26387</v>
      </c>
    </row>
    <row r="3363">
      <c r="A3363" t="inlineStr">
        <is>
          <t>17/01/2026</t>
        </is>
      </c>
      <c r="B3363" t="inlineStr">
        <is>
          <t>VietABank</t>
        </is>
      </c>
      <c r="C3363" t="n">
        <v>26067</v>
      </c>
      <c r="D3363" t="n">
        <v>26117</v>
      </c>
      <c r="E3363" t="n">
        <v>26387</v>
      </c>
    </row>
    <row r="3364">
      <c r="A3364" t="inlineStr">
        <is>
          <t>16/01/2026</t>
        </is>
      </c>
      <c r="B3364" t="inlineStr">
        <is>
          <t>VietABank</t>
        </is>
      </c>
      <c r="C3364" t="n">
        <v>26067</v>
      </c>
      <c r="D3364" t="n">
        <v>26117</v>
      </c>
      <c r="E3364" t="n">
        <v>26387</v>
      </c>
    </row>
    <row r="3365">
      <c r="A3365" t="inlineStr">
        <is>
          <t>15/01/2026</t>
        </is>
      </c>
      <c r="B3365" t="inlineStr">
        <is>
          <t>VietABank</t>
        </is>
      </c>
      <c r="C3365" t="n">
        <v>26071</v>
      </c>
      <c r="D3365" t="n">
        <v>26121</v>
      </c>
      <c r="E3365" t="n">
        <v>26391</v>
      </c>
    </row>
    <row r="3366">
      <c r="A3366" t="inlineStr">
        <is>
          <t>14/01/2026</t>
        </is>
      </c>
      <c r="B3366" t="inlineStr">
        <is>
          <t>VietABank</t>
        </is>
      </c>
      <c r="C3366" t="n">
        <v>26071</v>
      </c>
      <c r="D3366" t="n">
        <v>26121</v>
      </c>
      <c r="E3366" t="n">
        <v>26391</v>
      </c>
    </row>
    <row r="3367">
      <c r="A3367" t="inlineStr">
        <is>
          <t>13/01/2026</t>
        </is>
      </c>
      <c r="B3367" t="inlineStr">
        <is>
          <t>VietABank</t>
        </is>
      </c>
      <c r="C3367" t="n">
        <v>26065</v>
      </c>
      <c r="D3367" t="n">
        <v>26115</v>
      </c>
      <c r="E3367" t="n">
        <v>26385</v>
      </c>
    </row>
    <row r="3368">
      <c r="A3368" t="inlineStr">
        <is>
          <t>12/01/2026</t>
        </is>
      </c>
      <c r="B3368" t="inlineStr">
        <is>
          <t>VietABank</t>
        </is>
      </c>
      <c r="C3368" t="n">
        <v>26065</v>
      </c>
      <c r="D3368" t="n">
        <v>26115</v>
      </c>
      <c r="E3368" t="n">
        <v>26385</v>
      </c>
    </row>
    <row r="3369">
      <c r="A3369" t="inlineStr">
        <is>
          <t>11/01/2026</t>
        </is>
      </c>
      <c r="B3369" t="inlineStr">
        <is>
          <t>VietABank</t>
        </is>
      </c>
      <c r="C3369" t="n">
        <v>26067</v>
      </c>
      <c r="D3369" t="n">
        <v>26117</v>
      </c>
      <c r="E3369" t="n">
        <v>26387</v>
      </c>
    </row>
    <row r="3370">
      <c r="A3370" t="inlineStr">
        <is>
          <t>10/01/2026</t>
        </is>
      </c>
      <c r="B3370" t="inlineStr">
        <is>
          <t>VietABank</t>
        </is>
      </c>
      <c r="C3370" t="n">
        <v>26067</v>
      </c>
      <c r="D3370" t="n">
        <v>26117</v>
      </c>
      <c r="E3370" t="n">
        <v>26387</v>
      </c>
    </row>
    <row r="3371">
      <c r="A3371" t="inlineStr">
        <is>
          <t>09/01/2026</t>
        </is>
      </c>
      <c r="B3371" t="inlineStr">
        <is>
          <t>VietABank</t>
        </is>
      </c>
      <c r="C3371" t="n">
        <v>26063</v>
      </c>
      <c r="D3371" t="n">
        <v>26113</v>
      </c>
      <c r="E3371" t="n">
        <v>26383</v>
      </c>
    </row>
    <row r="3372">
      <c r="A3372" t="inlineStr">
        <is>
          <t>08/01/2026</t>
        </is>
      </c>
      <c r="B3372" t="inlineStr">
        <is>
          <t>VietABank</t>
        </is>
      </c>
      <c r="C3372" t="n">
        <v>26061</v>
      </c>
      <c r="D3372" t="n">
        <v>26111</v>
      </c>
      <c r="E3372" t="n">
        <v>26381</v>
      </c>
    </row>
    <row r="3373">
      <c r="A3373" t="inlineStr">
        <is>
          <t>07/01/2026</t>
        </is>
      </c>
      <c r="B3373" t="inlineStr">
        <is>
          <t>VietABank</t>
        </is>
      </c>
      <c r="C3373" t="n">
        <v>26058</v>
      </c>
      <c r="D3373" t="n">
        <v>26108</v>
      </c>
      <c r="E3373" t="n">
        <v>26378</v>
      </c>
    </row>
    <row r="3374">
      <c r="A3374" t="inlineStr">
        <is>
          <t>06/01/2026</t>
        </is>
      </c>
      <c r="B3374" t="inlineStr">
        <is>
          <t>VietABank</t>
        </is>
      </c>
      <c r="C3374" t="n">
        <v>26058</v>
      </c>
      <c r="D3374" t="n">
        <v>26108</v>
      </c>
      <c r="E3374" t="n">
        <v>26378</v>
      </c>
    </row>
    <row r="3375">
      <c r="A3375" t="inlineStr">
        <is>
          <t>05/01/2026</t>
        </is>
      </c>
      <c r="B3375" t="inlineStr">
        <is>
          <t>VietABank</t>
        </is>
      </c>
      <c r="C3375" t="n">
        <v>26060</v>
      </c>
      <c r="D3375" t="n">
        <v>26110</v>
      </c>
      <c r="E3375" t="n">
        <v>26380</v>
      </c>
    </row>
    <row r="3376">
      <c r="A3376" t="inlineStr">
        <is>
          <t>04/01/2026</t>
        </is>
      </c>
      <c r="B3376" t="inlineStr">
        <is>
          <t>VietABank</t>
        </is>
      </c>
      <c r="C3376" t="n">
        <v>26057</v>
      </c>
      <c r="D3376" t="n">
        <v>26107</v>
      </c>
      <c r="E3376" t="n">
        <v>26377</v>
      </c>
    </row>
    <row r="3377">
      <c r="A3377" t="inlineStr">
        <is>
          <t>03/01/2026</t>
        </is>
      </c>
      <c r="B3377" t="inlineStr">
        <is>
          <t>VietABank</t>
        </is>
      </c>
      <c r="C3377" t="n">
        <v>26057</v>
      </c>
      <c r="D3377" t="n">
        <v>26107</v>
      </c>
      <c r="E3377" t="n">
        <v>26377</v>
      </c>
    </row>
    <row r="3378">
      <c r="A3378" t="inlineStr">
        <is>
          <t>02/01/2026</t>
        </is>
      </c>
      <c r="B3378" t="inlineStr">
        <is>
          <t>VietABank</t>
        </is>
      </c>
      <c r="C3378" t="n">
        <v>26057</v>
      </c>
      <c r="D3378" t="n">
        <v>26107</v>
      </c>
      <c r="E3378" t="n">
        <v>26377</v>
      </c>
    </row>
    <row r="3379">
      <c r="A3379" t="inlineStr">
        <is>
          <t>01/01/2026</t>
        </is>
      </c>
      <c r="B3379" t="inlineStr">
        <is>
          <t>VietABank</t>
        </is>
      </c>
      <c r="C3379" t="n">
        <v>26057</v>
      </c>
      <c r="D3379" t="n">
        <v>26107</v>
      </c>
      <c r="E3379" t="n">
        <v>26377</v>
      </c>
    </row>
    <row r="3380">
      <c r="A3380" t="inlineStr">
        <is>
          <t>10/09/2026</t>
        </is>
      </c>
      <c r="B3380" t="inlineStr">
        <is>
          <t>VietABank</t>
        </is>
      </c>
      <c r="C3380" t="n">
        <v>25680</v>
      </c>
      <c r="D3380" t="n">
        <v>25730</v>
      </c>
      <c r="E3380" t="n">
        <v>26080</v>
      </c>
    </row>
    <row r="3381">
      <c r="A3381" t="inlineStr">
        <is>
          <t>11/09/2026</t>
        </is>
      </c>
      <c r="B3381" t="inlineStr">
        <is>
          <t>VietABank</t>
        </is>
      </c>
      <c r="C3381" t="n">
        <v>25700</v>
      </c>
      <c r="D3381" t="n">
        <v>25750</v>
      </c>
      <c r="E3381" t="n">
        <v>26100</v>
      </c>
    </row>
    <row r="3382">
      <c r="A3382" t="inlineStr">
        <is>
          <t>12/09/2026</t>
        </is>
      </c>
      <c r="B3382" t="inlineStr">
        <is>
          <t>VietABank</t>
        </is>
      </c>
      <c r="C3382" t="n">
        <v>25700</v>
      </c>
      <c r="D3382" t="n">
        <v>25750</v>
      </c>
      <c r="E3382" t="n">
        <v>26100</v>
      </c>
    </row>
    <row r="3383">
      <c r="A3383" t="inlineStr">
        <is>
          <t>13/09/2026</t>
        </is>
      </c>
      <c r="B3383" t="inlineStr">
        <is>
          <t>VietABank</t>
        </is>
      </c>
      <c r="C3383" t="n">
        <v>25700</v>
      </c>
      <c r="D3383" t="n">
        <v>25750</v>
      </c>
      <c r="E3383" t="n">
        <v>26100</v>
      </c>
    </row>
    <row r="3384">
      <c r="A3384" t="inlineStr">
        <is>
          <t>14/09/2026</t>
        </is>
      </c>
      <c r="B3384" t="inlineStr">
        <is>
          <t>VietABank</t>
        </is>
      </c>
      <c r="C3384" t="n">
        <v>25770</v>
      </c>
      <c r="D3384" t="n">
        <v>25820</v>
      </c>
      <c r="E3384" t="n">
        <v>26170</v>
      </c>
    </row>
    <row r="3385">
      <c r="A3385" t="inlineStr">
        <is>
          <t>15/09/2026</t>
        </is>
      </c>
      <c r="B3385" t="inlineStr">
        <is>
          <t>VietABank</t>
        </is>
      </c>
      <c r="C3385" t="n">
        <v>25730</v>
      </c>
      <c r="D3385" t="n">
        <v>25780</v>
      </c>
      <c r="E3385" t="n">
        <v>26130</v>
      </c>
    </row>
    <row r="3386">
      <c r="A3386" t="inlineStr">
        <is>
          <t>16/09/2026</t>
        </is>
      </c>
      <c r="B3386" t="inlineStr">
        <is>
          <t>VietABank</t>
        </is>
      </c>
      <c r="C3386" t="n">
        <v>25755</v>
      </c>
      <c r="D3386" t="n">
        <v>25805</v>
      </c>
      <c r="E3386" t="n">
        <v>26155</v>
      </c>
    </row>
    <row r="3387">
      <c r="A3387" t="inlineStr">
        <is>
          <t>18/09/2026</t>
        </is>
      </c>
      <c r="B3387" t="inlineStr">
        <is>
          <t>VietABank</t>
        </is>
      </c>
      <c r="C3387" t="n">
        <v>25780</v>
      </c>
      <c r="D3387" t="n">
        <v>25830</v>
      </c>
      <c r="E3387" t="n">
        <v>26180</v>
      </c>
    </row>
    <row r="3388">
      <c r="A3388" t="inlineStr">
        <is>
          <t>09/09/2026</t>
        </is>
      </c>
      <c r="B3388" t="inlineStr">
        <is>
          <t>Vietcombank</t>
        </is>
      </c>
      <c r="C3388" t="n">
        <v>25680</v>
      </c>
      <c r="D3388" t="n">
        <v>25710</v>
      </c>
      <c r="E3388" t="n">
        <v>26090</v>
      </c>
    </row>
    <row r="3389">
      <c r="A3389" t="inlineStr">
        <is>
          <t>08/09/2026</t>
        </is>
      </c>
      <c r="B3389" t="inlineStr">
        <is>
          <t>Vietcombank</t>
        </is>
      </c>
      <c r="C3389" t="n">
        <v>25750</v>
      </c>
      <c r="D3389" t="n">
        <v>25780</v>
      </c>
      <c r="E3389" t="n">
        <v>26160</v>
      </c>
    </row>
    <row r="3390">
      <c r="A3390" t="inlineStr">
        <is>
          <t>07/09/2026</t>
        </is>
      </c>
      <c r="B3390" t="inlineStr">
        <is>
          <t>Vietcombank</t>
        </is>
      </c>
      <c r="C3390" t="n">
        <v>25800</v>
      </c>
      <c r="D3390" t="n">
        <v>25830</v>
      </c>
      <c r="E3390" t="n">
        <v>26210</v>
      </c>
    </row>
    <row r="3391">
      <c r="A3391" t="inlineStr">
        <is>
          <t>06/09/2026</t>
        </is>
      </c>
      <c r="B3391" t="inlineStr">
        <is>
          <t>Vietcombank</t>
        </is>
      </c>
      <c r="C3391" t="n">
        <v>25845</v>
      </c>
      <c r="D3391" t="n">
        <v>25875</v>
      </c>
      <c r="E3391" t="n">
        <v>26255</v>
      </c>
    </row>
    <row r="3392">
      <c r="A3392" t="inlineStr">
        <is>
          <t>05/09/2026</t>
        </is>
      </c>
      <c r="B3392" t="inlineStr">
        <is>
          <t>Vietcombank</t>
        </is>
      </c>
      <c r="C3392" t="n">
        <v>25845</v>
      </c>
      <c r="D3392" t="n">
        <v>25875</v>
      </c>
      <c r="E3392" t="n">
        <v>26255</v>
      </c>
    </row>
    <row r="3393">
      <c r="A3393" t="inlineStr">
        <is>
          <t>04/09/2026</t>
        </is>
      </c>
      <c r="B3393" t="inlineStr">
        <is>
          <t>Vietcombank</t>
        </is>
      </c>
      <c r="C3393" t="n">
        <v>25845</v>
      </c>
      <c r="D3393" t="n">
        <v>25875</v>
      </c>
      <c r="E3393" t="n">
        <v>26255</v>
      </c>
    </row>
    <row r="3394">
      <c r="A3394" t="inlineStr">
        <is>
          <t>03/09/2026</t>
        </is>
      </c>
      <c r="B3394" t="inlineStr">
        <is>
          <t>Vietcombank</t>
        </is>
      </c>
      <c r="C3394" t="n">
        <v>25850</v>
      </c>
      <c r="D3394" t="n">
        <v>25880</v>
      </c>
      <c r="E3394" t="n">
        <v>26260</v>
      </c>
    </row>
    <row r="3395">
      <c r="A3395" t="inlineStr">
        <is>
          <t>02/09/2026</t>
        </is>
      </c>
      <c r="B3395" t="inlineStr">
        <is>
          <t>Vietcombank</t>
        </is>
      </c>
      <c r="C3395" t="n">
        <v>25850</v>
      </c>
      <c r="D3395" t="n">
        <v>25880</v>
      </c>
      <c r="E3395" t="n">
        <v>26260</v>
      </c>
    </row>
    <row r="3396">
      <c r="A3396" t="inlineStr">
        <is>
          <t>01/09/2026</t>
        </is>
      </c>
      <c r="B3396" t="inlineStr">
        <is>
          <t>Vietcombank</t>
        </is>
      </c>
      <c r="C3396" t="n">
        <v>25850</v>
      </c>
      <c r="D3396" t="n">
        <v>25880</v>
      </c>
      <c r="E3396" t="n">
        <v>26260</v>
      </c>
    </row>
    <row r="3397">
      <c r="A3397" t="inlineStr">
        <is>
          <t>31/08/2026</t>
        </is>
      </c>
      <c r="B3397" t="inlineStr">
        <is>
          <t>Vietcombank</t>
        </is>
      </c>
      <c r="C3397" t="n">
        <v>25850</v>
      </c>
      <c r="D3397" t="n">
        <v>25880</v>
      </c>
      <c r="E3397" t="n">
        <v>26260</v>
      </c>
    </row>
    <row r="3398">
      <c r="A3398" t="inlineStr">
        <is>
          <t>30/08/2026</t>
        </is>
      </c>
      <c r="B3398" t="inlineStr">
        <is>
          <t>Vietcombank</t>
        </is>
      </c>
      <c r="C3398" t="n">
        <v>25850</v>
      </c>
      <c r="D3398" t="n">
        <v>25880</v>
      </c>
      <c r="E3398" t="n">
        <v>26260</v>
      </c>
    </row>
    <row r="3399">
      <c r="A3399" t="inlineStr">
        <is>
          <t>29/08/2026</t>
        </is>
      </c>
      <c r="B3399" t="inlineStr">
        <is>
          <t>Vietcombank</t>
        </is>
      </c>
      <c r="C3399" t="n">
        <v>25850</v>
      </c>
      <c r="D3399" t="n">
        <v>25880</v>
      </c>
      <c r="E3399" t="n">
        <v>26260</v>
      </c>
    </row>
    <row r="3400">
      <c r="A3400" t="inlineStr">
        <is>
          <t>28/08/2026</t>
        </is>
      </c>
      <c r="B3400" t="inlineStr">
        <is>
          <t>Vietcombank</t>
        </is>
      </c>
      <c r="C3400" t="n">
        <v>25850</v>
      </c>
      <c r="D3400" t="n">
        <v>25880</v>
      </c>
      <c r="E3400" t="n">
        <v>26260</v>
      </c>
    </row>
    <row r="3401">
      <c r="A3401" t="inlineStr">
        <is>
          <t>27/08/2026</t>
        </is>
      </c>
      <c r="B3401" t="inlineStr">
        <is>
          <t>Vietcombank</t>
        </is>
      </c>
      <c r="C3401" t="n">
        <v>25860</v>
      </c>
      <c r="D3401" t="n">
        <v>25890</v>
      </c>
      <c r="E3401" t="n">
        <v>26270</v>
      </c>
    </row>
    <row r="3402">
      <c r="A3402" t="inlineStr">
        <is>
          <t>26/08/2026</t>
        </is>
      </c>
      <c r="B3402" t="inlineStr">
        <is>
          <t>Vietcombank</t>
        </is>
      </c>
      <c r="C3402" t="n">
        <v>25890</v>
      </c>
      <c r="D3402" t="n">
        <v>25920</v>
      </c>
      <c r="E3402" t="n">
        <v>26300</v>
      </c>
    </row>
    <row r="3403">
      <c r="A3403" t="inlineStr">
        <is>
          <t>25/08/2026</t>
        </is>
      </c>
      <c r="B3403" t="inlineStr">
        <is>
          <t>Vietcombank</t>
        </is>
      </c>
      <c r="C3403" t="n">
        <v>25900</v>
      </c>
      <c r="D3403" t="n">
        <v>25930</v>
      </c>
      <c r="E3403" t="n">
        <v>26310</v>
      </c>
    </row>
    <row r="3404">
      <c r="A3404" t="inlineStr">
        <is>
          <t>24/08/2026</t>
        </is>
      </c>
      <c r="B3404" t="inlineStr">
        <is>
          <t>Vietcombank</t>
        </is>
      </c>
      <c r="C3404" t="n">
        <v>25950</v>
      </c>
      <c r="D3404" t="n">
        <v>25980</v>
      </c>
      <c r="E3404" t="n">
        <v>26360</v>
      </c>
    </row>
    <row r="3405">
      <c r="A3405" t="inlineStr">
        <is>
          <t>23/08/2026</t>
        </is>
      </c>
      <c r="B3405" t="inlineStr">
        <is>
          <t>Vietcombank</t>
        </is>
      </c>
      <c r="C3405" t="n">
        <v>25900</v>
      </c>
      <c r="D3405" t="n">
        <v>25930</v>
      </c>
      <c r="E3405" t="n">
        <v>26310</v>
      </c>
    </row>
    <row r="3406">
      <c r="A3406" t="inlineStr">
        <is>
          <t>22/08/2026</t>
        </is>
      </c>
      <c r="B3406" t="inlineStr">
        <is>
          <t>Vietcombank</t>
        </is>
      </c>
      <c r="C3406" t="n">
        <v>25900</v>
      </c>
      <c r="D3406" t="n">
        <v>25930</v>
      </c>
      <c r="E3406" t="n">
        <v>26310</v>
      </c>
    </row>
    <row r="3407">
      <c r="A3407" t="inlineStr">
        <is>
          <t>21/08/2026</t>
        </is>
      </c>
      <c r="B3407" t="inlineStr">
        <is>
          <t>Vietcombank</t>
        </is>
      </c>
      <c r="C3407" t="n">
        <v>25870</v>
      </c>
      <c r="D3407" t="n">
        <v>25900</v>
      </c>
      <c r="E3407" t="n">
        <v>26280</v>
      </c>
    </row>
    <row r="3408">
      <c r="A3408" t="inlineStr">
        <is>
          <t>20/08/2026</t>
        </is>
      </c>
      <c r="B3408" t="inlineStr">
        <is>
          <t>Vietcombank</t>
        </is>
      </c>
      <c r="C3408" t="n">
        <v>25900</v>
      </c>
      <c r="D3408" t="n">
        <v>25930</v>
      </c>
      <c r="E3408" t="n">
        <v>26310</v>
      </c>
    </row>
    <row r="3409">
      <c r="A3409" t="inlineStr">
        <is>
          <t>19/08/2026</t>
        </is>
      </c>
      <c r="B3409" t="inlineStr">
        <is>
          <t>Vietcombank</t>
        </is>
      </c>
      <c r="C3409" t="n">
        <v>25960</v>
      </c>
      <c r="D3409" t="n">
        <v>25990</v>
      </c>
      <c r="E3409" t="n">
        <v>26370</v>
      </c>
    </row>
    <row r="3410">
      <c r="A3410" t="inlineStr">
        <is>
          <t>18/08/2026</t>
        </is>
      </c>
      <c r="B3410" t="inlineStr">
        <is>
          <t>Vietcombank</t>
        </is>
      </c>
      <c r="C3410" t="n">
        <v>25970</v>
      </c>
      <c r="D3410" t="n">
        <v>26000</v>
      </c>
      <c r="E3410" t="n">
        <v>26380</v>
      </c>
    </row>
    <row r="3411">
      <c r="A3411" t="inlineStr">
        <is>
          <t>17/08/2026</t>
        </is>
      </c>
      <c r="B3411" t="inlineStr">
        <is>
          <t>Vietcombank</t>
        </is>
      </c>
      <c r="C3411" t="n">
        <v>25990</v>
      </c>
      <c r="D3411" t="n">
        <v>26020</v>
      </c>
      <c r="E3411" t="n">
        <v>26400</v>
      </c>
    </row>
    <row r="3412">
      <c r="A3412" t="inlineStr">
        <is>
          <t>16/08/2026</t>
        </is>
      </c>
      <c r="B3412" t="inlineStr">
        <is>
          <t>Vietcombank</t>
        </is>
      </c>
      <c r="C3412" t="n">
        <v>25920</v>
      </c>
      <c r="D3412" t="n">
        <v>25950</v>
      </c>
      <c r="E3412" t="n">
        <v>26330</v>
      </c>
    </row>
    <row r="3413">
      <c r="A3413" t="inlineStr">
        <is>
          <t>15/08/2026</t>
        </is>
      </c>
      <c r="B3413" t="inlineStr">
        <is>
          <t>Vietcombank</t>
        </is>
      </c>
      <c r="C3413" t="n">
        <v>25920</v>
      </c>
      <c r="D3413" t="n">
        <v>25950</v>
      </c>
      <c r="E3413" t="n">
        <v>26330</v>
      </c>
    </row>
    <row r="3414">
      <c r="A3414" t="inlineStr">
        <is>
          <t>14/08/2026</t>
        </is>
      </c>
      <c r="B3414" t="inlineStr">
        <is>
          <t>Vietcombank</t>
        </is>
      </c>
      <c r="C3414" t="n">
        <v>25920</v>
      </c>
      <c r="D3414" t="n">
        <v>25950</v>
      </c>
      <c r="E3414" t="n">
        <v>26330</v>
      </c>
    </row>
    <row r="3415">
      <c r="A3415" t="inlineStr">
        <is>
          <t>13/08/2026</t>
        </is>
      </c>
      <c r="B3415" t="inlineStr">
        <is>
          <t>Vietcombank</t>
        </is>
      </c>
      <c r="C3415" t="n">
        <v>25840</v>
      </c>
      <c r="D3415" t="n">
        <v>25870</v>
      </c>
      <c r="E3415" t="n">
        <v>26250</v>
      </c>
    </row>
    <row r="3416">
      <c r="A3416" t="inlineStr">
        <is>
          <t>12/08/2026</t>
        </is>
      </c>
      <c r="B3416" t="inlineStr">
        <is>
          <t>Vietcombank</t>
        </is>
      </c>
      <c r="C3416" t="n">
        <v>25860</v>
      </c>
      <c r="D3416" t="n">
        <v>25890</v>
      </c>
      <c r="E3416" t="n">
        <v>26270</v>
      </c>
    </row>
    <row r="3417">
      <c r="A3417" t="inlineStr">
        <is>
          <t>11/08/2026</t>
        </is>
      </c>
      <c r="B3417" t="inlineStr">
        <is>
          <t>Vietcombank</t>
        </is>
      </c>
      <c r="C3417" t="n">
        <v>25910</v>
      </c>
      <c r="D3417" t="n">
        <v>25940</v>
      </c>
      <c r="E3417" t="n">
        <v>26320</v>
      </c>
    </row>
    <row r="3418">
      <c r="A3418" t="inlineStr">
        <is>
          <t>10/08/2026</t>
        </is>
      </c>
      <c r="B3418" t="inlineStr">
        <is>
          <t>Vietcombank</t>
        </is>
      </c>
      <c r="C3418" t="n">
        <v>25940</v>
      </c>
      <c r="D3418" t="n">
        <v>25970</v>
      </c>
      <c r="E3418" t="n">
        <v>26350</v>
      </c>
    </row>
    <row r="3419">
      <c r="A3419" t="inlineStr">
        <is>
          <t>09/08/2026</t>
        </is>
      </c>
      <c r="B3419" t="inlineStr">
        <is>
          <t>Vietcombank</t>
        </is>
      </c>
      <c r="C3419" t="n">
        <v>26000</v>
      </c>
      <c r="D3419" t="n">
        <v>26030</v>
      </c>
      <c r="E3419" t="n">
        <v>26410</v>
      </c>
    </row>
    <row r="3420">
      <c r="A3420" t="inlineStr">
        <is>
          <t>08/08/2026</t>
        </is>
      </c>
      <c r="B3420" t="inlineStr">
        <is>
          <t>Vietcombank</t>
        </is>
      </c>
      <c r="C3420" t="n">
        <v>26000</v>
      </c>
      <c r="D3420" t="n">
        <v>26030</v>
      </c>
      <c r="E3420" t="n">
        <v>26410</v>
      </c>
    </row>
    <row r="3421">
      <c r="A3421" t="inlineStr">
        <is>
          <t>07/08/2026</t>
        </is>
      </c>
      <c r="B3421" t="inlineStr">
        <is>
          <t>Vietcombank</t>
        </is>
      </c>
      <c r="C3421" t="n">
        <v>26000</v>
      </c>
      <c r="D3421" t="n">
        <v>26030</v>
      </c>
      <c r="E3421" t="n">
        <v>26410</v>
      </c>
    </row>
    <row r="3422">
      <c r="A3422" t="inlineStr">
        <is>
          <t>06/08/2026</t>
        </is>
      </c>
      <c r="B3422" t="inlineStr">
        <is>
          <t>Vietcombank</t>
        </is>
      </c>
      <c r="C3422" t="n">
        <v>26010</v>
      </c>
      <c r="D3422" t="n">
        <v>26040</v>
      </c>
      <c r="E3422" t="n">
        <v>26420</v>
      </c>
    </row>
    <row r="3423">
      <c r="A3423" t="inlineStr">
        <is>
          <t>05/08/2026</t>
        </is>
      </c>
      <c r="B3423" t="inlineStr">
        <is>
          <t>Vietcombank</t>
        </is>
      </c>
      <c r="C3423" t="n">
        <v>26050</v>
      </c>
      <c r="D3423" t="n">
        <v>26080</v>
      </c>
      <c r="E3423" t="n">
        <v>26460</v>
      </c>
    </row>
    <row r="3424">
      <c r="A3424" t="inlineStr">
        <is>
          <t>04/08/2026</t>
        </is>
      </c>
      <c r="B3424" t="inlineStr">
        <is>
          <t>Vietcombank</t>
        </is>
      </c>
      <c r="C3424" t="n">
        <v>26050</v>
      </c>
      <c r="D3424" t="n">
        <v>26080</v>
      </c>
      <c r="E3424" t="n">
        <v>26460</v>
      </c>
    </row>
    <row r="3425">
      <c r="A3425" t="inlineStr">
        <is>
          <t>03/08/2026</t>
        </is>
      </c>
      <c r="B3425" t="inlineStr">
        <is>
          <t>Vietcombank</t>
        </is>
      </c>
      <c r="C3425" t="n">
        <v>26070</v>
      </c>
      <c r="D3425" t="n">
        <v>26100</v>
      </c>
      <c r="E3425" t="n">
        <v>26480</v>
      </c>
    </row>
    <row r="3426">
      <c r="A3426" t="inlineStr">
        <is>
          <t>02/08/2026</t>
        </is>
      </c>
      <c r="B3426" t="inlineStr">
        <is>
          <t>Vietcombank</t>
        </is>
      </c>
      <c r="C3426" t="n">
        <v>26080</v>
      </c>
      <c r="D3426" t="n">
        <v>26110</v>
      </c>
      <c r="E3426" t="n">
        <v>26490</v>
      </c>
    </row>
    <row r="3427">
      <c r="A3427" t="inlineStr">
        <is>
          <t>01/08/2026</t>
        </is>
      </c>
      <c r="B3427" t="inlineStr">
        <is>
          <t>Vietcombank</t>
        </is>
      </c>
      <c r="C3427" t="n">
        <v>26080</v>
      </c>
      <c r="D3427" t="n">
        <v>26110</v>
      </c>
      <c r="E3427" t="n">
        <v>26490</v>
      </c>
    </row>
    <row r="3428">
      <c r="A3428" t="inlineStr">
        <is>
          <t>31/07/2026</t>
        </is>
      </c>
      <c r="B3428" t="inlineStr">
        <is>
          <t>Vietcombank</t>
        </is>
      </c>
      <c r="C3428" t="n">
        <v>26080</v>
      </c>
      <c r="D3428" t="n">
        <v>26110</v>
      </c>
      <c r="E3428" t="n">
        <v>26490</v>
      </c>
    </row>
    <row r="3429">
      <c r="A3429" t="inlineStr">
        <is>
          <t>30/07/2026</t>
        </is>
      </c>
      <c r="B3429" t="inlineStr">
        <is>
          <t>Vietcombank</t>
        </is>
      </c>
      <c r="C3429" t="n">
        <v>26080</v>
      </c>
      <c r="D3429" t="n">
        <v>26110</v>
      </c>
      <c r="E3429" t="n">
        <v>26490</v>
      </c>
    </row>
    <row r="3430">
      <c r="A3430" t="inlineStr">
        <is>
          <t>29/07/2026</t>
        </is>
      </c>
      <c r="B3430" t="inlineStr">
        <is>
          <t>Vietcombank</t>
        </is>
      </c>
      <c r="C3430" t="n">
        <v>26105</v>
      </c>
      <c r="D3430" t="n">
        <v>26135</v>
      </c>
      <c r="E3430" t="n">
        <v>26515</v>
      </c>
    </row>
    <row r="3431">
      <c r="A3431" t="inlineStr">
        <is>
          <t>28/07/2026</t>
        </is>
      </c>
      <c r="B3431" t="inlineStr">
        <is>
          <t>Vietcombank</t>
        </is>
      </c>
      <c r="C3431" t="n">
        <v>26115</v>
      </c>
      <c r="D3431" t="n">
        <v>26145</v>
      </c>
      <c r="E3431" t="n">
        <v>26525</v>
      </c>
    </row>
    <row r="3432">
      <c r="A3432" t="inlineStr">
        <is>
          <t>27/07/2026</t>
        </is>
      </c>
      <c r="B3432" t="inlineStr">
        <is>
          <t>Vietcombank</t>
        </is>
      </c>
      <c r="C3432" t="n">
        <v>26110</v>
      </c>
      <c r="D3432" t="n">
        <v>26140</v>
      </c>
      <c r="E3432" t="n">
        <v>26520</v>
      </c>
    </row>
    <row r="3433">
      <c r="A3433" t="inlineStr">
        <is>
          <t>26/07/2026</t>
        </is>
      </c>
      <c r="B3433" t="inlineStr">
        <is>
          <t>Vietcombank</t>
        </is>
      </c>
      <c r="C3433" t="n">
        <v>26100</v>
      </c>
      <c r="D3433" t="n">
        <v>26130</v>
      </c>
      <c r="E3433" t="n">
        <v>26510</v>
      </c>
    </row>
    <row r="3434">
      <c r="A3434" t="inlineStr">
        <is>
          <t>25/07/2026</t>
        </is>
      </c>
      <c r="B3434" t="inlineStr">
        <is>
          <t>Vietcombank</t>
        </is>
      </c>
      <c r="C3434" t="n">
        <v>26100</v>
      </c>
      <c r="D3434" t="n">
        <v>26130</v>
      </c>
      <c r="E3434" t="n">
        <v>26510</v>
      </c>
    </row>
    <row r="3435">
      <c r="A3435" t="inlineStr">
        <is>
          <t>24/07/2026</t>
        </is>
      </c>
      <c r="B3435" t="inlineStr">
        <is>
          <t>Vietcombank</t>
        </is>
      </c>
      <c r="C3435" t="n">
        <v>26100</v>
      </c>
      <c r="D3435" t="n">
        <v>26130</v>
      </c>
      <c r="E3435" t="n">
        <v>26510</v>
      </c>
    </row>
    <row r="3436">
      <c r="A3436" t="inlineStr">
        <is>
          <t>23/07/2026</t>
        </is>
      </c>
      <c r="B3436" t="inlineStr">
        <is>
          <t>Vietcombank</t>
        </is>
      </c>
      <c r="C3436" t="n">
        <v>26090</v>
      </c>
      <c r="D3436" t="n">
        <v>26120</v>
      </c>
      <c r="E3436" t="n">
        <v>26500</v>
      </c>
    </row>
    <row r="3437">
      <c r="A3437" t="inlineStr">
        <is>
          <t>22/07/2026</t>
        </is>
      </c>
      <c r="B3437" t="inlineStr">
        <is>
          <t>Vietcombank</t>
        </is>
      </c>
      <c r="C3437" t="n">
        <v>26090</v>
      </c>
      <c r="D3437" t="n">
        <v>26120</v>
      </c>
      <c r="E3437" t="n">
        <v>26500</v>
      </c>
    </row>
    <row r="3438">
      <c r="A3438" t="inlineStr">
        <is>
          <t>21/07/2026</t>
        </is>
      </c>
      <c r="B3438" t="inlineStr">
        <is>
          <t>Vietcombank</t>
        </is>
      </c>
      <c r="C3438" t="n">
        <v>26100</v>
      </c>
      <c r="D3438" t="n">
        <v>26130</v>
      </c>
      <c r="E3438" t="n">
        <v>26510</v>
      </c>
    </row>
    <row r="3439">
      <c r="A3439" t="inlineStr">
        <is>
          <t>20/07/2026</t>
        </is>
      </c>
      <c r="B3439" t="inlineStr">
        <is>
          <t>Vietcombank</t>
        </is>
      </c>
      <c r="C3439" t="n">
        <v>26080</v>
      </c>
      <c r="D3439" t="n">
        <v>26110</v>
      </c>
      <c r="E3439" t="n">
        <v>26490</v>
      </c>
    </row>
    <row r="3440">
      <c r="A3440" t="inlineStr">
        <is>
          <t>19/07/2026</t>
        </is>
      </c>
      <c r="B3440" t="inlineStr">
        <is>
          <t>Vietcombank</t>
        </is>
      </c>
      <c r="C3440" t="n">
        <v>26080</v>
      </c>
      <c r="D3440" t="n">
        <v>26110</v>
      </c>
      <c r="E3440" t="n">
        <v>26490</v>
      </c>
    </row>
    <row r="3441">
      <c r="A3441" t="inlineStr">
        <is>
          <t>18/07/2026</t>
        </is>
      </c>
      <c r="B3441" t="inlineStr">
        <is>
          <t>Vietcombank</t>
        </is>
      </c>
      <c r="C3441" t="n">
        <v>26080</v>
      </c>
      <c r="D3441" t="n">
        <v>26110</v>
      </c>
      <c r="E3441" t="n">
        <v>26490</v>
      </c>
    </row>
    <row r="3442">
      <c r="A3442" t="inlineStr">
        <is>
          <t>17/07/2026</t>
        </is>
      </c>
      <c r="B3442" t="inlineStr">
        <is>
          <t>Vietcombank</t>
        </is>
      </c>
      <c r="C3442" t="n">
        <v>26080</v>
      </c>
      <c r="D3442" t="n">
        <v>26110</v>
      </c>
      <c r="E3442" t="n">
        <v>26490</v>
      </c>
    </row>
    <row r="3443">
      <c r="A3443" t="inlineStr">
        <is>
          <t>16/07/2026</t>
        </is>
      </c>
      <c r="B3443" t="inlineStr">
        <is>
          <t>Vietcombank</t>
        </is>
      </c>
      <c r="C3443" t="n">
        <v>26040</v>
      </c>
      <c r="D3443" t="n">
        <v>26070</v>
      </c>
      <c r="E3443" t="n">
        <v>26450</v>
      </c>
    </row>
    <row r="3444">
      <c r="A3444" t="inlineStr">
        <is>
          <t>15/07/2026</t>
        </is>
      </c>
      <c r="B3444" t="inlineStr">
        <is>
          <t>Vietcombank</t>
        </is>
      </c>
      <c r="C3444" t="n">
        <v>26040</v>
      </c>
      <c r="D3444" t="n">
        <v>26070</v>
      </c>
      <c r="E3444" t="n">
        <v>26450</v>
      </c>
    </row>
    <row r="3445">
      <c r="A3445" t="inlineStr">
        <is>
          <t>14/07/2026</t>
        </is>
      </c>
      <c r="B3445" t="inlineStr">
        <is>
          <t>Vietcombank</t>
        </is>
      </c>
      <c r="C3445" t="n">
        <v>26040</v>
      </c>
      <c r="D3445" t="n">
        <v>26070</v>
      </c>
      <c r="E3445" t="n">
        <v>26450</v>
      </c>
    </row>
    <row r="3446">
      <c r="A3446" t="inlineStr">
        <is>
          <t>13/07/2026</t>
        </is>
      </c>
      <c r="B3446" t="inlineStr">
        <is>
          <t>Vietcombank</t>
        </is>
      </c>
      <c r="C3446" t="n">
        <v>26050</v>
      </c>
      <c r="D3446" t="n">
        <v>26080</v>
      </c>
      <c r="E3446" t="n">
        <v>26460</v>
      </c>
    </row>
    <row r="3447">
      <c r="A3447" t="inlineStr">
        <is>
          <t>12/07/2026</t>
        </is>
      </c>
      <c r="B3447" t="inlineStr">
        <is>
          <t>Vietcombank</t>
        </is>
      </c>
      <c r="C3447" t="n">
        <v>26060</v>
      </c>
      <c r="D3447" t="n">
        <v>26090</v>
      </c>
      <c r="E3447" t="n">
        <v>26470</v>
      </c>
    </row>
    <row r="3448">
      <c r="A3448" t="inlineStr">
        <is>
          <t>11/07/2026</t>
        </is>
      </c>
      <c r="B3448" t="inlineStr">
        <is>
          <t>Vietcombank</t>
        </is>
      </c>
      <c r="C3448" t="n">
        <v>26060</v>
      </c>
      <c r="D3448" t="n">
        <v>26090</v>
      </c>
      <c r="E3448" t="n">
        <v>26470</v>
      </c>
    </row>
    <row r="3449">
      <c r="A3449" t="inlineStr">
        <is>
          <t>10/07/2026</t>
        </is>
      </c>
      <c r="B3449" t="inlineStr">
        <is>
          <t>Vietcombank</t>
        </is>
      </c>
      <c r="C3449" t="n">
        <v>26060</v>
      </c>
      <c r="D3449" t="n">
        <v>26090</v>
      </c>
      <c r="E3449" t="n">
        <v>26470</v>
      </c>
    </row>
    <row r="3450">
      <c r="A3450" t="inlineStr">
        <is>
          <t>09/07/2026</t>
        </is>
      </c>
      <c r="B3450" t="inlineStr">
        <is>
          <t>Vietcombank</t>
        </is>
      </c>
      <c r="C3450" t="n">
        <v>26081</v>
      </c>
      <c r="D3450" t="n">
        <v>26111</v>
      </c>
      <c r="E3450" t="n">
        <v>26471</v>
      </c>
    </row>
    <row r="3451">
      <c r="A3451" t="inlineStr">
        <is>
          <t>08/07/2026</t>
        </is>
      </c>
      <c r="B3451" t="inlineStr">
        <is>
          <t>Vietcombank</t>
        </is>
      </c>
      <c r="C3451" t="n">
        <v>26076</v>
      </c>
      <c r="D3451" t="n">
        <v>26106</v>
      </c>
      <c r="E3451" t="n">
        <v>26466</v>
      </c>
    </row>
    <row r="3452">
      <c r="A3452" t="inlineStr">
        <is>
          <t>07/07/2026</t>
        </is>
      </c>
      <c r="B3452" t="inlineStr">
        <is>
          <t>Vietcombank</t>
        </is>
      </c>
      <c r="C3452" t="n">
        <v>26072</v>
      </c>
      <c r="D3452" t="n">
        <v>26102</v>
      </c>
      <c r="E3452" t="n">
        <v>26462</v>
      </c>
    </row>
    <row r="3453">
      <c r="A3453" t="inlineStr">
        <is>
          <t>06/07/2026</t>
        </is>
      </c>
      <c r="B3453" t="inlineStr">
        <is>
          <t>Vietcombank</t>
        </is>
      </c>
      <c r="C3453" t="n">
        <v>26072</v>
      </c>
      <c r="D3453" t="n">
        <v>26102</v>
      </c>
      <c r="E3453" t="n">
        <v>26462</v>
      </c>
    </row>
    <row r="3454">
      <c r="A3454" t="inlineStr">
        <is>
          <t>05/07/2026</t>
        </is>
      </c>
      <c r="B3454" t="inlineStr">
        <is>
          <t>Vietcombank</t>
        </is>
      </c>
      <c r="C3454" t="n">
        <v>26073</v>
      </c>
      <c r="D3454" t="n">
        <v>26103</v>
      </c>
      <c r="E3454" t="n">
        <v>26463</v>
      </c>
    </row>
    <row r="3455">
      <c r="A3455" t="inlineStr">
        <is>
          <t>04/07/2026</t>
        </is>
      </c>
      <c r="B3455" t="inlineStr">
        <is>
          <t>Vietcombank</t>
        </is>
      </c>
      <c r="C3455" t="n">
        <v>26073</v>
      </c>
      <c r="D3455" t="n">
        <v>26103</v>
      </c>
      <c r="E3455" t="n">
        <v>26463</v>
      </c>
    </row>
    <row r="3456">
      <c r="A3456" t="inlineStr">
        <is>
          <t>03/07/2026</t>
        </is>
      </c>
      <c r="B3456" t="inlineStr">
        <is>
          <t>Vietcombank</t>
        </is>
      </c>
      <c r="C3456" t="n">
        <v>26073</v>
      </c>
      <c r="D3456" t="n">
        <v>26103</v>
      </c>
      <c r="E3456" t="n">
        <v>26463</v>
      </c>
    </row>
    <row r="3457">
      <c r="A3457" t="inlineStr">
        <is>
          <t>02/07/2026</t>
        </is>
      </c>
      <c r="B3457" t="inlineStr">
        <is>
          <t>Vietcombank</t>
        </is>
      </c>
      <c r="C3457" t="n">
        <v>26075</v>
      </c>
      <c r="D3457" t="n">
        <v>26105</v>
      </c>
      <c r="E3457" t="n">
        <v>26465</v>
      </c>
    </row>
    <row r="3458">
      <c r="A3458" t="inlineStr">
        <is>
          <t>01/07/2026</t>
        </is>
      </c>
      <c r="B3458" t="inlineStr">
        <is>
          <t>Vietcombank</t>
        </is>
      </c>
      <c r="C3458" t="n">
        <v>26076</v>
      </c>
      <c r="D3458" t="n">
        <v>26106</v>
      </c>
      <c r="E3458" t="n">
        <v>26466</v>
      </c>
    </row>
    <row r="3459">
      <c r="A3459" t="inlineStr">
        <is>
          <t>30/06/2026</t>
        </is>
      </c>
      <c r="B3459" t="inlineStr">
        <is>
          <t>Vietcombank</t>
        </is>
      </c>
      <c r="C3459" t="n">
        <v>26076</v>
      </c>
      <c r="D3459" t="n">
        <v>26106</v>
      </c>
      <c r="E3459" t="n">
        <v>26466</v>
      </c>
    </row>
    <row r="3460">
      <c r="A3460" t="inlineStr">
        <is>
          <t>29/06/2026</t>
        </is>
      </c>
      <c r="B3460" t="inlineStr">
        <is>
          <t>Vietcombank</t>
        </is>
      </c>
      <c r="C3460" t="n">
        <v>26091</v>
      </c>
      <c r="D3460" t="n">
        <v>26121</v>
      </c>
      <c r="E3460" t="n">
        <v>26461</v>
      </c>
    </row>
    <row r="3461">
      <c r="A3461" t="inlineStr">
        <is>
          <t>28/06/2026</t>
        </is>
      </c>
      <c r="B3461" t="inlineStr">
        <is>
          <t>Vietcombank</t>
        </is>
      </c>
      <c r="C3461" t="n">
        <v>26084</v>
      </c>
      <c r="D3461" t="n">
        <v>26114</v>
      </c>
      <c r="E3461" t="n">
        <v>26454</v>
      </c>
    </row>
    <row r="3462">
      <c r="A3462" t="inlineStr">
        <is>
          <t>27/06/2026</t>
        </is>
      </c>
      <c r="B3462" t="inlineStr">
        <is>
          <t>Vietcombank</t>
        </is>
      </c>
      <c r="C3462" t="n">
        <v>26084</v>
      </c>
      <c r="D3462" t="n">
        <v>26114</v>
      </c>
      <c r="E3462" t="n">
        <v>26454</v>
      </c>
    </row>
    <row r="3463">
      <c r="A3463" t="inlineStr">
        <is>
          <t>26/06/2026</t>
        </is>
      </c>
      <c r="B3463" t="inlineStr">
        <is>
          <t>Vietcombank</t>
        </is>
      </c>
      <c r="C3463" t="n">
        <v>26084</v>
      </c>
      <c r="D3463" t="n">
        <v>26114</v>
      </c>
      <c r="E3463" t="n">
        <v>26454</v>
      </c>
    </row>
    <row r="3464">
      <c r="A3464" t="inlineStr">
        <is>
          <t>25/06/2026</t>
        </is>
      </c>
      <c r="B3464" t="inlineStr">
        <is>
          <t>Vietcombank</t>
        </is>
      </c>
      <c r="C3464" t="n">
        <v>26106</v>
      </c>
      <c r="D3464" t="n">
        <v>26136</v>
      </c>
      <c r="E3464" t="n">
        <v>26456</v>
      </c>
    </row>
    <row r="3465">
      <c r="A3465" t="inlineStr">
        <is>
          <t>24/06/2026</t>
        </is>
      </c>
      <c r="B3465" t="inlineStr">
        <is>
          <t>Vietcombank</t>
        </is>
      </c>
      <c r="C3465" t="n">
        <v>26101</v>
      </c>
      <c r="D3465" t="n">
        <v>26131</v>
      </c>
      <c r="E3465" t="n">
        <v>26451</v>
      </c>
    </row>
    <row r="3466">
      <c r="A3466" t="inlineStr">
        <is>
          <t>23/06/2026</t>
        </is>
      </c>
      <c r="B3466" t="inlineStr">
        <is>
          <t>Vietcombank</t>
        </is>
      </c>
      <c r="C3466" t="n">
        <v>26098</v>
      </c>
      <c r="D3466" t="n">
        <v>26128</v>
      </c>
      <c r="E3466" t="n">
        <v>26448</v>
      </c>
    </row>
    <row r="3467">
      <c r="A3467" t="inlineStr">
        <is>
          <t>22/06/2026</t>
        </is>
      </c>
      <c r="B3467" t="inlineStr">
        <is>
          <t>Vietcombank</t>
        </is>
      </c>
      <c r="C3467" t="n">
        <v>26092</v>
      </c>
      <c r="D3467" t="n">
        <v>26122</v>
      </c>
      <c r="E3467" t="n">
        <v>26442</v>
      </c>
    </row>
    <row r="3468">
      <c r="A3468" t="inlineStr">
        <is>
          <t>21/06/2026</t>
        </is>
      </c>
      <c r="B3468" t="inlineStr">
        <is>
          <t>Vietcombank</t>
        </is>
      </c>
      <c r="C3468" t="n">
        <v>26090</v>
      </c>
      <c r="D3468" t="n">
        <v>26120</v>
      </c>
      <c r="E3468" t="n">
        <v>26440</v>
      </c>
    </row>
    <row r="3469">
      <c r="A3469" t="inlineStr">
        <is>
          <t>20/06/2026</t>
        </is>
      </c>
      <c r="B3469" t="inlineStr">
        <is>
          <t>Vietcombank</t>
        </is>
      </c>
      <c r="C3469" t="n">
        <v>26090</v>
      </c>
      <c r="D3469" t="n">
        <v>26120</v>
      </c>
      <c r="E3469" t="n">
        <v>26440</v>
      </c>
    </row>
    <row r="3470">
      <c r="A3470" t="inlineStr">
        <is>
          <t>19/06/2026</t>
        </is>
      </c>
      <c r="B3470" t="inlineStr">
        <is>
          <t>Vietcombank</t>
        </is>
      </c>
      <c r="C3470" t="n">
        <v>26090</v>
      </c>
      <c r="D3470" t="n">
        <v>26120</v>
      </c>
      <c r="E3470" t="n">
        <v>26440</v>
      </c>
    </row>
    <row r="3471">
      <c r="A3471" t="inlineStr">
        <is>
          <t>18/06/2026</t>
        </is>
      </c>
      <c r="B3471" t="inlineStr">
        <is>
          <t>Vietcombank</t>
        </is>
      </c>
      <c r="C3471" t="n">
        <v>26081</v>
      </c>
      <c r="D3471" t="n">
        <v>26111</v>
      </c>
      <c r="E3471" t="n">
        <v>26431</v>
      </c>
    </row>
    <row r="3472">
      <c r="A3472" t="inlineStr">
        <is>
          <t>17/06/2026</t>
        </is>
      </c>
      <c r="B3472" t="inlineStr">
        <is>
          <t>Vietcombank</t>
        </is>
      </c>
      <c r="C3472" t="n">
        <v>26083</v>
      </c>
      <c r="D3472" t="n">
        <v>26113</v>
      </c>
      <c r="E3472" t="n">
        <v>26433</v>
      </c>
    </row>
    <row r="3473">
      <c r="A3473" t="inlineStr">
        <is>
          <t>16/06/2026</t>
        </is>
      </c>
      <c r="B3473" t="inlineStr">
        <is>
          <t>Vietcombank</t>
        </is>
      </c>
      <c r="C3473" t="n">
        <v>26073</v>
      </c>
      <c r="D3473" t="n">
        <v>26103</v>
      </c>
      <c r="E3473" t="n">
        <v>26423</v>
      </c>
    </row>
    <row r="3474">
      <c r="A3474" t="inlineStr">
        <is>
          <t>15/06/2026</t>
        </is>
      </c>
      <c r="B3474" t="inlineStr">
        <is>
          <t>Vietcombank</t>
        </is>
      </c>
      <c r="C3474" t="n">
        <v>26073</v>
      </c>
      <c r="D3474" t="n">
        <v>26103</v>
      </c>
      <c r="E3474" t="n">
        <v>26423</v>
      </c>
    </row>
    <row r="3475">
      <c r="A3475" t="inlineStr">
        <is>
          <t>14/06/2026</t>
        </is>
      </c>
      <c r="B3475" t="inlineStr">
        <is>
          <t>Vietcombank</t>
        </is>
      </c>
      <c r="C3475" t="n">
        <v>26092</v>
      </c>
      <c r="D3475" t="n">
        <v>26122</v>
      </c>
      <c r="E3475" t="n">
        <v>26412</v>
      </c>
    </row>
    <row r="3476">
      <c r="A3476" t="inlineStr">
        <is>
          <t>13/06/2026</t>
        </is>
      </c>
      <c r="B3476" t="inlineStr">
        <is>
          <t>Vietcombank</t>
        </is>
      </c>
      <c r="C3476" t="n">
        <v>26092</v>
      </c>
      <c r="D3476" t="n">
        <v>26122</v>
      </c>
      <c r="E3476" t="n">
        <v>26412</v>
      </c>
    </row>
    <row r="3477">
      <c r="A3477" t="inlineStr">
        <is>
          <t>12/06/2026</t>
        </is>
      </c>
      <c r="B3477" t="inlineStr">
        <is>
          <t>Vietcombank</t>
        </is>
      </c>
      <c r="C3477" t="n">
        <v>26092</v>
      </c>
      <c r="D3477" t="n">
        <v>26122</v>
      </c>
      <c r="E3477" t="n">
        <v>26412</v>
      </c>
    </row>
    <row r="3478">
      <c r="A3478" t="inlineStr">
        <is>
          <t>11/06/2026</t>
        </is>
      </c>
      <c r="B3478" t="inlineStr">
        <is>
          <t>Vietcombank</t>
        </is>
      </c>
      <c r="C3478" t="n">
        <v>26100</v>
      </c>
      <c r="D3478" t="n">
        <v>26130</v>
      </c>
      <c r="E3478" t="n">
        <v>26410</v>
      </c>
    </row>
    <row r="3479">
      <c r="A3479" t="inlineStr">
        <is>
          <t>10/06/2026</t>
        </is>
      </c>
      <c r="B3479" t="inlineStr">
        <is>
          <t>Vietcombank</t>
        </is>
      </c>
      <c r="C3479" t="n">
        <v>26100</v>
      </c>
      <c r="D3479" t="n">
        <v>26130</v>
      </c>
      <c r="E3479" t="n">
        <v>26410</v>
      </c>
    </row>
    <row r="3480">
      <c r="A3480" t="inlineStr">
        <is>
          <t>09/06/2026</t>
        </is>
      </c>
      <c r="B3480" t="inlineStr">
        <is>
          <t>Vietcombank</t>
        </is>
      </c>
      <c r="C3480" t="n">
        <v>26098</v>
      </c>
      <c r="D3480" t="n">
        <v>26128</v>
      </c>
      <c r="E3480" t="n">
        <v>26408</v>
      </c>
    </row>
    <row r="3481">
      <c r="A3481" t="inlineStr">
        <is>
          <t>08/06/2026</t>
        </is>
      </c>
      <c r="B3481" t="inlineStr">
        <is>
          <t>Vietcombank</t>
        </is>
      </c>
      <c r="C3481" t="n">
        <v>26097</v>
      </c>
      <c r="D3481" t="n">
        <v>26127</v>
      </c>
      <c r="E3481" t="n">
        <v>26407</v>
      </c>
    </row>
    <row r="3482">
      <c r="A3482" t="inlineStr">
        <is>
          <t>07/06/2026</t>
        </is>
      </c>
      <c r="B3482" t="inlineStr">
        <is>
          <t>Vietcombank</t>
        </is>
      </c>
      <c r="C3482" t="n">
        <v>26072</v>
      </c>
      <c r="D3482" t="n">
        <v>26102</v>
      </c>
      <c r="E3482" t="n">
        <v>26462</v>
      </c>
    </row>
    <row r="3483">
      <c r="A3483" t="inlineStr">
        <is>
          <t>06/06/2026</t>
        </is>
      </c>
      <c r="B3483" t="inlineStr">
        <is>
          <t>Vietcombank</t>
        </is>
      </c>
      <c r="C3483" t="n">
        <v>26094</v>
      </c>
      <c r="D3483" t="n">
        <v>26124</v>
      </c>
      <c r="E3483" t="n">
        <v>26404</v>
      </c>
    </row>
    <row r="3484">
      <c r="A3484" t="inlineStr">
        <is>
          <t>05/06/2026</t>
        </is>
      </c>
      <c r="B3484" t="inlineStr">
        <is>
          <t>Vietcombank</t>
        </is>
      </c>
      <c r="C3484" t="n">
        <v>26094</v>
      </c>
      <c r="D3484" t="n">
        <v>26124</v>
      </c>
      <c r="E3484" t="n">
        <v>26404</v>
      </c>
    </row>
    <row r="3485">
      <c r="A3485" t="inlineStr">
        <is>
          <t>04/06/2026</t>
        </is>
      </c>
      <c r="B3485" t="inlineStr">
        <is>
          <t>Vietcombank</t>
        </is>
      </c>
      <c r="C3485" t="n">
        <v>26092</v>
      </c>
      <c r="D3485" t="n">
        <v>26122</v>
      </c>
      <c r="E3485" t="n">
        <v>26402</v>
      </c>
    </row>
    <row r="3486">
      <c r="A3486" t="inlineStr">
        <is>
          <t>03/06/2026</t>
        </is>
      </c>
      <c r="B3486" t="inlineStr">
        <is>
          <t>Vietcombank</t>
        </is>
      </c>
      <c r="C3486" t="n">
        <v>26092</v>
      </c>
      <c r="D3486" t="n">
        <v>26122</v>
      </c>
      <c r="E3486" t="n">
        <v>26402</v>
      </c>
    </row>
    <row r="3487">
      <c r="A3487" t="inlineStr">
        <is>
          <t>02/06/2026</t>
        </is>
      </c>
      <c r="B3487" t="inlineStr">
        <is>
          <t>Vietcombank</t>
        </is>
      </c>
      <c r="C3487" t="n">
        <v>26088</v>
      </c>
      <c r="D3487" t="n">
        <v>26118</v>
      </c>
      <c r="E3487" t="n">
        <v>26398</v>
      </c>
    </row>
    <row r="3488">
      <c r="A3488" t="inlineStr">
        <is>
          <t>01/06/2026</t>
        </is>
      </c>
      <c r="B3488" t="inlineStr">
        <is>
          <t>Vietcombank</t>
        </is>
      </c>
      <c r="C3488" t="n">
        <v>26084</v>
      </c>
      <c r="D3488" t="n">
        <v>26114</v>
      </c>
      <c r="E3488" t="n">
        <v>26394</v>
      </c>
    </row>
    <row r="3489">
      <c r="A3489" t="inlineStr">
        <is>
          <t>31/05/2026</t>
        </is>
      </c>
      <c r="B3489" t="inlineStr">
        <is>
          <t>Vietcombank</t>
        </is>
      </c>
      <c r="C3489" t="n">
        <v>26085</v>
      </c>
      <c r="D3489" t="n">
        <v>26115</v>
      </c>
      <c r="E3489" t="n">
        <v>26395</v>
      </c>
    </row>
    <row r="3490">
      <c r="A3490" t="inlineStr">
        <is>
          <t>30/05/2026</t>
        </is>
      </c>
      <c r="B3490" t="inlineStr">
        <is>
          <t>Vietcombank</t>
        </is>
      </c>
      <c r="C3490" t="n">
        <v>26085</v>
      </c>
      <c r="D3490" t="n">
        <v>26115</v>
      </c>
      <c r="E3490" t="n">
        <v>26395</v>
      </c>
    </row>
    <row r="3491">
      <c r="A3491" t="inlineStr">
        <is>
          <t>29/05/2026</t>
        </is>
      </c>
      <c r="B3491" t="inlineStr">
        <is>
          <t>Vietcombank</t>
        </is>
      </c>
      <c r="C3491" t="n">
        <v>26085</v>
      </c>
      <c r="D3491" t="n">
        <v>26115</v>
      </c>
      <c r="E3491" t="n">
        <v>26395</v>
      </c>
    </row>
    <row r="3492">
      <c r="A3492" t="inlineStr">
        <is>
          <t>28/05/2026</t>
        </is>
      </c>
      <c r="B3492" t="inlineStr">
        <is>
          <t>Vietcombank</t>
        </is>
      </c>
      <c r="C3492" t="n">
        <v>26113</v>
      </c>
      <c r="D3492" t="n">
        <v>26143</v>
      </c>
      <c r="E3492" t="n">
        <v>26393</v>
      </c>
    </row>
    <row r="3493">
      <c r="A3493" t="inlineStr">
        <is>
          <t>27/05/2026</t>
        </is>
      </c>
      <c r="B3493" t="inlineStr">
        <is>
          <t>Vietcombank</t>
        </is>
      </c>
      <c r="C3493" t="n">
        <v>26113</v>
      </c>
      <c r="D3493" t="n">
        <v>26143</v>
      </c>
      <c r="E3493" t="n">
        <v>26393</v>
      </c>
    </row>
    <row r="3494">
      <c r="A3494" t="inlineStr">
        <is>
          <t>26/05/2026</t>
        </is>
      </c>
      <c r="B3494" t="inlineStr">
        <is>
          <t>Vietcombank</t>
        </is>
      </c>
      <c r="C3494" t="n">
        <v>26132</v>
      </c>
      <c r="D3494" t="n">
        <v>26162</v>
      </c>
      <c r="E3494" t="n">
        <v>26392</v>
      </c>
    </row>
    <row r="3495">
      <c r="A3495" t="inlineStr">
        <is>
          <t>25/05/2026</t>
        </is>
      </c>
      <c r="B3495" t="inlineStr">
        <is>
          <t>Vietcombank</t>
        </is>
      </c>
      <c r="C3495" t="n">
        <v>26132</v>
      </c>
      <c r="D3495" t="n">
        <v>26162</v>
      </c>
      <c r="E3495" t="n">
        <v>26392</v>
      </c>
    </row>
    <row r="3496">
      <c r="A3496" t="inlineStr">
        <is>
          <t>24/05/2026</t>
        </is>
      </c>
      <c r="B3496" t="inlineStr">
        <is>
          <t>Vietcombank</t>
        </is>
      </c>
      <c r="C3496" t="n">
        <v>26130</v>
      </c>
      <c r="D3496" t="n">
        <v>26160</v>
      </c>
      <c r="E3496" t="n">
        <v>26390</v>
      </c>
    </row>
    <row r="3497">
      <c r="A3497" t="inlineStr">
        <is>
          <t>23/05/2026</t>
        </is>
      </c>
      <c r="B3497" t="inlineStr">
        <is>
          <t>Vietcombank</t>
        </is>
      </c>
      <c r="C3497" t="n">
        <v>26130</v>
      </c>
      <c r="D3497" t="n">
        <v>26160</v>
      </c>
      <c r="E3497" t="n">
        <v>26390</v>
      </c>
    </row>
    <row r="3498">
      <c r="A3498" t="inlineStr">
        <is>
          <t>22/05/2026</t>
        </is>
      </c>
      <c r="B3498" t="inlineStr">
        <is>
          <t>Vietcombank</t>
        </is>
      </c>
      <c r="C3498" t="n">
        <v>26130</v>
      </c>
      <c r="D3498" t="n">
        <v>26160</v>
      </c>
      <c r="E3498" t="n">
        <v>26390</v>
      </c>
    </row>
    <row r="3499">
      <c r="A3499" t="inlineStr">
        <is>
          <t>21/05/2026</t>
        </is>
      </c>
      <c r="B3499" t="inlineStr">
        <is>
          <t>Vietcombank</t>
        </is>
      </c>
      <c r="C3499" t="n">
        <v>26131</v>
      </c>
      <c r="D3499" t="n">
        <v>26161</v>
      </c>
      <c r="E3499" t="n">
        <v>26391</v>
      </c>
    </row>
    <row r="3500">
      <c r="A3500" t="inlineStr">
        <is>
          <t>20/05/2026</t>
        </is>
      </c>
      <c r="B3500" t="inlineStr">
        <is>
          <t>Vietcombank</t>
        </is>
      </c>
      <c r="C3500" t="n">
        <v>26131</v>
      </c>
      <c r="D3500" t="n">
        <v>26161</v>
      </c>
      <c r="E3500" t="n">
        <v>26391</v>
      </c>
    </row>
    <row r="3501">
      <c r="A3501" t="inlineStr">
        <is>
          <t>19/05/2026</t>
        </is>
      </c>
      <c r="B3501" t="inlineStr">
        <is>
          <t>Vietcombank</t>
        </is>
      </c>
      <c r="C3501" t="n">
        <v>26119</v>
      </c>
      <c r="D3501" t="n">
        <v>26149</v>
      </c>
      <c r="E3501" t="n">
        <v>26389</v>
      </c>
    </row>
    <row r="3502">
      <c r="A3502" t="inlineStr">
        <is>
          <t>18/05/2026</t>
        </is>
      </c>
      <c r="B3502" t="inlineStr">
        <is>
          <t>Vietcombank</t>
        </is>
      </c>
      <c r="C3502" t="n">
        <v>26107</v>
      </c>
      <c r="D3502" t="n">
        <v>26137</v>
      </c>
      <c r="E3502" t="n">
        <v>26387</v>
      </c>
    </row>
    <row r="3503">
      <c r="A3503" t="inlineStr">
        <is>
          <t>17/05/2026</t>
        </is>
      </c>
      <c r="B3503" t="inlineStr">
        <is>
          <t>Vietcombank</t>
        </is>
      </c>
      <c r="C3503" t="n">
        <v>26107</v>
      </c>
      <c r="D3503" t="n">
        <v>26137</v>
      </c>
      <c r="E3503" t="n">
        <v>26387</v>
      </c>
    </row>
    <row r="3504">
      <c r="A3504" t="inlineStr">
        <is>
          <t>16/05/2026</t>
        </is>
      </c>
      <c r="B3504" t="inlineStr">
        <is>
          <t>Vietcombank</t>
        </is>
      </c>
      <c r="C3504" t="n">
        <v>26107</v>
      </c>
      <c r="D3504" t="n">
        <v>26137</v>
      </c>
      <c r="E3504" t="n">
        <v>26387</v>
      </c>
    </row>
    <row r="3505">
      <c r="A3505" t="inlineStr">
        <is>
          <t>15/05/2026</t>
        </is>
      </c>
      <c r="B3505" t="inlineStr">
        <is>
          <t>Vietcombank</t>
        </is>
      </c>
      <c r="C3505" t="n">
        <v>26107</v>
      </c>
      <c r="D3505" t="n">
        <v>26137</v>
      </c>
      <c r="E3505" t="n">
        <v>26387</v>
      </c>
    </row>
    <row r="3506">
      <c r="A3506" t="inlineStr">
        <is>
          <t>14/05/2026</t>
        </is>
      </c>
      <c r="B3506" t="inlineStr">
        <is>
          <t>Vietcombank</t>
        </is>
      </c>
      <c r="C3506" t="n">
        <v>26102</v>
      </c>
      <c r="D3506" t="n">
        <v>26132</v>
      </c>
      <c r="E3506" t="n">
        <v>26382</v>
      </c>
    </row>
    <row r="3507">
      <c r="A3507" t="inlineStr">
        <is>
          <t>13/05/2026</t>
        </is>
      </c>
      <c r="B3507" t="inlineStr">
        <is>
          <t>Vietcombank</t>
        </is>
      </c>
      <c r="C3507" t="n">
        <v>26099</v>
      </c>
      <c r="D3507" t="n">
        <v>26129</v>
      </c>
      <c r="E3507" t="n">
        <v>26379</v>
      </c>
    </row>
    <row r="3508">
      <c r="A3508" t="inlineStr">
        <is>
          <t>12/05/2026</t>
        </is>
      </c>
      <c r="B3508" t="inlineStr">
        <is>
          <t>Vietcombank</t>
        </is>
      </c>
      <c r="C3508" t="n">
        <v>26099</v>
      </c>
      <c r="D3508" t="n">
        <v>26129</v>
      </c>
      <c r="E3508" t="n">
        <v>26379</v>
      </c>
    </row>
    <row r="3509">
      <c r="A3509" t="inlineStr">
        <is>
          <t>11/05/2026</t>
        </is>
      </c>
      <c r="B3509" t="inlineStr">
        <is>
          <t>Vietcombank</t>
        </is>
      </c>
      <c r="C3509" t="n">
        <v>26093</v>
      </c>
      <c r="D3509" t="n">
        <v>26123</v>
      </c>
      <c r="E3509" t="n">
        <v>26373</v>
      </c>
    </row>
    <row r="3510">
      <c r="A3510" t="inlineStr">
        <is>
          <t>10/05/2026</t>
        </is>
      </c>
      <c r="B3510" t="inlineStr">
        <is>
          <t>Vietcombank</t>
        </is>
      </c>
      <c r="C3510" t="n">
        <v>26087</v>
      </c>
      <c r="D3510" t="n">
        <v>26117</v>
      </c>
      <c r="E3510" t="n">
        <v>26367</v>
      </c>
    </row>
    <row r="3511">
      <c r="A3511" t="inlineStr">
        <is>
          <t>09/05/2026</t>
        </is>
      </c>
      <c r="B3511" t="inlineStr">
        <is>
          <t>Vietcombank</t>
        </is>
      </c>
      <c r="C3511" t="n">
        <v>26087</v>
      </c>
      <c r="D3511" t="n">
        <v>26117</v>
      </c>
      <c r="E3511" t="n">
        <v>26367</v>
      </c>
    </row>
    <row r="3512">
      <c r="A3512" t="inlineStr">
        <is>
          <t>08/05/2026</t>
        </is>
      </c>
      <c r="B3512" t="inlineStr">
        <is>
          <t>Vietcombank</t>
        </is>
      </c>
      <c r="C3512" t="n">
        <v>26087</v>
      </c>
      <c r="D3512" t="n">
        <v>26117</v>
      </c>
      <c r="E3512" t="n">
        <v>26367</v>
      </c>
    </row>
    <row r="3513">
      <c r="A3513" t="inlineStr">
        <is>
          <t>07/05/2026</t>
        </is>
      </c>
      <c r="B3513" t="inlineStr">
        <is>
          <t>Vietcombank</t>
        </is>
      </c>
      <c r="C3513" t="n">
        <v>26088</v>
      </c>
      <c r="D3513" t="n">
        <v>26118</v>
      </c>
      <c r="E3513" t="n">
        <v>26368</v>
      </c>
    </row>
    <row r="3514">
      <c r="A3514" t="inlineStr">
        <is>
          <t>06/05/2026</t>
        </is>
      </c>
      <c r="B3514" t="inlineStr">
        <is>
          <t>Vietcombank</t>
        </is>
      </c>
      <c r="C3514" t="n">
        <v>26098</v>
      </c>
      <c r="D3514" t="n">
        <v>26128</v>
      </c>
      <c r="E3514" t="n">
        <v>26368</v>
      </c>
    </row>
    <row r="3515">
      <c r="A3515" t="inlineStr">
        <is>
          <t>05/05/2026</t>
        </is>
      </c>
      <c r="B3515" t="inlineStr">
        <is>
          <t>Vietcombank</t>
        </is>
      </c>
      <c r="C3515" t="n">
        <v>26096</v>
      </c>
      <c r="D3515" t="n">
        <v>26126</v>
      </c>
      <c r="E3515" t="n">
        <v>26366</v>
      </c>
    </row>
    <row r="3516">
      <c r="A3516" t="inlineStr">
        <is>
          <t>04/05/2026</t>
        </is>
      </c>
      <c r="B3516" t="inlineStr">
        <is>
          <t>Vietcombank</t>
        </is>
      </c>
      <c r="C3516" t="n">
        <v>26107</v>
      </c>
      <c r="D3516" t="n">
        <v>26137</v>
      </c>
      <c r="E3516" t="n">
        <v>26367</v>
      </c>
    </row>
    <row r="3517">
      <c r="A3517" t="inlineStr">
        <is>
          <t>03/05/2026</t>
        </is>
      </c>
      <c r="B3517" t="inlineStr">
        <is>
          <t>Vietcombank</t>
        </is>
      </c>
      <c r="C3517" t="n">
        <v>26108</v>
      </c>
      <c r="D3517" t="n">
        <v>26138</v>
      </c>
      <c r="E3517" t="n">
        <v>26368</v>
      </c>
    </row>
    <row r="3518">
      <c r="A3518" t="inlineStr">
        <is>
          <t>02/05/2026</t>
        </is>
      </c>
      <c r="B3518" t="inlineStr">
        <is>
          <t>Vietcombank</t>
        </is>
      </c>
      <c r="C3518" t="n">
        <v>26108</v>
      </c>
      <c r="D3518" t="n">
        <v>26138</v>
      </c>
      <c r="E3518" t="n">
        <v>26368</v>
      </c>
    </row>
    <row r="3519">
      <c r="A3519" t="inlineStr">
        <is>
          <t>01/05/2026</t>
        </is>
      </c>
      <c r="B3519" t="inlineStr">
        <is>
          <t>Vietcombank</t>
        </is>
      </c>
      <c r="C3519" t="n">
        <v>26108</v>
      </c>
      <c r="D3519" t="n">
        <v>26138</v>
      </c>
      <c r="E3519" t="n">
        <v>26368</v>
      </c>
    </row>
    <row r="3520">
      <c r="A3520" t="inlineStr">
        <is>
          <t>30/04/2026</t>
        </is>
      </c>
      <c r="B3520" t="inlineStr">
        <is>
          <t>Vietcombank</t>
        </is>
      </c>
      <c r="C3520" t="n">
        <v>26108</v>
      </c>
      <c r="D3520" t="n">
        <v>26138</v>
      </c>
      <c r="E3520" t="n">
        <v>26368</v>
      </c>
    </row>
    <row r="3521">
      <c r="A3521" t="inlineStr">
        <is>
          <t>29/04/2026</t>
        </is>
      </c>
      <c r="B3521" t="inlineStr">
        <is>
          <t>Vietcombank</t>
        </is>
      </c>
      <c r="C3521" t="n">
        <v>26108</v>
      </c>
      <c r="D3521" t="n">
        <v>26138</v>
      </c>
      <c r="E3521" t="n">
        <v>26368</v>
      </c>
    </row>
    <row r="3522">
      <c r="A3522" t="inlineStr">
        <is>
          <t>28/04/2026</t>
        </is>
      </c>
      <c r="B3522" t="inlineStr">
        <is>
          <t>Vietcombank</t>
        </is>
      </c>
      <c r="C3522" t="n">
        <v>26106</v>
      </c>
      <c r="D3522" t="n">
        <v>26136</v>
      </c>
      <c r="E3522" t="n">
        <v>26366</v>
      </c>
    </row>
    <row r="3523">
      <c r="A3523" t="inlineStr">
        <is>
          <t>27/04/2026</t>
        </is>
      </c>
      <c r="B3523" t="inlineStr">
        <is>
          <t>Vietcombank</t>
        </is>
      </c>
      <c r="C3523" t="n">
        <v>26108</v>
      </c>
      <c r="D3523" t="n">
        <v>26138</v>
      </c>
      <c r="E3523" t="n">
        <v>26368</v>
      </c>
    </row>
    <row r="3524">
      <c r="A3524" t="inlineStr">
        <is>
          <t>26/04/2026</t>
        </is>
      </c>
      <c r="B3524" t="inlineStr">
        <is>
          <t>Vietcombank</t>
        </is>
      </c>
      <c r="C3524" t="n">
        <v>26108</v>
      </c>
      <c r="D3524" t="n">
        <v>26138</v>
      </c>
      <c r="E3524" t="n">
        <v>26368</v>
      </c>
    </row>
    <row r="3525">
      <c r="A3525" t="inlineStr">
        <is>
          <t>25/04/2026</t>
        </is>
      </c>
      <c r="B3525" t="inlineStr">
        <is>
          <t>Vietcombank</t>
        </is>
      </c>
      <c r="C3525" t="n">
        <v>26108</v>
      </c>
      <c r="D3525" t="n">
        <v>26138</v>
      </c>
      <c r="E3525" t="n">
        <v>26368</v>
      </c>
    </row>
    <row r="3526">
      <c r="A3526" t="inlineStr">
        <is>
          <t>24/04/2026</t>
        </is>
      </c>
      <c r="B3526" t="inlineStr">
        <is>
          <t>Vietcombank</t>
        </is>
      </c>
      <c r="C3526" t="n">
        <v>26108</v>
      </c>
      <c r="D3526" t="n">
        <v>26138</v>
      </c>
      <c r="E3526" t="n">
        <v>26368</v>
      </c>
    </row>
    <row r="3527">
      <c r="A3527" t="inlineStr">
        <is>
          <t>23/04/2026</t>
        </is>
      </c>
      <c r="B3527" t="inlineStr">
        <is>
          <t>Vietcombank</t>
        </is>
      </c>
      <c r="C3527" t="n">
        <v>26100</v>
      </c>
      <c r="D3527" t="n">
        <v>26130</v>
      </c>
      <c r="E3527" t="n">
        <v>26360</v>
      </c>
    </row>
    <row r="3528">
      <c r="A3528" t="inlineStr">
        <is>
          <t>22/04/2026</t>
        </is>
      </c>
      <c r="B3528" t="inlineStr">
        <is>
          <t>Vietcombank</t>
        </is>
      </c>
      <c r="C3528" t="n">
        <v>26095</v>
      </c>
      <c r="D3528" t="n">
        <v>26125</v>
      </c>
      <c r="E3528" t="n">
        <v>26355</v>
      </c>
    </row>
    <row r="3529">
      <c r="A3529" t="inlineStr">
        <is>
          <t>21/04/2026</t>
        </is>
      </c>
      <c r="B3529" t="inlineStr">
        <is>
          <t>Vietcombank</t>
        </is>
      </c>
      <c r="C3529" t="n">
        <v>26097</v>
      </c>
      <c r="D3529" t="n">
        <v>26127</v>
      </c>
      <c r="E3529" t="n">
        <v>26357</v>
      </c>
    </row>
    <row r="3530">
      <c r="A3530" t="inlineStr">
        <is>
          <t>20/04/2026</t>
        </is>
      </c>
      <c r="B3530" t="inlineStr">
        <is>
          <t>Vietcombank</t>
        </is>
      </c>
      <c r="C3530" t="n">
        <v>26098</v>
      </c>
      <c r="D3530" t="n">
        <v>26128</v>
      </c>
      <c r="E3530" t="n">
        <v>26358</v>
      </c>
    </row>
    <row r="3531">
      <c r="A3531" t="inlineStr">
        <is>
          <t>19/04/2026</t>
        </is>
      </c>
      <c r="B3531" t="inlineStr">
        <is>
          <t>Vietcombank</t>
        </is>
      </c>
      <c r="C3531" t="n">
        <v>26097</v>
      </c>
      <c r="D3531" t="n">
        <v>26127</v>
      </c>
      <c r="E3531" t="n">
        <v>26357</v>
      </c>
    </row>
    <row r="3532">
      <c r="A3532" t="inlineStr">
        <is>
          <t>18/04/2026</t>
        </is>
      </c>
      <c r="B3532" t="inlineStr">
        <is>
          <t>Vietcombank</t>
        </is>
      </c>
      <c r="C3532" t="n">
        <v>26097</v>
      </c>
      <c r="D3532" t="n">
        <v>26127</v>
      </c>
      <c r="E3532" t="n">
        <v>26357</v>
      </c>
    </row>
    <row r="3533">
      <c r="A3533" t="inlineStr">
        <is>
          <t>17/04/2026</t>
        </is>
      </c>
      <c r="B3533" t="inlineStr">
        <is>
          <t>Vietcombank</t>
        </is>
      </c>
      <c r="C3533" t="n">
        <v>26097</v>
      </c>
      <c r="D3533" t="n">
        <v>26127</v>
      </c>
      <c r="E3533" t="n">
        <v>26357</v>
      </c>
    </row>
    <row r="3534">
      <c r="A3534" t="inlineStr">
        <is>
          <t>16/04/2026</t>
        </is>
      </c>
      <c r="B3534" t="inlineStr">
        <is>
          <t>Vietcombank</t>
        </is>
      </c>
      <c r="C3534" t="n">
        <v>26097</v>
      </c>
      <c r="D3534" t="n">
        <v>26127</v>
      </c>
      <c r="E3534" t="n">
        <v>26357</v>
      </c>
    </row>
    <row r="3535">
      <c r="A3535" t="inlineStr">
        <is>
          <t>15/04/2026</t>
        </is>
      </c>
      <c r="B3535" t="inlineStr">
        <is>
          <t>Vietcombank</t>
        </is>
      </c>
      <c r="C3535" t="n">
        <v>26108</v>
      </c>
      <c r="D3535" t="n">
        <v>26138</v>
      </c>
      <c r="E3535" t="n">
        <v>26358</v>
      </c>
    </row>
    <row r="3536">
      <c r="A3536" t="inlineStr">
        <is>
          <t>14/04/2026</t>
        </is>
      </c>
      <c r="B3536" t="inlineStr">
        <is>
          <t>Vietcombank</t>
        </is>
      </c>
      <c r="C3536" t="n">
        <v>26111</v>
      </c>
      <c r="D3536" t="n">
        <v>26141</v>
      </c>
      <c r="E3536" t="n">
        <v>26361</v>
      </c>
    </row>
    <row r="3537">
      <c r="A3537" t="inlineStr">
        <is>
          <t>13/04/2026</t>
        </is>
      </c>
      <c r="B3537" t="inlineStr">
        <is>
          <t>Vietcombank</t>
        </is>
      </c>
      <c r="C3537" t="n">
        <v>26111</v>
      </c>
      <c r="D3537" t="n">
        <v>26141</v>
      </c>
      <c r="E3537" t="n">
        <v>26361</v>
      </c>
    </row>
    <row r="3538">
      <c r="A3538" t="inlineStr">
        <is>
          <t>12/04/2026</t>
        </is>
      </c>
      <c r="B3538" t="inlineStr">
        <is>
          <t>Vietcombank</t>
        </is>
      </c>
      <c r="C3538" t="n">
        <v>26100</v>
      </c>
      <c r="D3538" t="n">
        <v>26130</v>
      </c>
      <c r="E3538" t="n">
        <v>26360</v>
      </c>
    </row>
    <row r="3539">
      <c r="A3539" t="inlineStr">
        <is>
          <t>11/04/2026</t>
        </is>
      </c>
      <c r="B3539" t="inlineStr">
        <is>
          <t>Vietcombank</t>
        </is>
      </c>
      <c r="C3539" t="n">
        <v>26100</v>
      </c>
      <c r="D3539" t="n">
        <v>26130</v>
      </c>
      <c r="E3539" t="n">
        <v>26360</v>
      </c>
    </row>
    <row r="3540">
      <c r="A3540" t="inlineStr">
        <is>
          <t>10/04/2026</t>
        </is>
      </c>
      <c r="B3540" t="inlineStr">
        <is>
          <t>Vietcombank</t>
        </is>
      </c>
      <c r="C3540" t="n">
        <v>26100</v>
      </c>
      <c r="D3540" t="n">
        <v>26130</v>
      </c>
      <c r="E3540" t="n">
        <v>26360</v>
      </c>
    </row>
    <row r="3541">
      <c r="A3541" t="inlineStr">
        <is>
          <t>09/04/2026</t>
        </is>
      </c>
      <c r="B3541" t="inlineStr">
        <is>
          <t>Vietcombank</t>
        </is>
      </c>
      <c r="C3541" t="n">
        <v>26087</v>
      </c>
      <c r="D3541" t="n">
        <v>26117</v>
      </c>
      <c r="E3541" t="n">
        <v>26357</v>
      </c>
    </row>
    <row r="3542">
      <c r="A3542" t="inlineStr">
        <is>
          <t>08/04/2026</t>
        </is>
      </c>
      <c r="B3542" t="inlineStr">
        <is>
          <t>Vietcombank</t>
        </is>
      </c>
      <c r="C3542" t="n">
        <v>26111</v>
      </c>
      <c r="D3542" t="n">
        <v>26141</v>
      </c>
      <c r="E3542" t="n">
        <v>26361</v>
      </c>
    </row>
    <row r="3543">
      <c r="A3543" t="inlineStr">
        <is>
          <t>07/04/2026</t>
        </is>
      </c>
      <c r="B3543" t="inlineStr">
        <is>
          <t>Vietcombank</t>
        </is>
      </c>
      <c r="C3543" t="n">
        <v>26113</v>
      </c>
      <c r="D3543" t="n">
        <v>26143</v>
      </c>
      <c r="E3543" t="n">
        <v>26363</v>
      </c>
    </row>
    <row r="3544">
      <c r="A3544" t="inlineStr">
        <is>
          <t>06/04/2026</t>
        </is>
      </c>
      <c r="B3544" t="inlineStr">
        <is>
          <t>Vietcombank</t>
        </is>
      </c>
      <c r="C3544" t="n">
        <v>26111</v>
      </c>
      <c r="D3544" t="n">
        <v>26141</v>
      </c>
      <c r="E3544" t="n">
        <v>26361</v>
      </c>
    </row>
    <row r="3545">
      <c r="A3545" t="inlineStr">
        <is>
          <t>05/04/2026</t>
        </is>
      </c>
      <c r="B3545" t="inlineStr">
        <is>
          <t>Vietcombank</t>
        </is>
      </c>
      <c r="C3545" t="n">
        <v>26112</v>
      </c>
      <c r="D3545" t="n">
        <v>26142</v>
      </c>
      <c r="E3545" t="n">
        <v>26362</v>
      </c>
    </row>
    <row r="3546">
      <c r="A3546" t="inlineStr">
        <is>
          <t>04/04/2026</t>
        </is>
      </c>
      <c r="B3546" t="inlineStr">
        <is>
          <t>Vietcombank</t>
        </is>
      </c>
      <c r="C3546" t="n">
        <v>26112</v>
      </c>
      <c r="D3546" t="n">
        <v>26142</v>
      </c>
      <c r="E3546" t="n">
        <v>26362</v>
      </c>
    </row>
    <row r="3547">
      <c r="A3547" t="inlineStr">
        <is>
          <t>03/04/2026</t>
        </is>
      </c>
      <c r="B3547" t="inlineStr">
        <is>
          <t>Vietcombank</t>
        </is>
      </c>
      <c r="C3547" t="n">
        <v>26112</v>
      </c>
      <c r="D3547" t="n">
        <v>26142</v>
      </c>
      <c r="E3547" t="n">
        <v>26362</v>
      </c>
    </row>
    <row r="3548">
      <c r="A3548" t="inlineStr">
        <is>
          <t>02/04/2026</t>
        </is>
      </c>
      <c r="B3548" t="inlineStr">
        <is>
          <t>Vietcombank</t>
        </is>
      </c>
      <c r="C3548" t="n">
        <v>26112</v>
      </c>
      <c r="D3548" t="n">
        <v>26142</v>
      </c>
      <c r="E3548" t="n">
        <v>26362</v>
      </c>
    </row>
    <row r="3549">
      <c r="A3549" t="inlineStr">
        <is>
          <t>01/04/2026</t>
        </is>
      </c>
      <c r="B3549" t="inlineStr">
        <is>
          <t>Vietcombank</t>
        </is>
      </c>
      <c r="C3549" t="n">
        <v>26110</v>
      </c>
      <c r="D3549" t="n">
        <v>26140</v>
      </c>
      <c r="E3549" t="n">
        <v>26360</v>
      </c>
    </row>
    <row r="3550">
      <c r="A3550" t="inlineStr">
        <is>
          <t>31/03/2026</t>
        </is>
      </c>
      <c r="B3550" t="inlineStr">
        <is>
          <t>Vietcombank</t>
        </is>
      </c>
      <c r="C3550" t="n">
        <v>26107</v>
      </c>
      <c r="D3550" t="n">
        <v>26137</v>
      </c>
      <c r="E3550" t="n">
        <v>26357</v>
      </c>
    </row>
    <row r="3551">
      <c r="A3551" t="inlineStr">
        <is>
          <t>30/03/2026</t>
        </is>
      </c>
      <c r="B3551" t="inlineStr">
        <is>
          <t>Vietcombank</t>
        </is>
      </c>
      <c r="C3551" t="n">
        <v>26105</v>
      </c>
      <c r="D3551" t="n">
        <v>26135</v>
      </c>
      <c r="E3551" t="n">
        <v>26355</v>
      </c>
    </row>
    <row r="3552">
      <c r="A3552" t="inlineStr">
        <is>
          <t>29/03/2026</t>
        </is>
      </c>
      <c r="B3552" t="inlineStr">
        <is>
          <t>Vietcombank</t>
        </is>
      </c>
      <c r="C3552" t="n">
        <v>26105</v>
      </c>
      <c r="D3552" t="n">
        <v>26135</v>
      </c>
      <c r="E3552" t="n">
        <v>26355</v>
      </c>
    </row>
    <row r="3553">
      <c r="A3553" t="inlineStr">
        <is>
          <t>28/03/2026</t>
        </is>
      </c>
      <c r="B3553" t="inlineStr">
        <is>
          <t>Vietcombank</t>
        </is>
      </c>
      <c r="C3553" t="n">
        <v>26105</v>
      </c>
      <c r="D3553" t="n">
        <v>26135</v>
      </c>
      <c r="E3553" t="n">
        <v>26355</v>
      </c>
    </row>
    <row r="3554">
      <c r="A3554" t="inlineStr">
        <is>
          <t>27/03/2026</t>
        </is>
      </c>
      <c r="B3554" t="inlineStr">
        <is>
          <t>Vietcombank</t>
        </is>
      </c>
      <c r="C3554" t="n">
        <v>26105</v>
      </c>
      <c r="D3554" t="n">
        <v>26135</v>
      </c>
      <c r="E3554" t="n">
        <v>26355</v>
      </c>
    </row>
    <row r="3555">
      <c r="A3555" t="inlineStr">
        <is>
          <t>26/03/2026</t>
        </is>
      </c>
      <c r="B3555" t="inlineStr">
        <is>
          <t>Vietcombank</t>
        </is>
      </c>
      <c r="C3555" t="n">
        <v>26107</v>
      </c>
      <c r="D3555" t="n">
        <v>26137</v>
      </c>
      <c r="E3555" t="n">
        <v>26357</v>
      </c>
    </row>
    <row r="3556">
      <c r="A3556" t="inlineStr">
        <is>
          <t>25/03/2026</t>
        </is>
      </c>
      <c r="B3556" t="inlineStr">
        <is>
          <t>Vietcombank</t>
        </is>
      </c>
      <c r="C3556" t="n">
        <v>26109</v>
      </c>
      <c r="D3556" t="n">
        <v>26139</v>
      </c>
      <c r="E3556" t="n">
        <v>26359</v>
      </c>
    </row>
    <row r="3557">
      <c r="A3557" t="inlineStr">
        <is>
          <t>24/03/2026</t>
        </is>
      </c>
      <c r="B3557" t="inlineStr">
        <is>
          <t>Vietcombank</t>
        </is>
      </c>
      <c r="C3557" t="n">
        <v>26114</v>
      </c>
      <c r="D3557" t="n">
        <v>26144</v>
      </c>
      <c r="E3557" t="n">
        <v>26364</v>
      </c>
    </row>
    <row r="3558">
      <c r="A3558" t="inlineStr">
        <is>
          <t>23/03/2026</t>
        </is>
      </c>
      <c r="B3558" t="inlineStr">
        <is>
          <t>Vietcombank</t>
        </is>
      </c>
      <c r="C3558" t="n">
        <v>26074</v>
      </c>
      <c r="D3558" t="n">
        <v>26104</v>
      </c>
      <c r="E3558" t="n">
        <v>26344</v>
      </c>
    </row>
    <row r="3559">
      <c r="A3559" t="inlineStr">
        <is>
          <t>22/03/2026</t>
        </is>
      </c>
      <c r="B3559" t="inlineStr">
        <is>
          <t>Vietcombank</t>
        </is>
      </c>
      <c r="C3559" t="n">
        <v>26069</v>
      </c>
      <c r="D3559" t="n">
        <v>26099</v>
      </c>
      <c r="E3559" t="n">
        <v>26339</v>
      </c>
    </row>
    <row r="3560">
      <c r="A3560" t="inlineStr">
        <is>
          <t>21/03/2026</t>
        </is>
      </c>
      <c r="B3560" t="inlineStr">
        <is>
          <t>Vietcombank</t>
        </is>
      </c>
      <c r="C3560" t="n">
        <v>26069</v>
      </c>
      <c r="D3560" t="n">
        <v>26099</v>
      </c>
      <c r="E3560" t="n">
        <v>26339</v>
      </c>
    </row>
    <row r="3561">
      <c r="A3561" t="inlineStr">
        <is>
          <t>20/03/2026</t>
        </is>
      </c>
      <c r="B3561" t="inlineStr">
        <is>
          <t>Vietcombank</t>
        </is>
      </c>
      <c r="C3561" t="n">
        <v>26069</v>
      </c>
      <c r="D3561" t="n">
        <v>26099</v>
      </c>
      <c r="E3561" t="n">
        <v>26339</v>
      </c>
    </row>
    <row r="3562">
      <c r="A3562" t="inlineStr">
        <is>
          <t>19/03/2026</t>
        </is>
      </c>
      <c r="B3562" t="inlineStr">
        <is>
          <t>Vietcombank</t>
        </is>
      </c>
      <c r="C3562" t="n">
        <v>26055</v>
      </c>
      <c r="D3562" t="n">
        <v>26085</v>
      </c>
      <c r="E3562" t="n">
        <v>26325</v>
      </c>
    </row>
    <row r="3563">
      <c r="A3563" t="inlineStr">
        <is>
          <t>18/03/2026</t>
        </is>
      </c>
      <c r="B3563" t="inlineStr">
        <is>
          <t>Vietcombank</t>
        </is>
      </c>
      <c r="C3563" t="n">
        <v>26050</v>
      </c>
      <c r="D3563" t="n">
        <v>26080</v>
      </c>
      <c r="E3563" t="n">
        <v>26320</v>
      </c>
    </row>
    <row r="3564">
      <c r="A3564" t="inlineStr">
        <is>
          <t>17/03/2026</t>
        </is>
      </c>
      <c r="B3564" t="inlineStr">
        <is>
          <t>Vietcombank</t>
        </is>
      </c>
      <c r="C3564" t="n">
        <v>26051</v>
      </c>
      <c r="D3564" t="n">
        <v>26081</v>
      </c>
      <c r="E3564" t="n">
        <v>26321</v>
      </c>
    </row>
    <row r="3565">
      <c r="A3565" t="inlineStr">
        <is>
          <t>16/03/2026</t>
        </is>
      </c>
      <c r="B3565" t="inlineStr">
        <is>
          <t>Vietcombank</t>
        </is>
      </c>
      <c r="C3565" t="n">
        <v>26051</v>
      </c>
      <c r="D3565" t="n">
        <v>26081</v>
      </c>
      <c r="E3565" t="n">
        <v>26321</v>
      </c>
    </row>
    <row r="3566">
      <c r="A3566" t="inlineStr">
        <is>
          <t>15/03/2026</t>
        </is>
      </c>
      <c r="B3566" t="inlineStr">
        <is>
          <t>Vietcombank</t>
        </is>
      </c>
      <c r="C3566" t="n">
        <v>26048</v>
      </c>
      <c r="D3566" t="n">
        <v>26078</v>
      </c>
      <c r="E3566" t="n">
        <v>26318</v>
      </c>
    </row>
    <row r="3567">
      <c r="A3567" t="inlineStr">
        <is>
          <t>14/03/2026</t>
        </is>
      </c>
      <c r="B3567" t="inlineStr">
        <is>
          <t>Vietcombank</t>
        </is>
      </c>
      <c r="C3567" t="n">
        <v>26048</v>
      </c>
      <c r="D3567" t="n">
        <v>26078</v>
      </c>
      <c r="E3567" t="n">
        <v>26318</v>
      </c>
    </row>
    <row r="3568">
      <c r="A3568" t="inlineStr">
        <is>
          <t>13/03/2026</t>
        </is>
      </c>
      <c r="B3568" t="inlineStr">
        <is>
          <t>Vietcombank</t>
        </is>
      </c>
      <c r="C3568" t="n">
        <v>26048</v>
      </c>
      <c r="D3568" t="n">
        <v>26078</v>
      </c>
      <c r="E3568" t="n">
        <v>26318</v>
      </c>
    </row>
    <row r="3569">
      <c r="A3569" t="inlineStr">
        <is>
          <t>12/03/2026</t>
        </is>
      </c>
      <c r="B3569" t="inlineStr">
        <is>
          <t>Vietcombank</t>
        </is>
      </c>
      <c r="C3569" t="n">
        <v>26044</v>
      </c>
      <c r="D3569" t="n">
        <v>26074</v>
      </c>
      <c r="E3569" t="n">
        <v>26314</v>
      </c>
    </row>
    <row r="3570">
      <c r="A3570" t="inlineStr">
        <is>
          <t>11/03/2026</t>
        </is>
      </c>
      <c r="B3570" t="inlineStr">
        <is>
          <t>Vietcombank</t>
        </is>
      </c>
      <c r="C3570" t="n">
        <v>26001</v>
      </c>
      <c r="D3570" t="n">
        <v>26031</v>
      </c>
      <c r="E3570" t="n">
        <v>26311</v>
      </c>
    </row>
    <row r="3571">
      <c r="A3571" t="inlineStr">
        <is>
          <t>10/03/2026</t>
        </is>
      </c>
      <c r="B3571" t="inlineStr">
        <is>
          <t>Vietcombank</t>
        </is>
      </c>
      <c r="C3571" t="n">
        <v>25985</v>
      </c>
      <c r="D3571" t="n">
        <v>26015</v>
      </c>
      <c r="E3571" t="n">
        <v>26315</v>
      </c>
    </row>
    <row r="3572">
      <c r="A3572" t="inlineStr">
        <is>
          <t>09/03/2026</t>
        </is>
      </c>
      <c r="B3572" t="inlineStr">
        <is>
          <t>Vietcombank</t>
        </is>
      </c>
      <c r="C3572" t="n">
        <v>26041</v>
      </c>
      <c r="D3572" t="n">
        <v>26071</v>
      </c>
      <c r="E3572" t="n">
        <v>26311</v>
      </c>
    </row>
    <row r="3573">
      <c r="A3573" t="inlineStr">
        <is>
          <t>08/03/2026</t>
        </is>
      </c>
      <c r="B3573" t="inlineStr">
        <is>
          <t>Vietcombank</t>
        </is>
      </c>
      <c r="C3573" t="n">
        <v>25999</v>
      </c>
      <c r="D3573" t="n">
        <v>26029</v>
      </c>
      <c r="E3573" t="n">
        <v>26309</v>
      </c>
    </row>
    <row r="3574">
      <c r="A3574" t="inlineStr">
        <is>
          <t>07/03/2026</t>
        </is>
      </c>
      <c r="B3574" t="inlineStr">
        <is>
          <t>Vietcombank</t>
        </is>
      </c>
      <c r="C3574" t="n">
        <v>25999</v>
      </c>
      <c r="D3574" t="n">
        <v>26029</v>
      </c>
      <c r="E3574" t="n">
        <v>26309</v>
      </c>
    </row>
    <row r="3575">
      <c r="A3575" t="inlineStr">
        <is>
          <t>06/03/2026</t>
        </is>
      </c>
      <c r="B3575" t="inlineStr">
        <is>
          <t>Vietcombank</t>
        </is>
      </c>
      <c r="C3575" t="n">
        <v>25999</v>
      </c>
      <c r="D3575" t="n">
        <v>26029</v>
      </c>
      <c r="E3575" t="n">
        <v>26309</v>
      </c>
    </row>
    <row r="3576">
      <c r="A3576" t="inlineStr">
        <is>
          <t>05/03/2026</t>
        </is>
      </c>
      <c r="B3576" t="inlineStr">
        <is>
          <t>Vietcombank</t>
        </is>
      </c>
      <c r="C3576" t="n">
        <v>25997</v>
      </c>
      <c r="D3576" t="n">
        <v>26027</v>
      </c>
      <c r="E3576" t="n">
        <v>26307</v>
      </c>
    </row>
    <row r="3577">
      <c r="A3577" t="inlineStr">
        <is>
          <t>04/03/2026</t>
        </is>
      </c>
      <c r="B3577" t="inlineStr">
        <is>
          <t>Vietcombank</t>
        </is>
      </c>
      <c r="C3577" t="n">
        <v>25974</v>
      </c>
      <c r="D3577" t="n">
        <v>26004</v>
      </c>
      <c r="E3577" t="n">
        <v>26304</v>
      </c>
    </row>
    <row r="3578">
      <c r="A3578" t="inlineStr">
        <is>
          <t>03/03/2026</t>
        </is>
      </c>
      <c r="B3578" t="inlineStr">
        <is>
          <t>Vietcombank</t>
        </is>
      </c>
      <c r="C3578" t="n">
        <v>25968</v>
      </c>
      <c r="D3578" t="n">
        <v>25998</v>
      </c>
      <c r="E3578" t="n">
        <v>26298</v>
      </c>
    </row>
    <row r="3579">
      <c r="A3579" t="inlineStr">
        <is>
          <t>02/03/2026</t>
        </is>
      </c>
      <c r="B3579" t="inlineStr">
        <is>
          <t>Vietcombank</t>
        </is>
      </c>
      <c r="C3579" t="n">
        <v>25959</v>
      </c>
      <c r="D3579" t="n">
        <v>25989</v>
      </c>
      <c r="E3579" t="n">
        <v>26289</v>
      </c>
    </row>
    <row r="3580">
      <c r="A3580" t="inlineStr">
        <is>
          <t>01/03/2026</t>
        </is>
      </c>
      <c r="B3580" t="inlineStr">
        <is>
          <t>Vietcombank</t>
        </is>
      </c>
      <c r="C3580" t="n">
        <v>25820</v>
      </c>
      <c r="D3580" t="n">
        <v>25850</v>
      </c>
      <c r="E3580" t="n">
        <v>26230</v>
      </c>
    </row>
    <row r="3581">
      <c r="A3581" t="inlineStr">
        <is>
          <t>28/02/2026</t>
        </is>
      </c>
      <c r="B3581" t="inlineStr">
        <is>
          <t>Vietcombank</t>
        </is>
      </c>
      <c r="C3581" t="n">
        <v>25820</v>
      </c>
      <c r="D3581" t="n">
        <v>25850</v>
      </c>
      <c r="E3581" t="n">
        <v>26230</v>
      </c>
    </row>
    <row r="3582">
      <c r="A3582" t="inlineStr">
        <is>
          <t>27/02/2026</t>
        </is>
      </c>
      <c r="B3582" t="inlineStr">
        <is>
          <t>Vietcombank</t>
        </is>
      </c>
      <c r="C3582" t="n">
        <v>25820</v>
      </c>
      <c r="D3582" t="n">
        <v>25850</v>
      </c>
      <c r="E3582" t="n">
        <v>26230</v>
      </c>
    </row>
    <row r="3583">
      <c r="A3583" t="inlineStr">
        <is>
          <t>26/02/2026</t>
        </is>
      </c>
      <c r="B3583" t="inlineStr">
        <is>
          <t>Vietcombank</t>
        </is>
      </c>
      <c r="C3583" t="n">
        <v>25850</v>
      </c>
      <c r="D3583" t="n">
        <v>25880</v>
      </c>
      <c r="E3583" t="n">
        <v>26260</v>
      </c>
    </row>
    <row r="3584">
      <c r="A3584" t="inlineStr">
        <is>
          <t>25/02/2026</t>
        </is>
      </c>
      <c r="B3584" t="inlineStr">
        <is>
          <t>Vietcombank</t>
        </is>
      </c>
      <c r="C3584" t="n">
        <v>25899</v>
      </c>
      <c r="D3584" t="n">
        <v>25929</v>
      </c>
      <c r="E3584" t="n">
        <v>26309</v>
      </c>
    </row>
    <row r="3585">
      <c r="A3585" t="inlineStr">
        <is>
          <t>24/02/2026</t>
        </is>
      </c>
      <c r="B3585" t="inlineStr">
        <is>
          <t>Vietcombank</t>
        </is>
      </c>
      <c r="C3585" t="n">
        <v>25955</v>
      </c>
      <c r="D3585" t="n">
        <v>25985</v>
      </c>
      <c r="E3585" t="n">
        <v>26305</v>
      </c>
    </row>
    <row r="3586">
      <c r="A3586" t="inlineStr">
        <is>
          <t>23/02/2026</t>
        </is>
      </c>
      <c r="B3586" t="inlineStr">
        <is>
          <t>Vietcombank</t>
        </is>
      </c>
      <c r="C3586" t="n">
        <v>25880</v>
      </c>
      <c r="D3586" t="n">
        <v>25910</v>
      </c>
      <c r="E3586" t="n">
        <v>26290</v>
      </c>
    </row>
    <row r="3587">
      <c r="A3587" t="inlineStr">
        <is>
          <t>22/02/2026</t>
        </is>
      </c>
      <c r="B3587" t="inlineStr">
        <is>
          <t>Vietcombank</t>
        </is>
      </c>
      <c r="C3587" t="n">
        <v>25750</v>
      </c>
      <c r="D3587" t="n">
        <v>25780</v>
      </c>
      <c r="E3587" t="n">
        <v>26160</v>
      </c>
    </row>
    <row r="3588">
      <c r="A3588" t="inlineStr">
        <is>
          <t>21/02/2026</t>
        </is>
      </c>
      <c r="B3588" t="inlineStr">
        <is>
          <t>Vietcombank</t>
        </is>
      </c>
      <c r="C3588" t="n">
        <v>25750</v>
      </c>
      <c r="D3588" t="n">
        <v>25780</v>
      </c>
      <c r="E3588" t="n">
        <v>26160</v>
      </c>
    </row>
    <row r="3589">
      <c r="A3589" t="inlineStr">
        <is>
          <t>20/02/2026</t>
        </is>
      </c>
      <c r="B3589" t="inlineStr">
        <is>
          <t>Vietcombank</t>
        </is>
      </c>
      <c r="C3589" t="n">
        <v>25750</v>
      </c>
      <c r="D3589" t="n">
        <v>25780</v>
      </c>
      <c r="E3589" t="n">
        <v>26160</v>
      </c>
    </row>
    <row r="3590">
      <c r="A3590" t="inlineStr">
        <is>
          <t>19/02/2026</t>
        </is>
      </c>
      <c r="B3590" t="inlineStr">
        <is>
          <t>Vietcombank</t>
        </is>
      </c>
      <c r="C3590" t="n">
        <v>25750</v>
      </c>
      <c r="D3590" t="n">
        <v>25780</v>
      </c>
      <c r="E3590" t="n">
        <v>26160</v>
      </c>
    </row>
    <row r="3591">
      <c r="A3591" t="inlineStr">
        <is>
          <t>18/02/2026</t>
        </is>
      </c>
      <c r="B3591" t="inlineStr">
        <is>
          <t>Vietcombank</t>
        </is>
      </c>
      <c r="C3591" t="n">
        <v>25750</v>
      </c>
      <c r="D3591" t="n">
        <v>25780</v>
      </c>
      <c r="E3591" t="n">
        <v>26160</v>
      </c>
    </row>
    <row r="3592">
      <c r="A3592" t="inlineStr">
        <is>
          <t>17/02/2026</t>
        </is>
      </c>
      <c r="B3592" t="inlineStr">
        <is>
          <t>Vietcombank</t>
        </is>
      </c>
      <c r="C3592" t="n">
        <v>25750</v>
      </c>
      <c r="D3592" t="n">
        <v>25780</v>
      </c>
      <c r="E3592" t="n">
        <v>26160</v>
      </c>
    </row>
    <row r="3593">
      <c r="A3593" t="inlineStr">
        <is>
          <t>16/02/2026</t>
        </is>
      </c>
      <c r="B3593" t="inlineStr">
        <is>
          <t>Vietcombank</t>
        </is>
      </c>
      <c r="C3593" t="n">
        <v>25750</v>
      </c>
      <c r="D3593" t="n">
        <v>25780</v>
      </c>
      <c r="E3593" t="n">
        <v>26160</v>
      </c>
    </row>
    <row r="3594">
      <c r="A3594" t="inlineStr">
        <is>
          <t>15/02/2026</t>
        </is>
      </c>
      <c r="B3594" t="inlineStr">
        <is>
          <t>Vietcombank</t>
        </is>
      </c>
      <c r="C3594" t="n">
        <v>25750</v>
      </c>
      <c r="D3594" t="n">
        <v>25780</v>
      </c>
      <c r="E3594" t="n">
        <v>26160</v>
      </c>
    </row>
    <row r="3595">
      <c r="A3595" t="inlineStr">
        <is>
          <t>14/02/2026</t>
        </is>
      </c>
      <c r="B3595" t="inlineStr">
        <is>
          <t>Vietcombank</t>
        </is>
      </c>
      <c r="C3595" t="n">
        <v>25750</v>
      </c>
      <c r="D3595" t="n">
        <v>25780</v>
      </c>
      <c r="E3595" t="n">
        <v>26160</v>
      </c>
    </row>
    <row r="3596">
      <c r="A3596" t="inlineStr">
        <is>
          <t>13/02/2026</t>
        </is>
      </c>
      <c r="B3596" t="inlineStr">
        <is>
          <t>Vietcombank</t>
        </is>
      </c>
      <c r="C3596" t="n">
        <v>25750</v>
      </c>
      <c r="D3596" t="n">
        <v>25780</v>
      </c>
      <c r="E3596" t="n">
        <v>26160</v>
      </c>
    </row>
    <row r="3597">
      <c r="A3597" t="inlineStr">
        <is>
          <t>12/02/2026</t>
        </is>
      </c>
      <c r="B3597" t="inlineStr">
        <is>
          <t>Vietcombank</t>
        </is>
      </c>
      <c r="C3597" t="n">
        <v>25750</v>
      </c>
      <c r="D3597" t="n">
        <v>25780</v>
      </c>
      <c r="E3597" t="n">
        <v>26160</v>
      </c>
    </row>
    <row r="3598">
      <c r="A3598" t="inlineStr">
        <is>
          <t>11/02/2026</t>
        </is>
      </c>
      <c r="B3598" t="inlineStr">
        <is>
          <t>Vietcombank</t>
        </is>
      </c>
      <c r="C3598" t="n">
        <v>25750</v>
      </c>
      <c r="D3598" t="n">
        <v>25780</v>
      </c>
      <c r="E3598" t="n">
        <v>26160</v>
      </c>
    </row>
    <row r="3599">
      <c r="A3599" t="inlineStr">
        <is>
          <t>10/02/2026</t>
        </is>
      </c>
      <c r="B3599" t="inlineStr">
        <is>
          <t>Vietcombank</t>
        </is>
      </c>
      <c r="C3599" t="n">
        <v>25650</v>
      </c>
      <c r="D3599" t="n">
        <v>25680</v>
      </c>
      <c r="E3599" t="n">
        <v>26060</v>
      </c>
    </row>
    <row r="3600">
      <c r="A3600" t="inlineStr">
        <is>
          <t>09/02/2026</t>
        </is>
      </c>
      <c r="B3600" t="inlineStr">
        <is>
          <t>Vietcombank</t>
        </is>
      </c>
      <c r="C3600" t="n">
        <v>25690</v>
      </c>
      <c r="D3600" t="n">
        <v>25720</v>
      </c>
      <c r="E3600" t="n">
        <v>26100</v>
      </c>
    </row>
    <row r="3601">
      <c r="A3601" t="inlineStr">
        <is>
          <t>08/02/2026</t>
        </is>
      </c>
      <c r="B3601" t="inlineStr">
        <is>
          <t>Vietcombank</t>
        </is>
      </c>
      <c r="C3601" t="n">
        <v>25730</v>
      </c>
      <c r="D3601" t="n">
        <v>25760</v>
      </c>
      <c r="E3601" t="n">
        <v>26140</v>
      </c>
    </row>
    <row r="3602">
      <c r="A3602" t="inlineStr">
        <is>
          <t>07/02/2026</t>
        </is>
      </c>
      <c r="B3602" t="inlineStr">
        <is>
          <t>Vietcombank</t>
        </is>
      </c>
      <c r="C3602" t="n">
        <v>25730</v>
      </c>
      <c r="D3602" t="n">
        <v>25760</v>
      </c>
      <c r="E3602" t="n">
        <v>26140</v>
      </c>
    </row>
    <row r="3603">
      <c r="A3603" t="inlineStr">
        <is>
          <t>06/02/2026</t>
        </is>
      </c>
      <c r="B3603" t="inlineStr">
        <is>
          <t>Vietcombank</t>
        </is>
      </c>
      <c r="C3603" t="n">
        <v>25730</v>
      </c>
      <c r="D3603" t="n">
        <v>25760</v>
      </c>
      <c r="E3603" t="n">
        <v>26140</v>
      </c>
    </row>
    <row r="3604">
      <c r="A3604" t="inlineStr">
        <is>
          <t>05/02/2026</t>
        </is>
      </c>
      <c r="B3604" t="inlineStr">
        <is>
          <t>Vietcombank</t>
        </is>
      </c>
      <c r="C3604" t="n">
        <v>25760</v>
      </c>
      <c r="D3604" t="n">
        <v>25790</v>
      </c>
      <c r="E3604" t="n">
        <v>26150</v>
      </c>
    </row>
    <row r="3605">
      <c r="A3605" t="inlineStr">
        <is>
          <t>04/02/2026</t>
        </is>
      </c>
      <c r="B3605" t="inlineStr">
        <is>
          <t>Vietcombank</t>
        </is>
      </c>
      <c r="C3605" t="n">
        <v>25790</v>
      </c>
      <c r="D3605" t="n">
        <v>25820</v>
      </c>
      <c r="E3605" t="n">
        <v>26180</v>
      </c>
    </row>
    <row r="3606">
      <c r="A3606" t="inlineStr">
        <is>
          <t>03/02/2026</t>
        </is>
      </c>
      <c r="B3606" t="inlineStr">
        <is>
          <t>Vietcombank</t>
        </is>
      </c>
      <c r="C3606" t="n">
        <v>25790</v>
      </c>
      <c r="D3606" t="n">
        <v>25820</v>
      </c>
      <c r="E3606" t="n">
        <v>26180</v>
      </c>
    </row>
    <row r="3607">
      <c r="A3607" t="inlineStr">
        <is>
          <t>02/02/2026</t>
        </is>
      </c>
      <c r="B3607" t="inlineStr">
        <is>
          <t>Vietcombank</t>
        </is>
      </c>
      <c r="C3607" t="n">
        <v>25790</v>
      </c>
      <c r="D3607" t="n">
        <v>25820</v>
      </c>
      <c r="E3607" t="n">
        <v>26180</v>
      </c>
    </row>
    <row r="3608">
      <c r="A3608" t="inlineStr">
        <is>
          <t>01/02/2026</t>
        </is>
      </c>
      <c r="B3608" t="inlineStr">
        <is>
          <t>Vietcombank</t>
        </is>
      </c>
      <c r="C3608" t="n">
        <v>25720</v>
      </c>
      <c r="D3608" t="n">
        <v>25750</v>
      </c>
      <c r="E3608" t="n">
        <v>26110</v>
      </c>
    </row>
    <row r="3609">
      <c r="A3609" t="inlineStr">
        <is>
          <t>31/01/2026</t>
        </is>
      </c>
      <c r="B3609" t="inlineStr">
        <is>
          <t>Vietcombank</t>
        </is>
      </c>
      <c r="C3609" t="n">
        <v>25720</v>
      </c>
      <c r="D3609" t="n">
        <v>25750</v>
      </c>
      <c r="E3609" t="n">
        <v>26110</v>
      </c>
    </row>
    <row r="3610">
      <c r="A3610" t="inlineStr">
        <is>
          <t>30/01/2026</t>
        </is>
      </c>
      <c r="B3610" t="inlineStr">
        <is>
          <t>Vietcombank</t>
        </is>
      </c>
      <c r="C3610" t="n">
        <v>25720</v>
      </c>
      <c r="D3610" t="n">
        <v>25750</v>
      </c>
      <c r="E3610" t="n">
        <v>26110</v>
      </c>
    </row>
    <row r="3611">
      <c r="A3611" t="inlineStr">
        <is>
          <t>29/01/2026</t>
        </is>
      </c>
      <c r="B3611" t="inlineStr">
        <is>
          <t>Vietcombank</t>
        </is>
      </c>
      <c r="C3611" t="n">
        <v>25810</v>
      </c>
      <c r="D3611" t="n">
        <v>25840</v>
      </c>
      <c r="E3611" t="n">
        <v>26200</v>
      </c>
    </row>
    <row r="3612">
      <c r="A3612" t="inlineStr">
        <is>
          <t>28/01/2026</t>
        </is>
      </c>
      <c r="B3612" t="inlineStr">
        <is>
          <t>Vietcombank</t>
        </is>
      </c>
      <c r="C3612" t="n">
        <v>25870</v>
      </c>
      <c r="D3612" t="n">
        <v>25900</v>
      </c>
      <c r="E3612" t="n">
        <v>26260</v>
      </c>
    </row>
    <row r="3613">
      <c r="A3613" t="inlineStr">
        <is>
          <t>27/01/2026</t>
        </is>
      </c>
      <c r="B3613" t="inlineStr">
        <is>
          <t>Vietcombank</t>
        </is>
      </c>
      <c r="C3613" t="n">
        <v>25940</v>
      </c>
      <c r="D3613" t="n">
        <v>25970</v>
      </c>
      <c r="E3613" t="n">
        <v>26330</v>
      </c>
    </row>
    <row r="3614">
      <c r="A3614" t="inlineStr">
        <is>
          <t>26/01/2026</t>
        </is>
      </c>
      <c r="B3614" t="inlineStr">
        <is>
          <t>Vietcombank</t>
        </is>
      </c>
      <c r="C3614" t="n">
        <v>25978</v>
      </c>
      <c r="D3614" t="n">
        <v>26008</v>
      </c>
      <c r="E3614" t="n">
        <v>26368</v>
      </c>
    </row>
    <row r="3615">
      <c r="A3615" t="inlineStr">
        <is>
          <t>25/01/2026</t>
        </is>
      </c>
      <c r="B3615" t="inlineStr">
        <is>
          <t>Vietcombank</t>
        </is>
      </c>
      <c r="C3615" t="n">
        <v>26031</v>
      </c>
      <c r="D3615" t="n">
        <v>26061</v>
      </c>
      <c r="E3615" t="n">
        <v>26381</v>
      </c>
    </row>
    <row r="3616">
      <c r="A3616" t="inlineStr">
        <is>
          <t>24/01/2026</t>
        </is>
      </c>
      <c r="B3616" t="inlineStr">
        <is>
          <t>Vietcombank</t>
        </is>
      </c>
      <c r="C3616" t="n">
        <v>26031</v>
      </c>
      <c r="D3616" t="n">
        <v>26061</v>
      </c>
      <c r="E3616" t="n">
        <v>26381</v>
      </c>
    </row>
    <row r="3617">
      <c r="A3617" t="inlineStr">
        <is>
          <t>23/01/2026</t>
        </is>
      </c>
      <c r="B3617" t="inlineStr">
        <is>
          <t>Vietcombank</t>
        </is>
      </c>
      <c r="C3617" t="n">
        <v>26031</v>
      </c>
      <c r="D3617" t="n">
        <v>26061</v>
      </c>
      <c r="E3617" t="n">
        <v>26381</v>
      </c>
    </row>
    <row r="3618">
      <c r="A3618" t="inlineStr">
        <is>
          <t>22/01/2026</t>
        </is>
      </c>
      <c r="B3618" t="inlineStr">
        <is>
          <t>Vietcombank</t>
        </is>
      </c>
      <c r="C3618" t="n">
        <v>26051</v>
      </c>
      <c r="D3618" t="n">
        <v>26081</v>
      </c>
      <c r="E3618" t="n">
        <v>26381</v>
      </c>
    </row>
    <row r="3619">
      <c r="A3619" t="inlineStr">
        <is>
          <t>21/01/2026</t>
        </is>
      </c>
      <c r="B3619" t="inlineStr">
        <is>
          <t>Vietcombank</t>
        </is>
      </c>
      <c r="C3619" t="n">
        <v>26050</v>
      </c>
      <c r="D3619" t="n">
        <v>26080</v>
      </c>
      <c r="E3619" t="n">
        <v>26380</v>
      </c>
    </row>
    <row r="3620">
      <c r="A3620" t="inlineStr">
        <is>
          <t>20/01/2026</t>
        </is>
      </c>
      <c r="B3620" t="inlineStr">
        <is>
          <t>Vietcombank</t>
        </is>
      </c>
      <c r="C3620" t="n">
        <v>26056</v>
      </c>
      <c r="D3620" t="n">
        <v>26086</v>
      </c>
      <c r="E3620" t="n">
        <v>26386</v>
      </c>
    </row>
    <row r="3621">
      <c r="A3621" t="inlineStr">
        <is>
          <t>19/01/2026</t>
        </is>
      </c>
      <c r="B3621" t="inlineStr">
        <is>
          <t>Vietcombank</t>
        </is>
      </c>
      <c r="C3621" t="n">
        <v>26058</v>
      </c>
      <c r="D3621" t="n">
        <v>26088</v>
      </c>
      <c r="E3621" t="n">
        <v>26388</v>
      </c>
    </row>
    <row r="3622">
      <c r="A3622" t="inlineStr">
        <is>
          <t>18/01/2026</t>
        </is>
      </c>
      <c r="B3622" t="inlineStr">
        <is>
          <t>Vietcombank</t>
        </is>
      </c>
      <c r="C3622" t="n">
        <v>26057</v>
      </c>
      <c r="D3622" t="n">
        <v>26087</v>
      </c>
      <c r="E3622" t="n">
        <v>26387</v>
      </c>
    </row>
    <row r="3623">
      <c r="A3623" t="inlineStr">
        <is>
          <t>17/01/2026</t>
        </is>
      </c>
      <c r="B3623" t="inlineStr">
        <is>
          <t>Vietcombank</t>
        </is>
      </c>
      <c r="C3623" t="n">
        <v>26057</v>
      </c>
      <c r="D3623" t="n">
        <v>26087</v>
      </c>
      <c r="E3623" t="n">
        <v>26387</v>
      </c>
    </row>
    <row r="3624">
      <c r="A3624" t="inlineStr">
        <is>
          <t>16/01/2026</t>
        </is>
      </c>
      <c r="B3624" t="inlineStr">
        <is>
          <t>Vietcombank</t>
        </is>
      </c>
      <c r="C3624" t="n">
        <v>26057</v>
      </c>
      <c r="D3624" t="n">
        <v>26087</v>
      </c>
      <c r="E3624" t="n">
        <v>26387</v>
      </c>
    </row>
    <row r="3625">
      <c r="A3625" t="inlineStr">
        <is>
          <t>15/01/2026</t>
        </is>
      </c>
      <c r="B3625" t="inlineStr">
        <is>
          <t>Vietcombank</t>
        </is>
      </c>
      <c r="C3625" t="n">
        <v>26061</v>
      </c>
      <c r="D3625" t="n">
        <v>26091</v>
      </c>
      <c r="E3625" t="n">
        <v>26391</v>
      </c>
    </row>
    <row r="3626">
      <c r="A3626" t="inlineStr">
        <is>
          <t>14/01/2026</t>
        </is>
      </c>
      <c r="B3626" t="inlineStr">
        <is>
          <t>Vietcombank</t>
        </is>
      </c>
      <c r="C3626" t="n">
        <v>26061</v>
      </c>
      <c r="D3626" t="n">
        <v>26091</v>
      </c>
      <c r="E3626" t="n">
        <v>26391</v>
      </c>
    </row>
    <row r="3627">
      <c r="A3627" t="inlineStr">
        <is>
          <t>13/01/2026</t>
        </is>
      </c>
      <c r="B3627" t="inlineStr">
        <is>
          <t>Vietcombank</t>
        </is>
      </c>
      <c r="C3627" t="n">
        <v>26055</v>
      </c>
      <c r="D3627" t="n">
        <v>26085</v>
      </c>
      <c r="E3627" t="n">
        <v>26385</v>
      </c>
    </row>
    <row r="3628">
      <c r="A3628" t="inlineStr">
        <is>
          <t>12/01/2026</t>
        </is>
      </c>
      <c r="B3628" t="inlineStr">
        <is>
          <t>Vietcombank</t>
        </is>
      </c>
      <c r="C3628" t="n">
        <v>26055</v>
      </c>
      <c r="D3628" t="n">
        <v>26085</v>
      </c>
      <c r="E3628" t="n">
        <v>26385</v>
      </c>
    </row>
    <row r="3629">
      <c r="A3629" t="inlineStr">
        <is>
          <t>11/01/2026</t>
        </is>
      </c>
      <c r="B3629" t="inlineStr">
        <is>
          <t>Vietcombank</t>
        </is>
      </c>
      <c r="C3629" t="n">
        <v>26057</v>
      </c>
      <c r="D3629" t="n">
        <v>26087</v>
      </c>
      <c r="E3629" t="n">
        <v>26387</v>
      </c>
    </row>
    <row r="3630">
      <c r="A3630" t="inlineStr">
        <is>
          <t>10/01/2026</t>
        </is>
      </c>
      <c r="B3630" t="inlineStr">
        <is>
          <t>Vietcombank</t>
        </is>
      </c>
      <c r="C3630" t="n">
        <v>26057</v>
      </c>
      <c r="D3630" t="n">
        <v>26087</v>
      </c>
      <c r="E3630" t="n">
        <v>26387</v>
      </c>
    </row>
    <row r="3631">
      <c r="A3631" t="inlineStr">
        <is>
          <t>09/01/2026</t>
        </is>
      </c>
      <c r="B3631" t="inlineStr">
        <is>
          <t>Vietcombank</t>
        </is>
      </c>
      <c r="C3631" t="n">
        <v>26053</v>
      </c>
      <c r="D3631" t="n">
        <v>26083</v>
      </c>
      <c r="E3631" t="n">
        <v>26383</v>
      </c>
    </row>
    <row r="3632">
      <c r="A3632" t="inlineStr">
        <is>
          <t>08/01/2026</t>
        </is>
      </c>
      <c r="B3632" t="inlineStr">
        <is>
          <t>Vietcombank</t>
        </is>
      </c>
      <c r="C3632" t="n">
        <v>26051</v>
      </c>
      <c r="D3632" t="n">
        <v>26081</v>
      </c>
      <c r="E3632" t="n">
        <v>26381</v>
      </c>
    </row>
    <row r="3633">
      <c r="A3633" t="inlineStr">
        <is>
          <t>07/01/2026</t>
        </is>
      </c>
      <c r="B3633" t="inlineStr">
        <is>
          <t>Vietcombank</t>
        </is>
      </c>
      <c r="C3633" t="n">
        <v>26048</v>
      </c>
      <c r="D3633" t="n">
        <v>26078</v>
      </c>
      <c r="E3633" t="n">
        <v>26378</v>
      </c>
    </row>
    <row r="3634">
      <c r="A3634" t="inlineStr">
        <is>
          <t>06/01/2026</t>
        </is>
      </c>
      <c r="B3634" t="inlineStr">
        <is>
          <t>Vietcombank</t>
        </is>
      </c>
      <c r="C3634" t="n">
        <v>26048</v>
      </c>
      <c r="D3634" t="n">
        <v>26078</v>
      </c>
      <c r="E3634" t="n">
        <v>26378</v>
      </c>
    </row>
    <row r="3635">
      <c r="A3635" t="inlineStr">
        <is>
          <t>05/01/2026</t>
        </is>
      </c>
      <c r="B3635" t="inlineStr">
        <is>
          <t>Vietcombank</t>
        </is>
      </c>
      <c r="C3635" t="n">
        <v>26050</v>
      </c>
      <c r="D3635" t="n">
        <v>26080</v>
      </c>
      <c r="E3635" t="n">
        <v>26380</v>
      </c>
    </row>
    <row r="3636">
      <c r="A3636" t="inlineStr">
        <is>
          <t>04/01/2026</t>
        </is>
      </c>
      <c r="B3636" t="inlineStr">
        <is>
          <t>Vietcombank</t>
        </is>
      </c>
      <c r="C3636" t="n">
        <v>26047</v>
      </c>
      <c r="D3636" t="n">
        <v>26077</v>
      </c>
      <c r="E3636" t="n">
        <v>26377</v>
      </c>
    </row>
    <row r="3637">
      <c r="A3637" t="inlineStr">
        <is>
          <t>03/01/2026</t>
        </is>
      </c>
      <c r="B3637" t="inlineStr">
        <is>
          <t>Vietcombank</t>
        </is>
      </c>
      <c r="C3637" t="n">
        <v>26047</v>
      </c>
      <c r="D3637" t="n">
        <v>26077</v>
      </c>
      <c r="E3637" t="n">
        <v>26377</v>
      </c>
    </row>
    <row r="3638">
      <c r="A3638" t="inlineStr">
        <is>
          <t>02/01/2026</t>
        </is>
      </c>
      <c r="B3638" t="inlineStr">
        <is>
          <t>Vietcombank</t>
        </is>
      </c>
      <c r="C3638" t="n">
        <v>26047</v>
      </c>
      <c r="D3638" t="n">
        <v>26077</v>
      </c>
      <c r="E3638" t="n">
        <v>26377</v>
      </c>
    </row>
    <row r="3639">
      <c r="A3639" t="inlineStr">
        <is>
          <t>01/01/2026</t>
        </is>
      </c>
      <c r="B3639" t="inlineStr">
        <is>
          <t>Vietcombank</t>
        </is>
      </c>
      <c r="C3639" t="n">
        <v>26047</v>
      </c>
      <c r="D3639" t="n">
        <v>26077</v>
      </c>
      <c r="E3639" t="n">
        <v>26377</v>
      </c>
    </row>
    <row r="3640">
      <c r="A3640" t="inlineStr">
        <is>
          <t>10/09/2026</t>
        </is>
      </c>
      <c r="B3640" t="inlineStr">
        <is>
          <t>Vietcombank</t>
        </is>
      </c>
      <c r="C3640" t="n">
        <v>25700</v>
      </c>
      <c r="D3640" t="n">
        <v>25730</v>
      </c>
      <c r="E3640" t="n">
        <v>26110</v>
      </c>
    </row>
    <row r="3641">
      <c r="A3641" t="inlineStr">
        <is>
          <t>11/09/2026</t>
        </is>
      </c>
      <c r="B3641" t="inlineStr">
        <is>
          <t>Vietcombank</t>
        </is>
      </c>
      <c r="C3641" t="n">
        <v>25700</v>
      </c>
      <c r="D3641" t="n">
        <v>25730</v>
      </c>
      <c r="E3641" t="n">
        <v>26110</v>
      </c>
    </row>
    <row r="3642">
      <c r="A3642" t="inlineStr">
        <is>
          <t>12/09/2026</t>
        </is>
      </c>
      <c r="B3642" t="inlineStr">
        <is>
          <t>Vietcombank</t>
        </is>
      </c>
      <c r="C3642" t="n">
        <v>25700</v>
      </c>
      <c r="D3642" t="n">
        <v>25730</v>
      </c>
      <c r="E3642" t="n">
        <v>26110</v>
      </c>
    </row>
    <row r="3643">
      <c r="A3643" t="inlineStr">
        <is>
          <t>13/09/2026</t>
        </is>
      </c>
      <c r="B3643" t="inlineStr">
        <is>
          <t>Vietcombank</t>
        </is>
      </c>
      <c r="C3643" t="n">
        <v>25700</v>
      </c>
      <c r="D3643" t="n">
        <v>25730</v>
      </c>
      <c r="E3643" t="n">
        <v>26110</v>
      </c>
    </row>
    <row r="3644">
      <c r="A3644" t="inlineStr">
        <is>
          <t>14/09/2026</t>
        </is>
      </c>
      <c r="B3644" t="inlineStr">
        <is>
          <t>Vietcombank</t>
        </is>
      </c>
      <c r="C3644" t="n">
        <v>25770</v>
      </c>
      <c r="D3644" t="n">
        <v>25800</v>
      </c>
      <c r="E3644" t="n">
        <v>26180</v>
      </c>
    </row>
    <row r="3645">
      <c r="A3645" t="inlineStr">
        <is>
          <t>15/09/2026</t>
        </is>
      </c>
      <c r="B3645" t="inlineStr">
        <is>
          <t>Vietcombank</t>
        </is>
      </c>
      <c r="C3645" t="n">
        <v>25720</v>
      </c>
      <c r="D3645" t="n">
        <v>25750</v>
      </c>
      <c r="E3645" t="n">
        <v>26130</v>
      </c>
    </row>
    <row r="3646">
      <c r="A3646" t="inlineStr">
        <is>
          <t>16/09/2026</t>
        </is>
      </c>
      <c r="B3646" t="inlineStr">
        <is>
          <t>Vietcombank</t>
        </is>
      </c>
      <c r="C3646" t="n">
        <v>25770</v>
      </c>
      <c r="D3646" t="n">
        <v>25800</v>
      </c>
      <c r="E3646" t="n">
        <v>26180</v>
      </c>
    </row>
    <row r="3647">
      <c r="A3647" t="inlineStr">
        <is>
          <t>18/09/2026</t>
        </is>
      </c>
      <c r="B3647" t="inlineStr">
        <is>
          <t>Vietcombank</t>
        </is>
      </c>
      <c r="C3647" t="n">
        <v>25800</v>
      </c>
      <c r="D3647" t="n">
        <v>25830</v>
      </c>
      <c r="E3647" t="n">
        <v>26210</v>
      </c>
    </row>
    <row r="3648">
      <c r="A3648" t="inlineStr">
        <is>
          <t>17/09/2026</t>
        </is>
      </c>
      <c r="B3648" t="inlineStr">
        <is>
          <t>Vietcombank</t>
        </is>
      </c>
      <c r="C3648" t="n">
        <v>25795</v>
      </c>
      <c r="D3648" t="n">
        <v>25825</v>
      </c>
      <c r="E3648" t="n">
        <v>26205</v>
      </c>
    </row>
    <row r="3649">
      <c r="A3649" t="inlineStr">
        <is>
          <t>09/09/2026</t>
        </is>
      </c>
      <c r="B3649" t="inlineStr">
        <is>
          <t>VietinBank</t>
        </is>
      </c>
      <c r="C3649" t="n">
        <v>25655</v>
      </c>
      <c r="D3649" t="n">
        <v>25720</v>
      </c>
      <c r="E3649" t="n">
        <v>26100</v>
      </c>
    </row>
    <row r="3650">
      <c r="A3650" t="inlineStr">
        <is>
          <t>08/09/2026</t>
        </is>
      </c>
      <c r="B3650" t="inlineStr">
        <is>
          <t>VietinBank</t>
        </is>
      </c>
      <c r="C3650" t="n">
        <v>25725</v>
      </c>
      <c r="D3650" t="n">
        <v>25790</v>
      </c>
      <c r="E3650" t="n">
        <v>26170</v>
      </c>
    </row>
    <row r="3651">
      <c r="A3651" t="inlineStr">
        <is>
          <t>07/09/2026</t>
        </is>
      </c>
      <c r="B3651" t="inlineStr">
        <is>
          <t>VietinBank</t>
        </is>
      </c>
      <c r="C3651" t="n">
        <v>25775</v>
      </c>
      <c r="D3651" t="n">
        <v>25840</v>
      </c>
      <c r="E3651" t="n">
        <v>26220</v>
      </c>
    </row>
    <row r="3652">
      <c r="A3652" t="inlineStr">
        <is>
          <t>06/09/2026</t>
        </is>
      </c>
      <c r="B3652" t="inlineStr">
        <is>
          <t>VietinBank</t>
        </is>
      </c>
      <c r="C3652" t="n">
        <v>25695</v>
      </c>
      <c r="D3652" t="n">
        <v>25695</v>
      </c>
      <c r="E3652" t="n">
        <v>26235</v>
      </c>
    </row>
    <row r="3653">
      <c r="A3653" t="inlineStr">
        <is>
          <t>05/09/2026</t>
        </is>
      </c>
      <c r="B3653" t="inlineStr">
        <is>
          <t>VietinBank</t>
        </is>
      </c>
      <c r="C3653" t="n">
        <v>25805</v>
      </c>
      <c r="D3653" t="n">
        <v>25870</v>
      </c>
      <c r="E3653" t="n">
        <v>26250</v>
      </c>
    </row>
    <row r="3654">
      <c r="A3654" t="inlineStr">
        <is>
          <t>04/09/2026</t>
        </is>
      </c>
      <c r="B3654" t="inlineStr">
        <is>
          <t>VietinBank</t>
        </is>
      </c>
      <c r="C3654" t="n">
        <v>25805</v>
      </c>
      <c r="D3654" t="n">
        <v>25870</v>
      </c>
      <c r="E3654" t="n">
        <v>26250</v>
      </c>
    </row>
    <row r="3655">
      <c r="A3655" t="inlineStr">
        <is>
          <t>03/09/2026</t>
        </is>
      </c>
      <c r="B3655" t="inlineStr">
        <is>
          <t>VietinBank</t>
        </is>
      </c>
      <c r="C3655" t="n">
        <v>25840</v>
      </c>
      <c r="D3655" t="n">
        <v>25905</v>
      </c>
      <c r="E3655" t="n">
        <v>26285</v>
      </c>
    </row>
    <row r="3656">
      <c r="A3656" t="inlineStr">
        <is>
          <t>02/09/2026</t>
        </is>
      </c>
      <c r="B3656" t="inlineStr">
        <is>
          <t>VietinBank</t>
        </is>
      </c>
      <c r="C3656" t="n">
        <v>25715</v>
      </c>
      <c r="D3656" t="n">
        <v>25715</v>
      </c>
      <c r="E3656" t="n">
        <v>26255</v>
      </c>
    </row>
    <row r="3657">
      <c r="A3657" t="inlineStr">
        <is>
          <t>01/09/2026</t>
        </is>
      </c>
      <c r="B3657" t="inlineStr">
        <is>
          <t>VietinBank</t>
        </is>
      </c>
      <c r="C3657" t="n">
        <v>25715</v>
      </c>
      <c r="D3657" t="n">
        <v>25715</v>
      </c>
      <c r="E3657" t="n">
        <v>26255</v>
      </c>
    </row>
    <row r="3658">
      <c r="A3658" t="inlineStr">
        <is>
          <t>31/08/2026</t>
        </is>
      </c>
      <c r="B3658" t="inlineStr">
        <is>
          <t>VietinBank</t>
        </is>
      </c>
      <c r="C3658" t="n">
        <v>25715</v>
      </c>
      <c r="D3658" t="n">
        <v>25715</v>
      </c>
      <c r="E3658" t="n">
        <v>26255</v>
      </c>
    </row>
    <row r="3659">
      <c r="A3659" t="inlineStr">
        <is>
          <t>30/08/2026</t>
        </is>
      </c>
      <c r="B3659" t="inlineStr">
        <is>
          <t>VietinBank</t>
        </is>
      </c>
      <c r="C3659" t="n">
        <v>25715</v>
      </c>
      <c r="D3659" t="n">
        <v>25715</v>
      </c>
      <c r="E3659" t="n">
        <v>26255</v>
      </c>
    </row>
    <row r="3660">
      <c r="A3660" t="inlineStr">
        <is>
          <t>29/08/2026</t>
        </is>
      </c>
      <c r="B3660" t="inlineStr">
        <is>
          <t>VietinBank</t>
        </is>
      </c>
      <c r="C3660" t="n">
        <v>25825</v>
      </c>
      <c r="D3660" t="n">
        <v>25890</v>
      </c>
      <c r="E3660" t="n">
        <v>26270</v>
      </c>
    </row>
    <row r="3661">
      <c r="A3661" t="inlineStr">
        <is>
          <t>28/08/2026</t>
        </is>
      </c>
      <c r="B3661" t="inlineStr">
        <is>
          <t>VietinBank</t>
        </is>
      </c>
      <c r="C3661" t="n">
        <v>25825</v>
      </c>
      <c r="D3661" t="n">
        <v>25890</v>
      </c>
      <c r="E3661" t="n">
        <v>26270</v>
      </c>
    </row>
    <row r="3662">
      <c r="A3662" t="inlineStr">
        <is>
          <t>27/08/2026</t>
        </is>
      </c>
      <c r="B3662" t="inlineStr">
        <is>
          <t>VietinBank</t>
        </is>
      </c>
      <c r="C3662" t="n">
        <v>25825</v>
      </c>
      <c r="D3662" t="n">
        <v>25890</v>
      </c>
      <c r="E3662" t="n">
        <v>26270</v>
      </c>
    </row>
    <row r="3663">
      <c r="A3663" t="inlineStr">
        <is>
          <t>26/08/2026</t>
        </is>
      </c>
      <c r="B3663" t="inlineStr">
        <is>
          <t>VietinBank</t>
        </is>
      </c>
      <c r="C3663" t="n">
        <v>25845</v>
      </c>
      <c r="D3663" t="n">
        <v>25910</v>
      </c>
      <c r="E3663" t="n">
        <v>26290</v>
      </c>
    </row>
    <row r="3664">
      <c r="A3664" t="inlineStr">
        <is>
          <t>25/08/2026</t>
        </is>
      </c>
      <c r="B3664" t="inlineStr">
        <is>
          <t>VietinBank</t>
        </is>
      </c>
      <c r="C3664" t="n">
        <v>25863</v>
      </c>
      <c r="D3664" t="n">
        <v>25928</v>
      </c>
      <c r="E3664" t="n">
        <v>26308</v>
      </c>
    </row>
    <row r="3665">
      <c r="A3665" t="inlineStr">
        <is>
          <t>24/08/2026</t>
        </is>
      </c>
      <c r="B3665" t="inlineStr">
        <is>
          <t>VietinBank</t>
        </is>
      </c>
      <c r="C3665" t="n">
        <v>25915</v>
      </c>
      <c r="D3665" t="n">
        <v>25980</v>
      </c>
      <c r="E3665" t="n">
        <v>26360</v>
      </c>
    </row>
    <row r="3666">
      <c r="A3666" t="inlineStr">
        <is>
          <t>23/08/2026</t>
        </is>
      </c>
      <c r="B3666" t="inlineStr">
        <is>
          <t>VietinBank</t>
        </is>
      </c>
      <c r="C3666" t="n">
        <v>25759</v>
      </c>
      <c r="D3666" t="n">
        <v>25759</v>
      </c>
      <c r="E3666" t="n">
        <v>26299</v>
      </c>
    </row>
    <row r="3667">
      <c r="A3667" t="inlineStr">
        <is>
          <t>22/08/2026</t>
        </is>
      </c>
      <c r="B3667" t="inlineStr">
        <is>
          <t>VietinBank</t>
        </is>
      </c>
      <c r="C3667" t="n">
        <v>25759</v>
      </c>
      <c r="D3667" t="n">
        <v>25759</v>
      </c>
      <c r="E3667" t="n">
        <v>26299</v>
      </c>
    </row>
    <row r="3668">
      <c r="A3668" t="inlineStr">
        <is>
          <t>21/08/2026</t>
        </is>
      </c>
      <c r="B3668" t="inlineStr">
        <is>
          <t>VietinBank</t>
        </is>
      </c>
      <c r="C3668" t="n">
        <v>25875</v>
      </c>
      <c r="D3668" t="n">
        <v>25940</v>
      </c>
      <c r="E3668" t="n">
        <v>26320</v>
      </c>
    </row>
    <row r="3669">
      <c r="A3669" t="inlineStr">
        <is>
          <t>20/08/2026</t>
        </is>
      </c>
      <c r="B3669" t="inlineStr">
        <is>
          <t>VietinBank</t>
        </is>
      </c>
      <c r="C3669" t="n">
        <v>25855</v>
      </c>
      <c r="D3669" t="n">
        <v>25920</v>
      </c>
      <c r="E3669" t="n">
        <v>26300</v>
      </c>
    </row>
    <row r="3670">
      <c r="A3670" t="inlineStr">
        <is>
          <t>19/08/2026</t>
        </is>
      </c>
      <c r="B3670" t="inlineStr">
        <is>
          <t>VietinBank</t>
        </is>
      </c>
      <c r="C3670" t="n">
        <v>25930</v>
      </c>
      <c r="D3670" t="n">
        <v>25995</v>
      </c>
      <c r="E3670" t="n">
        <v>26375</v>
      </c>
    </row>
    <row r="3671">
      <c r="A3671" t="inlineStr">
        <is>
          <t>18/08/2026</t>
        </is>
      </c>
      <c r="B3671" t="inlineStr">
        <is>
          <t>VietinBank</t>
        </is>
      </c>
      <c r="C3671" t="n">
        <v>25930</v>
      </c>
      <c r="D3671" t="n">
        <v>25995</v>
      </c>
      <c r="E3671" t="n">
        <v>26375</v>
      </c>
    </row>
    <row r="3672">
      <c r="A3672" t="inlineStr">
        <is>
          <t>17/08/2026</t>
        </is>
      </c>
      <c r="B3672" t="inlineStr">
        <is>
          <t>VietinBank</t>
        </is>
      </c>
      <c r="C3672" t="n">
        <v>25965</v>
      </c>
      <c r="D3672" t="n">
        <v>26030</v>
      </c>
      <c r="E3672" t="n">
        <v>26410</v>
      </c>
    </row>
    <row r="3673">
      <c r="A3673" t="inlineStr">
        <is>
          <t>16/08/2026</t>
        </is>
      </c>
      <c r="B3673" t="inlineStr">
        <is>
          <t>VietinBank</t>
        </is>
      </c>
      <c r="C3673" t="n">
        <v>25780</v>
      </c>
      <c r="D3673" t="n">
        <v>25780</v>
      </c>
      <c r="E3673" t="n">
        <v>26320</v>
      </c>
    </row>
    <row r="3674">
      <c r="A3674" t="inlineStr">
        <is>
          <t>15/08/2026</t>
        </is>
      </c>
      <c r="B3674" t="inlineStr">
        <is>
          <t>VietinBank</t>
        </is>
      </c>
      <c r="C3674" t="n">
        <v>25680</v>
      </c>
      <c r="D3674" t="n">
        <v>25680</v>
      </c>
      <c r="E3674" t="n">
        <v>26220</v>
      </c>
    </row>
    <row r="3675">
      <c r="A3675" t="inlineStr">
        <is>
          <t>14/08/2026</t>
        </is>
      </c>
      <c r="B3675" t="inlineStr">
        <is>
          <t>VietinBank</t>
        </is>
      </c>
      <c r="C3675" t="n">
        <v>25890</v>
      </c>
      <c r="D3675" t="n">
        <v>25955</v>
      </c>
      <c r="E3675" t="n">
        <v>26335</v>
      </c>
    </row>
    <row r="3676">
      <c r="A3676" t="inlineStr">
        <is>
          <t>13/08/2026</t>
        </is>
      </c>
      <c r="B3676" t="inlineStr">
        <is>
          <t>VietinBank</t>
        </is>
      </c>
      <c r="C3676" t="n">
        <v>25830</v>
      </c>
      <c r="D3676" t="n">
        <v>25895</v>
      </c>
      <c r="E3676" t="n">
        <v>26275</v>
      </c>
    </row>
    <row r="3677">
      <c r="A3677" t="inlineStr">
        <is>
          <t>12/08/2026</t>
        </is>
      </c>
      <c r="B3677" t="inlineStr">
        <is>
          <t>VietinBank</t>
        </is>
      </c>
      <c r="C3677" t="n">
        <v>25680</v>
      </c>
      <c r="D3677" t="n">
        <v>25680</v>
      </c>
      <c r="E3677" t="n">
        <v>26220</v>
      </c>
    </row>
    <row r="3678">
      <c r="A3678" t="inlineStr">
        <is>
          <t>11/08/2026</t>
        </is>
      </c>
      <c r="B3678" t="inlineStr">
        <is>
          <t>VietinBank</t>
        </is>
      </c>
      <c r="C3678" t="n">
        <v>25865</v>
      </c>
      <c r="D3678" t="n">
        <v>25930</v>
      </c>
      <c r="E3678" t="n">
        <v>26310</v>
      </c>
    </row>
    <row r="3679">
      <c r="A3679" t="inlineStr">
        <is>
          <t>10/08/2026</t>
        </is>
      </c>
      <c r="B3679" t="inlineStr">
        <is>
          <t>VietinBank</t>
        </is>
      </c>
      <c r="C3679" t="n">
        <v>25895</v>
      </c>
      <c r="D3679" t="n">
        <v>25960</v>
      </c>
      <c r="E3679" t="n">
        <v>26340</v>
      </c>
    </row>
    <row r="3680">
      <c r="A3680" t="inlineStr">
        <is>
          <t>09/08/2026</t>
        </is>
      </c>
      <c r="B3680" t="inlineStr">
        <is>
          <t>VietinBank</t>
        </is>
      </c>
      <c r="C3680" t="n">
        <v>25845</v>
      </c>
      <c r="D3680" t="n">
        <v>25845</v>
      </c>
      <c r="E3680" t="n">
        <v>26385</v>
      </c>
    </row>
    <row r="3681">
      <c r="A3681" t="inlineStr">
        <is>
          <t>08/08/2026</t>
        </is>
      </c>
      <c r="B3681" t="inlineStr">
        <is>
          <t>VietinBank</t>
        </is>
      </c>
      <c r="C3681" t="n">
        <v>25955</v>
      </c>
      <c r="D3681" t="n">
        <v>26020</v>
      </c>
      <c r="E3681" t="n">
        <v>26400</v>
      </c>
    </row>
    <row r="3682">
      <c r="A3682" t="inlineStr">
        <is>
          <t>07/08/2026</t>
        </is>
      </c>
      <c r="B3682" t="inlineStr">
        <is>
          <t>VietinBank</t>
        </is>
      </c>
      <c r="C3682" t="n">
        <v>25955</v>
      </c>
      <c r="D3682" t="n">
        <v>26020</v>
      </c>
      <c r="E3682" t="n">
        <v>26400</v>
      </c>
    </row>
    <row r="3683">
      <c r="A3683" t="inlineStr">
        <is>
          <t>06/08/2026</t>
        </is>
      </c>
      <c r="B3683" t="inlineStr">
        <is>
          <t>VietinBank</t>
        </is>
      </c>
      <c r="C3683" t="n">
        <v>25990</v>
      </c>
      <c r="D3683" t="n">
        <v>26055</v>
      </c>
      <c r="E3683" t="n">
        <v>26435</v>
      </c>
    </row>
    <row r="3684">
      <c r="A3684" t="inlineStr">
        <is>
          <t>05/08/2026</t>
        </is>
      </c>
      <c r="B3684" t="inlineStr">
        <is>
          <t>VietinBank</t>
        </is>
      </c>
      <c r="C3684" t="n">
        <v>26005</v>
      </c>
      <c r="D3684" t="n">
        <v>26070</v>
      </c>
      <c r="E3684" t="n">
        <v>26450</v>
      </c>
    </row>
    <row r="3685">
      <c r="A3685" t="inlineStr">
        <is>
          <t>04/08/2026</t>
        </is>
      </c>
      <c r="B3685" t="inlineStr">
        <is>
          <t>VietinBank</t>
        </is>
      </c>
      <c r="C3685" t="n">
        <v>26023</v>
      </c>
      <c r="D3685" t="n">
        <v>26088</v>
      </c>
      <c r="E3685" t="n">
        <v>26468</v>
      </c>
    </row>
    <row r="3686">
      <c r="A3686" t="inlineStr">
        <is>
          <t>03/08/2026</t>
        </is>
      </c>
      <c r="B3686" t="inlineStr">
        <is>
          <t>VietinBank</t>
        </is>
      </c>
      <c r="C3686" t="n">
        <v>26035</v>
      </c>
      <c r="D3686" t="n">
        <v>26100</v>
      </c>
      <c r="E3686" t="n">
        <v>26480</v>
      </c>
    </row>
    <row r="3687">
      <c r="A3687" t="inlineStr">
        <is>
          <t>02/08/2026</t>
        </is>
      </c>
      <c r="B3687" t="inlineStr">
        <is>
          <t>VietinBank</t>
        </is>
      </c>
      <c r="C3687" t="n">
        <v>25930</v>
      </c>
      <c r="D3687" t="n">
        <v>25930</v>
      </c>
      <c r="E3687" t="n">
        <v>26470</v>
      </c>
    </row>
    <row r="3688">
      <c r="A3688" t="inlineStr">
        <is>
          <t>01/08/2026</t>
        </is>
      </c>
      <c r="B3688" t="inlineStr">
        <is>
          <t>VietinBank</t>
        </is>
      </c>
      <c r="C3688" t="n">
        <v>26040</v>
      </c>
      <c r="D3688" t="n">
        <v>26105</v>
      </c>
      <c r="E3688" t="n">
        <v>26485</v>
      </c>
    </row>
    <row r="3689">
      <c r="A3689" t="inlineStr">
        <is>
          <t>31/07/2026</t>
        </is>
      </c>
      <c r="B3689" t="inlineStr">
        <is>
          <t>VietinBank</t>
        </is>
      </c>
      <c r="C3689" t="n">
        <v>26040</v>
      </c>
      <c r="D3689" t="n">
        <v>26105</v>
      </c>
      <c r="E3689" t="n">
        <v>26485</v>
      </c>
    </row>
    <row r="3690">
      <c r="A3690" t="inlineStr">
        <is>
          <t>30/07/2026</t>
        </is>
      </c>
      <c r="B3690" t="inlineStr">
        <is>
          <t>VietinBank</t>
        </is>
      </c>
      <c r="C3690" t="n">
        <v>26030</v>
      </c>
      <c r="D3690" t="n">
        <v>26095</v>
      </c>
      <c r="E3690" t="n">
        <v>26475</v>
      </c>
    </row>
    <row r="3691">
      <c r="A3691" t="inlineStr">
        <is>
          <t>29/07/2026</t>
        </is>
      </c>
      <c r="B3691" t="inlineStr">
        <is>
          <t>VietinBank</t>
        </is>
      </c>
      <c r="C3691" t="n">
        <v>26075</v>
      </c>
      <c r="D3691" t="n">
        <v>26140</v>
      </c>
      <c r="E3691" t="n">
        <v>26520</v>
      </c>
    </row>
    <row r="3692">
      <c r="A3692" t="inlineStr">
        <is>
          <t>28/07/2026</t>
        </is>
      </c>
      <c r="B3692" t="inlineStr">
        <is>
          <t>VietinBank</t>
        </is>
      </c>
      <c r="C3692" t="n">
        <v>26080</v>
      </c>
      <c r="D3692" t="n">
        <v>26145</v>
      </c>
      <c r="E3692" t="n">
        <v>26525</v>
      </c>
    </row>
    <row r="3693">
      <c r="A3693" t="inlineStr">
        <is>
          <t>27/07/2026</t>
        </is>
      </c>
      <c r="B3693" t="inlineStr">
        <is>
          <t>VietinBank</t>
        </is>
      </c>
      <c r="C3693" t="n">
        <v>26075</v>
      </c>
      <c r="D3693" t="n">
        <v>26140</v>
      </c>
      <c r="E3693" t="n">
        <v>26520</v>
      </c>
    </row>
    <row r="3694">
      <c r="A3694" t="inlineStr">
        <is>
          <t>26/07/2026</t>
        </is>
      </c>
      <c r="B3694" t="inlineStr">
        <is>
          <t>VietinBank</t>
        </is>
      </c>
      <c r="C3694" t="n">
        <v>25963</v>
      </c>
      <c r="D3694" t="n">
        <v>25963</v>
      </c>
      <c r="E3694" t="n">
        <v>26503</v>
      </c>
    </row>
    <row r="3695">
      <c r="A3695" t="inlineStr">
        <is>
          <t>25/07/2026</t>
        </is>
      </c>
      <c r="B3695" t="inlineStr">
        <is>
          <t>VietinBank</t>
        </is>
      </c>
      <c r="C3695" t="n">
        <v>25895</v>
      </c>
      <c r="D3695" t="n">
        <v>25895</v>
      </c>
      <c r="E3695" t="n">
        <v>26435</v>
      </c>
    </row>
    <row r="3696">
      <c r="A3696" t="inlineStr">
        <is>
          <t>24/07/2026</t>
        </is>
      </c>
      <c r="B3696" t="inlineStr">
        <is>
          <t>VietinBank</t>
        </is>
      </c>
      <c r="C3696" t="n">
        <v>26073</v>
      </c>
      <c r="D3696" t="n">
        <v>26138</v>
      </c>
      <c r="E3696" t="n">
        <v>26518</v>
      </c>
    </row>
    <row r="3697">
      <c r="A3697" t="inlineStr">
        <is>
          <t>23/07/2026</t>
        </is>
      </c>
      <c r="B3697" t="inlineStr">
        <is>
          <t>VietinBank</t>
        </is>
      </c>
      <c r="C3697" t="n">
        <v>26065</v>
      </c>
      <c r="D3697" t="n">
        <v>26130</v>
      </c>
      <c r="E3697" t="n">
        <v>26510</v>
      </c>
    </row>
    <row r="3698">
      <c r="A3698" t="inlineStr">
        <is>
          <t>22/07/2026</t>
        </is>
      </c>
      <c r="B3698" t="inlineStr">
        <is>
          <t>VietinBank</t>
        </is>
      </c>
      <c r="C3698" t="n">
        <v>26063</v>
      </c>
      <c r="D3698" t="n">
        <v>26128</v>
      </c>
      <c r="E3698" t="n">
        <v>26508</v>
      </c>
    </row>
    <row r="3699">
      <c r="A3699" t="inlineStr">
        <is>
          <t>21/07/2026</t>
        </is>
      </c>
      <c r="B3699" t="inlineStr">
        <is>
          <t>VietinBank</t>
        </is>
      </c>
      <c r="C3699" t="n">
        <v>26075</v>
      </c>
      <c r="D3699" t="n">
        <v>26140</v>
      </c>
      <c r="E3699" t="n">
        <v>26520</v>
      </c>
    </row>
    <row r="3700">
      <c r="A3700" t="inlineStr">
        <is>
          <t>20/07/2026</t>
        </is>
      </c>
      <c r="B3700" t="inlineStr">
        <is>
          <t>VietinBank</t>
        </is>
      </c>
      <c r="C3700" t="n">
        <v>26045</v>
      </c>
      <c r="D3700" t="n">
        <v>26110</v>
      </c>
      <c r="E3700" t="n">
        <v>26490</v>
      </c>
    </row>
    <row r="3701">
      <c r="A3701" t="inlineStr">
        <is>
          <t>19/07/2026</t>
        </is>
      </c>
      <c r="B3701" t="inlineStr">
        <is>
          <t>VietinBank</t>
        </is>
      </c>
      <c r="C3701" t="n">
        <v>25935</v>
      </c>
      <c r="D3701" t="n">
        <v>25935</v>
      </c>
      <c r="E3701" t="n">
        <v>26475</v>
      </c>
    </row>
    <row r="3702">
      <c r="A3702" t="inlineStr">
        <is>
          <t>18/07/2026</t>
        </is>
      </c>
      <c r="B3702" t="inlineStr">
        <is>
          <t>VietinBank</t>
        </is>
      </c>
      <c r="C3702" t="n">
        <v>26038</v>
      </c>
      <c r="D3702" t="n">
        <v>26103</v>
      </c>
      <c r="E3702" t="n">
        <v>26483</v>
      </c>
    </row>
    <row r="3703">
      <c r="A3703" t="inlineStr">
        <is>
          <t>17/07/2026</t>
        </is>
      </c>
      <c r="B3703" t="inlineStr">
        <is>
          <t>VietinBank</t>
        </is>
      </c>
      <c r="C3703" t="n">
        <v>26045</v>
      </c>
      <c r="D3703" t="n">
        <v>26110</v>
      </c>
      <c r="E3703" t="n">
        <v>26490</v>
      </c>
    </row>
    <row r="3704">
      <c r="A3704" t="inlineStr">
        <is>
          <t>16/07/2026</t>
        </is>
      </c>
      <c r="B3704" t="inlineStr">
        <is>
          <t>VietinBank</t>
        </is>
      </c>
      <c r="C3704" t="n">
        <v>26005</v>
      </c>
      <c r="D3704" t="n">
        <v>26070</v>
      </c>
      <c r="E3704" t="n">
        <v>26450</v>
      </c>
    </row>
    <row r="3705">
      <c r="A3705" t="inlineStr">
        <is>
          <t>15/07/2026</t>
        </is>
      </c>
      <c r="B3705" t="inlineStr">
        <is>
          <t>VietinBank</t>
        </is>
      </c>
      <c r="C3705" t="n">
        <v>26008</v>
      </c>
      <c r="D3705" t="n">
        <v>26083</v>
      </c>
      <c r="E3705" t="n">
        <v>26438</v>
      </c>
    </row>
    <row r="3706">
      <c r="A3706" t="inlineStr">
        <is>
          <t>14/07/2026</t>
        </is>
      </c>
      <c r="B3706" t="inlineStr">
        <is>
          <t>VietinBank</t>
        </is>
      </c>
      <c r="C3706" t="n">
        <v>26010</v>
      </c>
      <c r="D3706" t="n">
        <v>26085</v>
      </c>
      <c r="E3706" t="n">
        <v>26440</v>
      </c>
    </row>
    <row r="3707">
      <c r="A3707" t="inlineStr">
        <is>
          <t>13/07/2026</t>
        </is>
      </c>
      <c r="B3707" t="inlineStr">
        <is>
          <t>VietinBank</t>
        </is>
      </c>
      <c r="C3707" t="n">
        <v>26005</v>
      </c>
      <c r="D3707" t="n">
        <v>26080</v>
      </c>
      <c r="E3707" t="n">
        <v>26435</v>
      </c>
    </row>
    <row r="3708">
      <c r="A3708" t="inlineStr">
        <is>
          <t>12/07/2026</t>
        </is>
      </c>
      <c r="B3708" t="inlineStr">
        <is>
          <t>VietinBank</t>
        </is>
      </c>
      <c r="C3708" t="n">
        <v>25905</v>
      </c>
      <c r="D3708" t="n">
        <v>25905</v>
      </c>
      <c r="E3708" t="n">
        <v>26445</v>
      </c>
    </row>
    <row r="3709">
      <c r="A3709" t="inlineStr">
        <is>
          <t>11/07/2026</t>
        </is>
      </c>
      <c r="B3709" t="inlineStr">
        <is>
          <t>VietinBank</t>
        </is>
      </c>
      <c r="C3709" t="n">
        <v>25895</v>
      </c>
      <c r="D3709" t="n">
        <v>25895</v>
      </c>
      <c r="E3709" t="n">
        <v>26435</v>
      </c>
    </row>
    <row r="3710">
      <c r="A3710" t="inlineStr">
        <is>
          <t>10/07/2026</t>
        </is>
      </c>
      <c r="B3710" t="inlineStr">
        <is>
          <t>VietinBank</t>
        </is>
      </c>
      <c r="C3710" t="n">
        <v>26015</v>
      </c>
      <c r="D3710" t="n">
        <v>26065</v>
      </c>
      <c r="E3710" t="n">
        <v>26445</v>
      </c>
    </row>
    <row r="3711">
      <c r="A3711" t="inlineStr">
        <is>
          <t>09/07/2026</t>
        </is>
      </c>
      <c r="B3711" t="inlineStr">
        <is>
          <t>VietinBank</t>
        </is>
      </c>
      <c r="C3711" t="n">
        <v>26040</v>
      </c>
      <c r="D3711" t="n">
        <v>26090</v>
      </c>
      <c r="E3711" t="n">
        <v>26470</v>
      </c>
    </row>
    <row r="3712">
      <c r="A3712" t="inlineStr">
        <is>
          <t>08/07/2026</t>
        </is>
      </c>
      <c r="B3712" t="inlineStr">
        <is>
          <t>VietinBank</t>
        </is>
      </c>
      <c r="C3712" t="n">
        <v>26043</v>
      </c>
      <c r="D3712" t="n">
        <v>26093</v>
      </c>
      <c r="E3712" t="n">
        <v>26466</v>
      </c>
    </row>
    <row r="3713">
      <c r="A3713" t="inlineStr">
        <is>
          <t>07/07/2026</t>
        </is>
      </c>
      <c r="B3713" t="inlineStr">
        <is>
          <t>VietinBank</t>
        </is>
      </c>
      <c r="C3713" t="n">
        <v>26040</v>
      </c>
      <c r="D3713" t="n">
        <v>26090</v>
      </c>
      <c r="E3713" t="n">
        <v>26462</v>
      </c>
    </row>
    <row r="3714">
      <c r="A3714" t="inlineStr">
        <is>
          <t>06/07/2026</t>
        </is>
      </c>
      <c r="B3714" t="inlineStr">
        <is>
          <t>VietinBank</t>
        </is>
      </c>
      <c r="C3714" t="n">
        <v>26045</v>
      </c>
      <c r="D3714" t="n">
        <v>26095</v>
      </c>
      <c r="E3714" t="n">
        <v>26462</v>
      </c>
    </row>
    <row r="3715">
      <c r="A3715" t="inlineStr">
        <is>
          <t>05/07/2026</t>
        </is>
      </c>
      <c r="B3715" t="inlineStr">
        <is>
          <t>VietinBank</t>
        </is>
      </c>
      <c r="C3715" t="n">
        <v>25935</v>
      </c>
      <c r="D3715" t="n">
        <v>25935</v>
      </c>
      <c r="E3715" t="n">
        <v>26463</v>
      </c>
    </row>
    <row r="3716">
      <c r="A3716" t="inlineStr">
        <is>
          <t>04/07/2026</t>
        </is>
      </c>
      <c r="B3716" t="inlineStr">
        <is>
          <t>VietinBank</t>
        </is>
      </c>
      <c r="C3716" t="n">
        <v>26042</v>
      </c>
      <c r="D3716" t="n">
        <v>26092</v>
      </c>
      <c r="E3716" t="n">
        <v>26463</v>
      </c>
    </row>
    <row r="3717">
      <c r="A3717" t="inlineStr">
        <is>
          <t>03/07/2026</t>
        </is>
      </c>
      <c r="B3717" t="inlineStr">
        <is>
          <t>VietinBank</t>
        </is>
      </c>
      <c r="C3717" t="n">
        <v>26045</v>
      </c>
      <c r="D3717" t="n">
        <v>26095</v>
      </c>
      <c r="E3717" t="n">
        <v>26463</v>
      </c>
    </row>
    <row r="3718">
      <c r="A3718" t="inlineStr">
        <is>
          <t>02/07/2026</t>
        </is>
      </c>
      <c r="B3718" t="inlineStr">
        <is>
          <t>VietinBank</t>
        </is>
      </c>
      <c r="C3718" t="n">
        <v>26040</v>
      </c>
      <c r="D3718" t="n">
        <v>26090</v>
      </c>
      <c r="E3718" t="n">
        <v>26465</v>
      </c>
    </row>
    <row r="3719">
      <c r="A3719" t="inlineStr">
        <is>
          <t>01/07/2026</t>
        </is>
      </c>
      <c r="B3719" t="inlineStr">
        <is>
          <t>VietinBank</t>
        </is>
      </c>
      <c r="C3719" t="n">
        <v>26055</v>
      </c>
      <c r="D3719" t="n">
        <v>26105</v>
      </c>
      <c r="E3719" t="n">
        <v>26466</v>
      </c>
    </row>
    <row r="3720">
      <c r="A3720" t="inlineStr">
        <is>
          <t>30/06/2026</t>
        </is>
      </c>
      <c r="B3720" t="inlineStr">
        <is>
          <t>VietinBank</t>
        </is>
      </c>
      <c r="C3720" t="n">
        <v>26060</v>
      </c>
      <c r="D3720" t="n">
        <v>26110</v>
      </c>
      <c r="E3720" t="n">
        <v>26466</v>
      </c>
    </row>
    <row r="3721">
      <c r="A3721" t="inlineStr">
        <is>
          <t>29/06/2026</t>
        </is>
      </c>
      <c r="B3721" t="inlineStr">
        <is>
          <t>VietinBank</t>
        </is>
      </c>
      <c r="C3721" t="n">
        <v>26035</v>
      </c>
      <c r="D3721" t="n">
        <v>26085</v>
      </c>
      <c r="E3721" t="n">
        <v>26461</v>
      </c>
    </row>
    <row r="3722">
      <c r="A3722" t="inlineStr">
        <is>
          <t>28/06/2026</t>
        </is>
      </c>
      <c r="B3722" t="inlineStr">
        <is>
          <t>VietinBank</t>
        </is>
      </c>
      <c r="C3722" t="n">
        <v>26044</v>
      </c>
      <c r="D3722" t="n">
        <v>26094</v>
      </c>
      <c r="E3722" t="n">
        <v>26454</v>
      </c>
    </row>
    <row r="3723">
      <c r="A3723" t="inlineStr">
        <is>
          <t>27/06/2026</t>
        </is>
      </c>
      <c r="B3723" t="inlineStr">
        <is>
          <t>VietinBank</t>
        </is>
      </c>
      <c r="C3723" t="n">
        <v>26044</v>
      </c>
      <c r="D3723" t="n">
        <v>26094</v>
      </c>
      <c r="E3723" t="n">
        <v>26454</v>
      </c>
    </row>
    <row r="3724">
      <c r="A3724" t="inlineStr">
        <is>
          <t>26/06/2026</t>
        </is>
      </c>
      <c r="B3724" t="inlineStr">
        <is>
          <t>VietinBank</t>
        </is>
      </c>
      <c r="C3724" t="n">
        <v>26048</v>
      </c>
      <c r="D3724" t="n">
        <v>26098</v>
      </c>
      <c r="E3724" t="n">
        <v>26454</v>
      </c>
    </row>
    <row r="3725">
      <c r="A3725" t="inlineStr">
        <is>
          <t>25/06/2026</t>
        </is>
      </c>
      <c r="B3725" t="inlineStr">
        <is>
          <t>VietinBank</t>
        </is>
      </c>
      <c r="C3725" t="n">
        <v>26070</v>
      </c>
      <c r="D3725" t="n">
        <v>26120</v>
      </c>
      <c r="E3725" t="n">
        <v>26456</v>
      </c>
    </row>
    <row r="3726">
      <c r="A3726" t="inlineStr">
        <is>
          <t>24/06/2026</t>
        </is>
      </c>
      <c r="B3726" t="inlineStr">
        <is>
          <t>VietinBank</t>
        </is>
      </c>
      <c r="C3726" t="n">
        <v>26085</v>
      </c>
      <c r="D3726" t="n">
        <v>26135</v>
      </c>
      <c r="E3726" t="n">
        <v>26451</v>
      </c>
    </row>
    <row r="3727">
      <c r="A3727" t="inlineStr">
        <is>
          <t>23/06/2026</t>
        </is>
      </c>
      <c r="B3727" t="inlineStr">
        <is>
          <t>VietinBank</t>
        </is>
      </c>
      <c r="C3727" t="n">
        <v>26173</v>
      </c>
      <c r="D3727" t="n">
        <v>26123</v>
      </c>
      <c r="E3727" t="n">
        <v>26448</v>
      </c>
    </row>
    <row r="3728">
      <c r="A3728" t="inlineStr">
        <is>
          <t>22/06/2026</t>
        </is>
      </c>
      <c r="B3728" t="inlineStr">
        <is>
          <t>VietinBank</t>
        </is>
      </c>
      <c r="C3728" t="n">
        <v>26120</v>
      </c>
      <c r="D3728" t="n">
        <v>26120</v>
      </c>
      <c r="E3728" t="n">
        <v>26442</v>
      </c>
    </row>
    <row r="3729">
      <c r="A3729" t="inlineStr">
        <is>
          <t>21/06/2026</t>
        </is>
      </c>
      <c r="B3729" t="inlineStr">
        <is>
          <t>VietinBank</t>
        </is>
      </c>
      <c r="C3729" t="n">
        <v>25960</v>
      </c>
      <c r="D3729" t="n">
        <v>25960</v>
      </c>
      <c r="E3729" t="n">
        <v>26440</v>
      </c>
    </row>
    <row r="3730">
      <c r="A3730" t="inlineStr">
        <is>
          <t>20/06/2026</t>
        </is>
      </c>
      <c r="B3730" t="inlineStr">
        <is>
          <t>VietinBank</t>
        </is>
      </c>
      <c r="C3730" t="n">
        <v>26121</v>
      </c>
      <c r="D3730" t="n">
        <v>26121</v>
      </c>
      <c r="E3730" t="n">
        <v>26440</v>
      </c>
    </row>
    <row r="3731">
      <c r="A3731" t="inlineStr">
        <is>
          <t>19/06/2026</t>
        </is>
      </c>
      <c r="B3731" t="inlineStr">
        <is>
          <t>VietinBank</t>
        </is>
      </c>
      <c r="C3731" t="n">
        <v>26120</v>
      </c>
      <c r="D3731" t="n">
        <v>26120</v>
      </c>
      <c r="E3731" t="n">
        <v>26440</v>
      </c>
    </row>
    <row r="3732">
      <c r="A3732" t="inlineStr">
        <is>
          <t>18/06/2026</t>
        </is>
      </c>
      <c r="B3732" t="inlineStr">
        <is>
          <t>VietinBank</t>
        </is>
      </c>
      <c r="C3732" t="n">
        <v>26125</v>
      </c>
      <c r="D3732" t="n">
        <v>26125</v>
      </c>
      <c r="E3732" t="n">
        <v>26431</v>
      </c>
    </row>
    <row r="3733">
      <c r="A3733" t="inlineStr">
        <is>
          <t>17/06/2026</t>
        </is>
      </c>
      <c r="B3733" t="inlineStr">
        <is>
          <t>VietinBank</t>
        </is>
      </c>
      <c r="C3733" t="n">
        <v>26125</v>
      </c>
      <c r="D3733" t="n">
        <v>26125</v>
      </c>
      <c r="E3733" t="n">
        <v>26433</v>
      </c>
    </row>
    <row r="3734">
      <c r="A3734" t="inlineStr">
        <is>
          <t>16/06/2026</t>
        </is>
      </c>
      <c r="B3734" t="inlineStr">
        <is>
          <t>VietinBank</t>
        </is>
      </c>
      <c r="C3734" t="n">
        <v>26103</v>
      </c>
      <c r="D3734" t="n">
        <v>26103</v>
      </c>
      <c r="E3734" t="n">
        <v>26423</v>
      </c>
    </row>
    <row r="3735">
      <c r="A3735" t="inlineStr">
        <is>
          <t>15/06/2026</t>
        </is>
      </c>
      <c r="B3735" t="inlineStr">
        <is>
          <t>VietinBank</t>
        </is>
      </c>
      <c r="C3735" t="n">
        <v>26085</v>
      </c>
      <c r="D3735" t="n">
        <v>26085</v>
      </c>
      <c r="E3735" t="n">
        <v>26423</v>
      </c>
    </row>
    <row r="3736">
      <c r="A3736" t="inlineStr">
        <is>
          <t>14/06/2026</t>
        </is>
      </c>
      <c r="B3736" t="inlineStr">
        <is>
          <t>VietinBank</t>
        </is>
      </c>
      <c r="C3736" t="n">
        <v>25950</v>
      </c>
      <c r="D3736" t="n">
        <v>25950</v>
      </c>
      <c r="E3736" t="n">
        <v>26412</v>
      </c>
    </row>
    <row r="3737">
      <c r="A3737" t="inlineStr">
        <is>
          <t>13/06/2026</t>
        </is>
      </c>
      <c r="B3737" t="inlineStr">
        <is>
          <t>VietinBank</t>
        </is>
      </c>
      <c r="C3737" t="n">
        <v>26113</v>
      </c>
      <c r="D3737" t="n">
        <v>26113</v>
      </c>
      <c r="E3737" t="n">
        <v>26412</v>
      </c>
    </row>
    <row r="3738">
      <c r="A3738" t="inlineStr">
        <is>
          <t>12/06/2026</t>
        </is>
      </c>
      <c r="B3738" t="inlineStr">
        <is>
          <t>VietinBank</t>
        </is>
      </c>
      <c r="C3738" t="n">
        <v>26110</v>
      </c>
      <c r="D3738" t="n">
        <v>26110</v>
      </c>
      <c r="E3738" t="n">
        <v>26412</v>
      </c>
    </row>
    <row r="3739">
      <c r="A3739" t="inlineStr">
        <is>
          <t>11/06/2026</t>
        </is>
      </c>
      <c r="B3739" t="inlineStr">
        <is>
          <t>VietinBank</t>
        </is>
      </c>
      <c r="C3739" t="n">
        <v>26130</v>
      </c>
      <c r="D3739" t="n">
        <v>26130</v>
      </c>
      <c r="E3739" t="n">
        <v>26410</v>
      </c>
    </row>
    <row r="3740">
      <c r="A3740" t="inlineStr">
        <is>
          <t>10/06/2026</t>
        </is>
      </c>
      <c r="B3740" t="inlineStr">
        <is>
          <t>VietinBank</t>
        </is>
      </c>
      <c r="C3740" t="n">
        <v>26120</v>
      </c>
      <c r="D3740" t="n">
        <v>26120</v>
      </c>
      <c r="E3740" t="n">
        <v>26410</v>
      </c>
    </row>
    <row r="3741">
      <c r="A3741" t="inlineStr">
        <is>
          <t>09/06/2026</t>
        </is>
      </c>
      <c r="B3741" t="inlineStr">
        <is>
          <t>VietinBank</t>
        </is>
      </c>
      <c r="C3741" t="n">
        <v>26130</v>
      </c>
      <c r="D3741" t="n">
        <v>26130</v>
      </c>
      <c r="E3741" t="n">
        <v>26408</v>
      </c>
    </row>
    <row r="3742">
      <c r="A3742" t="inlineStr">
        <is>
          <t>08/06/2026</t>
        </is>
      </c>
      <c r="B3742" t="inlineStr">
        <is>
          <t>VietinBank</t>
        </is>
      </c>
      <c r="C3742" t="n">
        <v>26143</v>
      </c>
      <c r="D3742" t="n">
        <v>26143</v>
      </c>
      <c r="E3742" t="n">
        <v>26407</v>
      </c>
    </row>
    <row r="3743">
      <c r="A3743" t="inlineStr">
        <is>
          <t>07/06/2026</t>
        </is>
      </c>
      <c r="B3743" t="inlineStr">
        <is>
          <t>VietinBank</t>
        </is>
      </c>
      <c r="C3743" t="n">
        <v>25973</v>
      </c>
      <c r="D3743" t="n">
        <v>25973</v>
      </c>
      <c r="E3743" t="n">
        <v>26404</v>
      </c>
    </row>
    <row r="3744">
      <c r="A3744" t="inlineStr">
        <is>
          <t>06/06/2026</t>
        </is>
      </c>
      <c r="B3744" t="inlineStr">
        <is>
          <t>VietinBank</t>
        </is>
      </c>
      <c r="C3744" t="n">
        <v>25973</v>
      </c>
      <c r="D3744" t="n">
        <v>25973</v>
      </c>
      <c r="E3744" t="n">
        <v>26404</v>
      </c>
    </row>
    <row r="3745">
      <c r="A3745" t="inlineStr">
        <is>
          <t>05/06/2026</t>
        </is>
      </c>
      <c r="B3745" t="inlineStr">
        <is>
          <t>VietinBank</t>
        </is>
      </c>
      <c r="C3745" t="n">
        <v>26133</v>
      </c>
      <c r="D3745" t="n">
        <v>26133</v>
      </c>
      <c r="E3745" t="n">
        <v>26404</v>
      </c>
    </row>
    <row r="3746">
      <c r="A3746" t="inlineStr">
        <is>
          <t>04/06/2026</t>
        </is>
      </c>
      <c r="B3746" t="inlineStr">
        <is>
          <t>VietinBank</t>
        </is>
      </c>
      <c r="C3746" t="n">
        <v>26135</v>
      </c>
      <c r="D3746" t="n">
        <v>26135</v>
      </c>
      <c r="E3746" t="n">
        <v>26402</v>
      </c>
    </row>
    <row r="3747">
      <c r="A3747" t="inlineStr">
        <is>
          <t>03/06/2026</t>
        </is>
      </c>
      <c r="B3747" t="inlineStr">
        <is>
          <t>VietinBank</t>
        </is>
      </c>
      <c r="C3747" t="n">
        <v>26145</v>
      </c>
      <c r="D3747" t="n">
        <v>26145</v>
      </c>
      <c r="E3747" t="n">
        <v>26402</v>
      </c>
    </row>
    <row r="3748">
      <c r="A3748" t="inlineStr">
        <is>
          <t>02/06/2026</t>
        </is>
      </c>
      <c r="B3748" t="inlineStr">
        <is>
          <t>VietinBank</t>
        </is>
      </c>
      <c r="C3748" t="n">
        <v>26133</v>
      </c>
      <c r="D3748" t="n">
        <v>26133</v>
      </c>
      <c r="E3748" t="n">
        <v>26398</v>
      </c>
    </row>
    <row r="3749">
      <c r="A3749" t="inlineStr">
        <is>
          <t>01/06/2026</t>
        </is>
      </c>
      <c r="B3749" t="inlineStr">
        <is>
          <t>VietinBank</t>
        </is>
      </c>
      <c r="C3749" t="n">
        <v>26120</v>
      </c>
      <c r="D3749" t="n">
        <v>26120</v>
      </c>
      <c r="E3749" t="n">
        <v>26394</v>
      </c>
    </row>
    <row r="3750">
      <c r="A3750" t="inlineStr">
        <is>
          <t>31/05/2026</t>
        </is>
      </c>
      <c r="B3750" t="inlineStr">
        <is>
          <t>VietinBank</t>
        </is>
      </c>
      <c r="C3750" t="n">
        <v>25945</v>
      </c>
      <c r="D3750" t="n">
        <v>25945</v>
      </c>
      <c r="E3750" t="n">
        <v>26395</v>
      </c>
    </row>
    <row r="3751">
      <c r="A3751" t="inlineStr">
        <is>
          <t>30/05/2026</t>
        </is>
      </c>
      <c r="B3751" t="inlineStr">
        <is>
          <t>VietinBank</t>
        </is>
      </c>
      <c r="C3751" t="n">
        <v>25945</v>
      </c>
      <c r="D3751" t="n">
        <v>25945</v>
      </c>
      <c r="E3751" t="n">
        <v>26395</v>
      </c>
    </row>
    <row r="3752">
      <c r="A3752" t="inlineStr">
        <is>
          <t>29/05/2026</t>
        </is>
      </c>
      <c r="B3752" t="inlineStr">
        <is>
          <t>VietinBank</t>
        </is>
      </c>
      <c r="C3752" t="n">
        <v>26105</v>
      </c>
      <c r="D3752" t="n">
        <v>26105</v>
      </c>
      <c r="E3752" t="n">
        <v>26395</v>
      </c>
    </row>
    <row r="3753">
      <c r="A3753" t="inlineStr">
        <is>
          <t>28/05/2026</t>
        </is>
      </c>
      <c r="B3753" t="inlineStr">
        <is>
          <t>VietinBank</t>
        </is>
      </c>
      <c r="C3753" t="n">
        <v>26125</v>
      </c>
      <c r="D3753" t="n">
        <v>26125</v>
      </c>
      <c r="E3753" t="n">
        <v>26393</v>
      </c>
    </row>
    <row r="3754">
      <c r="A3754" t="inlineStr">
        <is>
          <t>27/05/2026</t>
        </is>
      </c>
      <c r="B3754" t="inlineStr">
        <is>
          <t>VietinBank</t>
        </is>
      </c>
      <c r="C3754" t="n">
        <v>26130</v>
      </c>
      <c r="D3754" t="n">
        <v>26130</v>
      </c>
      <c r="E3754" t="n">
        <v>26393</v>
      </c>
    </row>
    <row r="3755">
      <c r="A3755" t="inlineStr">
        <is>
          <t>26/05/2026</t>
        </is>
      </c>
      <c r="B3755" t="inlineStr">
        <is>
          <t>VietinBank</t>
        </is>
      </c>
      <c r="C3755" t="n">
        <v>26140</v>
      </c>
      <c r="D3755" t="n">
        <v>26140</v>
      </c>
      <c r="E3755" t="n">
        <v>26394</v>
      </c>
    </row>
    <row r="3756">
      <c r="A3756" t="inlineStr">
        <is>
          <t>25/05/2026</t>
        </is>
      </c>
      <c r="B3756" t="inlineStr">
        <is>
          <t>VietinBank</t>
        </is>
      </c>
      <c r="C3756" t="n">
        <v>26150</v>
      </c>
      <c r="D3756" t="n">
        <v>26150</v>
      </c>
      <c r="E3756" t="n">
        <v>26392</v>
      </c>
    </row>
    <row r="3757">
      <c r="A3757" t="inlineStr">
        <is>
          <t>24/05/2026</t>
        </is>
      </c>
      <c r="B3757" t="inlineStr">
        <is>
          <t>VietinBank</t>
        </is>
      </c>
      <c r="C3757" t="n">
        <v>25995</v>
      </c>
      <c r="D3757" t="n">
        <v>25995</v>
      </c>
      <c r="E3757" t="n">
        <v>26390</v>
      </c>
    </row>
    <row r="3758">
      <c r="A3758" t="inlineStr">
        <is>
          <t>23/05/2026</t>
        </is>
      </c>
      <c r="B3758" t="inlineStr">
        <is>
          <t>VietinBank</t>
        </is>
      </c>
      <c r="C3758" t="n">
        <v>25995</v>
      </c>
      <c r="D3758" t="n">
        <v>25995</v>
      </c>
      <c r="E3758" t="n">
        <v>26390</v>
      </c>
    </row>
    <row r="3759">
      <c r="A3759" t="inlineStr">
        <is>
          <t>22/05/2026</t>
        </is>
      </c>
      <c r="B3759" t="inlineStr">
        <is>
          <t>VietinBank</t>
        </is>
      </c>
      <c r="C3759" t="n">
        <v>26155</v>
      </c>
      <c r="D3759" t="n">
        <v>26155</v>
      </c>
      <c r="E3759" t="n">
        <v>26390</v>
      </c>
    </row>
    <row r="3760">
      <c r="A3760" t="inlineStr">
        <is>
          <t>21/05/2026</t>
        </is>
      </c>
      <c r="B3760" t="inlineStr">
        <is>
          <t>VietinBank</t>
        </is>
      </c>
      <c r="C3760" t="n">
        <v>26150</v>
      </c>
      <c r="D3760" t="n">
        <v>26150</v>
      </c>
      <c r="E3760" t="n">
        <v>26391</v>
      </c>
    </row>
    <row r="3761">
      <c r="A3761" t="inlineStr">
        <is>
          <t>20/05/2026</t>
        </is>
      </c>
      <c r="B3761" t="inlineStr">
        <is>
          <t>VietinBank</t>
        </is>
      </c>
      <c r="C3761" t="n">
        <v>26170</v>
      </c>
      <c r="D3761" t="n">
        <v>26170</v>
      </c>
      <c r="E3761" t="n">
        <v>26391</v>
      </c>
    </row>
    <row r="3762">
      <c r="A3762" t="inlineStr">
        <is>
          <t>19/05/2026</t>
        </is>
      </c>
      <c r="B3762" t="inlineStr">
        <is>
          <t>VietinBank</t>
        </is>
      </c>
      <c r="C3762" t="n">
        <v>26158</v>
      </c>
      <c r="D3762" t="n">
        <v>26158</v>
      </c>
      <c r="E3762" t="n">
        <v>26389</v>
      </c>
    </row>
    <row r="3763">
      <c r="A3763" t="inlineStr">
        <is>
          <t>18/05/2026</t>
        </is>
      </c>
      <c r="B3763" t="inlineStr">
        <is>
          <t>VietinBank</t>
        </is>
      </c>
      <c r="C3763" t="n">
        <v>26150</v>
      </c>
      <c r="D3763" t="n">
        <v>26150</v>
      </c>
      <c r="E3763" t="n">
        <v>26387</v>
      </c>
    </row>
    <row r="3764">
      <c r="A3764" t="inlineStr">
        <is>
          <t>17/05/2026</t>
        </is>
      </c>
      <c r="B3764" t="inlineStr">
        <is>
          <t>VietinBank</t>
        </is>
      </c>
      <c r="C3764" t="n">
        <v>25990</v>
      </c>
      <c r="D3764" t="n">
        <v>25990</v>
      </c>
      <c r="E3764" t="n">
        <v>26387</v>
      </c>
    </row>
    <row r="3765">
      <c r="A3765" t="inlineStr">
        <is>
          <t>16/05/2026</t>
        </is>
      </c>
      <c r="B3765" t="inlineStr">
        <is>
          <t>VietinBank</t>
        </is>
      </c>
      <c r="C3765" t="n">
        <v>25990</v>
      </c>
      <c r="D3765" t="n">
        <v>25990</v>
      </c>
      <c r="E3765" t="n">
        <v>26387</v>
      </c>
    </row>
    <row r="3766">
      <c r="A3766" t="inlineStr">
        <is>
          <t>15/05/2026</t>
        </is>
      </c>
      <c r="B3766" t="inlineStr">
        <is>
          <t>VietinBank</t>
        </is>
      </c>
      <c r="C3766" t="n">
        <v>26150</v>
      </c>
      <c r="D3766" t="n">
        <v>26150</v>
      </c>
      <c r="E3766" t="n">
        <v>26387</v>
      </c>
    </row>
    <row r="3767">
      <c r="A3767" t="inlineStr">
        <is>
          <t>14/05/2026</t>
        </is>
      </c>
      <c r="B3767" t="inlineStr">
        <is>
          <t>VietinBank</t>
        </is>
      </c>
      <c r="C3767" t="n">
        <v>26140</v>
      </c>
      <c r="D3767" t="n">
        <v>26140</v>
      </c>
      <c r="E3767" t="n">
        <v>26382</v>
      </c>
    </row>
    <row r="3768">
      <c r="A3768" t="inlineStr">
        <is>
          <t>13/05/2026</t>
        </is>
      </c>
      <c r="B3768" t="inlineStr">
        <is>
          <t>VietinBank</t>
        </is>
      </c>
      <c r="C3768" t="n">
        <v>26140</v>
      </c>
      <c r="D3768" t="n">
        <v>26140</v>
      </c>
      <c r="E3768" t="n">
        <v>26379</v>
      </c>
    </row>
    <row r="3769">
      <c r="A3769" t="inlineStr">
        <is>
          <t>12/05/2026</t>
        </is>
      </c>
      <c r="B3769" t="inlineStr">
        <is>
          <t>VietinBank</t>
        </is>
      </c>
      <c r="C3769" t="n">
        <v>26130</v>
      </c>
      <c r="D3769" t="n">
        <v>26130</v>
      </c>
      <c r="E3769" t="n">
        <v>26379</v>
      </c>
    </row>
    <row r="3770">
      <c r="A3770" t="inlineStr">
        <is>
          <t>11/05/2026</t>
        </is>
      </c>
      <c r="B3770" t="inlineStr">
        <is>
          <t>VietinBank</t>
        </is>
      </c>
      <c r="C3770" t="n">
        <v>26120</v>
      </c>
      <c r="D3770" t="n">
        <v>26120</v>
      </c>
      <c r="E3770" t="n">
        <v>26373</v>
      </c>
    </row>
    <row r="3771">
      <c r="A3771" t="inlineStr">
        <is>
          <t>10/05/2026</t>
        </is>
      </c>
      <c r="B3771" t="inlineStr">
        <is>
          <t>VietinBank</t>
        </is>
      </c>
      <c r="C3771" t="n">
        <v>25950</v>
      </c>
      <c r="D3771" t="n">
        <v>25950</v>
      </c>
      <c r="E3771" t="n">
        <v>26367</v>
      </c>
    </row>
    <row r="3772">
      <c r="A3772" t="inlineStr">
        <is>
          <t>09/05/2026</t>
        </is>
      </c>
      <c r="B3772" t="inlineStr">
        <is>
          <t>VietinBank</t>
        </is>
      </c>
      <c r="C3772" t="n">
        <v>25950</v>
      </c>
      <c r="D3772" t="n">
        <v>25950</v>
      </c>
      <c r="E3772" t="n">
        <v>26367</v>
      </c>
    </row>
    <row r="3773">
      <c r="A3773" t="inlineStr">
        <is>
          <t>08/05/2026</t>
        </is>
      </c>
      <c r="B3773" t="inlineStr">
        <is>
          <t>VietinBank</t>
        </is>
      </c>
      <c r="C3773" t="n">
        <v>26110</v>
      </c>
      <c r="D3773" t="n">
        <v>26110</v>
      </c>
      <c r="E3773" t="n">
        <v>26367</v>
      </c>
    </row>
    <row r="3774">
      <c r="A3774" t="inlineStr">
        <is>
          <t>07/05/2026</t>
        </is>
      </c>
      <c r="B3774" t="inlineStr">
        <is>
          <t>VietinBank</t>
        </is>
      </c>
      <c r="C3774" t="n">
        <v>26109</v>
      </c>
      <c r="D3774" t="n">
        <v>26109</v>
      </c>
      <c r="E3774" t="n">
        <v>26368</v>
      </c>
    </row>
    <row r="3775">
      <c r="A3775" t="inlineStr">
        <is>
          <t>06/05/2026</t>
        </is>
      </c>
      <c r="B3775" t="inlineStr">
        <is>
          <t>VietinBank</t>
        </is>
      </c>
      <c r="C3775" t="n">
        <v>26120</v>
      </c>
      <c r="D3775" t="n">
        <v>26120</v>
      </c>
      <c r="E3775" t="n">
        <v>26368</v>
      </c>
    </row>
    <row r="3776">
      <c r="A3776" t="inlineStr">
        <is>
          <t>05/05/2026</t>
        </is>
      </c>
      <c r="B3776" t="inlineStr">
        <is>
          <t>VietinBank</t>
        </is>
      </c>
      <c r="C3776" t="n">
        <v>26120</v>
      </c>
      <c r="D3776" t="n">
        <v>26120</v>
      </c>
      <c r="E3776" t="n">
        <v>26366</v>
      </c>
    </row>
    <row r="3777">
      <c r="A3777" t="inlineStr">
        <is>
          <t>04/05/2026</t>
        </is>
      </c>
      <c r="B3777" t="inlineStr">
        <is>
          <t>VietinBank</t>
        </is>
      </c>
      <c r="C3777" t="n">
        <v>26130</v>
      </c>
      <c r="D3777" t="n">
        <v>26130</v>
      </c>
      <c r="E3777" t="n">
        <v>26367</v>
      </c>
    </row>
    <row r="3778">
      <c r="A3778" t="inlineStr">
        <is>
          <t>03/05/2026</t>
        </is>
      </c>
      <c r="B3778" t="inlineStr">
        <is>
          <t>VietinBank</t>
        </is>
      </c>
      <c r="C3778" t="n">
        <v>25975</v>
      </c>
      <c r="D3778" t="n">
        <v>25975</v>
      </c>
      <c r="E3778" t="n">
        <v>26368</v>
      </c>
    </row>
    <row r="3779">
      <c r="A3779" t="inlineStr">
        <is>
          <t>02/05/2026</t>
        </is>
      </c>
      <c r="B3779" t="inlineStr">
        <is>
          <t>VietinBank</t>
        </is>
      </c>
      <c r="C3779" t="n">
        <v>25945</v>
      </c>
      <c r="D3779" t="n">
        <v>25945</v>
      </c>
      <c r="E3779" t="n">
        <v>26395</v>
      </c>
    </row>
    <row r="3780">
      <c r="A3780" t="inlineStr">
        <is>
          <t>01/05/2026</t>
        </is>
      </c>
      <c r="B3780" t="inlineStr">
        <is>
          <t>VietinBank</t>
        </is>
      </c>
      <c r="C3780" t="n">
        <v>25975</v>
      </c>
      <c r="D3780" t="n">
        <v>25975</v>
      </c>
      <c r="E3780" t="n">
        <v>26368</v>
      </c>
    </row>
    <row r="3781">
      <c r="A3781" t="inlineStr">
        <is>
          <t>30/04/2026</t>
        </is>
      </c>
      <c r="B3781" t="inlineStr">
        <is>
          <t>VietinBank</t>
        </is>
      </c>
      <c r="C3781" t="n">
        <v>25975</v>
      </c>
      <c r="D3781" t="n">
        <v>25975</v>
      </c>
      <c r="E3781" t="n">
        <v>26368</v>
      </c>
    </row>
    <row r="3782">
      <c r="A3782" t="inlineStr">
        <is>
          <t>29/04/2026</t>
        </is>
      </c>
      <c r="B3782" t="inlineStr">
        <is>
          <t>VietinBank</t>
        </is>
      </c>
      <c r="C3782" t="n">
        <v>26135</v>
      </c>
      <c r="D3782" t="n">
        <v>26135</v>
      </c>
      <c r="E3782" t="n">
        <v>26368</v>
      </c>
    </row>
    <row r="3783">
      <c r="A3783" t="inlineStr">
        <is>
          <t>28/04/2026</t>
        </is>
      </c>
      <c r="B3783" t="inlineStr">
        <is>
          <t>VietinBank</t>
        </is>
      </c>
      <c r="C3783" t="n">
        <v>26133</v>
      </c>
      <c r="D3783" t="n">
        <v>26133</v>
      </c>
      <c r="E3783" t="n">
        <v>26366</v>
      </c>
    </row>
    <row r="3784">
      <c r="A3784" t="inlineStr">
        <is>
          <t>27/04/2026</t>
        </is>
      </c>
      <c r="B3784" t="inlineStr">
        <is>
          <t>VietinBank</t>
        </is>
      </c>
      <c r="C3784" t="n">
        <v>25976</v>
      </c>
      <c r="D3784" t="n">
        <v>25976</v>
      </c>
      <c r="E3784" t="n">
        <v>26368</v>
      </c>
    </row>
    <row r="3785">
      <c r="A3785" t="inlineStr">
        <is>
          <t>26/04/2026</t>
        </is>
      </c>
      <c r="B3785" t="inlineStr">
        <is>
          <t>VietinBank</t>
        </is>
      </c>
      <c r="C3785" t="n">
        <v>25976</v>
      </c>
      <c r="D3785" t="n">
        <v>25976</v>
      </c>
      <c r="E3785" t="n">
        <v>26368</v>
      </c>
    </row>
    <row r="3786">
      <c r="A3786" t="inlineStr">
        <is>
          <t>25/04/2026</t>
        </is>
      </c>
      <c r="B3786" t="inlineStr">
        <is>
          <t>VietinBank</t>
        </is>
      </c>
      <c r="C3786" t="n">
        <v>25976</v>
      </c>
      <c r="D3786" t="n">
        <v>25976</v>
      </c>
      <c r="E3786" t="n">
        <v>26368</v>
      </c>
    </row>
    <row r="3787">
      <c r="A3787" t="inlineStr">
        <is>
          <t>24/04/2026</t>
        </is>
      </c>
      <c r="B3787" t="inlineStr">
        <is>
          <t>VietinBank</t>
        </is>
      </c>
      <c r="C3787" t="n">
        <v>26136</v>
      </c>
      <c r="D3787" t="n">
        <v>26136</v>
      </c>
      <c r="E3787" t="n">
        <v>26368</v>
      </c>
    </row>
    <row r="3788">
      <c r="A3788" t="inlineStr">
        <is>
          <t>23/04/2026</t>
        </is>
      </c>
      <c r="B3788" t="inlineStr">
        <is>
          <t>VietinBank</t>
        </is>
      </c>
      <c r="C3788" t="n">
        <v>26125</v>
      </c>
      <c r="D3788" t="n">
        <v>26125</v>
      </c>
      <c r="E3788" t="n">
        <v>26360</v>
      </c>
    </row>
    <row r="3789">
      <c r="A3789" t="inlineStr">
        <is>
          <t>22/04/2026</t>
        </is>
      </c>
      <c r="B3789" t="inlineStr">
        <is>
          <t>VietinBank</t>
        </is>
      </c>
      <c r="C3789" t="n">
        <v>26121</v>
      </c>
      <c r="D3789" t="n">
        <v>26121</v>
      </c>
      <c r="E3789" t="n">
        <v>26355</v>
      </c>
    </row>
    <row r="3790">
      <c r="A3790" t="inlineStr">
        <is>
          <t>21/04/2026</t>
        </is>
      </c>
      <c r="B3790" t="inlineStr">
        <is>
          <t>VietinBank</t>
        </is>
      </c>
      <c r="C3790" t="n">
        <v>26123</v>
      </c>
      <c r="D3790" t="n">
        <v>26123</v>
      </c>
      <c r="E3790" t="n">
        <v>26357</v>
      </c>
    </row>
    <row r="3791">
      <c r="A3791" t="inlineStr">
        <is>
          <t>20/04/2026</t>
        </is>
      </c>
      <c r="B3791" t="inlineStr">
        <is>
          <t>VietinBank</t>
        </is>
      </c>
      <c r="C3791" t="n">
        <v>26125</v>
      </c>
      <c r="D3791" t="n">
        <v>26125</v>
      </c>
      <c r="E3791" t="n">
        <v>26358</v>
      </c>
    </row>
    <row r="3792">
      <c r="A3792" t="inlineStr">
        <is>
          <t>19/04/2026</t>
        </is>
      </c>
      <c r="B3792" t="inlineStr">
        <is>
          <t>VietinBank</t>
        </is>
      </c>
      <c r="C3792" t="n">
        <v>25965</v>
      </c>
      <c r="D3792" t="n">
        <v>25965</v>
      </c>
      <c r="E3792" t="n">
        <v>26357</v>
      </c>
    </row>
    <row r="3793">
      <c r="A3793" t="inlineStr">
        <is>
          <t>18/04/2026</t>
        </is>
      </c>
      <c r="B3793" t="inlineStr">
        <is>
          <t>VietinBank</t>
        </is>
      </c>
      <c r="C3793" t="n">
        <v>25965</v>
      </c>
      <c r="D3793" t="n">
        <v>25965</v>
      </c>
      <c r="E3793" t="n">
        <v>26357</v>
      </c>
    </row>
    <row r="3794">
      <c r="A3794" t="inlineStr">
        <is>
          <t>17/04/2026</t>
        </is>
      </c>
      <c r="B3794" t="inlineStr">
        <is>
          <t>VietinBank</t>
        </is>
      </c>
      <c r="C3794" t="n">
        <v>26125</v>
      </c>
      <c r="D3794" t="n">
        <v>26125</v>
      </c>
      <c r="E3794" t="n">
        <v>26357</v>
      </c>
    </row>
    <row r="3795">
      <c r="A3795" t="inlineStr">
        <is>
          <t>16/04/2026</t>
        </is>
      </c>
      <c r="B3795" t="inlineStr">
        <is>
          <t>VietinBank</t>
        </is>
      </c>
      <c r="C3795" t="n">
        <v>26125</v>
      </c>
      <c r="D3795" t="n">
        <v>26125</v>
      </c>
      <c r="E3795" t="n">
        <v>26357</v>
      </c>
    </row>
    <row r="3796">
      <c r="A3796" t="inlineStr">
        <is>
          <t>15/04/2026</t>
        </is>
      </c>
      <c r="B3796" t="inlineStr">
        <is>
          <t>VietinBank</t>
        </is>
      </c>
      <c r="C3796" t="n">
        <v>26125</v>
      </c>
      <c r="D3796" t="n">
        <v>26125</v>
      </c>
      <c r="E3796" t="n">
        <v>26358</v>
      </c>
    </row>
    <row r="3797">
      <c r="A3797" t="inlineStr">
        <is>
          <t>14/04/2026</t>
        </is>
      </c>
      <c r="B3797" t="inlineStr">
        <is>
          <t>VietinBank</t>
        </is>
      </c>
      <c r="C3797" t="n">
        <v>26130</v>
      </c>
      <c r="D3797" t="n">
        <v>26130</v>
      </c>
      <c r="E3797" t="n">
        <v>26361</v>
      </c>
    </row>
    <row r="3798">
      <c r="A3798" t="inlineStr">
        <is>
          <t>13/04/2026</t>
        </is>
      </c>
      <c r="B3798" t="inlineStr">
        <is>
          <t>VietinBank</t>
        </is>
      </c>
      <c r="C3798" t="n">
        <v>26130</v>
      </c>
      <c r="D3798" t="n">
        <v>26130</v>
      </c>
      <c r="E3798" t="n">
        <v>26361</v>
      </c>
    </row>
    <row r="3799">
      <c r="A3799" t="inlineStr">
        <is>
          <t>12/04/2026</t>
        </is>
      </c>
      <c r="B3799" t="inlineStr">
        <is>
          <t>VietinBank</t>
        </is>
      </c>
      <c r="C3799" t="n">
        <v>25965</v>
      </c>
      <c r="D3799" t="n">
        <v>25965</v>
      </c>
      <c r="E3799" t="n">
        <v>26360</v>
      </c>
    </row>
    <row r="3800">
      <c r="A3800" t="inlineStr">
        <is>
          <t>11/04/2026</t>
        </is>
      </c>
      <c r="B3800" t="inlineStr">
        <is>
          <t>VietinBank</t>
        </is>
      </c>
      <c r="C3800" t="n">
        <v>25965</v>
      </c>
      <c r="D3800" t="n">
        <v>25965</v>
      </c>
      <c r="E3800" t="n">
        <v>26360</v>
      </c>
    </row>
    <row r="3801">
      <c r="A3801" t="inlineStr">
        <is>
          <t>10/04/2026</t>
        </is>
      </c>
      <c r="B3801" t="inlineStr">
        <is>
          <t>VietinBank</t>
        </is>
      </c>
      <c r="C3801" t="n">
        <v>26125</v>
      </c>
      <c r="D3801" t="n">
        <v>26125</v>
      </c>
      <c r="E3801" t="n">
        <v>26360</v>
      </c>
    </row>
    <row r="3802">
      <c r="A3802" t="inlineStr">
        <is>
          <t>09/04/2026</t>
        </is>
      </c>
      <c r="B3802" t="inlineStr">
        <is>
          <t>VietinBank</t>
        </is>
      </c>
      <c r="C3802" t="n">
        <v>26125</v>
      </c>
      <c r="D3802" t="n">
        <v>26125</v>
      </c>
      <c r="E3802" t="n">
        <v>26357</v>
      </c>
    </row>
    <row r="3803">
      <c r="A3803" t="inlineStr">
        <is>
          <t>08/04/2026</t>
        </is>
      </c>
      <c r="B3803" t="inlineStr">
        <is>
          <t>VietinBank</t>
        </is>
      </c>
      <c r="C3803" t="n">
        <v>26132</v>
      </c>
      <c r="D3803" t="n">
        <v>26132</v>
      </c>
      <c r="E3803" t="n">
        <v>26361</v>
      </c>
    </row>
    <row r="3804">
      <c r="A3804" t="inlineStr">
        <is>
          <t>07/04/2026</t>
        </is>
      </c>
      <c r="B3804" t="inlineStr">
        <is>
          <t>VietinBank</t>
        </is>
      </c>
      <c r="C3804" t="n">
        <v>26125</v>
      </c>
      <c r="D3804" t="n">
        <v>26125</v>
      </c>
      <c r="E3804" t="n">
        <v>26363</v>
      </c>
    </row>
    <row r="3805">
      <c r="A3805" t="inlineStr">
        <is>
          <t>06/04/2026</t>
        </is>
      </c>
      <c r="B3805" t="inlineStr">
        <is>
          <t>VietinBank</t>
        </is>
      </c>
      <c r="C3805" t="n">
        <v>26125</v>
      </c>
      <c r="D3805" t="n">
        <v>26125</v>
      </c>
      <c r="E3805" t="n">
        <v>26361</v>
      </c>
    </row>
    <row r="3806">
      <c r="A3806" t="inlineStr">
        <is>
          <t>05/04/2026</t>
        </is>
      </c>
      <c r="B3806" t="inlineStr">
        <is>
          <t>VietinBank</t>
        </is>
      </c>
      <c r="C3806" t="n">
        <v>25965</v>
      </c>
      <c r="D3806" t="n">
        <v>25965</v>
      </c>
      <c r="E3806" t="n">
        <v>26362</v>
      </c>
    </row>
    <row r="3807">
      <c r="A3807" t="inlineStr">
        <is>
          <t>04/04/2026</t>
        </is>
      </c>
      <c r="B3807" t="inlineStr">
        <is>
          <t>VietinBank</t>
        </is>
      </c>
      <c r="C3807" t="n">
        <v>25965</v>
      </c>
      <c r="D3807" t="n">
        <v>25965</v>
      </c>
      <c r="E3807" t="n">
        <v>26362</v>
      </c>
    </row>
    <row r="3808">
      <c r="A3808" t="inlineStr">
        <is>
          <t>03/04/2026</t>
        </is>
      </c>
      <c r="B3808" t="inlineStr">
        <is>
          <t>VietinBank</t>
        </is>
      </c>
      <c r="C3808" t="n">
        <v>26125</v>
      </c>
      <c r="D3808" t="n">
        <v>26125</v>
      </c>
      <c r="E3808" t="n">
        <v>26362</v>
      </c>
    </row>
    <row r="3809">
      <c r="A3809" t="inlineStr">
        <is>
          <t>02/04/2026</t>
        </is>
      </c>
      <c r="B3809" t="inlineStr">
        <is>
          <t>VietinBank</t>
        </is>
      </c>
      <c r="C3809" t="n">
        <v>26133</v>
      </c>
      <c r="D3809" t="n">
        <v>26133</v>
      </c>
      <c r="E3809" t="n">
        <v>26362</v>
      </c>
    </row>
    <row r="3810">
      <c r="A3810" t="inlineStr">
        <is>
          <t>01/04/2026</t>
        </is>
      </c>
      <c r="B3810" t="inlineStr">
        <is>
          <t>VietinBank</t>
        </is>
      </c>
      <c r="C3810" t="n">
        <v>26120</v>
      </c>
      <c r="D3810" t="n">
        <v>26120</v>
      </c>
      <c r="E3810" t="n">
        <v>26360</v>
      </c>
    </row>
    <row r="3811">
      <c r="A3811" t="inlineStr">
        <is>
          <t>31/03/2026</t>
        </is>
      </c>
      <c r="B3811" t="inlineStr">
        <is>
          <t>VietinBank</t>
        </is>
      </c>
      <c r="C3811" t="n">
        <v>26125</v>
      </c>
      <c r="D3811" t="n">
        <v>26125</v>
      </c>
      <c r="E3811" t="n">
        <v>26357</v>
      </c>
    </row>
    <row r="3812">
      <c r="A3812" t="inlineStr">
        <is>
          <t>30/03/2026</t>
        </is>
      </c>
      <c r="B3812" t="inlineStr">
        <is>
          <t>VietinBank</t>
        </is>
      </c>
      <c r="C3812" t="n">
        <v>26120</v>
      </c>
      <c r="D3812" t="n">
        <v>26120</v>
      </c>
      <c r="E3812" t="n">
        <v>26355</v>
      </c>
    </row>
    <row r="3813">
      <c r="A3813" t="inlineStr">
        <is>
          <t>29/03/2026</t>
        </is>
      </c>
      <c r="B3813" t="inlineStr">
        <is>
          <t>VietinBank</t>
        </is>
      </c>
      <c r="C3813" t="n">
        <v>25960</v>
      </c>
      <c r="D3813" t="n">
        <v>25960</v>
      </c>
      <c r="E3813" t="n">
        <v>26355</v>
      </c>
    </row>
    <row r="3814">
      <c r="A3814" t="inlineStr">
        <is>
          <t>28/03/2026</t>
        </is>
      </c>
      <c r="B3814" t="inlineStr">
        <is>
          <t>VietinBank</t>
        </is>
      </c>
      <c r="C3814" t="n">
        <v>25965</v>
      </c>
      <c r="D3814" t="n">
        <v>25965</v>
      </c>
      <c r="E3814" t="n">
        <v>26357</v>
      </c>
    </row>
    <row r="3815">
      <c r="A3815" t="inlineStr">
        <is>
          <t>27/03/2026</t>
        </is>
      </c>
      <c r="B3815" t="inlineStr">
        <is>
          <t>VietinBank</t>
        </is>
      </c>
      <c r="C3815" t="n">
        <v>26120</v>
      </c>
      <c r="D3815" t="n">
        <v>26120</v>
      </c>
      <c r="E3815" t="n">
        <v>26355</v>
      </c>
    </row>
    <row r="3816">
      <c r="A3816" t="inlineStr">
        <is>
          <t>26/03/2026</t>
        </is>
      </c>
      <c r="B3816" t="inlineStr">
        <is>
          <t>VietinBank</t>
        </is>
      </c>
      <c r="C3816" t="n">
        <v>26135</v>
      </c>
      <c r="D3816" t="n">
        <v>26135</v>
      </c>
      <c r="E3816" t="n">
        <v>26357</v>
      </c>
    </row>
    <row r="3817">
      <c r="A3817" t="inlineStr">
        <is>
          <t>25/03/2026</t>
        </is>
      </c>
      <c r="B3817" t="inlineStr">
        <is>
          <t>VietinBank</t>
        </is>
      </c>
      <c r="C3817" t="n">
        <v>26135</v>
      </c>
      <c r="D3817" t="n">
        <v>26135</v>
      </c>
      <c r="E3817" t="n">
        <v>26359</v>
      </c>
    </row>
    <row r="3818">
      <c r="A3818" t="inlineStr">
        <is>
          <t>24/03/2026</t>
        </is>
      </c>
      <c r="B3818" t="inlineStr">
        <is>
          <t>VietinBank</t>
        </is>
      </c>
      <c r="C3818" t="n">
        <v>26144</v>
      </c>
      <c r="D3818" t="n">
        <v>26144</v>
      </c>
      <c r="E3818" t="n">
        <v>26364</v>
      </c>
    </row>
    <row r="3819">
      <c r="A3819" t="inlineStr">
        <is>
          <t>23/03/2026</t>
        </is>
      </c>
      <c r="B3819" t="inlineStr">
        <is>
          <t>VietinBank</t>
        </is>
      </c>
      <c r="C3819" t="n">
        <v>26124</v>
      </c>
      <c r="D3819" t="n">
        <v>26124</v>
      </c>
      <c r="E3819" t="n">
        <v>26344</v>
      </c>
    </row>
    <row r="3820">
      <c r="A3820" t="inlineStr">
        <is>
          <t>22/03/2026</t>
        </is>
      </c>
      <c r="B3820" t="inlineStr">
        <is>
          <t>VietinBank</t>
        </is>
      </c>
      <c r="C3820" t="n">
        <v>25965</v>
      </c>
      <c r="D3820" t="n">
        <v>25965</v>
      </c>
      <c r="E3820" t="n">
        <v>26360</v>
      </c>
    </row>
    <row r="3821">
      <c r="A3821" t="inlineStr">
        <is>
          <t>21/03/2026</t>
        </is>
      </c>
      <c r="B3821" t="inlineStr">
        <is>
          <t>VietinBank</t>
        </is>
      </c>
      <c r="C3821" t="n">
        <v>25940</v>
      </c>
      <c r="D3821" t="n">
        <v>25940</v>
      </c>
      <c r="E3821" t="n">
        <v>26339</v>
      </c>
    </row>
    <row r="3822">
      <c r="A3822" t="inlineStr">
        <is>
          <t>20/03/2026</t>
        </is>
      </c>
      <c r="B3822" t="inlineStr">
        <is>
          <t>VietinBank</t>
        </is>
      </c>
      <c r="C3822" t="n">
        <v>26100</v>
      </c>
      <c r="D3822" t="n">
        <v>26100</v>
      </c>
      <c r="E3822" t="n">
        <v>26339</v>
      </c>
    </row>
    <row r="3823">
      <c r="A3823" t="inlineStr">
        <is>
          <t>19/03/2026</t>
        </is>
      </c>
      <c r="B3823" t="inlineStr">
        <is>
          <t>VietinBank</t>
        </is>
      </c>
      <c r="C3823" t="n">
        <v>26080</v>
      </c>
      <c r="D3823" t="n">
        <v>26080</v>
      </c>
      <c r="E3823" t="n">
        <v>26325</v>
      </c>
    </row>
    <row r="3824">
      <c r="A3824" t="inlineStr">
        <is>
          <t>18/03/2026</t>
        </is>
      </c>
      <c r="B3824" t="inlineStr">
        <is>
          <t>VietinBank</t>
        </is>
      </c>
      <c r="C3824" t="n">
        <v>26085</v>
      </c>
      <c r="D3824" t="n">
        <v>26085</v>
      </c>
      <c r="E3824" t="n">
        <v>26320</v>
      </c>
    </row>
    <row r="3825">
      <c r="A3825" t="inlineStr">
        <is>
          <t>17/03/2026</t>
        </is>
      </c>
      <c r="B3825" t="inlineStr">
        <is>
          <t>VietinBank</t>
        </is>
      </c>
      <c r="C3825" t="n">
        <v>26088</v>
      </c>
      <c r="D3825" t="n">
        <v>26088</v>
      </c>
      <c r="E3825" t="n">
        <v>26321</v>
      </c>
    </row>
    <row r="3826">
      <c r="A3826" t="inlineStr">
        <is>
          <t>16/03/2026</t>
        </is>
      </c>
      <c r="B3826" t="inlineStr">
        <is>
          <t>VietinBank</t>
        </is>
      </c>
      <c r="C3826" t="n">
        <v>26098</v>
      </c>
      <c r="D3826" t="n">
        <v>26098</v>
      </c>
      <c r="E3826" t="n">
        <v>26321</v>
      </c>
    </row>
    <row r="3827">
      <c r="A3827" t="inlineStr">
        <is>
          <t>15/03/2026</t>
        </is>
      </c>
      <c r="B3827" t="inlineStr">
        <is>
          <t>VietinBank</t>
        </is>
      </c>
      <c r="C3827" t="n">
        <v>25915</v>
      </c>
      <c r="D3827" t="n">
        <v>25915</v>
      </c>
      <c r="E3827" t="n">
        <v>26318</v>
      </c>
    </row>
    <row r="3828">
      <c r="A3828" t="inlineStr">
        <is>
          <t>14/03/2026</t>
        </is>
      </c>
      <c r="B3828" t="inlineStr">
        <is>
          <t>VietinBank</t>
        </is>
      </c>
      <c r="C3828" t="n">
        <v>25915</v>
      </c>
      <c r="D3828" t="n">
        <v>25915</v>
      </c>
      <c r="E3828" t="n">
        <v>26318</v>
      </c>
    </row>
    <row r="3829">
      <c r="A3829" t="inlineStr">
        <is>
          <t>13/03/2026</t>
        </is>
      </c>
      <c r="B3829" t="inlineStr">
        <is>
          <t>VietinBank</t>
        </is>
      </c>
      <c r="C3829" t="n">
        <v>26075</v>
      </c>
      <c r="D3829" t="n">
        <v>26075</v>
      </c>
      <c r="E3829" t="n">
        <v>26318</v>
      </c>
    </row>
    <row r="3830">
      <c r="A3830" t="inlineStr">
        <is>
          <t>12/03/2026</t>
        </is>
      </c>
      <c r="B3830" t="inlineStr">
        <is>
          <t>VietinBank</t>
        </is>
      </c>
      <c r="C3830" t="n">
        <v>26050</v>
      </c>
      <c r="D3830" t="n">
        <v>26050</v>
      </c>
      <c r="E3830" t="n">
        <v>26314</v>
      </c>
    </row>
    <row r="3831">
      <c r="A3831" t="inlineStr">
        <is>
          <t>11/03/2026</t>
        </is>
      </c>
      <c r="B3831" t="inlineStr">
        <is>
          <t>VietinBank</t>
        </is>
      </c>
      <c r="C3831" t="n">
        <v>26050</v>
      </c>
      <c r="D3831" t="n">
        <v>26050</v>
      </c>
      <c r="E3831" t="n">
        <v>26311</v>
      </c>
    </row>
    <row r="3832">
      <c r="A3832" t="inlineStr">
        <is>
          <t>10/03/2026</t>
        </is>
      </c>
      <c r="B3832" t="inlineStr">
        <is>
          <t>VietinBank</t>
        </is>
      </c>
      <c r="C3832" t="n">
        <v>26030</v>
      </c>
      <c r="D3832" t="n">
        <v>26030</v>
      </c>
      <c r="E3832" t="n">
        <v>26315</v>
      </c>
    </row>
    <row r="3833">
      <c r="A3833" t="inlineStr">
        <is>
          <t>09/03/2026</t>
        </is>
      </c>
      <c r="B3833" t="inlineStr">
        <is>
          <t>VietinBank</t>
        </is>
      </c>
      <c r="C3833" t="n">
        <v>26035</v>
      </c>
      <c r="D3833" t="n">
        <v>26035</v>
      </c>
      <c r="E3833" t="n">
        <v>26311</v>
      </c>
    </row>
    <row r="3834">
      <c r="A3834" t="inlineStr">
        <is>
          <t>08/03/2026</t>
        </is>
      </c>
      <c r="B3834" t="inlineStr">
        <is>
          <t>VietinBank</t>
        </is>
      </c>
      <c r="C3834" t="n">
        <v>25875</v>
      </c>
      <c r="D3834" t="n">
        <v>25875</v>
      </c>
      <c r="E3834" t="n">
        <v>26309</v>
      </c>
    </row>
    <row r="3835">
      <c r="A3835" t="inlineStr">
        <is>
          <t>07/03/2026</t>
        </is>
      </c>
      <c r="B3835" t="inlineStr">
        <is>
          <t>VietinBank</t>
        </is>
      </c>
      <c r="C3835" t="n">
        <v>25875</v>
      </c>
      <c r="D3835" t="n">
        <v>25875</v>
      </c>
      <c r="E3835" t="n">
        <v>26309</v>
      </c>
    </row>
    <row r="3836">
      <c r="A3836" t="inlineStr">
        <is>
          <t>06/03/2026</t>
        </is>
      </c>
      <c r="B3836" t="inlineStr">
        <is>
          <t>VietinBank</t>
        </is>
      </c>
      <c r="C3836" t="n">
        <v>26035</v>
      </c>
      <c r="D3836" t="n">
        <v>26035</v>
      </c>
      <c r="E3836" t="n">
        <v>26309</v>
      </c>
    </row>
    <row r="3837">
      <c r="A3837" t="inlineStr">
        <is>
          <t>05/03/2026</t>
        </is>
      </c>
      <c r="B3837" t="inlineStr">
        <is>
          <t>VietinBank</t>
        </is>
      </c>
      <c r="C3837" t="n">
        <v>26020</v>
      </c>
      <c r="D3837" t="n">
        <v>26020</v>
      </c>
      <c r="E3837" t="n">
        <v>26307</v>
      </c>
    </row>
    <row r="3838">
      <c r="A3838" t="inlineStr">
        <is>
          <t>04/03/2026</t>
        </is>
      </c>
      <c r="B3838" t="inlineStr">
        <is>
          <t>VietinBank</t>
        </is>
      </c>
      <c r="C3838" t="n">
        <v>26025</v>
      </c>
      <c r="D3838" t="n">
        <v>26025</v>
      </c>
      <c r="E3838" t="n">
        <v>26304</v>
      </c>
    </row>
    <row r="3839">
      <c r="A3839" t="inlineStr">
        <is>
          <t>03/03/2026</t>
        </is>
      </c>
      <c r="B3839" t="inlineStr">
        <is>
          <t>VietinBank</t>
        </is>
      </c>
      <c r="C3839" t="n">
        <v>26010</v>
      </c>
      <c r="D3839" t="n">
        <v>26010</v>
      </c>
      <c r="E3839" t="n">
        <v>26298</v>
      </c>
    </row>
    <row r="3840">
      <c r="A3840" t="inlineStr">
        <is>
          <t>02/03/2026</t>
        </is>
      </c>
      <c r="B3840" t="inlineStr">
        <is>
          <t>VietinBank</t>
        </is>
      </c>
      <c r="C3840" t="n">
        <v>26015</v>
      </c>
      <c r="D3840" t="n">
        <v>26015</v>
      </c>
      <c r="E3840" t="n">
        <v>26289</v>
      </c>
    </row>
    <row r="3841">
      <c r="A3841" t="inlineStr">
        <is>
          <t>01/03/2026</t>
        </is>
      </c>
      <c r="B3841" t="inlineStr">
        <is>
          <t>VietinBank</t>
        </is>
      </c>
      <c r="C3841" t="n">
        <v>25680</v>
      </c>
      <c r="D3841" t="n">
        <v>25680</v>
      </c>
      <c r="E3841" t="n">
        <v>26220</v>
      </c>
    </row>
    <row r="3842">
      <c r="A3842" t="inlineStr">
        <is>
          <t>28/02/2026</t>
        </is>
      </c>
      <c r="B3842" t="inlineStr">
        <is>
          <t>VietinBank</t>
        </is>
      </c>
      <c r="C3842" t="n">
        <v>25680</v>
      </c>
      <c r="D3842" t="n">
        <v>25680</v>
      </c>
      <c r="E3842" t="n">
        <v>26220</v>
      </c>
    </row>
    <row r="3843">
      <c r="A3843" t="inlineStr">
        <is>
          <t>27/02/2026</t>
        </is>
      </c>
      <c r="B3843" t="inlineStr">
        <is>
          <t>VietinBank</t>
        </is>
      </c>
      <c r="C3843" t="n">
        <v>25850</v>
      </c>
      <c r="D3843" t="n">
        <v>25850</v>
      </c>
      <c r="E3843" t="n">
        <v>26230</v>
      </c>
    </row>
    <row r="3844">
      <c r="A3844" t="inlineStr">
        <is>
          <t>26/02/2026</t>
        </is>
      </c>
      <c r="B3844" t="inlineStr">
        <is>
          <t>VietinBank</t>
        </is>
      </c>
      <c r="C3844" t="n">
        <v>25875</v>
      </c>
      <c r="D3844" t="n">
        <v>25875</v>
      </c>
      <c r="E3844" t="n">
        <v>26255</v>
      </c>
    </row>
    <row r="3845">
      <c r="A3845" t="inlineStr">
        <is>
          <t>25/02/2026</t>
        </is>
      </c>
      <c r="B3845" t="inlineStr">
        <is>
          <t>VietinBank</t>
        </is>
      </c>
      <c r="C3845" t="n">
        <v>25900</v>
      </c>
      <c r="D3845" t="n">
        <v>25900</v>
      </c>
      <c r="E3845" t="n">
        <v>26280</v>
      </c>
    </row>
    <row r="3846">
      <c r="A3846" t="inlineStr">
        <is>
          <t>24/02/2026</t>
        </is>
      </c>
      <c r="B3846" t="inlineStr">
        <is>
          <t>VietinBank</t>
        </is>
      </c>
      <c r="C3846" t="n">
        <v>26000</v>
      </c>
      <c r="D3846" t="n">
        <v>26000</v>
      </c>
      <c r="E3846" t="n">
        <v>26305</v>
      </c>
    </row>
    <row r="3847">
      <c r="A3847" t="inlineStr">
        <is>
          <t>23/02/2026</t>
        </is>
      </c>
      <c r="B3847" t="inlineStr">
        <is>
          <t>VietinBank</t>
        </is>
      </c>
      <c r="C3847" t="n">
        <v>25925</v>
      </c>
      <c r="D3847" t="n">
        <v>25925</v>
      </c>
      <c r="E3847" t="n">
        <v>26303</v>
      </c>
    </row>
    <row r="3848">
      <c r="A3848" t="inlineStr">
        <is>
          <t>22/02/2026</t>
        </is>
      </c>
      <c r="B3848" t="inlineStr">
        <is>
          <t>VietinBank</t>
        </is>
      </c>
      <c r="C3848" t="n">
        <v>25605</v>
      </c>
      <c r="D3848" t="n">
        <v>25605</v>
      </c>
      <c r="E3848" t="n">
        <v>26145</v>
      </c>
    </row>
    <row r="3849">
      <c r="A3849" t="inlineStr">
        <is>
          <t>21/02/2026</t>
        </is>
      </c>
      <c r="B3849" t="inlineStr">
        <is>
          <t>VietinBank</t>
        </is>
      </c>
      <c r="C3849" t="n">
        <v>25960</v>
      </c>
      <c r="D3849" t="n">
        <v>25960</v>
      </c>
      <c r="E3849" t="n">
        <v>26355</v>
      </c>
    </row>
    <row r="3850">
      <c r="A3850" t="inlineStr">
        <is>
          <t>20/02/2026</t>
        </is>
      </c>
      <c r="B3850" t="inlineStr">
        <is>
          <t>VietinBank</t>
        </is>
      </c>
      <c r="C3850" t="n">
        <v>25605</v>
      </c>
      <c r="D3850" t="n">
        <v>25605</v>
      </c>
      <c r="E3850" t="n">
        <v>26145</v>
      </c>
    </row>
    <row r="3851">
      <c r="A3851" t="inlineStr">
        <is>
          <t>19/02/2026</t>
        </is>
      </c>
      <c r="B3851" t="inlineStr">
        <is>
          <t>VietinBank</t>
        </is>
      </c>
      <c r="C3851" t="n">
        <v>25605</v>
      </c>
      <c r="D3851" t="n">
        <v>25605</v>
      </c>
      <c r="E3851" t="n">
        <v>26145</v>
      </c>
    </row>
    <row r="3852">
      <c r="A3852" t="inlineStr">
        <is>
          <t>18/02/2026</t>
        </is>
      </c>
      <c r="B3852" t="inlineStr">
        <is>
          <t>VietinBank</t>
        </is>
      </c>
      <c r="C3852" t="n">
        <v>25605</v>
      </c>
      <c r="D3852" t="n">
        <v>25605</v>
      </c>
      <c r="E3852" t="n">
        <v>26145</v>
      </c>
    </row>
    <row r="3853">
      <c r="A3853" t="inlineStr">
        <is>
          <t>17/02/2026</t>
        </is>
      </c>
      <c r="B3853" t="inlineStr">
        <is>
          <t>VietinBank</t>
        </is>
      </c>
      <c r="C3853" t="n">
        <v>25605</v>
      </c>
      <c r="D3853" t="n">
        <v>25605</v>
      </c>
      <c r="E3853" t="n">
        <v>26145</v>
      </c>
    </row>
    <row r="3854">
      <c r="A3854" t="inlineStr">
        <is>
          <t>16/02/2026</t>
        </is>
      </c>
      <c r="B3854" t="inlineStr">
        <is>
          <t>VietinBank</t>
        </is>
      </c>
      <c r="C3854" t="n">
        <v>25605</v>
      </c>
      <c r="D3854" t="n">
        <v>25605</v>
      </c>
      <c r="E3854" t="n">
        <v>26145</v>
      </c>
    </row>
    <row r="3855">
      <c r="A3855" t="inlineStr">
        <is>
          <t>15/02/2026</t>
        </is>
      </c>
      <c r="B3855" t="inlineStr">
        <is>
          <t>VietinBank</t>
        </is>
      </c>
      <c r="C3855" t="n">
        <v>25605</v>
      </c>
      <c r="D3855" t="n">
        <v>25605</v>
      </c>
      <c r="E3855" t="n">
        <v>26145</v>
      </c>
    </row>
    <row r="3856">
      <c r="A3856" t="inlineStr">
        <is>
          <t>14/02/2026</t>
        </is>
      </c>
      <c r="B3856" t="inlineStr">
        <is>
          <t>VietinBank</t>
        </is>
      </c>
      <c r="C3856" t="n">
        <v>25605</v>
      </c>
      <c r="D3856" t="n">
        <v>25605</v>
      </c>
      <c r="E3856" t="n">
        <v>26145</v>
      </c>
    </row>
    <row r="3857">
      <c r="A3857" t="inlineStr">
        <is>
          <t>13/02/2026</t>
        </is>
      </c>
      <c r="B3857" t="inlineStr">
        <is>
          <t>VietinBank</t>
        </is>
      </c>
      <c r="C3857" t="n">
        <v>25765</v>
      </c>
      <c r="D3857" t="n">
        <v>25765</v>
      </c>
      <c r="E3857" t="n">
        <v>26145</v>
      </c>
    </row>
    <row r="3858">
      <c r="A3858" t="inlineStr">
        <is>
          <t>12/02/2026</t>
        </is>
      </c>
      <c r="B3858" t="inlineStr">
        <is>
          <t>VietinBank</t>
        </is>
      </c>
      <c r="C3858" t="n">
        <v>25760</v>
      </c>
      <c r="D3858" t="n">
        <v>25760</v>
      </c>
      <c r="E3858" t="n">
        <v>26140</v>
      </c>
    </row>
    <row r="3859">
      <c r="A3859" t="inlineStr">
        <is>
          <t>11/02/2026</t>
        </is>
      </c>
      <c r="B3859" t="inlineStr">
        <is>
          <t>VietinBank</t>
        </is>
      </c>
      <c r="C3859" t="n">
        <v>25800</v>
      </c>
      <c r="D3859" t="n">
        <v>25800</v>
      </c>
      <c r="E3859" t="n">
        <v>26180</v>
      </c>
    </row>
    <row r="3860">
      <c r="A3860" t="inlineStr">
        <is>
          <t>10/02/2026</t>
        </is>
      </c>
      <c r="B3860" t="inlineStr">
        <is>
          <t>VietinBank</t>
        </is>
      </c>
      <c r="C3860" t="n">
        <v>25685</v>
      </c>
      <c r="D3860" t="n">
        <v>25685</v>
      </c>
      <c r="E3860" t="n">
        <v>26065</v>
      </c>
    </row>
    <row r="3861">
      <c r="A3861" t="inlineStr">
        <is>
          <t>09/02/2026</t>
        </is>
      </c>
      <c r="B3861" t="inlineStr">
        <is>
          <t>VietinBank</t>
        </is>
      </c>
      <c r="C3861" t="n">
        <v>25705</v>
      </c>
      <c r="D3861" t="n">
        <v>25705</v>
      </c>
      <c r="E3861" t="n">
        <v>26085</v>
      </c>
    </row>
    <row r="3862">
      <c r="A3862" t="inlineStr">
        <is>
          <t>08/02/2026</t>
        </is>
      </c>
      <c r="B3862" t="inlineStr">
        <is>
          <t>VietinBank</t>
        </is>
      </c>
      <c r="C3862" t="n">
        <v>25580</v>
      </c>
      <c r="D3862" t="n">
        <v>25580</v>
      </c>
      <c r="E3862" t="n">
        <v>26120</v>
      </c>
    </row>
    <row r="3863">
      <c r="A3863" t="inlineStr">
        <is>
          <t>07/02/2026</t>
        </is>
      </c>
      <c r="B3863" t="inlineStr">
        <is>
          <t>VietinBank</t>
        </is>
      </c>
      <c r="C3863" t="n">
        <v>25580</v>
      </c>
      <c r="D3863" t="n">
        <v>25580</v>
      </c>
      <c r="E3863" t="n">
        <v>26120</v>
      </c>
    </row>
    <row r="3864">
      <c r="A3864" t="inlineStr">
        <is>
          <t>06/02/2026</t>
        </is>
      </c>
      <c r="B3864" t="inlineStr">
        <is>
          <t>VietinBank</t>
        </is>
      </c>
      <c r="C3864" t="n">
        <v>25740</v>
      </c>
      <c r="D3864" t="n">
        <v>25740</v>
      </c>
      <c r="E3864" t="n">
        <v>26120</v>
      </c>
    </row>
    <row r="3865">
      <c r="A3865" t="inlineStr">
        <is>
          <t>05/02/2026</t>
        </is>
      </c>
      <c r="B3865" t="inlineStr">
        <is>
          <t>VietinBank</t>
        </is>
      </c>
      <c r="C3865" t="n">
        <v>25760</v>
      </c>
      <c r="D3865" t="n">
        <v>25760</v>
      </c>
      <c r="E3865" t="n">
        <v>26140</v>
      </c>
    </row>
    <row r="3866">
      <c r="A3866" t="inlineStr">
        <is>
          <t>04/02/2026</t>
        </is>
      </c>
      <c r="B3866" t="inlineStr">
        <is>
          <t>VietinBank</t>
        </is>
      </c>
      <c r="C3866" t="n">
        <v>25775</v>
      </c>
      <c r="D3866" t="n">
        <v>25775</v>
      </c>
      <c r="E3866" t="n">
        <v>26155</v>
      </c>
    </row>
    <row r="3867">
      <c r="A3867" t="inlineStr">
        <is>
          <t>03/02/2026</t>
        </is>
      </c>
      <c r="B3867" t="inlineStr">
        <is>
          <t>VietinBank</t>
        </is>
      </c>
      <c r="C3867" t="n">
        <v>25800</v>
      </c>
      <c r="D3867" t="n">
        <v>25800</v>
      </c>
      <c r="E3867" t="n">
        <v>26180</v>
      </c>
    </row>
    <row r="3868">
      <c r="A3868" t="inlineStr">
        <is>
          <t>02/02/2026</t>
        </is>
      </c>
      <c r="B3868" t="inlineStr">
        <is>
          <t>VietinBank</t>
        </is>
      </c>
      <c r="C3868" t="n">
        <v>25820</v>
      </c>
      <c r="D3868" t="n">
        <v>25820</v>
      </c>
      <c r="E3868" t="n">
        <v>26200</v>
      </c>
    </row>
    <row r="3869">
      <c r="A3869" t="inlineStr">
        <is>
          <t>01/02/2026</t>
        </is>
      </c>
      <c r="B3869" t="inlineStr">
        <is>
          <t>VietinBank</t>
        </is>
      </c>
      <c r="C3869" t="n">
        <v>25595</v>
      </c>
      <c r="D3869" t="n">
        <v>25595</v>
      </c>
      <c r="E3869" t="n">
        <v>26135</v>
      </c>
    </row>
    <row r="3870">
      <c r="A3870" t="inlineStr">
        <is>
          <t>31/01/2026</t>
        </is>
      </c>
      <c r="B3870" t="inlineStr">
        <is>
          <t>VietinBank</t>
        </is>
      </c>
      <c r="C3870" t="n">
        <v>25595</v>
      </c>
      <c r="D3870" t="n">
        <v>25595</v>
      </c>
      <c r="E3870" t="n">
        <v>26135</v>
      </c>
    </row>
    <row r="3871">
      <c r="A3871" t="inlineStr">
        <is>
          <t>30/01/2026</t>
        </is>
      </c>
      <c r="B3871" t="inlineStr">
        <is>
          <t>VietinBank</t>
        </is>
      </c>
      <c r="C3871" t="n">
        <v>25750</v>
      </c>
      <c r="D3871" t="n">
        <v>25750</v>
      </c>
      <c r="E3871" t="n">
        <v>26130</v>
      </c>
    </row>
    <row r="3872">
      <c r="A3872" t="inlineStr">
        <is>
          <t>29/01/2026</t>
        </is>
      </c>
      <c r="B3872" t="inlineStr">
        <is>
          <t>VietinBank</t>
        </is>
      </c>
      <c r="C3872" t="n">
        <v>25800</v>
      </c>
      <c r="D3872" t="n">
        <v>25800</v>
      </c>
      <c r="E3872" t="n">
        <v>26180</v>
      </c>
    </row>
    <row r="3873">
      <c r="A3873" t="inlineStr">
        <is>
          <t>28/01/2026</t>
        </is>
      </c>
      <c r="B3873" t="inlineStr">
        <is>
          <t>VietinBank</t>
        </is>
      </c>
      <c r="C3873" t="n">
        <v>25865</v>
      </c>
      <c r="D3873" t="n">
        <v>25865</v>
      </c>
      <c r="E3873" t="n">
        <v>26245</v>
      </c>
    </row>
    <row r="3874">
      <c r="A3874" t="inlineStr">
        <is>
          <t>27/01/2026</t>
        </is>
      </c>
      <c r="B3874" t="inlineStr">
        <is>
          <t>VietinBank</t>
        </is>
      </c>
      <c r="C3874" t="n">
        <v>25925</v>
      </c>
      <c r="D3874" t="n">
        <v>25925</v>
      </c>
      <c r="E3874" t="n">
        <v>26305</v>
      </c>
    </row>
    <row r="3875">
      <c r="A3875" t="inlineStr">
        <is>
          <t>26/01/2026</t>
        </is>
      </c>
      <c r="B3875" t="inlineStr">
        <is>
          <t>VietinBank</t>
        </is>
      </c>
      <c r="C3875" t="n">
        <v>25975</v>
      </c>
      <c r="D3875" t="n">
        <v>25975</v>
      </c>
      <c r="E3875" t="n">
        <v>26355</v>
      </c>
    </row>
    <row r="3876">
      <c r="A3876" t="inlineStr">
        <is>
          <t>25/01/2026</t>
        </is>
      </c>
      <c r="B3876" t="inlineStr">
        <is>
          <t>VietinBank</t>
        </is>
      </c>
      <c r="C3876" t="n">
        <v>25885</v>
      </c>
      <c r="D3876" t="n">
        <v>25885</v>
      </c>
      <c r="E3876" t="n">
        <v>26381</v>
      </c>
    </row>
    <row r="3877">
      <c r="A3877" t="inlineStr">
        <is>
          <t>24/01/2026</t>
        </is>
      </c>
      <c r="B3877" t="inlineStr">
        <is>
          <t>VietinBank</t>
        </is>
      </c>
      <c r="C3877" t="n">
        <v>25885</v>
      </c>
      <c r="D3877" t="n">
        <v>25885</v>
      </c>
      <c r="E3877" t="n">
        <v>26381</v>
      </c>
    </row>
    <row r="3878">
      <c r="A3878" t="inlineStr">
        <is>
          <t>23/01/2026</t>
        </is>
      </c>
      <c r="B3878" t="inlineStr">
        <is>
          <t>VietinBank</t>
        </is>
      </c>
      <c r="C3878" t="n">
        <v>26045</v>
      </c>
      <c r="D3878" t="n">
        <v>26045</v>
      </c>
      <c r="E3878" t="n">
        <v>26381</v>
      </c>
    </row>
    <row r="3879">
      <c r="A3879" t="inlineStr">
        <is>
          <t>22/01/2026</t>
        </is>
      </c>
      <c r="B3879" t="inlineStr">
        <is>
          <t>VietinBank</t>
        </is>
      </c>
      <c r="C3879" t="n">
        <v>26070</v>
      </c>
      <c r="D3879" t="n">
        <v>26070</v>
      </c>
      <c r="E3879" t="n">
        <v>26381</v>
      </c>
    </row>
    <row r="3880">
      <c r="A3880" t="inlineStr">
        <is>
          <t>21/01/2026</t>
        </is>
      </c>
      <c r="B3880" t="inlineStr">
        <is>
          <t>VietinBank</t>
        </is>
      </c>
      <c r="C3880" t="n">
        <v>26067</v>
      </c>
      <c r="D3880" t="n">
        <v>26067</v>
      </c>
      <c r="E3880" t="n">
        <v>26380</v>
      </c>
    </row>
    <row r="3881">
      <c r="A3881" t="inlineStr">
        <is>
          <t>20/01/2026</t>
        </is>
      </c>
      <c r="B3881" t="inlineStr">
        <is>
          <t>VietinBank</t>
        </is>
      </c>
      <c r="C3881" t="n">
        <v>26070</v>
      </c>
      <c r="D3881" t="n">
        <v>26070</v>
      </c>
      <c r="E3881" t="n">
        <v>26386</v>
      </c>
    </row>
    <row r="3882">
      <c r="A3882" t="inlineStr">
        <is>
          <t>19/01/2026</t>
        </is>
      </c>
      <c r="B3882" t="inlineStr">
        <is>
          <t>VietinBank</t>
        </is>
      </c>
      <c r="C3882" t="n">
        <v>26065</v>
      </c>
      <c r="D3882" t="n">
        <v>26065</v>
      </c>
      <c r="E3882" t="n">
        <v>26388</v>
      </c>
    </row>
    <row r="3883">
      <c r="A3883" t="inlineStr">
        <is>
          <t>18/01/2026</t>
        </is>
      </c>
      <c r="B3883" t="inlineStr">
        <is>
          <t>VietinBank</t>
        </is>
      </c>
      <c r="C3883" t="n">
        <v>25915</v>
      </c>
      <c r="D3883" t="n">
        <v>25915</v>
      </c>
      <c r="E3883" t="n">
        <v>26387</v>
      </c>
    </row>
    <row r="3884">
      <c r="A3884" t="inlineStr">
        <is>
          <t>17/01/2026</t>
        </is>
      </c>
      <c r="B3884" t="inlineStr">
        <is>
          <t>VietinBank</t>
        </is>
      </c>
      <c r="C3884" t="n">
        <v>25915</v>
      </c>
      <c r="D3884" t="n">
        <v>25915</v>
      </c>
      <c r="E3884" t="n">
        <v>26387</v>
      </c>
    </row>
    <row r="3885">
      <c r="A3885" t="inlineStr">
        <is>
          <t>16/01/2026</t>
        </is>
      </c>
      <c r="B3885" t="inlineStr">
        <is>
          <t>VietinBank</t>
        </is>
      </c>
      <c r="C3885" t="n">
        <v>26075</v>
      </c>
      <c r="D3885" t="n">
        <v>26075</v>
      </c>
      <c r="E3885" t="n">
        <v>26387</v>
      </c>
    </row>
    <row r="3886">
      <c r="A3886" t="inlineStr">
        <is>
          <t>15/01/2026</t>
        </is>
      </c>
      <c r="B3886" t="inlineStr">
        <is>
          <t>VietinBank</t>
        </is>
      </c>
      <c r="C3886" t="n">
        <v>26070</v>
      </c>
      <c r="D3886" t="n">
        <v>26070</v>
      </c>
      <c r="E3886" t="n">
        <v>26391</v>
      </c>
    </row>
    <row r="3887">
      <c r="A3887" t="inlineStr">
        <is>
          <t>14/01/2026</t>
        </is>
      </c>
      <c r="B3887" t="inlineStr">
        <is>
          <t>VietinBank</t>
        </is>
      </c>
      <c r="C3887" t="n">
        <v>26080</v>
      </c>
      <c r="D3887" t="n">
        <v>26080</v>
      </c>
      <c r="E3887" t="n">
        <v>26391</v>
      </c>
    </row>
    <row r="3888">
      <c r="A3888" t="inlineStr">
        <is>
          <t>13/01/2026</t>
        </is>
      </c>
      <c r="B3888" t="inlineStr">
        <is>
          <t>VietinBank</t>
        </is>
      </c>
      <c r="C3888" t="n">
        <v>26080</v>
      </c>
      <c r="D3888" t="n">
        <v>26080</v>
      </c>
      <c r="E3888" t="n">
        <v>26385</v>
      </c>
    </row>
    <row r="3889">
      <c r="A3889" t="inlineStr">
        <is>
          <t>12/01/2026</t>
        </is>
      </c>
      <c r="B3889" t="inlineStr">
        <is>
          <t>VietinBank</t>
        </is>
      </c>
      <c r="C3889" t="n">
        <v>26055</v>
      </c>
      <c r="D3889" t="n">
        <v>26055</v>
      </c>
      <c r="E3889" t="n">
        <v>26385</v>
      </c>
    </row>
    <row r="3890">
      <c r="A3890" t="inlineStr">
        <is>
          <t>11/01/2026</t>
        </is>
      </c>
      <c r="B3890" t="inlineStr">
        <is>
          <t>VietinBank</t>
        </is>
      </c>
      <c r="C3890" t="n">
        <v>25890</v>
      </c>
      <c r="D3890" t="n">
        <v>25890</v>
      </c>
      <c r="E3890" t="n">
        <v>26387</v>
      </c>
    </row>
    <row r="3891">
      <c r="A3891" t="inlineStr">
        <is>
          <t>10/01/2026</t>
        </is>
      </c>
      <c r="B3891" t="inlineStr">
        <is>
          <t>VietinBank</t>
        </is>
      </c>
      <c r="C3891" t="n">
        <v>25890</v>
      </c>
      <c r="D3891" t="n">
        <v>25890</v>
      </c>
      <c r="E3891" t="n">
        <v>26387</v>
      </c>
    </row>
    <row r="3892">
      <c r="A3892" t="inlineStr">
        <is>
          <t>09/01/2026</t>
        </is>
      </c>
      <c r="B3892" t="inlineStr">
        <is>
          <t>VietinBank</t>
        </is>
      </c>
      <c r="C3892" t="n">
        <v>26050</v>
      </c>
      <c r="D3892" t="n">
        <v>26050</v>
      </c>
      <c r="E3892" t="n">
        <v>26383</v>
      </c>
    </row>
    <row r="3893">
      <c r="A3893" t="inlineStr">
        <is>
          <t>08/01/2026</t>
        </is>
      </c>
      <c r="B3893" t="inlineStr">
        <is>
          <t>VietinBank</t>
        </is>
      </c>
      <c r="C3893" t="n">
        <v>26075</v>
      </c>
      <c r="D3893" t="n">
        <v>26075</v>
      </c>
      <c r="E3893" t="n">
        <v>26381</v>
      </c>
    </row>
    <row r="3894">
      <c r="A3894" t="inlineStr">
        <is>
          <t>07/01/2026</t>
        </is>
      </c>
      <c r="B3894" t="inlineStr">
        <is>
          <t>VietinBank</t>
        </is>
      </c>
      <c r="C3894" t="n">
        <v>26070</v>
      </c>
      <c r="D3894" t="n">
        <v>26070</v>
      </c>
      <c r="E3894" t="n">
        <v>26378</v>
      </c>
    </row>
    <row r="3895">
      <c r="A3895" t="inlineStr">
        <is>
          <t>06/01/2026</t>
        </is>
      </c>
      <c r="B3895" t="inlineStr">
        <is>
          <t>VietinBank</t>
        </is>
      </c>
      <c r="C3895" t="n">
        <v>26075</v>
      </c>
      <c r="D3895" t="n">
        <v>26075</v>
      </c>
      <c r="E3895" t="n">
        <v>26378</v>
      </c>
    </row>
    <row r="3896">
      <c r="A3896" t="inlineStr">
        <is>
          <t>05/01/2026</t>
        </is>
      </c>
      <c r="B3896" t="inlineStr">
        <is>
          <t>VietinBank</t>
        </is>
      </c>
      <c r="C3896" t="n">
        <v>26070</v>
      </c>
      <c r="D3896" t="n">
        <v>26070</v>
      </c>
      <c r="E3896" t="n">
        <v>26380</v>
      </c>
    </row>
    <row r="3897">
      <c r="A3897" t="inlineStr">
        <is>
          <t>04/01/2026</t>
        </is>
      </c>
      <c r="B3897" t="inlineStr">
        <is>
          <t>VietinBank</t>
        </is>
      </c>
      <c r="C3897" t="n">
        <v>25900</v>
      </c>
      <c r="D3897" t="n">
        <v>25900</v>
      </c>
      <c r="E3897" t="n">
        <v>26377</v>
      </c>
    </row>
    <row r="3898">
      <c r="A3898" t="inlineStr">
        <is>
          <t>03/01/2026</t>
        </is>
      </c>
      <c r="B3898" t="inlineStr">
        <is>
          <t>VietinBank</t>
        </is>
      </c>
      <c r="C3898" t="n">
        <v>25580</v>
      </c>
      <c r="D3898" t="n">
        <v>25580</v>
      </c>
      <c r="E3898" t="n">
        <v>26120</v>
      </c>
    </row>
    <row r="3899">
      <c r="A3899" t="inlineStr">
        <is>
          <t>02/01/2026</t>
        </is>
      </c>
      <c r="B3899" t="inlineStr">
        <is>
          <t>VietinBank</t>
        </is>
      </c>
      <c r="C3899" t="n">
        <v>25900</v>
      </c>
      <c r="D3899" t="n">
        <v>25900</v>
      </c>
      <c r="E3899" t="n">
        <v>26377</v>
      </c>
    </row>
    <row r="3900">
      <c r="A3900" t="inlineStr">
        <is>
          <t>01/01/2026</t>
        </is>
      </c>
      <c r="B3900" t="inlineStr">
        <is>
          <t>VietinBank</t>
        </is>
      </c>
      <c r="C3900" t="n">
        <v>25900</v>
      </c>
      <c r="D3900" t="n">
        <v>25900</v>
      </c>
      <c r="E3900" t="n">
        <v>26377</v>
      </c>
    </row>
    <row r="3901">
      <c r="A3901" t="inlineStr">
        <is>
          <t>10/09/2026</t>
        </is>
      </c>
      <c r="B3901" t="inlineStr">
        <is>
          <t>VietinBank</t>
        </is>
      </c>
      <c r="C3901" t="n">
        <v>25675</v>
      </c>
      <c r="D3901" t="n">
        <v>25740</v>
      </c>
      <c r="E3901" t="n">
        <v>26120</v>
      </c>
    </row>
    <row r="3902">
      <c r="A3902" t="inlineStr">
        <is>
          <t>11/09/2026</t>
        </is>
      </c>
      <c r="B3902" t="inlineStr">
        <is>
          <t>VietinBank</t>
        </is>
      </c>
      <c r="C3902" t="n">
        <v>25670</v>
      </c>
      <c r="D3902" t="n">
        <v>25735</v>
      </c>
      <c r="E3902" t="n">
        <v>26115</v>
      </c>
    </row>
    <row r="3903">
      <c r="A3903" t="inlineStr">
        <is>
          <t>12/09/2026</t>
        </is>
      </c>
      <c r="B3903" t="inlineStr">
        <is>
          <t>VietinBank</t>
        </is>
      </c>
      <c r="C3903" t="n">
        <v>25670</v>
      </c>
      <c r="D3903" t="n">
        <v>25735</v>
      </c>
      <c r="E3903" t="n">
        <v>26115</v>
      </c>
    </row>
    <row r="3904">
      <c r="A3904" t="inlineStr">
        <is>
          <t>13/09/2026</t>
        </is>
      </c>
      <c r="B3904" t="inlineStr">
        <is>
          <t>VietinBank</t>
        </is>
      </c>
      <c r="C3904" t="n">
        <v>25560</v>
      </c>
      <c r="D3904" t="n">
        <v>25560</v>
      </c>
      <c r="E3904" t="n">
        <v>26100</v>
      </c>
    </row>
    <row r="3905">
      <c r="A3905" t="inlineStr">
        <is>
          <t>14/09/2026</t>
        </is>
      </c>
      <c r="B3905" t="inlineStr">
        <is>
          <t>VietinBank</t>
        </is>
      </c>
      <c r="C3905" t="n">
        <v>25738</v>
      </c>
      <c r="D3905" t="n">
        <v>25803</v>
      </c>
      <c r="E3905" t="n">
        <v>26183</v>
      </c>
    </row>
    <row r="3906">
      <c r="A3906" t="inlineStr">
        <is>
          <t>15/09/2026</t>
        </is>
      </c>
      <c r="B3906" t="inlineStr">
        <is>
          <t>VietinBank</t>
        </is>
      </c>
      <c r="C3906" t="n">
        <v>25730</v>
      </c>
      <c r="D3906" t="n">
        <v>25795</v>
      </c>
      <c r="E3906" t="n">
        <v>26175</v>
      </c>
    </row>
    <row r="3907">
      <c r="A3907" t="inlineStr">
        <is>
          <t>16/09/2026</t>
        </is>
      </c>
      <c r="B3907" t="inlineStr">
        <is>
          <t>VietinBank</t>
        </is>
      </c>
      <c r="C3907" t="n">
        <v>25750</v>
      </c>
      <c r="D3907" t="n">
        <v>25815</v>
      </c>
      <c r="E3907" t="n">
        <v>26195</v>
      </c>
    </row>
    <row r="3908">
      <c r="A3908" t="inlineStr">
        <is>
          <t>17/09/2026</t>
        </is>
      </c>
      <c r="B3908" t="inlineStr">
        <is>
          <t>VietinBank</t>
        </is>
      </c>
      <c r="C3908" t="n">
        <v>25650</v>
      </c>
      <c r="D3908" t="n">
        <v>25650</v>
      </c>
      <c r="E3908" t="n">
        <v>26190</v>
      </c>
    </row>
    <row r="3909">
      <c r="A3909" t="inlineStr">
        <is>
          <t>18/09/2026</t>
        </is>
      </c>
      <c r="B3909" t="inlineStr">
        <is>
          <t>VietinBank</t>
        </is>
      </c>
      <c r="C3909" t="n">
        <v>25770</v>
      </c>
      <c r="D3909" t="n">
        <v>25835</v>
      </c>
      <c r="E3909" t="n">
        <v>26215</v>
      </c>
    </row>
    <row r="3910">
      <c r="A3910" t="inlineStr">
        <is>
          <t>2026-09-12</t>
        </is>
      </c>
      <c r="B3910" t="inlineStr">
        <is>
          <t>USD</t>
        </is>
      </c>
      <c r="C3910" t="n">
        <v>25700</v>
      </c>
      <c r="D3910" t="n">
        <v>25730</v>
      </c>
      <c r="E3910" t="n">
        <v>26110</v>
      </c>
    </row>
    <row r="3911">
      <c r="A3911" t="inlineStr">
        <is>
          <t>2026-09-13</t>
        </is>
      </c>
      <c r="B3911" t="inlineStr">
        <is>
          <t>USD</t>
        </is>
      </c>
      <c r="C3911" t="n">
        <v>25700</v>
      </c>
      <c r="D3911" t="n">
        <v>25730</v>
      </c>
      <c r="E3911" t="n">
        <v>26110</v>
      </c>
    </row>
    <row r="3912">
      <c r="A3912" t="inlineStr">
        <is>
          <t>2026-09-14</t>
        </is>
      </c>
      <c r="B3912" t="inlineStr">
        <is>
          <t>USD</t>
        </is>
      </c>
      <c r="C3912" t="n">
        <v>25770</v>
      </c>
      <c r="D3912" t="n">
        <v>25800</v>
      </c>
      <c r="E3912" t="n">
        <v>26180</v>
      </c>
    </row>
    <row r="3913">
      <c r="A3913" t="inlineStr">
        <is>
          <t>2026-09-15</t>
        </is>
      </c>
      <c r="B3913" t="inlineStr">
        <is>
          <t>USD</t>
        </is>
      </c>
      <c r="C3913" t="n">
        <v>25720</v>
      </c>
      <c r="D3913" t="n">
        <v>25750</v>
      </c>
      <c r="E3913" t="n">
        <v>26130</v>
      </c>
    </row>
    <row r="3914">
      <c r="A3914" t="inlineStr">
        <is>
          <t>2026-09-16</t>
        </is>
      </c>
      <c r="B3914" t="inlineStr">
        <is>
          <t>USD</t>
        </is>
      </c>
      <c r="C3914" t="n">
        <v>25770</v>
      </c>
      <c r="D3914" t="n">
        <v>25800</v>
      </c>
      <c r="E3914" t="n">
        <v>26180</v>
      </c>
    </row>
    <row r="3915">
      <c r="A3915" t="inlineStr">
        <is>
          <t>2026-09-17</t>
        </is>
      </c>
      <c r="B3915" t="inlineStr">
        <is>
          <t>USD</t>
        </is>
      </c>
      <c r="C3915" t="n">
        <v>25795</v>
      </c>
      <c r="D3915" t="n">
        <v>25825</v>
      </c>
      <c r="E3915" t="n">
        <v>26205</v>
      </c>
    </row>
    <row r="3916">
      <c r="A3916" t="inlineStr">
        <is>
          <t>2026-09-18</t>
        </is>
      </c>
      <c r="B3916" t="inlineStr">
        <is>
          <t>USD</t>
        </is>
      </c>
      <c r="C3916" t="n">
        <v>25800</v>
      </c>
      <c r="D3916" t="n">
        <v>25830</v>
      </c>
      <c r="E3916" t="n">
        <v>26210</v>
      </c>
    </row>
    <row r="3917">
      <c r="A3917" t="inlineStr">
        <is>
          <t>2026-09-19</t>
        </is>
      </c>
      <c r="B3917" t="inlineStr">
        <is>
          <t>USD</t>
        </is>
      </c>
      <c r="C3917" t="n">
        <v>25800</v>
      </c>
      <c r="D3917" t="n">
        <v>25830</v>
      </c>
      <c r="E3917" t="n">
        <v>26210</v>
      </c>
    </row>
    <row r="3918">
      <c r="A3918" t="inlineStr">
        <is>
          <t>2026-09-21</t>
        </is>
      </c>
      <c r="B3918" t="inlineStr">
        <is>
          <t>USD</t>
        </is>
      </c>
      <c r="C3918" t="n">
        <v>25790</v>
      </c>
      <c r="D3918" t="n">
        <v>25820</v>
      </c>
      <c r="E3918" t="n">
        <v>26200</v>
      </c>
    </row>
    <row r="3919">
      <c r="A3919" t="inlineStr">
        <is>
          <t>2026-09-22</t>
        </is>
      </c>
      <c r="B3919" t="inlineStr">
        <is>
          <t>USD</t>
        </is>
      </c>
      <c r="C3919" t="n">
        <v>25800</v>
      </c>
      <c r="D3919" t="n">
        <v>25830</v>
      </c>
      <c r="E3919" t="n">
        <v>26210</v>
      </c>
    </row>
    <row r="3920">
      <c r="A3920" t="inlineStr">
        <is>
          <t>2026-09-23</t>
        </is>
      </c>
      <c r="B3920" t="inlineStr">
        <is>
          <t>USD</t>
        </is>
      </c>
      <c r="C3920" t="n">
        <v>25770</v>
      </c>
      <c r="D3920" t="n">
        <v>25800</v>
      </c>
      <c r="E3920" t="n">
        <v>26180</v>
      </c>
    </row>
    <row r="3921">
      <c r="A3921" t="inlineStr">
        <is>
          <t>2026-09-24</t>
        </is>
      </c>
      <c r="B3921" t="inlineStr">
        <is>
          <t>USD</t>
        </is>
      </c>
      <c r="C3921" t="n">
        <v>25790</v>
      </c>
      <c r="D3921" t="n">
        <v>25820</v>
      </c>
      <c r="E3921" t="n">
        <v>26200</v>
      </c>
    </row>
    <row r="3922">
      <c r="A3922" t="inlineStr">
        <is>
          <t>2026-09-25</t>
        </is>
      </c>
      <c r="B3922" t="inlineStr">
        <is>
          <t>USD</t>
        </is>
      </c>
      <c r="C3922" t="n">
        <v>25770</v>
      </c>
      <c r="D3922" t="n">
        <v>25800</v>
      </c>
      <c r="E3922" t="n">
        <v>26180</v>
      </c>
    </row>
    <row r="3923">
      <c r="A3923" t="inlineStr">
        <is>
          <t>2026-09-28</t>
        </is>
      </c>
      <c r="B3923" t="inlineStr">
        <is>
          <t>USD</t>
        </is>
      </c>
      <c r="C3923" t="n">
        <v>25740</v>
      </c>
      <c r="D3923" t="n">
        <v>25770</v>
      </c>
      <c r="E3923" t="n">
        <v>26150</v>
      </c>
    </row>
    <row r="3924">
      <c r="A3924" t="inlineStr">
        <is>
          <t>2026-09-29</t>
        </is>
      </c>
      <c r="B3924" t="inlineStr">
        <is>
          <t>USD</t>
        </is>
      </c>
      <c r="C3924" t="n">
        <v>25760</v>
      </c>
      <c r="D3924" t="n">
        <v>25790</v>
      </c>
      <c r="E3924" t="n">
        <v>26170</v>
      </c>
    </row>
    <row r="3925">
      <c r="A3925" t="inlineStr">
        <is>
          <t>2026-09-30</t>
        </is>
      </c>
      <c r="B3925" t="inlineStr">
        <is>
          <t>USD</t>
        </is>
      </c>
      <c r="C3925" t="n">
        <v>25750</v>
      </c>
      <c r="D3925" t="n">
        <v>25780</v>
      </c>
      <c r="E3925" t="n">
        <v>26160</v>
      </c>
    </row>
    <row r="3926">
      <c r="A3926" t="inlineStr">
        <is>
          <t>2026-10-01</t>
        </is>
      </c>
      <c r="B3926" t="inlineStr">
        <is>
          <t>USD</t>
        </is>
      </c>
      <c r="C3926" t="n">
        <v>25750</v>
      </c>
      <c r="D3926" t="n">
        <v>25780</v>
      </c>
      <c r="E3926" t="n">
        <v>26160</v>
      </c>
    </row>
    <row r="3927">
      <c r="A3927" t="inlineStr">
        <is>
          <t>2026-10-02</t>
        </is>
      </c>
      <c r="B3927" t="inlineStr">
        <is>
          <t>USD</t>
        </is>
      </c>
      <c r="C3927" t="n">
        <v>25780</v>
      </c>
      <c r="D3927" t="n">
        <v>25810</v>
      </c>
      <c r="E3927" t="n">
        <v>26190</v>
      </c>
    </row>
    <row r="3928">
      <c r="A3928" t="inlineStr">
        <is>
          <t>2026-10-05</t>
        </is>
      </c>
      <c r="B3928" t="inlineStr">
        <is>
          <t>USD</t>
        </is>
      </c>
      <c r="C3928" t="n">
        <v>25780</v>
      </c>
      <c r="D3928" t="n">
        <v>25810</v>
      </c>
      <c r="E3928" t="n">
        <v>26190</v>
      </c>
    </row>
    <row r="3929">
      <c r="A3929" t="inlineStr">
        <is>
          <t>2026-10-06</t>
        </is>
      </c>
      <c r="B3929" t="inlineStr">
        <is>
          <t>USD</t>
        </is>
      </c>
      <c r="C3929" t="n">
        <v>25780</v>
      </c>
      <c r="D3929" t="n">
        <v>25810</v>
      </c>
      <c r="E3929" t="n">
        <v>26190</v>
      </c>
    </row>
    <row r="3930">
      <c r="A3930" t="inlineStr">
        <is>
          <t>2026-10-07</t>
        </is>
      </c>
      <c r="B3930" t="inlineStr">
        <is>
          <t>USD</t>
        </is>
      </c>
      <c r="C3930" t="n">
        <v>25760</v>
      </c>
      <c r="D3930" t="n">
        <v>25790</v>
      </c>
      <c r="E3930" t="n">
        <v>26170</v>
      </c>
    </row>
    <row r="3931">
      <c r="A3931" t="inlineStr">
        <is>
          <t>2026-10-08</t>
        </is>
      </c>
      <c r="B3931" t="inlineStr">
        <is>
          <t>USD</t>
        </is>
      </c>
      <c r="C3931" t="n">
        <v>25730</v>
      </c>
      <c r="D3931" t="n">
        <v>25760</v>
      </c>
      <c r="E3931" t="n">
        <v>26140</v>
      </c>
    </row>
    <row r="3932">
      <c r="A3932" t="inlineStr">
        <is>
          <t>2026-10-09</t>
        </is>
      </c>
      <c r="B3932" t="inlineStr">
        <is>
          <t>USD</t>
        </is>
      </c>
      <c r="C3932" t="n">
        <v>25640</v>
      </c>
      <c r="D3932" t="n">
        <v>25670</v>
      </c>
      <c r="E3932" t="n">
        <v>26050</v>
      </c>
    </row>
    <row r="3933">
      <c r="A3933" t="inlineStr">
        <is>
          <t>2026-10-12</t>
        </is>
      </c>
      <c r="B3933" t="inlineStr">
        <is>
          <t>USD</t>
        </is>
      </c>
      <c r="C3933" t="n">
        <v>25680</v>
      </c>
      <c r="D3933" t="n">
        <v>25710</v>
      </c>
      <c r="E3933" t="n">
        <v>26090</v>
      </c>
    </row>
    <row r="3934">
      <c r="A3934" t="inlineStr">
        <is>
          <t>2026-10-13</t>
        </is>
      </c>
      <c r="B3934" t="inlineStr">
        <is>
          <t>USD</t>
        </is>
      </c>
      <c r="C3934" t="n">
        <v>25700</v>
      </c>
      <c r="D3934" t="n">
        <v>25730</v>
      </c>
      <c r="E3934" t="n">
        <v>26110</v>
      </c>
    </row>
    <row r="3935">
      <c r="A3935" t="inlineStr">
        <is>
          <t>2026-10-14</t>
        </is>
      </c>
      <c r="B3935" t="inlineStr">
        <is>
          <t>USD</t>
        </is>
      </c>
      <c r="C3935" t="n">
        <v>25670</v>
      </c>
      <c r="D3935" t="n">
        <v>25700</v>
      </c>
      <c r="E3935" t="n">
        <v>26080</v>
      </c>
    </row>
    <row r="3936">
      <c r="A3936" t="inlineStr">
        <is>
          <t>2026-10-15</t>
        </is>
      </c>
      <c r="B3936" t="inlineStr">
        <is>
          <t>USD</t>
        </is>
      </c>
      <c r="C3936" t="n">
        <v>25670</v>
      </c>
      <c r="D3936" t="n">
        <v>25700</v>
      </c>
      <c r="E3936" t="n">
        <v>26080</v>
      </c>
    </row>
    <row r="3937">
      <c r="A3937" t="inlineStr">
        <is>
          <t>2026-10-16</t>
        </is>
      </c>
      <c r="B3937" t="inlineStr">
        <is>
          <t>USD</t>
        </is>
      </c>
      <c r="C3937" t="n">
        <v>25650</v>
      </c>
      <c r="D3937" t="n">
        <v>25680</v>
      </c>
      <c r="E3937" t="n">
        <v>26060</v>
      </c>
    </row>
    <row r="3938">
      <c r="A3938" t="inlineStr">
        <is>
          <t>2026-10-19</t>
        </is>
      </c>
      <c r="B3938" t="inlineStr">
        <is>
          <t>USD</t>
        </is>
      </c>
      <c r="C3938" t="n">
        <v>25690</v>
      </c>
      <c r="D3938" t="n">
        <v>25720</v>
      </c>
      <c r="E3938" t="n">
        <v>26100</v>
      </c>
    </row>
    <row r="3939">
      <c r="A3939" t="inlineStr">
        <is>
          <t>2026-10-20</t>
        </is>
      </c>
      <c r="B3939" t="inlineStr">
        <is>
          <t>USD</t>
        </is>
      </c>
      <c r="C3939" t="n">
        <v>25650</v>
      </c>
      <c r="D3939" t="n">
        <v>25680</v>
      </c>
      <c r="E3939" t="n">
        <v>26060</v>
      </c>
    </row>
    <row r="3940">
      <c r="A3940" t="inlineStr">
        <is>
          <t>2026-10-21</t>
        </is>
      </c>
      <c r="B3940" t="inlineStr">
        <is>
          <t>USD</t>
        </is>
      </c>
      <c r="C3940" t="n">
        <v>25660</v>
      </c>
      <c r="D3940" t="n">
        <v>25690</v>
      </c>
      <c r="E3940" t="n">
        <v>26070</v>
      </c>
    </row>
    <row r="3941">
      <c r="A3941" t="inlineStr">
        <is>
          <t>2026-10-22</t>
        </is>
      </c>
      <c r="B3941" t="inlineStr">
        <is>
          <t>USD</t>
        </is>
      </c>
      <c r="C3941" t="n">
        <v>25620</v>
      </c>
      <c r="D3941" t="n">
        <v>25650</v>
      </c>
      <c r="E3941" t="n">
        <v>26030</v>
      </c>
    </row>
    <row r="3942">
      <c r="A3942" t="inlineStr">
        <is>
          <t>2026-10-23</t>
        </is>
      </c>
      <c r="B3942" t="inlineStr">
        <is>
          <t>USD</t>
        </is>
      </c>
      <c r="C3942" t="n">
        <v>25630</v>
      </c>
      <c r="D3942" t="n">
        <v>25660</v>
      </c>
      <c r="E3942" t="n">
        <v>26040</v>
      </c>
    </row>
    <row r="3943">
      <c r="A3943" t="inlineStr">
        <is>
          <t>2026-10-26</t>
        </is>
      </c>
      <c r="B3943" t="inlineStr">
        <is>
          <t>USD</t>
        </is>
      </c>
      <c r="C3943" t="n">
        <v>25640</v>
      </c>
      <c r="D3943" t="n">
        <v>25670</v>
      </c>
      <c r="E3943" t="n">
        <v>26050</v>
      </c>
    </row>
    <row r="3944">
      <c r="A3944" t="inlineStr">
        <is>
          <t>2026-10-27</t>
        </is>
      </c>
      <c r="B3944" t="inlineStr">
        <is>
          <t>USD</t>
        </is>
      </c>
      <c r="C3944" t="n">
        <v>25630</v>
      </c>
      <c r="D3944" t="n">
        <v>25660</v>
      </c>
      <c r="E3944" t="n">
        <v>26040</v>
      </c>
    </row>
    <row r="3945">
      <c r="A3945" t="inlineStr">
        <is>
          <t>2026-10-28</t>
        </is>
      </c>
      <c r="B3945" t="inlineStr">
        <is>
          <t>USD</t>
        </is>
      </c>
      <c r="C3945" t="n">
        <v>25610</v>
      </c>
      <c r="D3945" t="n">
        <v>25640</v>
      </c>
      <c r="E3945" t="n">
        <v>26020</v>
      </c>
    </row>
    <row r="3946">
      <c r="A3946" t="inlineStr">
        <is>
          <t>2026-10-29</t>
        </is>
      </c>
      <c r="B3946" t="inlineStr">
        <is>
          <t>USD</t>
        </is>
      </c>
      <c r="C3946" t="n">
        <v>25630</v>
      </c>
      <c r="D3946" t="n">
        <v>25660</v>
      </c>
      <c r="E3946" t="n">
        <v>26040</v>
      </c>
    </row>
    <row r="3947">
      <c r="A3947" t="inlineStr">
        <is>
          <t>2026-10-30</t>
        </is>
      </c>
      <c r="B3947" t="inlineStr">
        <is>
          <t>USD</t>
        </is>
      </c>
      <c r="C3947" t="n">
        <v>25570</v>
      </c>
      <c r="D3947" t="n">
        <v>25600</v>
      </c>
      <c r="E3947" t="n">
        <v>25980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D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DateSerial</t>
        </is>
      </c>
      <c r="C1" t="inlineStr">
        <is>
          <t>USD_Name</t>
        </is>
      </c>
      <c r="D1" t="inlineStr">
        <is>
          <t>USD_MuaTM</t>
        </is>
      </c>
      <c r="E1" t="inlineStr">
        <is>
          <t>USD_MuaCK</t>
        </is>
      </c>
      <c r="F1" t="inlineStr">
        <is>
          <t>USD_Ban</t>
        </is>
      </c>
      <c r="G1" t="inlineStr">
        <is>
          <t>EUR_Name</t>
        </is>
      </c>
      <c r="H1" t="inlineStr">
        <is>
          <t>EUR_MuaTM</t>
        </is>
      </c>
      <c r="I1" t="inlineStr">
        <is>
          <t>EUR_MuaCK</t>
        </is>
      </c>
      <c r="J1" t="inlineStr">
        <is>
          <t>EUR_Ban</t>
        </is>
      </c>
      <c r="K1" t="inlineStr">
        <is>
          <t>GBP_Name</t>
        </is>
      </c>
      <c r="L1" t="inlineStr">
        <is>
          <t>GBP_MuaTM</t>
        </is>
      </c>
      <c r="M1" t="inlineStr">
        <is>
          <t>GBP_MuaCK</t>
        </is>
      </c>
      <c r="N1" t="inlineStr">
        <is>
          <t>GBP_Ban</t>
        </is>
      </c>
      <c r="O1" t="inlineStr">
        <is>
          <t>JPY_Name</t>
        </is>
      </c>
      <c r="P1" t="inlineStr">
        <is>
          <t>JPY_MuaTM</t>
        </is>
      </c>
      <c r="Q1" t="inlineStr">
        <is>
          <t>JPY_MuaCK</t>
        </is>
      </c>
      <c r="R1" t="inlineStr">
        <is>
          <t>JPY_Ban</t>
        </is>
      </c>
      <c r="S1" t="inlineStr">
        <is>
          <t>AUD_Name</t>
        </is>
      </c>
      <c r="T1" t="inlineStr">
        <is>
          <t>AUD_MuaTM</t>
        </is>
      </c>
      <c r="U1" t="inlineStr">
        <is>
          <t>AUD_MuaCK</t>
        </is>
      </c>
      <c r="V1" t="inlineStr">
        <is>
          <t>AUD_Ban</t>
        </is>
      </c>
      <c r="W1" t="inlineStr">
        <is>
          <t>CAD_Name</t>
        </is>
      </c>
      <c r="X1" t="inlineStr">
        <is>
          <t>CAD_MuaTM</t>
        </is>
      </c>
      <c r="Y1" t="inlineStr">
        <is>
          <t>CAD_MuaCK</t>
        </is>
      </c>
      <c r="Z1" t="inlineStr">
        <is>
          <t>CAD_Ban</t>
        </is>
      </c>
      <c r="AA1" t="inlineStr">
        <is>
          <t>CHF_Name</t>
        </is>
      </c>
      <c r="AB1" t="inlineStr">
        <is>
          <t>CHF_MuaTM</t>
        </is>
      </c>
      <c r="AC1" t="inlineStr">
        <is>
          <t>CHF_MuaCK</t>
        </is>
      </c>
      <c r="AD1" t="inlineStr">
        <is>
          <t>CHF_Ban</t>
        </is>
      </c>
      <c r="AE1" t="inlineStr">
        <is>
          <t>SGD_Name</t>
        </is>
      </c>
      <c r="AF1" t="inlineStr">
        <is>
          <t>SGD_MuaTM</t>
        </is>
      </c>
      <c r="AG1" t="inlineStr">
        <is>
          <t>SGD_MuaCK</t>
        </is>
      </c>
      <c r="AH1" t="inlineStr">
        <is>
          <t>SGD_Ban</t>
        </is>
      </c>
      <c r="AI1" t="inlineStr">
        <is>
          <t>CNY_Name</t>
        </is>
      </c>
      <c r="AJ1" t="inlineStr">
        <is>
          <t>CNY_MuaTM</t>
        </is>
      </c>
      <c r="AK1" t="inlineStr">
        <is>
          <t>CNY_MuaCK</t>
        </is>
      </c>
      <c r="AL1" t="inlineStr">
        <is>
          <t>CNY_Ban</t>
        </is>
      </c>
      <c r="AM1" t="inlineStr">
        <is>
          <t>HKD_Name</t>
        </is>
      </c>
      <c r="AN1" t="inlineStr">
        <is>
          <t>HKD_MuaTM</t>
        </is>
      </c>
      <c r="AO1" t="inlineStr">
        <is>
          <t>HKD_MuaCK</t>
        </is>
      </c>
      <c r="AP1" t="inlineStr">
        <is>
          <t>HKD_Ban</t>
        </is>
      </c>
      <c r="AQ1" t="inlineStr">
        <is>
          <t>THB_Name</t>
        </is>
      </c>
      <c r="AR1" t="inlineStr">
        <is>
          <t>THB_MuaTM</t>
        </is>
      </c>
      <c r="AS1" t="inlineStr">
        <is>
          <t>THB_MuaCK</t>
        </is>
      </c>
      <c r="AT1" t="inlineStr">
        <is>
          <t>THB_Ban</t>
        </is>
      </c>
      <c r="AU1" t="inlineStr">
        <is>
          <t>KRW_Name</t>
        </is>
      </c>
      <c r="AV1" t="inlineStr">
        <is>
          <t>KRW_MuaTM</t>
        </is>
      </c>
      <c r="AW1" t="inlineStr">
        <is>
          <t>KRW_MuaCK</t>
        </is>
      </c>
      <c r="AX1" t="inlineStr">
        <is>
          <t>KRW_Ban</t>
        </is>
      </c>
      <c r="AY1" t="inlineStr">
        <is>
          <t>MYR_Name</t>
        </is>
      </c>
      <c r="AZ1" t="inlineStr">
        <is>
          <t>MYR_MuaTM</t>
        </is>
      </c>
      <c r="BA1" t="inlineStr">
        <is>
          <t>MYR_MuaCK</t>
        </is>
      </c>
      <c r="BB1" t="inlineStr">
        <is>
          <t>MYR_Ban</t>
        </is>
      </c>
      <c r="BC1" t="inlineStr">
        <is>
          <t>INR_Name</t>
        </is>
      </c>
      <c r="BD1" t="inlineStr">
        <is>
          <t>INR_MuaTM</t>
        </is>
      </c>
      <c r="BE1" t="inlineStr">
        <is>
          <t>INR_MuaCK</t>
        </is>
      </c>
      <c r="BF1" t="inlineStr">
        <is>
          <t>INR_Ban</t>
        </is>
      </c>
      <c r="BG1" t="inlineStr">
        <is>
          <t>KWD_Name</t>
        </is>
      </c>
      <c r="BH1" t="inlineStr">
        <is>
          <t>KWD_MuaTM</t>
        </is>
      </c>
      <c r="BI1" t="inlineStr">
        <is>
          <t>KWD_MuaCK</t>
        </is>
      </c>
      <c r="BJ1" t="inlineStr">
        <is>
          <t>KWD_Ban</t>
        </is>
      </c>
      <c r="BK1" t="inlineStr">
        <is>
          <t>SAR_Name</t>
        </is>
      </c>
      <c r="BL1" t="inlineStr">
        <is>
          <t>SAR_MuaTM</t>
        </is>
      </c>
      <c r="BM1" t="inlineStr">
        <is>
          <t>SAR_MuaCK</t>
        </is>
      </c>
      <c r="BN1" t="inlineStr">
        <is>
          <t>SAR_Ban</t>
        </is>
      </c>
      <c r="BO1" t="inlineStr">
        <is>
          <t>NOK_Name</t>
        </is>
      </c>
      <c r="BP1" t="inlineStr">
        <is>
          <t>NOK_MuaTM</t>
        </is>
      </c>
      <c r="BQ1" t="inlineStr">
        <is>
          <t>NOK_MuaCK</t>
        </is>
      </c>
      <c r="BR1" t="inlineStr">
        <is>
          <t>NOK_Ban</t>
        </is>
      </c>
      <c r="BS1" t="inlineStr">
        <is>
          <t>SEK_Name</t>
        </is>
      </c>
      <c r="BT1" t="inlineStr">
        <is>
          <t>SEK_MuaTM</t>
        </is>
      </c>
      <c r="BU1" t="inlineStr">
        <is>
          <t>SEK_MuaCK</t>
        </is>
      </c>
      <c r="BV1" t="inlineStr">
        <is>
          <t>SEK_Ban</t>
        </is>
      </c>
      <c r="BW1" t="inlineStr">
        <is>
          <t>DKK_Name</t>
        </is>
      </c>
      <c r="BX1" t="inlineStr">
        <is>
          <t>DKK_MuaTM</t>
        </is>
      </c>
      <c r="BY1" t="inlineStr">
        <is>
          <t>DKK_MuaCK</t>
        </is>
      </c>
      <c r="BZ1" t="inlineStr">
        <is>
          <t>DKK_Ban</t>
        </is>
      </c>
      <c r="CA1" t="inlineStr">
        <is>
          <t>RUB_Name</t>
        </is>
      </c>
      <c r="CB1" t="inlineStr">
        <is>
          <t>RUB_MuaTM</t>
        </is>
      </c>
      <c r="CC1" t="inlineStr">
        <is>
          <t>RUB_MuaCK</t>
        </is>
      </c>
      <c r="CD1" t="inlineStr">
        <is>
          <t>RUB_Ban</t>
        </is>
      </c>
    </row>
    <row r="2">
      <c r="A2" t="inlineStr">
        <is>
          <t>01/01/2026</t>
        </is>
      </c>
      <c r="B2">
        <f>IF(ISNUMBER(A2), A2, DATE(RIGHT(A2,4), MID(A2,4,2), LEFT(A2,2)))</f>
        <v/>
      </c>
      <c r="C2" t="inlineStr">
        <is>
          <t>US DOLLAR</t>
        </is>
      </c>
      <c r="D2" t="n">
        <v>26047</v>
      </c>
      <c r="E2" t="n">
        <v>26077</v>
      </c>
      <c r="F2" t="n">
        <v>26377</v>
      </c>
      <c r="G2" t="inlineStr">
        <is>
          <t>EURO</t>
        </is>
      </c>
      <c r="H2" t="n">
        <v>30045.21</v>
      </c>
      <c r="I2" t="n">
        <v>30348.7</v>
      </c>
      <c r="J2" t="n">
        <v>31653.29</v>
      </c>
      <c r="K2" t="inlineStr">
        <is>
          <t>POUND STERLING</t>
        </is>
      </c>
      <c r="L2" t="n">
        <v>34395.91</v>
      </c>
      <c r="M2" t="n">
        <v>34743.35</v>
      </c>
      <c r="N2" t="n">
        <v>35883.32</v>
      </c>
      <c r="O2" t="inlineStr">
        <is>
          <t>YEN</t>
        </is>
      </c>
      <c r="P2" t="n">
        <v>161.9</v>
      </c>
      <c r="Q2" t="n">
        <v>163.54</v>
      </c>
      <c r="R2" t="n">
        <v>172.32</v>
      </c>
      <c r="S2" t="inlineStr">
        <is>
          <t>AUSTRALIAN DOLLAR</t>
        </is>
      </c>
      <c r="T2" t="n">
        <v>17113.45</v>
      </c>
      <c r="U2" t="n">
        <v>17286.31</v>
      </c>
      <c r="V2" t="n">
        <v>17853.5</v>
      </c>
      <c r="W2" t="inlineStr">
        <is>
          <t>CANADIAN DOLLAR</t>
        </is>
      </c>
      <c r="X2" t="n">
        <v>18697.13</v>
      </c>
      <c r="Y2" t="n">
        <v>18885.99</v>
      </c>
      <c r="Z2" t="n">
        <v>19505.67</v>
      </c>
      <c r="AA2" t="inlineStr">
        <is>
          <t>SWISS FRANC</t>
        </is>
      </c>
      <c r="AB2" t="n">
        <v>32290.98</v>
      </c>
      <c r="AC2" t="n">
        <v>32617.15</v>
      </c>
      <c r="AD2" t="n">
        <v>33687.36</v>
      </c>
      <c r="AE2" t="inlineStr">
        <is>
          <t>SINGAPORE DOLLAR</t>
        </is>
      </c>
      <c r="AF2" t="n">
        <v>19894.26</v>
      </c>
      <c r="AG2" t="n">
        <v>20095.21</v>
      </c>
      <c r="AH2" t="n">
        <v>20796.12</v>
      </c>
      <c r="AI2" t="inlineStr">
        <is>
          <t>YUAN RENMINBI</t>
        </is>
      </c>
      <c r="AJ2" t="n">
        <v>3663.11</v>
      </c>
      <c r="AK2" t="n">
        <v>3700.11</v>
      </c>
      <c r="AL2" t="n">
        <v>3821.52</v>
      </c>
      <c r="AM2" t="inlineStr">
        <is>
          <t>HONGKONG DOLLAR</t>
        </is>
      </c>
      <c r="AN2" t="n">
        <v>3281.34</v>
      </c>
      <c r="AO2" t="n">
        <v>3314.49</v>
      </c>
      <c r="AP2" t="n">
        <v>3443.85</v>
      </c>
      <c r="AQ2" t="inlineStr">
        <is>
          <t>THAILAND BAHT</t>
        </is>
      </c>
      <c r="AR2" t="n">
        <v>734.64</v>
      </c>
      <c r="AS2" t="n">
        <v>816.27</v>
      </c>
      <c r="AT2" t="n">
        <v>851.53</v>
      </c>
      <c r="AU2" t="inlineStr">
        <is>
          <t>KOREAN WON</t>
        </is>
      </c>
      <c r="AV2" t="n">
        <v>15.72</v>
      </c>
      <c r="AW2" t="n">
        <v>17.47</v>
      </c>
      <c r="AX2" t="n">
        <v>18.97</v>
      </c>
      <c r="AY2" t="inlineStr">
        <is>
          <t>MALAYSIAN RINGGIT</t>
        </is>
      </c>
      <c r="BA2" t="n">
        <v>6410.26</v>
      </c>
      <c r="BB2" t="n">
        <v>6554.7</v>
      </c>
      <c r="BC2" t="inlineStr">
        <is>
          <t>INDIAN RUPEE</t>
        </is>
      </c>
      <c r="BE2" t="n">
        <v>290.86</v>
      </c>
      <c r="BF2" t="n">
        <v>303.6</v>
      </c>
      <c r="BG2" t="inlineStr">
        <is>
          <t>KUWAITI DINAR</t>
        </is>
      </c>
      <c r="BI2" t="n">
        <v>84945.88</v>
      </c>
      <c r="BJ2" t="n">
        <v>89130.91</v>
      </c>
      <c r="BK2" t="inlineStr">
        <is>
          <t>SAUDI RIAL</t>
        </is>
      </c>
      <c r="BM2" t="n">
        <v>6967.46</v>
      </c>
      <c r="BN2" t="n">
        <v>7272.84</v>
      </c>
      <c r="BO2" t="inlineStr">
        <is>
          <t>NORWEGIAN KRONER</t>
        </is>
      </c>
      <c r="BQ2" t="n">
        <v>2557.02</v>
      </c>
      <c r="BR2" t="n">
        <v>2667.47</v>
      </c>
      <c r="BS2" t="inlineStr">
        <is>
          <t>SWEDISH KRONA</t>
        </is>
      </c>
      <c r="BU2" t="n">
        <v>2794.58</v>
      </c>
      <c r="BV2" t="n">
        <v>2915.29</v>
      </c>
      <c r="BW2" t="inlineStr">
        <is>
          <t>DANISH KRONE</t>
        </is>
      </c>
      <c r="BY2" t="n">
        <v>4053.18</v>
      </c>
      <c r="BZ2" t="n">
        <v>4211.37</v>
      </c>
      <c r="CA2" t="inlineStr">
        <is>
          <t>RUSSIAN RUBLE</t>
        </is>
      </c>
      <c r="CC2" t="n">
        <v>313.8</v>
      </c>
      <c r="CD2" t="n">
        <v>347.62</v>
      </c>
    </row>
    <row r="3">
      <c r="A3" t="inlineStr">
        <is>
          <t>02/01/2026</t>
        </is>
      </c>
      <c r="B3">
        <f>IF(ISNUMBER(A3), A3, DATE(RIGHT(A3,4), MID(A3,4,2), LEFT(A3,2)))</f>
        <v/>
      </c>
      <c r="C3" t="inlineStr">
        <is>
          <t>US DOLLAR</t>
        </is>
      </c>
      <c r="D3" t="n">
        <v>26047</v>
      </c>
      <c r="E3" t="n">
        <v>26077</v>
      </c>
      <c r="F3" t="n">
        <v>26377</v>
      </c>
      <c r="G3" t="inlineStr">
        <is>
          <t>EURO</t>
        </is>
      </c>
      <c r="H3" t="n">
        <v>30045.21</v>
      </c>
      <c r="I3" t="n">
        <v>30348.7</v>
      </c>
      <c r="J3" t="n">
        <v>31653.29</v>
      </c>
      <c r="K3" t="inlineStr">
        <is>
          <t>POUND STERLING</t>
        </is>
      </c>
      <c r="L3" t="n">
        <v>34395.91</v>
      </c>
      <c r="M3" t="n">
        <v>34743.35</v>
      </c>
      <c r="N3" t="n">
        <v>35883.32</v>
      </c>
      <c r="O3" t="inlineStr">
        <is>
          <t>YEN</t>
        </is>
      </c>
      <c r="P3" t="n">
        <v>161.9</v>
      </c>
      <c r="Q3" t="n">
        <v>163.54</v>
      </c>
      <c r="R3" t="n">
        <v>172.32</v>
      </c>
      <c r="S3" t="inlineStr">
        <is>
          <t>AUSTRALIAN DOLLAR</t>
        </is>
      </c>
      <c r="T3" t="n">
        <v>17113.45</v>
      </c>
      <c r="U3" t="n">
        <v>17286.31</v>
      </c>
      <c r="V3" t="n">
        <v>17853.5</v>
      </c>
      <c r="W3" t="inlineStr">
        <is>
          <t>CANADIAN DOLLAR</t>
        </is>
      </c>
      <c r="X3" t="n">
        <v>18697.13</v>
      </c>
      <c r="Y3" t="n">
        <v>18885.99</v>
      </c>
      <c r="Z3" t="n">
        <v>19505.67</v>
      </c>
      <c r="AA3" t="inlineStr">
        <is>
          <t>SWISS FRANC</t>
        </is>
      </c>
      <c r="AB3" t="n">
        <v>32290.98</v>
      </c>
      <c r="AC3" t="n">
        <v>32617.15</v>
      </c>
      <c r="AD3" t="n">
        <v>33687.36</v>
      </c>
      <c r="AE3" t="inlineStr">
        <is>
          <t>SINGAPORE DOLLAR</t>
        </is>
      </c>
      <c r="AF3" t="n">
        <v>19894.26</v>
      </c>
      <c r="AG3" t="n">
        <v>20095.21</v>
      </c>
      <c r="AH3" t="n">
        <v>20796.12</v>
      </c>
      <c r="AI3" t="inlineStr">
        <is>
          <t>YUAN RENMINBI</t>
        </is>
      </c>
      <c r="AJ3" t="n">
        <v>3663.11</v>
      </c>
      <c r="AK3" t="n">
        <v>3700.11</v>
      </c>
      <c r="AL3" t="n">
        <v>3821.52</v>
      </c>
      <c r="AM3" t="inlineStr">
        <is>
          <t>HONGKONG DOLLAR</t>
        </is>
      </c>
      <c r="AN3" t="n">
        <v>3281.34</v>
      </c>
      <c r="AO3" t="n">
        <v>3314.49</v>
      </c>
      <c r="AP3" t="n">
        <v>3443.85</v>
      </c>
      <c r="AQ3" t="inlineStr">
        <is>
          <t>THAILAND BAHT</t>
        </is>
      </c>
      <c r="AR3" t="n">
        <v>734.64</v>
      </c>
      <c r="AS3" t="n">
        <v>816.27</v>
      </c>
      <c r="AT3" t="n">
        <v>851.53</v>
      </c>
      <c r="AU3" t="inlineStr">
        <is>
          <t>KOREAN WON</t>
        </is>
      </c>
      <c r="AV3" t="n">
        <v>15.72</v>
      </c>
      <c r="AW3" t="n">
        <v>17.47</v>
      </c>
      <c r="AX3" t="n">
        <v>18.97</v>
      </c>
      <c r="AY3" t="inlineStr">
        <is>
          <t>MALAYSIAN RINGGIT</t>
        </is>
      </c>
      <c r="BA3" t="n">
        <v>6410.26</v>
      </c>
      <c r="BB3" t="n">
        <v>6554.7</v>
      </c>
      <c r="BC3" t="inlineStr">
        <is>
          <t>INDIAN RUPEE</t>
        </is>
      </c>
      <c r="BE3" t="n">
        <v>290.86</v>
      </c>
      <c r="BF3" t="n">
        <v>303.6</v>
      </c>
      <c r="BG3" t="inlineStr">
        <is>
          <t>KUWAITI DINAR</t>
        </is>
      </c>
      <c r="BI3" t="n">
        <v>84945.88</v>
      </c>
      <c r="BJ3" t="n">
        <v>89130.91</v>
      </c>
      <c r="BK3" t="inlineStr">
        <is>
          <t>SAUDI RIAL</t>
        </is>
      </c>
      <c r="BM3" t="n">
        <v>6967.46</v>
      </c>
      <c r="BN3" t="n">
        <v>7272.84</v>
      </c>
      <c r="BO3" t="inlineStr">
        <is>
          <t>NORWEGIAN KRONER</t>
        </is>
      </c>
      <c r="BQ3" t="n">
        <v>2557.02</v>
      </c>
      <c r="BR3" t="n">
        <v>2667.47</v>
      </c>
      <c r="BS3" t="inlineStr">
        <is>
          <t>SWEDISH KRONA</t>
        </is>
      </c>
      <c r="BU3" t="n">
        <v>2794.58</v>
      </c>
      <c r="BV3" t="n">
        <v>2915.29</v>
      </c>
      <c r="BW3" t="inlineStr">
        <is>
          <t>DANISH KRONE</t>
        </is>
      </c>
      <c r="BY3" t="n">
        <v>4053.18</v>
      </c>
      <c r="BZ3" t="n">
        <v>4211.37</v>
      </c>
      <c r="CA3" t="inlineStr">
        <is>
          <t>RUSSIAN RUBLE</t>
        </is>
      </c>
      <c r="CC3" t="n">
        <v>313.8</v>
      </c>
      <c r="CD3" t="n">
        <v>347.62</v>
      </c>
    </row>
    <row r="4">
      <c r="A4" t="inlineStr">
        <is>
          <t>03/01/2026</t>
        </is>
      </c>
      <c r="B4">
        <f>IF(ISNUMBER(A4), A4, DATE(RIGHT(A4,4), MID(A4,4,2), LEFT(A4,2)))</f>
        <v/>
      </c>
      <c r="C4" t="inlineStr">
        <is>
          <t>US DOLLAR</t>
        </is>
      </c>
      <c r="D4" t="n">
        <v>26047</v>
      </c>
      <c r="E4" t="n">
        <v>26077</v>
      </c>
      <c r="F4" t="n">
        <v>26377</v>
      </c>
      <c r="G4" t="inlineStr">
        <is>
          <t>EURO</t>
        </is>
      </c>
      <c r="H4" t="n">
        <v>30045.21</v>
      </c>
      <c r="I4" t="n">
        <v>30348.7</v>
      </c>
      <c r="J4" t="n">
        <v>31653.29</v>
      </c>
      <c r="K4" t="inlineStr">
        <is>
          <t>POUND STERLING</t>
        </is>
      </c>
      <c r="L4" t="n">
        <v>34395.91</v>
      </c>
      <c r="M4" t="n">
        <v>34743.35</v>
      </c>
      <c r="N4" t="n">
        <v>35883.32</v>
      </c>
      <c r="O4" t="inlineStr">
        <is>
          <t>YEN</t>
        </is>
      </c>
      <c r="P4" t="n">
        <v>161.9</v>
      </c>
      <c r="Q4" t="n">
        <v>163.54</v>
      </c>
      <c r="R4" t="n">
        <v>172.32</v>
      </c>
      <c r="S4" t="inlineStr">
        <is>
          <t>AUSTRALIAN DOLLAR</t>
        </is>
      </c>
      <c r="T4" t="n">
        <v>17113.45</v>
      </c>
      <c r="U4" t="n">
        <v>17286.31</v>
      </c>
      <c r="V4" t="n">
        <v>17853.5</v>
      </c>
      <c r="W4" t="inlineStr">
        <is>
          <t>CANADIAN DOLLAR</t>
        </is>
      </c>
      <c r="X4" t="n">
        <v>18697.13</v>
      </c>
      <c r="Y4" t="n">
        <v>18885.99</v>
      </c>
      <c r="Z4" t="n">
        <v>19505.67</v>
      </c>
      <c r="AA4" t="inlineStr">
        <is>
          <t>SWISS FRANC</t>
        </is>
      </c>
      <c r="AB4" t="n">
        <v>32290.98</v>
      </c>
      <c r="AC4" t="n">
        <v>32617.15</v>
      </c>
      <c r="AD4" t="n">
        <v>33687.36</v>
      </c>
      <c r="AE4" t="inlineStr">
        <is>
          <t>SINGAPORE DOLLAR</t>
        </is>
      </c>
      <c r="AF4" t="n">
        <v>19894.26</v>
      </c>
      <c r="AG4" t="n">
        <v>20095.21</v>
      </c>
      <c r="AH4" t="n">
        <v>20796.12</v>
      </c>
      <c r="AI4" t="inlineStr">
        <is>
          <t>YUAN RENMINBI</t>
        </is>
      </c>
      <c r="AJ4" t="n">
        <v>3663.11</v>
      </c>
      <c r="AK4" t="n">
        <v>3700.11</v>
      </c>
      <c r="AL4" t="n">
        <v>3821.52</v>
      </c>
      <c r="AM4" t="inlineStr">
        <is>
          <t>HONGKONG DOLLAR</t>
        </is>
      </c>
      <c r="AN4" t="n">
        <v>3281.34</v>
      </c>
      <c r="AO4" t="n">
        <v>3314.49</v>
      </c>
      <c r="AP4" t="n">
        <v>3443.85</v>
      </c>
      <c r="AQ4" t="inlineStr">
        <is>
          <t>THAILAND BAHT</t>
        </is>
      </c>
      <c r="AR4" t="n">
        <v>734.64</v>
      </c>
      <c r="AS4" t="n">
        <v>816.27</v>
      </c>
      <c r="AT4" t="n">
        <v>851.53</v>
      </c>
      <c r="AU4" t="inlineStr">
        <is>
          <t>KOREAN WON</t>
        </is>
      </c>
      <c r="AV4" t="n">
        <v>15.72</v>
      </c>
      <c r="AW4" t="n">
        <v>17.47</v>
      </c>
      <c r="AX4" t="n">
        <v>18.97</v>
      </c>
      <c r="AY4" t="inlineStr">
        <is>
          <t>MALAYSIAN RINGGIT</t>
        </is>
      </c>
      <c r="BA4" t="n">
        <v>6410.26</v>
      </c>
      <c r="BB4" t="n">
        <v>6554.7</v>
      </c>
      <c r="BC4" t="inlineStr">
        <is>
          <t>INDIAN RUPEE</t>
        </is>
      </c>
      <c r="BE4" t="n">
        <v>290.86</v>
      </c>
      <c r="BF4" t="n">
        <v>303.6</v>
      </c>
      <c r="BG4" t="inlineStr">
        <is>
          <t>KUWAITI DINAR</t>
        </is>
      </c>
      <c r="BI4" t="n">
        <v>84945.88</v>
      </c>
      <c r="BJ4" t="n">
        <v>89130.91</v>
      </c>
      <c r="BK4" t="inlineStr">
        <is>
          <t>SAUDI RIAL</t>
        </is>
      </c>
      <c r="BM4" t="n">
        <v>6967.46</v>
      </c>
      <c r="BN4" t="n">
        <v>7272.84</v>
      </c>
      <c r="BO4" t="inlineStr">
        <is>
          <t>NORWEGIAN KRONER</t>
        </is>
      </c>
      <c r="BQ4" t="n">
        <v>2557.02</v>
      </c>
      <c r="BR4" t="n">
        <v>2667.47</v>
      </c>
      <c r="BS4" t="inlineStr">
        <is>
          <t>SWEDISH KRONA</t>
        </is>
      </c>
      <c r="BU4" t="n">
        <v>2794.58</v>
      </c>
      <c r="BV4" t="n">
        <v>2915.29</v>
      </c>
      <c r="BW4" t="inlineStr">
        <is>
          <t>DANISH KRONE</t>
        </is>
      </c>
      <c r="BY4" t="n">
        <v>4053.18</v>
      </c>
      <c r="BZ4" t="n">
        <v>4211.37</v>
      </c>
      <c r="CA4" t="inlineStr">
        <is>
          <t>RUSSIAN RUBLE</t>
        </is>
      </c>
      <c r="CC4" t="n">
        <v>313.8</v>
      </c>
      <c r="CD4" t="n">
        <v>347.62</v>
      </c>
    </row>
    <row r="5">
      <c r="A5" t="inlineStr">
        <is>
          <t>04/01/2026</t>
        </is>
      </c>
      <c r="B5">
        <f>IF(ISNUMBER(A5), A5, DATE(RIGHT(A5,4), MID(A5,4,2), LEFT(A5,2)))</f>
        <v/>
      </c>
      <c r="C5" t="inlineStr">
        <is>
          <t>US DOLLAR</t>
        </is>
      </c>
      <c r="D5" t="n">
        <v>26047</v>
      </c>
      <c r="E5" t="n">
        <v>26077</v>
      </c>
      <c r="F5" t="n">
        <v>26377</v>
      </c>
      <c r="G5" t="inlineStr">
        <is>
          <t>EURO</t>
        </is>
      </c>
      <c r="H5" t="n">
        <v>30045.21</v>
      </c>
      <c r="I5" t="n">
        <v>30348.7</v>
      </c>
      <c r="J5" t="n">
        <v>31653.29</v>
      </c>
      <c r="K5" t="inlineStr">
        <is>
          <t>POUND STERLING</t>
        </is>
      </c>
      <c r="L5" t="n">
        <v>34395.91</v>
      </c>
      <c r="M5" t="n">
        <v>34743.35</v>
      </c>
      <c r="N5" t="n">
        <v>35883.32</v>
      </c>
      <c r="O5" t="inlineStr">
        <is>
          <t>YEN</t>
        </is>
      </c>
      <c r="P5" t="n">
        <v>161.9</v>
      </c>
      <c r="Q5" t="n">
        <v>163.54</v>
      </c>
      <c r="R5" t="n">
        <v>172.32</v>
      </c>
      <c r="S5" t="inlineStr">
        <is>
          <t>AUSTRALIAN DOLLAR</t>
        </is>
      </c>
      <c r="T5" t="n">
        <v>17113.45</v>
      </c>
      <c r="U5" t="n">
        <v>17286.31</v>
      </c>
      <c r="V5" t="n">
        <v>17853.5</v>
      </c>
      <c r="W5" t="inlineStr">
        <is>
          <t>CANADIAN DOLLAR</t>
        </is>
      </c>
      <c r="X5" t="n">
        <v>18697.13</v>
      </c>
      <c r="Y5" t="n">
        <v>18885.99</v>
      </c>
      <c r="Z5" t="n">
        <v>19505.67</v>
      </c>
      <c r="AA5" t="inlineStr">
        <is>
          <t>SWISS FRANC</t>
        </is>
      </c>
      <c r="AB5" t="n">
        <v>32290.98</v>
      </c>
      <c r="AC5" t="n">
        <v>32617.15</v>
      </c>
      <c r="AD5" t="n">
        <v>33687.36</v>
      </c>
      <c r="AE5" t="inlineStr">
        <is>
          <t>SINGAPORE DOLLAR</t>
        </is>
      </c>
      <c r="AF5" t="n">
        <v>19894.26</v>
      </c>
      <c r="AG5" t="n">
        <v>20095.21</v>
      </c>
      <c r="AH5" t="n">
        <v>20796.12</v>
      </c>
      <c r="AI5" t="inlineStr">
        <is>
          <t>YUAN RENMINBI</t>
        </is>
      </c>
      <c r="AJ5" t="n">
        <v>3663.11</v>
      </c>
      <c r="AK5" t="n">
        <v>3700.11</v>
      </c>
      <c r="AL5" t="n">
        <v>3821.52</v>
      </c>
      <c r="AM5" t="inlineStr">
        <is>
          <t>HONGKONG DOLLAR</t>
        </is>
      </c>
      <c r="AN5" t="n">
        <v>3281.34</v>
      </c>
      <c r="AO5" t="n">
        <v>3314.49</v>
      </c>
      <c r="AP5" t="n">
        <v>3443.85</v>
      </c>
      <c r="AQ5" t="inlineStr">
        <is>
          <t>THAILAND BAHT</t>
        </is>
      </c>
      <c r="AR5" t="n">
        <v>734.64</v>
      </c>
      <c r="AS5" t="n">
        <v>816.27</v>
      </c>
      <c r="AT5" t="n">
        <v>851.53</v>
      </c>
      <c r="AU5" t="inlineStr">
        <is>
          <t>KOREAN WON</t>
        </is>
      </c>
      <c r="AV5" t="n">
        <v>15.72</v>
      </c>
      <c r="AW5" t="n">
        <v>17.47</v>
      </c>
      <c r="AX5" t="n">
        <v>18.97</v>
      </c>
      <c r="AY5" t="inlineStr">
        <is>
          <t>MALAYSIAN RINGGIT</t>
        </is>
      </c>
      <c r="BA5" t="n">
        <v>6410.26</v>
      </c>
      <c r="BB5" t="n">
        <v>6554.7</v>
      </c>
      <c r="BC5" t="inlineStr">
        <is>
          <t>INDIAN RUPEE</t>
        </is>
      </c>
      <c r="BE5" t="n">
        <v>290.86</v>
      </c>
      <c r="BF5" t="n">
        <v>303.6</v>
      </c>
      <c r="BG5" t="inlineStr">
        <is>
          <t>KUWAITI DINAR</t>
        </is>
      </c>
      <c r="BI5" t="n">
        <v>84945.88</v>
      </c>
      <c r="BJ5" t="n">
        <v>89130.91</v>
      </c>
      <c r="BK5" t="inlineStr">
        <is>
          <t>SAUDI RIAL</t>
        </is>
      </c>
      <c r="BM5" t="n">
        <v>6967.46</v>
      </c>
      <c r="BN5" t="n">
        <v>7272.84</v>
      </c>
      <c r="BO5" t="inlineStr">
        <is>
          <t>NORWEGIAN KRONER</t>
        </is>
      </c>
      <c r="BQ5" t="n">
        <v>2557.02</v>
      </c>
      <c r="BR5" t="n">
        <v>2667.47</v>
      </c>
      <c r="BS5" t="inlineStr">
        <is>
          <t>SWEDISH KRONA</t>
        </is>
      </c>
      <c r="BU5" t="n">
        <v>2794.58</v>
      </c>
      <c r="BV5" t="n">
        <v>2915.29</v>
      </c>
      <c r="BW5" t="inlineStr">
        <is>
          <t>DANISH KRONE</t>
        </is>
      </c>
      <c r="BY5" t="n">
        <v>4053.18</v>
      </c>
      <c r="BZ5" t="n">
        <v>4211.37</v>
      </c>
      <c r="CA5" t="inlineStr">
        <is>
          <t>RUSSIAN RUBLE</t>
        </is>
      </c>
      <c r="CC5" t="n">
        <v>313.8</v>
      </c>
      <c r="CD5" t="n">
        <v>347.62</v>
      </c>
    </row>
    <row r="6">
      <c r="A6" t="inlineStr">
        <is>
          <t>05/01/2026</t>
        </is>
      </c>
      <c r="B6">
        <f>IF(ISNUMBER(A6), A6, DATE(RIGHT(A6,4), MID(A6,4,2), LEFT(A6,2)))</f>
        <v/>
      </c>
      <c r="C6" t="inlineStr">
        <is>
          <t>US DOLLAR</t>
        </is>
      </c>
      <c r="D6" t="n">
        <v>26050</v>
      </c>
      <c r="E6" t="n">
        <v>26080</v>
      </c>
      <c r="F6" t="n">
        <v>26380</v>
      </c>
      <c r="G6" t="inlineStr">
        <is>
          <t>EURO</t>
        </is>
      </c>
      <c r="H6" t="n">
        <v>29982.36</v>
      </c>
      <c r="I6" t="n">
        <v>30285.21</v>
      </c>
      <c r="J6" t="n">
        <v>31563.05</v>
      </c>
      <c r="K6" t="inlineStr">
        <is>
          <t>POUND STERLING</t>
        </is>
      </c>
      <c r="L6" t="n">
        <v>34419.26</v>
      </c>
      <c r="M6" t="n">
        <v>34766.93</v>
      </c>
      <c r="N6" t="n">
        <v>35880.37</v>
      </c>
      <c r="O6" t="inlineStr">
        <is>
          <t>YEN</t>
        </is>
      </c>
      <c r="P6" t="n">
        <v>161.4</v>
      </c>
      <c r="Q6" t="n">
        <v>163.03</v>
      </c>
      <c r="R6" t="n">
        <v>171.65</v>
      </c>
      <c r="S6" t="inlineStr">
        <is>
          <t>AUSTRALIAN DOLLAR</t>
        </is>
      </c>
      <c r="T6" t="n">
        <v>17104.6</v>
      </c>
      <c r="U6" t="n">
        <v>17277.37</v>
      </c>
      <c r="V6" t="n">
        <v>17830.69</v>
      </c>
      <c r="W6" t="inlineStr">
        <is>
          <t>CANADIAN DOLLAR</t>
        </is>
      </c>
      <c r="X6" t="n">
        <v>18638.94</v>
      </c>
      <c r="Y6" t="n">
        <v>18827.22</v>
      </c>
      <c r="Z6" t="n">
        <v>19430.17</v>
      </c>
      <c r="AA6" t="inlineStr">
        <is>
          <t>SWISS FRANC</t>
        </is>
      </c>
      <c r="AB6" t="n">
        <v>32323.65</v>
      </c>
      <c r="AC6" t="n">
        <v>32650.15</v>
      </c>
      <c r="AD6" t="n">
        <v>33695.8</v>
      </c>
      <c r="AE6" t="inlineStr">
        <is>
          <t>SINGAPORE DOLLAR</t>
        </is>
      </c>
      <c r="AF6" t="n">
        <v>19878.65</v>
      </c>
      <c r="AG6" t="n">
        <v>20079.44</v>
      </c>
      <c r="AH6" t="n">
        <v>20764</v>
      </c>
      <c r="AI6" t="inlineStr">
        <is>
          <t>YUAN RENMINBI</t>
        </is>
      </c>
      <c r="AJ6" t="n">
        <v>3664.03</v>
      </c>
      <c r="AK6" t="n">
        <v>3701.04</v>
      </c>
      <c r="AL6" t="n">
        <v>3819.57</v>
      </c>
      <c r="AM6" t="inlineStr">
        <is>
          <t>HONGKONG DOLLAR</t>
        </is>
      </c>
      <c r="AN6" t="n">
        <v>3279.27</v>
      </c>
      <c r="AO6" t="n">
        <v>3312.39</v>
      </c>
      <c r="AP6" t="n">
        <v>3439.05</v>
      </c>
      <c r="AQ6" t="inlineStr">
        <is>
          <t>THAILAND BAHT</t>
        </is>
      </c>
      <c r="AR6" t="n">
        <v>736.5599999999999</v>
      </c>
      <c r="AS6" t="n">
        <v>818.4</v>
      </c>
      <c r="AT6" t="n">
        <v>853.1</v>
      </c>
      <c r="AU6" t="inlineStr">
        <is>
          <t>KOREAN WON</t>
        </is>
      </c>
      <c r="AV6" t="n">
        <v>15.72</v>
      </c>
      <c r="AW6" t="n">
        <v>17.46</v>
      </c>
      <c r="AX6" t="n">
        <v>18.95</v>
      </c>
      <c r="AY6" t="inlineStr">
        <is>
          <t>MALAYSIAN RINGGIT</t>
        </is>
      </c>
      <c r="BA6" t="n">
        <v>6409.54</v>
      </c>
      <c r="BB6" t="n">
        <v>6548.98</v>
      </c>
      <c r="BC6" t="inlineStr">
        <is>
          <t>INDIAN RUPEE</t>
        </is>
      </c>
      <c r="BE6" t="n">
        <v>290.46</v>
      </c>
      <c r="BF6" t="n">
        <v>302.96</v>
      </c>
      <c r="BG6" t="inlineStr">
        <is>
          <t>KUWAITI DINAR</t>
        </is>
      </c>
      <c r="BI6" t="n">
        <v>85088.88</v>
      </c>
      <c r="BJ6" t="n">
        <v>89213.05</v>
      </c>
      <c r="BK6" t="inlineStr">
        <is>
          <t>SAUDI RIAL</t>
        </is>
      </c>
      <c r="BM6" t="n">
        <v>6969.92</v>
      </c>
      <c r="BN6" t="n">
        <v>7269.88</v>
      </c>
      <c r="BO6" t="inlineStr">
        <is>
          <t>NORWEGIAN KRONER</t>
        </is>
      </c>
      <c r="BQ6" t="n">
        <v>2557.71</v>
      </c>
      <c r="BR6" t="n">
        <v>2666.16</v>
      </c>
      <c r="BS6" t="inlineStr">
        <is>
          <t>SWEDISH KRONA</t>
        </is>
      </c>
      <c r="BU6" t="n">
        <v>2790.17</v>
      </c>
      <c r="BV6" t="n">
        <v>2908.47</v>
      </c>
      <c r="BW6" t="inlineStr">
        <is>
          <t>DANISH KRONE</t>
        </is>
      </c>
      <c r="BY6" t="n">
        <v>4044.24</v>
      </c>
      <c r="BZ6" t="n">
        <v>4198.89</v>
      </c>
      <c r="CA6" t="inlineStr">
        <is>
          <t>RUSSIAN RUBLE</t>
        </is>
      </c>
      <c r="CC6" t="n">
        <v>311.59</v>
      </c>
      <c r="CD6" t="n">
        <v>344.91</v>
      </c>
    </row>
    <row r="7">
      <c r="A7" t="inlineStr">
        <is>
          <t>06/01/2026</t>
        </is>
      </c>
      <c r="B7">
        <f>IF(ISNUMBER(A7), A7, DATE(RIGHT(A7,4), MID(A7,4,2), LEFT(A7,2)))</f>
        <v/>
      </c>
      <c r="C7" t="inlineStr">
        <is>
          <t>US DOLLAR</t>
        </is>
      </c>
      <c r="D7" t="n">
        <v>26048</v>
      </c>
      <c r="E7" t="n">
        <v>26078</v>
      </c>
      <c r="F7" t="n">
        <v>26378</v>
      </c>
      <c r="G7" t="inlineStr">
        <is>
          <t>EURO</t>
        </is>
      </c>
      <c r="H7" t="n">
        <v>29990.25</v>
      </c>
      <c r="I7" t="n">
        <v>30293.18</v>
      </c>
      <c r="J7" t="n">
        <v>31571.4</v>
      </c>
      <c r="K7" t="inlineStr">
        <is>
          <t>POUND STERLING</t>
        </is>
      </c>
      <c r="L7" t="n">
        <v>34649.03</v>
      </c>
      <c r="M7" t="n">
        <v>34999.02</v>
      </c>
      <c r="N7" t="n">
        <v>36119.94</v>
      </c>
      <c r="O7" t="inlineStr">
        <is>
          <t>YEN</t>
        </is>
      </c>
      <c r="P7" t="n">
        <v>161.96</v>
      </c>
      <c r="Q7" t="n">
        <v>163.6</v>
      </c>
      <c r="R7" t="n">
        <v>172.25</v>
      </c>
      <c r="S7" t="inlineStr">
        <is>
          <t>AUSTRALIAN DOLLAR</t>
        </is>
      </c>
      <c r="T7" t="n">
        <v>17173.49</v>
      </c>
      <c r="U7" t="n">
        <v>17346.96</v>
      </c>
      <c r="V7" t="n">
        <v>17902.53</v>
      </c>
      <c r="W7" t="inlineStr">
        <is>
          <t>CANADIAN DOLLAR</t>
        </is>
      </c>
      <c r="X7" t="n">
        <v>18592.29</v>
      </c>
      <c r="Y7" t="n">
        <v>18780.1</v>
      </c>
      <c r="Z7" t="n">
        <v>19381.57</v>
      </c>
      <c r="AA7" t="inlineStr">
        <is>
          <t>SWISS FRANC</t>
        </is>
      </c>
      <c r="AB7" t="n">
        <v>32335.75</v>
      </c>
      <c r="AC7" t="n">
        <v>32662.38</v>
      </c>
      <c r="AD7" t="n">
        <v>33708.46</v>
      </c>
      <c r="AE7" t="inlineStr">
        <is>
          <t>SINGAPORE DOLLAR</t>
        </is>
      </c>
      <c r="AF7" t="n">
        <v>19937.83</v>
      </c>
      <c r="AG7" t="n">
        <v>20139.23</v>
      </c>
      <c r="AH7" t="n">
        <v>20825.85</v>
      </c>
      <c r="AI7" t="inlineStr">
        <is>
          <t>YUAN RENMINBI</t>
        </is>
      </c>
      <c r="AJ7" t="n">
        <v>3663.92</v>
      </c>
      <c r="AK7" t="n">
        <v>3700.93</v>
      </c>
      <c r="AL7" t="n">
        <v>3819.46</v>
      </c>
      <c r="AM7" t="inlineStr">
        <is>
          <t>HONGKONG DOLLAR</t>
        </is>
      </c>
      <c r="AN7" t="n">
        <v>3280.1</v>
      </c>
      <c r="AO7" t="n">
        <v>3313.23</v>
      </c>
      <c r="AP7" t="n">
        <v>3439.92</v>
      </c>
      <c r="AQ7" t="inlineStr">
        <is>
          <t>THAILAND BAHT</t>
        </is>
      </c>
      <c r="AR7" t="n">
        <v>739.99</v>
      </c>
      <c r="AS7" t="n">
        <v>822.21</v>
      </c>
      <c r="AT7" t="n">
        <v>857.08</v>
      </c>
      <c r="AU7" t="inlineStr">
        <is>
          <t>KOREAN WON</t>
        </is>
      </c>
      <c r="AV7" t="n">
        <v>15.69</v>
      </c>
      <c r="AW7" t="n">
        <v>17.43</v>
      </c>
      <c r="AX7" t="n">
        <v>18.91</v>
      </c>
      <c r="AY7" t="inlineStr">
        <is>
          <t>MALAYSIAN RINGGIT</t>
        </is>
      </c>
      <c r="BA7" t="n">
        <v>6401.5</v>
      </c>
      <c r="BB7" t="n">
        <v>6540.78</v>
      </c>
      <c r="BC7" t="inlineStr">
        <is>
          <t>INDIAN RUPEE</t>
        </is>
      </c>
      <c r="BE7" t="n">
        <v>289.55</v>
      </c>
      <c r="BF7" t="n">
        <v>302.01</v>
      </c>
      <c r="BG7" t="inlineStr">
        <is>
          <t>KUWAITI DINAR</t>
        </is>
      </c>
      <c r="BI7" t="n">
        <v>85079.49000000001</v>
      </c>
      <c r="BJ7" t="n">
        <v>89203.31</v>
      </c>
      <c r="BK7" t="inlineStr">
        <is>
          <t>SAUDI RIAL</t>
        </is>
      </c>
      <c r="BM7" t="n">
        <v>6966.29</v>
      </c>
      <c r="BN7" t="n">
        <v>7266.1</v>
      </c>
      <c r="BO7" t="inlineStr">
        <is>
          <t>NORWEGIAN KRONER</t>
        </is>
      </c>
      <c r="BQ7" t="n">
        <v>2563.79</v>
      </c>
      <c r="BR7" t="n">
        <v>2672.5</v>
      </c>
      <c r="BS7" t="inlineStr">
        <is>
          <t>SWEDISH KRONA</t>
        </is>
      </c>
      <c r="BU7" t="n">
        <v>2805.15</v>
      </c>
      <c r="BV7" t="n">
        <v>2924.1</v>
      </c>
      <c r="BW7" t="inlineStr">
        <is>
          <t>DANISH KRONE</t>
        </is>
      </c>
      <c r="BY7" t="n">
        <v>4044.46</v>
      </c>
      <c r="BZ7" t="n">
        <v>4199.12</v>
      </c>
      <c r="CA7" t="inlineStr">
        <is>
          <t>RUSSIAN RUBLE</t>
        </is>
      </c>
      <c r="CC7" t="n">
        <v>309.21</v>
      </c>
      <c r="CD7" t="n">
        <v>342.28</v>
      </c>
    </row>
    <row r="8">
      <c r="A8" t="inlineStr">
        <is>
          <t>07/01/2026</t>
        </is>
      </c>
      <c r="B8">
        <f>IF(ISNUMBER(A8), A8, DATE(RIGHT(A8,4), MID(A8,4,2), LEFT(A8,2)))</f>
        <v/>
      </c>
      <c r="C8" t="inlineStr">
        <is>
          <t>US DOLLAR</t>
        </is>
      </c>
      <c r="D8" t="n">
        <v>26048</v>
      </c>
      <c r="E8" t="n">
        <v>26078</v>
      </c>
      <c r="F8" t="n">
        <v>26378</v>
      </c>
      <c r="G8" t="inlineStr">
        <is>
          <t>EURO</t>
        </is>
      </c>
      <c r="H8" t="n">
        <v>29935.1</v>
      </c>
      <c r="I8" t="n">
        <v>30237.47</v>
      </c>
      <c r="J8" t="n">
        <v>31513.32</v>
      </c>
      <c r="K8" t="inlineStr">
        <is>
          <t>POUND STERLING</t>
        </is>
      </c>
      <c r="L8" t="n">
        <v>34572.6</v>
      </c>
      <c r="M8" t="n">
        <v>34921.82</v>
      </c>
      <c r="N8" t="n">
        <v>36040.24</v>
      </c>
      <c r="O8" t="inlineStr">
        <is>
          <t>YEN</t>
        </is>
      </c>
      <c r="P8" t="n">
        <v>161.97</v>
      </c>
      <c r="Q8" t="n">
        <v>163.61</v>
      </c>
      <c r="R8" t="n">
        <v>172.26</v>
      </c>
      <c r="S8" t="inlineStr">
        <is>
          <t>AUSTRALIAN DOLLAR</t>
        </is>
      </c>
      <c r="T8" t="n">
        <v>17246.61</v>
      </c>
      <c r="U8" t="n">
        <v>17420.82</v>
      </c>
      <c r="V8" t="n">
        <v>17978.75</v>
      </c>
      <c r="W8" t="inlineStr">
        <is>
          <t>CANADIAN DOLLAR</t>
        </is>
      </c>
      <c r="X8" t="n">
        <v>18537.46</v>
      </c>
      <c r="Y8" t="n">
        <v>18724.7</v>
      </c>
      <c r="Z8" t="n">
        <v>19324.39</v>
      </c>
      <c r="AA8" t="inlineStr">
        <is>
          <t>SWISS FRANC</t>
        </is>
      </c>
      <c r="AB8" t="n">
        <v>32201.66</v>
      </c>
      <c r="AC8" t="n">
        <v>32526.93</v>
      </c>
      <c r="AD8" t="n">
        <v>33568.65</v>
      </c>
      <c r="AE8" t="inlineStr">
        <is>
          <t>SINGAPORE DOLLAR</t>
        </is>
      </c>
      <c r="AF8" t="n">
        <v>19995.31</v>
      </c>
      <c r="AG8" t="n">
        <v>20197.28</v>
      </c>
      <c r="AH8" t="n">
        <v>20885.87</v>
      </c>
      <c r="AI8" t="inlineStr">
        <is>
          <t>YUAN RENMINBI</t>
        </is>
      </c>
      <c r="AJ8" t="n">
        <v>3667.73</v>
      </c>
      <c r="AK8" t="n">
        <v>3704.77</v>
      </c>
      <c r="AL8" t="n">
        <v>3823.43</v>
      </c>
      <c r="AM8" t="inlineStr">
        <is>
          <t>HONGKONG DOLLAR</t>
        </is>
      </c>
      <c r="AN8" t="n">
        <v>3279.45</v>
      </c>
      <c r="AO8" t="n">
        <v>3312.57</v>
      </c>
      <c r="AP8" t="n">
        <v>3439.24</v>
      </c>
      <c r="AQ8" t="inlineStr">
        <is>
          <t>THAILAND BAHT</t>
        </is>
      </c>
      <c r="AR8" t="n">
        <v>742.41</v>
      </c>
      <c r="AS8" t="n">
        <v>824.9</v>
      </c>
      <c r="AT8" t="n">
        <v>859.88</v>
      </c>
      <c r="AU8" t="inlineStr">
        <is>
          <t>KOREAN WON</t>
        </is>
      </c>
      <c r="AV8" t="n">
        <v>15.69</v>
      </c>
      <c r="AW8" t="n">
        <v>17.43</v>
      </c>
      <c r="AX8" t="n">
        <v>18.91</v>
      </c>
      <c r="AY8" t="inlineStr">
        <is>
          <t>MALAYSIAN RINGGIT</t>
        </is>
      </c>
      <c r="BA8" t="n">
        <v>6422.92</v>
      </c>
      <c r="BB8" t="n">
        <v>6562.66</v>
      </c>
      <c r="BC8" t="inlineStr">
        <is>
          <t>INDIAN RUPEE</t>
        </is>
      </c>
      <c r="BE8" t="n">
        <v>289.98</v>
      </c>
      <c r="BF8" t="n">
        <v>302.46</v>
      </c>
      <c r="BG8" t="inlineStr">
        <is>
          <t>KUWAITI DINAR</t>
        </is>
      </c>
      <c r="BI8" t="n">
        <v>85084.19</v>
      </c>
      <c r="BJ8" t="n">
        <v>89208.17999999999</v>
      </c>
      <c r="BK8" t="inlineStr">
        <is>
          <t>SAUDI RIAL</t>
        </is>
      </c>
      <c r="BM8" t="n">
        <v>6967.64</v>
      </c>
      <c r="BN8" t="n">
        <v>7267.51</v>
      </c>
      <c r="BO8" t="inlineStr">
        <is>
          <t>NORWEGIAN KRONER</t>
        </is>
      </c>
      <c r="BQ8" t="n">
        <v>2560.83</v>
      </c>
      <c r="BR8" t="n">
        <v>2669.42</v>
      </c>
      <c r="BS8" t="inlineStr">
        <is>
          <t>SWEDISH KRONA</t>
        </is>
      </c>
      <c r="BU8" t="n">
        <v>2798.68</v>
      </c>
      <c r="BV8" t="n">
        <v>2917.35</v>
      </c>
      <c r="BW8" t="inlineStr">
        <is>
          <t>DANISH KRONE</t>
        </is>
      </c>
      <c r="BY8" t="n">
        <v>4036.44</v>
      </c>
      <c r="BZ8" t="n">
        <v>4190.79</v>
      </c>
      <c r="CA8" t="inlineStr">
        <is>
          <t>RUSSIAN RUBLE</t>
        </is>
      </c>
      <c r="CC8" t="n">
        <v>310.69</v>
      </c>
      <c r="CD8" t="n">
        <v>343.92</v>
      </c>
    </row>
    <row r="9">
      <c r="A9" t="inlineStr">
        <is>
          <t>08/01/2026</t>
        </is>
      </c>
      <c r="B9">
        <f>IF(ISNUMBER(A9), A9, DATE(RIGHT(A9,4), MID(A9,4,2), LEFT(A9,2)))</f>
        <v/>
      </c>
      <c r="C9" t="inlineStr">
        <is>
          <t>US DOLLAR</t>
        </is>
      </c>
      <c r="D9" t="n">
        <v>26051</v>
      </c>
      <c r="E9" t="n">
        <v>26081</v>
      </c>
      <c r="F9" t="n">
        <v>26381</v>
      </c>
      <c r="G9" t="inlineStr">
        <is>
          <t>EURO</t>
        </is>
      </c>
      <c r="H9" t="n">
        <v>29887.86</v>
      </c>
      <c r="I9" t="n">
        <v>30189.76</v>
      </c>
      <c r="J9" t="n">
        <v>31463.61</v>
      </c>
      <c r="K9" t="inlineStr">
        <is>
          <t>POUND STERLING</t>
        </is>
      </c>
      <c r="L9" t="n">
        <v>34444.25</v>
      </c>
      <c r="M9" t="n">
        <v>34792.17</v>
      </c>
      <c r="N9" t="n">
        <v>35906.46</v>
      </c>
      <c r="O9" t="inlineStr">
        <is>
          <t>YEN</t>
        </is>
      </c>
      <c r="P9" t="n">
        <v>161.71</v>
      </c>
      <c r="Q9" t="n">
        <v>163.35</v>
      </c>
      <c r="R9" t="n">
        <v>171.99</v>
      </c>
      <c r="S9" t="inlineStr">
        <is>
          <t>AUSTRALIAN DOLLAR</t>
        </is>
      </c>
      <c r="T9" t="n">
        <v>17199.09</v>
      </c>
      <c r="U9" t="n">
        <v>17372.81</v>
      </c>
      <c r="V9" t="n">
        <v>17929.21</v>
      </c>
      <c r="W9" t="inlineStr">
        <is>
          <t>CANADIAN DOLLAR</t>
        </is>
      </c>
      <c r="X9" t="n">
        <v>18476.91</v>
      </c>
      <c r="Y9" t="n">
        <v>18663.54</v>
      </c>
      <c r="Z9" t="n">
        <v>19261.28</v>
      </c>
      <c r="AA9" t="inlineStr">
        <is>
          <t>SWISS FRANC</t>
        </is>
      </c>
      <c r="AB9" t="n">
        <v>32108.66</v>
      </c>
      <c r="AC9" t="n">
        <v>32432.99</v>
      </c>
      <c r="AD9" t="n">
        <v>33471.73</v>
      </c>
      <c r="AE9" t="inlineStr">
        <is>
          <t>SINGAPORE DOLLAR</t>
        </is>
      </c>
      <c r="AF9" t="n">
        <v>19940.94</v>
      </c>
      <c r="AG9" t="n">
        <v>20142.37</v>
      </c>
      <c r="AH9" t="n">
        <v>20829.09</v>
      </c>
      <c r="AI9" t="inlineStr">
        <is>
          <t>YUAN RENMINBI</t>
        </is>
      </c>
      <c r="AJ9" t="n">
        <v>3659.47</v>
      </c>
      <c r="AK9" t="n">
        <v>3696.43</v>
      </c>
      <c r="AL9" t="n">
        <v>3814.82</v>
      </c>
      <c r="AM9" t="inlineStr">
        <is>
          <t>HONGKONG DOLLAR</t>
        </is>
      </c>
      <c r="AN9" t="n">
        <v>3278.33</v>
      </c>
      <c r="AO9" t="n">
        <v>3311.44</v>
      </c>
      <c r="AP9" t="n">
        <v>3438.07</v>
      </c>
      <c r="AQ9" t="inlineStr">
        <is>
          <t>THAILAND BAHT</t>
        </is>
      </c>
      <c r="AR9" t="n">
        <v>738.58</v>
      </c>
      <c r="AS9" t="n">
        <v>820.64</v>
      </c>
      <c r="AT9" t="n">
        <v>855.4400000000001</v>
      </c>
      <c r="AU9" t="inlineStr">
        <is>
          <t>KOREAN WON</t>
        </is>
      </c>
      <c r="AV9" t="n">
        <v>15.7</v>
      </c>
      <c r="AW9" t="n">
        <v>17.44</v>
      </c>
      <c r="AX9" t="n">
        <v>18.92</v>
      </c>
      <c r="AY9" t="inlineStr">
        <is>
          <t>MALAYSIAN RINGGIT</t>
        </is>
      </c>
      <c r="BA9" t="n">
        <v>6406.24</v>
      </c>
      <c r="BB9" t="n">
        <v>6545.61</v>
      </c>
      <c r="BC9" t="inlineStr">
        <is>
          <t>INDIAN RUPEE</t>
        </is>
      </c>
      <c r="BE9" t="n">
        <v>290.69</v>
      </c>
      <c r="BF9" t="n">
        <v>303.2</v>
      </c>
      <c r="BG9" t="inlineStr">
        <is>
          <t>KUWAITI DINAR</t>
        </is>
      </c>
      <c r="BI9" t="n">
        <v>85525.22</v>
      </c>
      <c r="BJ9" t="n">
        <v>89670.64999999999</v>
      </c>
      <c r="BK9" t="inlineStr">
        <is>
          <t>SAUDI RIAL</t>
        </is>
      </c>
      <c r="BM9" t="n">
        <v>6965.17</v>
      </c>
      <c r="BN9" t="n">
        <v>7264.94</v>
      </c>
      <c r="BO9" t="inlineStr">
        <is>
          <t>NORWEGIAN KRONER</t>
        </is>
      </c>
      <c r="BQ9" t="n">
        <v>2553.69</v>
      </c>
      <c r="BR9" t="n">
        <v>2661.97</v>
      </c>
      <c r="BS9" t="inlineStr">
        <is>
          <t>SWEDISH KRONA</t>
        </is>
      </c>
      <c r="BU9" t="n">
        <v>2802.43</v>
      </c>
      <c r="BV9" t="n">
        <v>2921.26</v>
      </c>
      <c r="BW9" t="inlineStr">
        <is>
          <t>DANISH KRONE</t>
        </is>
      </c>
      <c r="BY9" t="n">
        <v>4029.67</v>
      </c>
      <c r="BZ9" t="n">
        <v>4183.76</v>
      </c>
      <c r="CA9" t="inlineStr">
        <is>
          <t>RUSSIAN RUBLE</t>
        </is>
      </c>
      <c r="CC9" t="n">
        <v>310.58</v>
      </c>
      <c r="CD9" t="n">
        <v>343.79</v>
      </c>
    </row>
    <row r="10">
      <c r="A10" t="inlineStr">
        <is>
          <t>09/01/2026</t>
        </is>
      </c>
      <c r="B10">
        <f>IF(ISNUMBER(A10), A10, DATE(RIGHT(A10,4), MID(A10,4,2), LEFT(A10,2)))</f>
        <v/>
      </c>
      <c r="C10" t="inlineStr">
        <is>
          <t>US DOLLAR</t>
        </is>
      </c>
      <c r="D10" t="n">
        <v>26053</v>
      </c>
      <c r="E10" t="n">
        <v>26083</v>
      </c>
      <c r="F10" t="n">
        <v>26383</v>
      </c>
      <c r="G10" t="inlineStr">
        <is>
          <t>EURO</t>
        </is>
      </c>
      <c r="H10" t="n">
        <v>29828.99</v>
      </c>
      <c r="I10" t="n">
        <v>30130.29</v>
      </c>
      <c r="J10" t="n">
        <v>31401.63</v>
      </c>
      <c r="K10" t="inlineStr">
        <is>
          <t>POUND STERLING</t>
        </is>
      </c>
      <c r="L10" t="n">
        <v>34380.25</v>
      </c>
      <c r="M10" t="n">
        <v>34727.53</v>
      </c>
      <c r="N10" t="n">
        <v>35839.75</v>
      </c>
      <c r="O10" t="inlineStr">
        <is>
          <t>YEN</t>
        </is>
      </c>
      <c r="P10" t="n">
        <v>161.5</v>
      </c>
      <c r="Q10" t="n">
        <v>163.13</v>
      </c>
      <c r="R10" t="n">
        <v>171.76</v>
      </c>
      <c r="S10" t="inlineStr">
        <is>
          <t>AUSTRALIAN DOLLAR</t>
        </is>
      </c>
      <c r="T10" t="n">
        <v>17137.65</v>
      </c>
      <c r="U10" t="n">
        <v>17310.76</v>
      </c>
      <c r="V10" t="n">
        <v>17865.17</v>
      </c>
      <c r="W10" t="inlineStr">
        <is>
          <t>CANADIAN DOLLAR</t>
        </is>
      </c>
      <c r="X10" t="n">
        <v>18463.58</v>
      </c>
      <c r="Y10" t="n">
        <v>18650.08</v>
      </c>
      <c r="Z10" t="n">
        <v>19247.39</v>
      </c>
      <c r="AA10" t="inlineStr">
        <is>
          <t>SWISS FRANC</t>
        </is>
      </c>
      <c r="AB10" t="n">
        <v>32044.37</v>
      </c>
      <c r="AC10" t="n">
        <v>32368.05</v>
      </c>
      <c r="AD10" t="n">
        <v>33404.7</v>
      </c>
      <c r="AE10" t="inlineStr">
        <is>
          <t>SINGAPORE DOLLAR</t>
        </is>
      </c>
      <c r="AF10" t="n">
        <v>19900.61</v>
      </c>
      <c r="AG10" t="n">
        <v>20101.62</v>
      </c>
      <c r="AH10" t="n">
        <v>20786.96</v>
      </c>
      <c r="AI10" t="inlineStr">
        <is>
          <t>YUAN RENMINBI</t>
        </is>
      </c>
      <c r="AJ10" t="n">
        <v>3666.28</v>
      </c>
      <c r="AK10" t="n">
        <v>3703.31</v>
      </c>
      <c r="AL10" t="n">
        <v>3821.92</v>
      </c>
      <c r="AM10" t="inlineStr">
        <is>
          <t>HONGKONG DOLLAR</t>
        </is>
      </c>
      <c r="AN10" t="n">
        <v>3275.59</v>
      </c>
      <c r="AO10" t="n">
        <v>3308.68</v>
      </c>
      <c r="AP10" t="n">
        <v>3435.2</v>
      </c>
      <c r="AQ10" t="inlineStr">
        <is>
          <t>THAILAND BAHT</t>
        </is>
      </c>
      <c r="AR10" t="n">
        <v>736.46</v>
      </c>
      <c r="AS10" t="n">
        <v>818.29</v>
      </c>
      <c r="AT10" t="n">
        <v>852.99</v>
      </c>
      <c r="AU10" t="inlineStr">
        <is>
          <t>KOREAN WON</t>
        </is>
      </c>
      <c r="AV10" t="n">
        <v>15.63</v>
      </c>
      <c r="AW10" t="n">
        <v>17.37</v>
      </c>
      <c r="AX10" t="n">
        <v>18.84</v>
      </c>
      <c r="AY10" t="inlineStr">
        <is>
          <t>MALAYSIAN RINGGIT</t>
        </is>
      </c>
      <c r="BA10" t="n">
        <v>6393.63</v>
      </c>
      <c r="BB10" t="n">
        <v>6532.73</v>
      </c>
      <c r="BC10" t="inlineStr">
        <is>
          <t>INDIAN RUPEE</t>
        </is>
      </c>
      <c r="BE10" t="n">
        <v>290.59</v>
      </c>
      <c r="BF10" t="n">
        <v>303.09</v>
      </c>
      <c r="BG10" t="inlineStr">
        <is>
          <t>KUWAITI DINAR</t>
        </is>
      </c>
      <c r="BI10" t="n">
        <v>85469.25</v>
      </c>
      <c r="BJ10" t="n">
        <v>89611.97</v>
      </c>
      <c r="BK10" t="inlineStr">
        <is>
          <t>SAUDI RIAL</t>
        </is>
      </c>
      <c r="BM10" t="n">
        <v>6965.36</v>
      </c>
      <c r="BN10" t="n">
        <v>7265.13</v>
      </c>
      <c r="BO10" t="inlineStr">
        <is>
          <t>NORWEGIAN KRONER</t>
        </is>
      </c>
      <c r="BQ10" t="n">
        <v>2551.11</v>
      </c>
      <c r="BR10" t="n">
        <v>2659.28</v>
      </c>
      <c r="BS10" t="inlineStr">
        <is>
          <t>SWEDISH KRONA</t>
        </is>
      </c>
      <c r="BU10" t="n">
        <v>2789.13</v>
      </c>
      <c r="BV10" t="n">
        <v>2907.39</v>
      </c>
      <c r="BW10" t="inlineStr">
        <is>
          <t>DANISH KRONE</t>
        </is>
      </c>
      <c r="BY10" t="n">
        <v>4021.81</v>
      </c>
      <c r="BZ10" t="n">
        <v>4175.61</v>
      </c>
      <c r="CA10" t="inlineStr">
        <is>
          <t>RUSSIAN RUBLE</t>
        </is>
      </c>
      <c r="CC10" t="n">
        <v>312.11</v>
      </c>
      <c r="CD10" t="n">
        <v>345.49</v>
      </c>
    </row>
    <row r="11">
      <c r="A11" t="inlineStr">
        <is>
          <t>10/01/2026</t>
        </is>
      </c>
      <c r="B11">
        <f>IF(ISNUMBER(A11), A11, DATE(RIGHT(A11,4), MID(A11,4,2), LEFT(A11,2)))</f>
        <v/>
      </c>
      <c r="C11" t="inlineStr">
        <is>
          <t>US DOLLAR</t>
        </is>
      </c>
      <c r="D11" t="n">
        <v>26057</v>
      </c>
      <c r="E11" t="n">
        <v>26087</v>
      </c>
      <c r="F11" t="n">
        <v>26387</v>
      </c>
      <c r="G11" t="inlineStr">
        <is>
          <t>EURO</t>
        </is>
      </c>
      <c r="H11" t="n">
        <v>29788.03</v>
      </c>
      <c r="I11" t="n">
        <v>30088.92</v>
      </c>
      <c r="J11" t="n">
        <v>31358.51</v>
      </c>
      <c r="K11" t="inlineStr">
        <is>
          <t>POUND STERLING</t>
        </is>
      </c>
      <c r="L11" t="n">
        <v>34298.34</v>
      </c>
      <c r="M11" t="n">
        <v>34644.79</v>
      </c>
      <c r="N11" t="n">
        <v>35754.36</v>
      </c>
      <c r="O11" t="inlineStr">
        <is>
          <t>YEN</t>
        </is>
      </c>
      <c r="P11" t="n">
        <v>160.59</v>
      </c>
      <c r="Q11" t="n">
        <v>162.21</v>
      </c>
      <c r="R11" t="n">
        <v>170.79</v>
      </c>
      <c r="S11" t="inlineStr">
        <is>
          <t>AUSTRALIAN DOLLAR</t>
        </is>
      </c>
      <c r="T11" t="n">
        <v>17109.49</v>
      </c>
      <c r="U11" t="n">
        <v>17282.32</v>
      </c>
      <c r="V11" t="n">
        <v>17835.82</v>
      </c>
      <c r="W11" t="inlineStr">
        <is>
          <t>CANADIAN DOLLAR</t>
        </is>
      </c>
      <c r="X11" t="n">
        <v>18402.54</v>
      </c>
      <c r="Y11" t="n">
        <v>18588.42</v>
      </c>
      <c r="Z11" t="n">
        <v>19183.75</v>
      </c>
      <c r="AA11" t="inlineStr">
        <is>
          <t>SWISS FRANC</t>
        </is>
      </c>
      <c r="AB11" t="n">
        <v>31960.36</v>
      </c>
      <c r="AC11" t="n">
        <v>32283.2</v>
      </c>
      <c r="AD11" t="n">
        <v>33317.13</v>
      </c>
      <c r="AE11" t="inlineStr">
        <is>
          <t>SINGAPORE DOLLAR</t>
        </is>
      </c>
      <c r="AF11" t="n">
        <v>19875.86</v>
      </c>
      <c r="AG11" t="n">
        <v>20076.63</v>
      </c>
      <c r="AH11" t="n">
        <v>20761.12</v>
      </c>
      <c r="AI11" t="inlineStr">
        <is>
          <t>YUAN RENMINBI</t>
        </is>
      </c>
      <c r="AJ11" t="n">
        <v>3669.59</v>
      </c>
      <c r="AK11" t="n">
        <v>3706.65</v>
      </c>
      <c r="AL11" t="n">
        <v>3825.37</v>
      </c>
      <c r="AM11" t="inlineStr">
        <is>
          <t>HONGKONG DOLLAR</t>
        </is>
      </c>
      <c r="AN11" t="n">
        <v>3275.17</v>
      </c>
      <c r="AO11" t="n">
        <v>3308.25</v>
      </c>
      <c r="AP11" t="n">
        <v>3434.76</v>
      </c>
      <c r="AQ11" t="inlineStr">
        <is>
          <t>THAILAND BAHT</t>
        </is>
      </c>
      <c r="AR11" t="n">
        <v>739.05</v>
      </c>
      <c r="AS11" t="n">
        <v>821.16</v>
      </c>
      <c r="AT11" t="n">
        <v>855.98</v>
      </c>
      <c r="AU11" t="inlineStr">
        <is>
          <t>KOREAN WON</t>
        </is>
      </c>
      <c r="AV11" t="n">
        <v>15.59</v>
      </c>
      <c r="AW11" t="n">
        <v>17.32</v>
      </c>
      <c r="AX11" t="n">
        <v>18.8</v>
      </c>
      <c r="AY11" t="inlineStr">
        <is>
          <t>MALAYSIAN RINGGIT</t>
        </is>
      </c>
      <c r="BA11" t="n">
        <v>6385.77</v>
      </c>
      <c r="BB11" t="n">
        <v>6524.71</v>
      </c>
      <c r="BC11" t="inlineStr">
        <is>
          <t>INDIAN RUPEE</t>
        </is>
      </c>
      <c r="BE11" t="n">
        <v>289.52</v>
      </c>
      <c r="BF11" t="n">
        <v>301.98</v>
      </c>
      <c r="BG11" t="inlineStr">
        <is>
          <t>KUWAITI DINAR</t>
        </is>
      </c>
      <c r="BI11" t="n">
        <v>85469.25</v>
      </c>
      <c r="BJ11" t="n">
        <v>89611.97</v>
      </c>
      <c r="BK11" t="inlineStr">
        <is>
          <t>SAUDI RIAL</t>
        </is>
      </c>
      <c r="BM11" t="n">
        <v>6965.17</v>
      </c>
      <c r="BN11" t="n">
        <v>7264.94</v>
      </c>
      <c r="BO11" t="inlineStr">
        <is>
          <t>NORWEGIAN KRONER</t>
        </is>
      </c>
      <c r="BQ11" t="n">
        <v>2553.79</v>
      </c>
      <c r="BR11" t="n">
        <v>2662.08</v>
      </c>
      <c r="BS11" t="inlineStr">
        <is>
          <t>SWEDISH KRONA</t>
        </is>
      </c>
      <c r="BU11" t="n">
        <v>2798.71</v>
      </c>
      <c r="BV11" t="n">
        <v>2917.39</v>
      </c>
      <c r="BW11" t="inlineStr">
        <is>
          <t>DANISH KRONE</t>
        </is>
      </c>
      <c r="BY11" t="n">
        <v>4015.68</v>
      </c>
      <c r="BZ11" t="n">
        <v>4169.23</v>
      </c>
      <c r="CA11" t="inlineStr">
        <is>
          <t>RUSSIAN RUBLE</t>
        </is>
      </c>
      <c r="CC11" t="n">
        <v>316.47</v>
      </c>
      <c r="CD11" t="n">
        <v>350.32</v>
      </c>
    </row>
    <row r="12">
      <c r="A12" t="inlineStr">
        <is>
          <t>11/01/2026</t>
        </is>
      </c>
      <c r="B12">
        <f>IF(ISNUMBER(A12), A12, DATE(RIGHT(A12,4), MID(A12,4,2), LEFT(A12,2)))</f>
        <v/>
      </c>
      <c r="C12" t="inlineStr">
        <is>
          <t>US DOLLAR</t>
        </is>
      </c>
      <c r="D12" t="n">
        <v>26057</v>
      </c>
      <c r="E12" t="n">
        <v>26087</v>
      </c>
      <c r="F12" t="n">
        <v>26387</v>
      </c>
      <c r="G12" t="inlineStr">
        <is>
          <t>EURO</t>
        </is>
      </c>
      <c r="H12" t="n">
        <v>29788.03</v>
      </c>
      <c r="I12" t="n">
        <v>30088.92</v>
      </c>
      <c r="J12" t="n">
        <v>31358.51</v>
      </c>
      <c r="K12" t="inlineStr">
        <is>
          <t>POUND STERLING</t>
        </is>
      </c>
      <c r="L12" t="n">
        <v>34298.34</v>
      </c>
      <c r="M12" t="n">
        <v>34644.79</v>
      </c>
      <c r="N12" t="n">
        <v>35754.36</v>
      </c>
      <c r="O12" t="inlineStr">
        <is>
          <t>YEN</t>
        </is>
      </c>
      <c r="P12" t="n">
        <v>160.59</v>
      </c>
      <c r="Q12" t="n">
        <v>162.21</v>
      </c>
      <c r="R12" t="n">
        <v>170.79</v>
      </c>
      <c r="S12" t="inlineStr">
        <is>
          <t>AUSTRALIAN DOLLAR</t>
        </is>
      </c>
      <c r="T12" t="n">
        <v>17109.49</v>
      </c>
      <c r="U12" t="n">
        <v>17282.32</v>
      </c>
      <c r="V12" t="n">
        <v>17835.82</v>
      </c>
      <c r="W12" t="inlineStr">
        <is>
          <t>CANADIAN DOLLAR</t>
        </is>
      </c>
      <c r="X12" t="n">
        <v>18402.54</v>
      </c>
      <c r="Y12" t="n">
        <v>18588.42</v>
      </c>
      <c r="Z12" t="n">
        <v>19183.75</v>
      </c>
      <c r="AA12" t="inlineStr">
        <is>
          <t>SWISS FRANC</t>
        </is>
      </c>
      <c r="AB12" t="n">
        <v>31960.36</v>
      </c>
      <c r="AC12" t="n">
        <v>32283.2</v>
      </c>
      <c r="AD12" t="n">
        <v>33317.13</v>
      </c>
      <c r="AE12" t="inlineStr">
        <is>
          <t>SINGAPORE DOLLAR</t>
        </is>
      </c>
      <c r="AF12" t="n">
        <v>19875.86</v>
      </c>
      <c r="AG12" t="n">
        <v>20076.63</v>
      </c>
      <c r="AH12" t="n">
        <v>20761.12</v>
      </c>
      <c r="AI12" t="inlineStr">
        <is>
          <t>YUAN RENMINBI</t>
        </is>
      </c>
      <c r="AJ12" t="n">
        <v>3669.59</v>
      </c>
      <c r="AK12" t="n">
        <v>3706.65</v>
      </c>
      <c r="AL12" t="n">
        <v>3825.37</v>
      </c>
      <c r="AM12" t="inlineStr">
        <is>
          <t>HONGKONG DOLLAR</t>
        </is>
      </c>
      <c r="AN12" t="n">
        <v>3275.17</v>
      </c>
      <c r="AO12" t="n">
        <v>3308.25</v>
      </c>
      <c r="AP12" t="n">
        <v>3434.76</v>
      </c>
      <c r="AQ12" t="inlineStr">
        <is>
          <t>THAILAND BAHT</t>
        </is>
      </c>
      <c r="AR12" t="n">
        <v>739.05</v>
      </c>
      <c r="AS12" t="n">
        <v>821.16</v>
      </c>
      <c r="AT12" t="n">
        <v>855.98</v>
      </c>
      <c r="AU12" t="inlineStr">
        <is>
          <t>KOREAN WON</t>
        </is>
      </c>
      <c r="AV12" t="n">
        <v>15.59</v>
      </c>
      <c r="AW12" t="n">
        <v>17.32</v>
      </c>
      <c r="AX12" t="n">
        <v>18.8</v>
      </c>
      <c r="AY12" t="inlineStr">
        <is>
          <t>MALAYSIAN RINGGIT</t>
        </is>
      </c>
      <c r="BA12" t="n">
        <v>6385.77</v>
      </c>
      <c r="BB12" t="n">
        <v>6524.71</v>
      </c>
      <c r="BC12" t="inlineStr">
        <is>
          <t>INDIAN RUPEE</t>
        </is>
      </c>
      <c r="BE12" t="n">
        <v>289.52</v>
      </c>
      <c r="BF12" t="n">
        <v>301.98</v>
      </c>
      <c r="BG12" t="inlineStr">
        <is>
          <t>KUWAITI DINAR</t>
        </is>
      </c>
      <c r="BI12" t="n">
        <v>85469.25</v>
      </c>
      <c r="BJ12" t="n">
        <v>89611.97</v>
      </c>
      <c r="BK12" t="inlineStr">
        <is>
          <t>SAUDI RIAL</t>
        </is>
      </c>
      <c r="BM12" t="n">
        <v>6965.17</v>
      </c>
      <c r="BN12" t="n">
        <v>7264.94</v>
      </c>
      <c r="BO12" t="inlineStr">
        <is>
          <t>NORWEGIAN KRONER</t>
        </is>
      </c>
      <c r="BQ12" t="n">
        <v>2553.79</v>
      </c>
      <c r="BR12" t="n">
        <v>2662.08</v>
      </c>
      <c r="BS12" t="inlineStr">
        <is>
          <t>SWEDISH KRONA</t>
        </is>
      </c>
      <c r="BU12" t="n">
        <v>2798.71</v>
      </c>
      <c r="BV12" t="n">
        <v>2917.39</v>
      </c>
      <c r="BW12" t="inlineStr">
        <is>
          <t>DANISH KRONE</t>
        </is>
      </c>
      <c r="BY12" t="n">
        <v>4015.68</v>
      </c>
      <c r="BZ12" t="n">
        <v>4169.23</v>
      </c>
      <c r="CA12" t="inlineStr">
        <is>
          <t>RUSSIAN RUBLE</t>
        </is>
      </c>
      <c r="CC12" t="n">
        <v>316.47</v>
      </c>
      <c r="CD12" t="n">
        <v>350.32</v>
      </c>
    </row>
    <row r="13">
      <c r="A13" t="inlineStr">
        <is>
          <t>12/01/2026</t>
        </is>
      </c>
      <c r="B13">
        <f>IF(ISNUMBER(A13), A13, DATE(RIGHT(A13,4), MID(A13,4,2), LEFT(A13,2)))</f>
        <v/>
      </c>
      <c r="C13" t="inlineStr">
        <is>
          <t>US DOLLAR</t>
        </is>
      </c>
      <c r="D13" t="n">
        <v>26055</v>
      </c>
      <c r="E13" t="n">
        <v>26085</v>
      </c>
      <c r="F13" t="n">
        <v>26385</v>
      </c>
      <c r="G13" t="inlineStr">
        <is>
          <t>EURO</t>
        </is>
      </c>
      <c r="H13" t="n">
        <v>29841.78</v>
      </c>
      <c r="I13" t="n">
        <v>30143.22</v>
      </c>
      <c r="J13" t="n">
        <v>31415.1</v>
      </c>
      <c r="K13" t="inlineStr">
        <is>
          <t>POUND STERLING</t>
        </is>
      </c>
      <c r="L13" t="n">
        <v>34375.13</v>
      </c>
      <c r="M13" t="n">
        <v>34722.36</v>
      </c>
      <c r="N13" t="n">
        <v>35834.41</v>
      </c>
      <c r="O13" t="inlineStr">
        <is>
          <t>YEN</t>
        </is>
      </c>
      <c r="P13" t="n">
        <v>160.84</v>
      </c>
      <c r="Q13" t="n">
        <v>162.47</v>
      </c>
      <c r="R13" t="n">
        <v>171.06</v>
      </c>
      <c r="S13" t="inlineStr">
        <is>
          <t>AUSTRALIAN DOLLAR</t>
        </is>
      </c>
      <c r="T13" t="n">
        <v>17153.01</v>
      </c>
      <c r="U13" t="n">
        <v>17326.27</v>
      </c>
      <c r="V13" t="n">
        <v>17881.18</v>
      </c>
      <c r="W13" t="inlineStr">
        <is>
          <t>CANADIAN DOLLAR</t>
        </is>
      </c>
      <c r="X13" t="n">
        <v>18433.01</v>
      </c>
      <c r="Y13" t="n">
        <v>18619.2</v>
      </c>
      <c r="Z13" t="n">
        <v>19215.52</v>
      </c>
      <c r="AA13" t="inlineStr">
        <is>
          <t>SWISS FRANC</t>
        </is>
      </c>
      <c r="AB13" t="n">
        <v>32080.5</v>
      </c>
      <c r="AC13" t="n">
        <v>32404.55</v>
      </c>
      <c r="AD13" t="n">
        <v>33442.37</v>
      </c>
      <c r="AE13" t="inlineStr">
        <is>
          <t>SINGAPORE DOLLAR</t>
        </is>
      </c>
      <c r="AF13" t="n">
        <v>19908.35</v>
      </c>
      <c r="AG13" t="n">
        <v>20109.44</v>
      </c>
      <c r="AH13" t="n">
        <v>20795.05</v>
      </c>
      <c r="AI13" t="inlineStr">
        <is>
          <t>YUAN RENMINBI</t>
        </is>
      </c>
      <c r="AJ13" t="n">
        <v>3669.59</v>
      </c>
      <c r="AK13" t="n">
        <v>3706.65</v>
      </c>
      <c r="AL13" t="n">
        <v>3825.37</v>
      </c>
      <c r="AM13" t="inlineStr">
        <is>
          <t>HONGKONG DOLLAR</t>
        </is>
      </c>
      <c r="AN13" t="n">
        <v>3275.3</v>
      </c>
      <c r="AO13" t="n">
        <v>3308.38</v>
      </c>
      <c r="AP13" t="n">
        <v>3434.89</v>
      </c>
      <c r="AQ13" t="inlineStr">
        <is>
          <t>THAILAND BAHT</t>
        </is>
      </c>
      <c r="AR13" t="n">
        <v>741.65</v>
      </c>
      <c r="AS13" t="n">
        <v>824.0599999999999</v>
      </c>
      <c r="AT13" t="n">
        <v>859</v>
      </c>
      <c r="AU13" t="inlineStr">
        <is>
          <t>KOREAN WON</t>
        </is>
      </c>
      <c r="AV13" t="n">
        <v>15.57</v>
      </c>
      <c r="AW13" t="n">
        <v>17.31</v>
      </c>
      <c r="AX13" t="n">
        <v>18.78</v>
      </c>
      <c r="AY13" t="inlineStr">
        <is>
          <t>MALAYSIAN RINGGIT</t>
        </is>
      </c>
      <c r="BA13" t="n">
        <v>6385.77</v>
      </c>
      <c r="BB13" t="n">
        <v>6524.71</v>
      </c>
      <c r="BC13" t="inlineStr">
        <is>
          <t>INDIAN RUPEE</t>
        </is>
      </c>
      <c r="BE13" t="n">
        <v>289.42</v>
      </c>
      <c r="BF13" t="n">
        <v>301.88</v>
      </c>
      <c r="BG13" t="inlineStr">
        <is>
          <t>KUWAITI DINAR</t>
        </is>
      </c>
      <c r="BI13" t="n">
        <v>85413.35000000001</v>
      </c>
      <c r="BJ13" t="n">
        <v>89553.36</v>
      </c>
      <c r="BK13" t="inlineStr">
        <is>
          <t>SAUDI RIAL</t>
        </is>
      </c>
      <c r="BM13" t="n">
        <v>6965.17</v>
      </c>
      <c r="BN13" t="n">
        <v>7264.94</v>
      </c>
      <c r="BO13" t="inlineStr">
        <is>
          <t>NORWEGIAN KRONER</t>
        </is>
      </c>
      <c r="BQ13" t="n">
        <v>2554.57</v>
      </c>
      <c r="BR13" t="n">
        <v>2662.89</v>
      </c>
      <c r="BS13" t="inlineStr">
        <is>
          <t>SWEDISH KRONA</t>
        </is>
      </c>
      <c r="BU13" t="n">
        <v>2801.67</v>
      </c>
      <c r="BV13" t="n">
        <v>2920.47</v>
      </c>
      <c r="BW13" t="inlineStr">
        <is>
          <t>DANISH KRONE</t>
        </is>
      </c>
      <c r="BY13" t="n">
        <v>4023.95</v>
      </c>
      <c r="BZ13" t="n">
        <v>4177.82</v>
      </c>
      <c r="CA13" t="inlineStr">
        <is>
          <t>RUSSIAN RUBLE</t>
        </is>
      </c>
      <c r="CC13" t="n">
        <v>316.47</v>
      </c>
      <c r="CD13" t="n">
        <v>350.32</v>
      </c>
    </row>
    <row r="14">
      <c r="A14" t="inlineStr">
        <is>
          <t>13/01/2026</t>
        </is>
      </c>
      <c r="B14">
        <f>IF(ISNUMBER(A14), A14, DATE(RIGHT(A14,4), MID(A14,4,2), LEFT(A14,2)))</f>
        <v/>
      </c>
      <c r="C14" t="inlineStr">
        <is>
          <t>US DOLLAR</t>
        </is>
      </c>
      <c r="D14" t="n">
        <v>26055</v>
      </c>
      <c r="E14" t="n">
        <v>26085</v>
      </c>
      <c r="F14" t="n">
        <v>26385</v>
      </c>
      <c r="G14" t="inlineStr">
        <is>
          <t>EURO</t>
        </is>
      </c>
      <c r="H14" t="n">
        <v>29881.32</v>
      </c>
      <c r="I14" t="n">
        <v>30183.15</v>
      </c>
      <c r="J14" t="n">
        <v>31456.71</v>
      </c>
      <c r="K14" t="inlineStr">
        <is>
          <t>POUND STERLING</t>
        </is>
      </c>
      <c r="L14" t="n">
        <v>34516.27</v>
      </c>
      <c r="M14" t="n">
        <v>34864.92</v>
      </c>
      <c r="N14" t="n">
        <v>35981.52</v>
      </c>
      <c r="O14" t="inlineStr">
        <is>
          <t>YEN</t>
        </is>
      </c>
      <c r="P14" t="n">
        <v>159.69</v>
      </c>
      <c r="Q14" t="n">
        <v>161.3</v>
      </c>
      <c r="R14" t="n">
        <v>169.83</v>
      </c>
      <c r="S14" t="inlineStr">
        <is>
          <t>AUSTRALIAN DOLLAR</t>
        </is>
      </c>
      <c r="T14" t="n">
        <v>17169.79</v>
      </c>
      <c r="U14" t="n">
        <v>17343.22</v>
      </c>
      <c r="V14" t="n">
        <v>17898.66</v>
      </c>
      <c r="W14" t="inlineStr">
        <is>
          <t>CANADIAN DOLLAR</t>
        </is>
      </c>
      <c r="X14" t="n">
        <v>18459.97</v>
      </c>
      <c r="Y14" t="n">
        <v>18646.43</v>
      </c>
      <c r="Z14" t="n">
        <v>19243.61</v>
      </c>
      <c r="AA14" t="inlineStr">
        <is>
          <t>SWISS FRANC</t>
        </is>
      </c>
      <c r="AB14" t="n">
        <v>32112.84</v>
      </c>
      <c r="AC14" t="n">
        <v>32437.21</v>
      </c>
      <c r="AD14" t="n">
        <v>33476.06</v>
      </c>
      <c r="AE14" t="inlineStr">
        <is>
          <t>SINGAPORE DOLLAR</t>
        </is>
      </c>
      <c r="AF14" t="n">
        <v>19888.07</v>
      </c>
      <c r="AG14" t="n">
        <v>20088.96</v>
      </c>
      <c r="AH14" t="n">
        <v>20773.86</v>
      </c>
      <c r="AI14" t="inlineStr">
        <is>
          <t>YUAN RENMINBI</t>
        </is>
      </c>
      <c r="AJ14" t="n">
        <v>3671.88</v>
      </c>
      <c r="AK14" t="n">
        <v>3708.97</v>
      </c>
      <c r="AL14" t="n">
        <v>3827.76</v>
      </c>
      <c r="AM14" t="inlineStr">
        <is>
          <t>HONGKONG DOLLAR</t>
        </is>
      </c>
      <c r="AN14" t="n">
        <v>3274.07</v>
      </c>
      <c r="AO14" t="n">
        <v>3307.14</v>
      </c>
      <c r="AP14" t="n">
        <v>3433.6</v>
      </c>
      <c r="AQ14" t="inlineStr">
        <is>
          <t>THAILAND BAHT</t>
        </is>
      </c>
      <c r="AR14" t="n">
        <v>736.74</v>
      </c>
      <c r="AS14" t="n">
        <v>818.6</v>
      </c>
      <c r="AT14" t="n">
        <v>853.3099999999999</v>
      </c>
      <c r="AU14" t="inlineStr">
        <is>
          <t>KOREAN WON</t>
        </is>
      </c>
      <c r="AV14" t="n">
        <v>15.43</v>
      </c>
      <c r="AW14" t="n">
        <v>17.14</v>
      </c>
      <c r="AX14" t="n">
        <v>18.6</v>
      </c>
      <c r="AY14" t="inlineStr">
        <is>
          <t>MALAYSIAN RINGGIT</t>
        </is>
      </c>
      <c r="BA14" t="n">
        <v>6411.84</v>
      </c>
      <c r="BB14" t="n">
        <v>6551.33</v>
      </c>
      <c r="BC14" t="inlineStr">
        <is>
          <t>INDIAN RUPEE</t>
        </is>
      </c>
      <c r="BE14" t="n">
        <v>289.63</v>
      </c>
      <c r="BF14" t="n">
        <v>302.1</v>
      </c>
      <c r="BG14" t="inlineStr">
        <is>
          <t>KUWAITI DINAR</t>
        </is>
      </c>
      <c r="BI14" t="n">
        <v>85445.89</v>
      </c>
      <c r="BJ14" t="n">
        <v>89587.42</v>
      </c>
      <c r="BK14" t="inlineStr">
        <is>
          <t>SAUDI RIAL</t>
        </is>
      </c>
      <c r="BM14" t="n">
        <v>6967.64</v>
      </c>
      <c r="BN14" t="n">
        <v>7267.51</v>
      </c>
      <c r="BO14" t="inlineStr">
        <is>
          <t>NORWEGIAN KRONER</t>
        </is>
      </c>
      <c r="BQ14" t="n">
        <v>2555.52</v>
      </c>
      <c r="BR14" t="n">
        <v>2663.88</v>
      </c>
      <c r="BS14" t="inlineStr">
        <is>
          <t>SWEDISH KRONA</t>
        </is>
      </c>
      <c r="BU14" t="n">
        <v>2806.28</v>
      </c>
      <c r="BV14" t="n">
        <v>2925.27</v>
      </c>
      <c r="BW14" t="inlineStr">
        <is>
          <t>DANISH KRONE</t>
        </is>
      </c>
      <c r="BY14" t="n">
        <v>4028.56</v>
      </c>
      <c r="BZ14" t="n">
        <v>4182.61</v>
      </c>
      <c r="CA14" t="inlineStr">
        <is>
          <t>RUSSIAN RUBLE</t>
        </is>
      </c>
      <c r="CC14" t="n">
        <v>316.98</v>
      </c>
      <c r="CD14" t="n">
        <v>350.88</v>
      </c>
    </row>
    <row r="15">
      <c r="A15" t="inlineStr">
        <is>
          <t>14/01/2026</t>
        </is>
      </c>
      <c r="B15">
        <f>IF(ISNUMBER(A15), A15, DATE(RIGHT(A15,4), MID(A15,4,2), LEFT(A15,2)))</f>
        <v/>
      </c>
      <c r="C15" t="inlineStr">
        <is>
          <t>US DOLLAR</t>
        </is>
      </c>
      <c r="D15" t="n">
        <v>26061</v>
      </c>
      <c r="E15" t="n">
        <v>26091</v>
      </c>
      <c r="F15" t="n">
        <v>26391</v>
      </c>
      <c r="G15" t="inlineStr">
        <is>
          <t>EURO</t>
        </is>
      </c>
      <c r="H15" t="n">
        <v>29812.18</v>
      </c>
      <c r="I15" t="n">
        <v>30113.31</v>
      </c>
      <c r="J15" t="n">
        <v>31383.92</v>
      </c>
      <c r="K15" t="inlineStr">
        <is>
          <t>POUND STERLING</t>
        </is>
      </c>
      <c r="L15" t="n">
        <v>34370.3</v>
      </c>
      <c r="M15" t="n">
        <v>34717.48</v>
      </c>
      <c r="N15" t="n">
        <v>35829.36</v>
      </c>
      <c r="O15" t="inlineStr">
        <is>
          <t>YEN</t>
        </is>
      </c>
      <c r="P15" t="n">
        <v>159.35</v>
      </c>
      <c r="Q15" t="n">
        <v>160.96</v>
      </c>
      <c r="R15" t="n">
        <v>169.47</v>
      </c>
      <c r="S15" t="inlineStr">
        <is>
          <t>AUSTRALIAN DOLLAR</t>
        </is>
      </c>
      <c r="T15" t="n">
        <v>17105.77</v>
      </c>
      <c r="U15" t="n">
        <v>17278.55</v>
      </c>
      <c r="V15" t="n">
        <v>17831.93</v>
      </c>
      <c r="W15" t="inlineStr">
        <is>
          <t>CANADIAN DOLLAR</t>
        </is>
      </c>
      <c r="X15" t="n">
        <v>18436.05</v>
      </c>
      <c r="Y15" t="n">
        <v>18622.27</v>
      </c>
      <c r="Z15" t="n">
        <v>19218.68</v>
      </c>
      <c r="AA15" t="inlineStr">
        <is>
          <t>SWISS FRANC</t>
        </is>
      </c>
      <c r="AB15" t="n">
        <v>31968.55</v>
      </c>
      <c r="AC15" t="n">
        <v>32291.46</v>
      </c>
      <c r="AD15" t="n">
        <v>33325.65</v>
      </c>
      <c r="AE15" t="inlineStr">
        <is>
          <t>SINGAPORE DOLLAR</t>
        </is>
      </c>
      <c r="AF15" t="n">
        <v>19851.04</v>
      </c>
      <c r="AG15" t="n">
        <v>20051.56</v>
      </c>
      <c r="AH15" t="n">
        <v>20735.18</v>
      </c>
      <c r="AI15" t="inlineStr">
        <is>
          <t>YUAN RENMINBI</t>
        </is>
      </c>
      <c r="AJ15" t="n">
        <v>3670.83</v>
      </c>
      <c r="AK15" t="n">
        <v>3707.91</v>
      </c>
      <c r="AL15" t="n">
        <v>3826.66</v>
      </c>
      <c r="AM15" t="inlineStr">
        <is>
          <t>HONGKONG DOLLAR</t>
        </is>
      </c>
      <c r="AN15" t="n">
        <v>3273.44</v>
      </c>
      <c r="AO15" t="n">
        <v>3306.5</v>
      </c>
      <c r="AP15" t="n">
        <v>3432.94</v>
      </c>
      <c r="AQ15" t="inlineStr">
        <is>
          <t>THAILAND BAHT</t>
        </is>
      </c>
      <c r="AR15" t="n">
        <v>734.87</v>
      </c>
      <c r="AS15" t="n">
        <v>816.53</v>
      </c>
      <c r="AT15" t="n">
        <v>851.15</v>
      </c>
      <c r="AU15" t="inlineStr">
        <is>
          <t>KOREAN WON</t>
        </is>
      </c>
      <c r="AV15" t="n">
        <v>15.4</v>
      </c>
      <c r="AW15" t="n">
        <v>17.11</v>
      </c>
      <c r="AX15" t="n">
        <v>18.56</v>
      </c>
      <c r="AY15" t="inlineStr">
        <is>
          <t>MALAYSIAN RINGGIT</t>
        </is>
      </c>
      <c r="BA15" t="n">
        <v>6408.68</v>
      </c>
      <c r="BB15" t="n">
        <v>6548.1</v>
      </c>
      <c r="BC15" t="inlineStr">
        <is>
          <t>INDIAN RUPEE</t>
        </is>
      </c>
      <c r="BE15" t="n">
        <v>289.22</v>
      </c>
      <c r="BF15" t="n">
        <v>301.67</v>
      </c>
      <c r="BG15" t="inlineStr">
        <is>
          <t>KUWAITI DINAR</t>
        </is>
      </c>
      <c r="BI15" t="n">
        <v>85445.89</v>
      </c>
      <c r="BJ15" t="n">
        <v>89587.42</v>
      </c>
      <c r="BK15" t="inlineStr">
        <is>
          <t>SAUDI RIAL</t>
        </is>
      </c>
      <c r="BM15" t="n">
        <v>6967.64</v>
      </c>
      <c r="BN15" t="n">
        <v>7267.51</v>
      </c>
      <c r="BO15" t="inlineStr">
        <is>
          <t>NORWEGIAN KRONER</t>
        </is>
      </c>
      <c r="BQ15" t="n">
        <v>2552.66</v>
      </c>
      <c r="BR15" t="n">
        <v>2660.9</v>
      </c>
      <c r="BS15" t="inlineStr">
        <is>
          <t>SWEDISH KRONA</t>
        </is>
      </c>
      <c r="BU15" t="n">
        <v>2790.95</v>
      </c>
      <c r="BV15" t="n">
        <v>2909.29</v>
      </c>
      <c r="BW15" t="inlineStr">
        <is>
          <t>DANISH KRONE</t>
        </is>
      </c>
      <c r="BY15" t="n">
        <v>4019.46</v>
      </c>
      <c r="BZ15" t="n">
        <v>4173.16</v>
      </c>
      <c r="CA15" t="inlineStr">
        <is>
          <t>RUSSIAN RUBLE</t>
        </is>
      </c>
      <c r="CC15" t="n">
        <v>317.6</v>
      </c>
      <c r="CD15" t="n">
        <v>351.57</v>
      </c>
    </row>
    <row r="16">
      <c r="A16" t="inlineStr">
        <is>
          <t>15/01/2026</t>
        </is>
      </c>
      <c r="B16">
        <f>IF(ISNUMBER(A16), A16, DATE(RIGHT(A16,4), MID(A16,4,2), LEFT(A16,2)))</f>
        <v/>
      </c>
      <c r="C16" t="inlineStr">
        <is>
          <t>US DOLLAR</t>
        </is>
      </c>
      <c r="D16" t="n">
        <v>26061</v>
      </c>
      <c r="E16" t="n">
        <v>26091</v>
      </c>
      <c r="F16" t="n">
        <v>26391</v>
      </c>
      <c r="G16" t="inlineStr">
        <is>
          <t>EURO</t>
        </is>
      </c>
      <c r="H16" t="n">
        <v>29799.38</v>
      </c>
      <c r="I16" t="n">
        <v>30100.38</v>
      </c>
      <c r="J16" t="n">
        <v>31370.44</v>
      </c>
      <c r="K16" t="inlineStr">
        <is>
          <t>POUND STERLING</t>
        </is>
      </c>
      <c r="L16" t="n">
        <v>34401.03</v>
      </c>
      <c r="M16" t="n">
        <v>34748.52</v>
      </c>
      <c r="N16" t="n">
        <v>35861.39</v>
      </c>
      <c r="O16" t="inlineStr">
        <is>
          <t>YEN</t>
        </is>
      </c>
      <c r="P16" t="n">
        <v>160.16</v>
      </c>
      <c r="Q16" t="n">
        <v>161.78</v>
      </c>
      <c r="R16" t="n">
        <v>170.34</v>
      </c>
      <c r="S16" t="inlineStr">
        <is>
          <t>AUSTRALIAN DOLLAR</t>
        </is>
      </c>
      <c r="T16" t="n">
        <v>17113.45</v>
      </c>
      <c r="U16" t="n">
        <v>17286.31</v>
      </c>
      <c r="V16" t="n">
        <v>17839.93</v>
      </c>
      <c r="W16" t="inlineStr">
        <is>
          <t>CANADIAN DOLLAR</t>
        </is>
      </c>
      <c r="X16" t="n">
        <v>18444.01</v>
      </c>
      <c r="Y16" t="n">
        <v>18630.32</v>
      </c>
      <c r="Z16" t="n">
        <v>19226.98</v>
      </c>
      <c r="AA16" t="inlineStr">
        <is>
          <t>SWISS FRANC</t>
        </is>
      </c>
      <c r="AB16" t="n">
        <v>32032.52</v>
      </c>
      <c r="AC16" t="n">
        <v>32356.08</v>
      </c>
      <c r="AD16" t="n">
        <v>33392.33</v>
      </c>
      <c r="AE16" t="inlineStr">
        <is>
          <t>SINGAPORE DOLLAR</t>
        </is>
      </c>
      <c r="AF16" t="n">
        <v>19877.26</v>
      </c>
      <c r="AG16" t="n">
        <v>20078.04</v>
      </c>
      <c r="AH16" t="n">
        <v>20762.56</v>
      </c>
      <c r="AI16" t="inlineStr">
        <is>
          <t>YUAN RENMINBI</t>
        </is>
      </c>
      <c r="AJ16" t="n">
        <v>3673.2</v>
      </c>
      <c r="AK16" t="n">
        <v>3710.3</v>
      </c>
      <c r="AL16" t="n">
        <v>3829.13</v>
      </c>
      <c r="AM16" t="inlineStr">
        <is>
          <t>HONGKONG DOLLAR</t>
        </is>
      </c>
      <c r="AN16" t="n">
        <v>3276.34</v>
      </c>
      <c r="AO16" t="n">
        <v>3309.43</v>
      </c>
      <c r="AP16" t="n">
        <v>3435.98</v>
      </c>
      <c r="AQ16" t="inlineStr">
        <is>
          <t>THAILAND BAHT</t>
        </is>
      </c>
      <c r="AR16" t="n">
        <v>736.51</v>
      </c>
      <c r="AS16" t="n">
        <v>818.34</v>
      </c>
      <c r="AT16" t="n">
        <v>853.04</v>
      </c>
      <c r="AU16" t="inlineStr">
        <is>
          <t>KOREAN WON</t>
        </is>
      </c>
      <c r="AV16" t="n">
        <v>15.5</v>
      </c>
      <c r="AW16" t="n">
        <v>17.22</v>
      </c>
      <c r="AX16" t="n">
        <v>18.68</v>
      </c>
      <c r="AY16" t="inlineStr">
        <is>
          <t>MALAYSIAN RINGGIT</t>
        </is>
      </c>
      <c r="BA16" t="n">
        <v>6422.92</v>
      </c>
      <c r="BB16" t="n">
        <v>6562.66</v>
      </c>
      <c r="BC16" t="inlineStr">
        <is>
          <t>INDIAN RUPEE</t>
        </is>
      </c>
      <c r="BE16" t="n">
        <v>289.38</v>
      </c>
      <c r="BF16" t="n">
        <v>301.84</v>
      </c>
      <c r="BG16" t="inlineStr">
        <is>
          <t>KUWAITI DINAR</t>
        </is>
      </c>
      <c r="BI16" t="n">
        <v>85445.89</v>
      </c>
      <c r="BJ16" t="n">
        <v>89587.42</v>
      </c>
      <c r="BK16" t="inlineStr">
        <is>
          <t>SAUDI RIAL</t>
        </is>
      </c>
      <c r="BM16" t="n">
        <v>6967.46</v>
      </c>
      <c r="BN16" t="n">
        <v>7267.32</v>
      </c>
      <c r="BO16" t="inlineStr">
        <is>
          <t>NORWEGIAN KRONER</t>
        </is>
      </c>
      <c r="BQ16" t="n">
        <v>2559.92</v>
      </c>
      <c r="BR16" t="n">
        <v>2668.46</v>
      </c>
      <c r="BS16" t="inlineStr">
        <is>
          <t>SWEDISH KRONA</t>
        </is>
      </c>
      <c r="BU16" t="n">
        <v>2798.35</v>
      </c>
      <c r="BV16" t="n">
        <v>2917</v>
      </c>
      <c r="BW16" t="inlineStr">
        <is>
          <t>DANISH KRONE</t>
        </is>
      </c>
      <c r="BY16" t="n">
        <v>4017.96</v>
      </c>
      <c r="BZ16" t="n">
        <v>4171.6</v>
      </c>
      <c r="CA16" t="inlineStr">
        <is>
          <t>RUSSIAN RUBLE</t>
        </is>
      </c>
      <c r="CC16" t="n">
        <v>318.61</v>
      </c>
      <c r="CD16" t="n">
        <v>352.69</v>
      </c>
    </row>
    <row r="17">
      <c r="A17" t="inlineStr">
        <is>
          <t>16/01/2026</t>
        </is>
      </c>
      <c r="B17">
        <f>IF(ISNUMBER(A17), A17, DATE(RIGHT(A17,4), MID(A17,4,2), LEFT(A17,2)))</f>
        <v/>
      </c>
      <c r="C17" t="inlineStr">
        <is>
          <t>US DOLLAR</t>
        </is>
      </c>
      <c r="D17" t="n">
        <v>26057</v>
      </c>
      <c r="E17" t="n">
        <v>26087</v>
      </c>
      <c r="F17" t="n">
        <v>26387</v>
      </c>
      <c r="G17" t="inlineStr">
        <is>
          <t>EURO</t>
        </is>
      </c>
      <c r="H17" t="n">
        <v>29703.56</v>
      </c>
      <c r="I17" t="n">
        <v>30003.59</v>
      </c>
      <c r="J17" t="n">
        <v>31269.59</v>
      </c>
      <c r="K17" t="inlineStr">
        <is>
          <t>POUND STERLING</t>
        </is>
      </c>
      <c r="L17" t="n">
        <v>34224.11</v>
      </c>
      <c r="M17" t="n">
        <v>34569.81</v>
      </c>
      <c r="N17" t="n">
        <v>35676.98</v>
      </c>
      <c r="O17" t="inlineStr">
        <is>
          <t>YEN</t>
        </is>
      </c>
      <c r="P17" t="n">
        <v>159.78</v>
      </c>
      <c r="Q17" t="n">
        <v>161.39</v>
      </c>
      <c r="R17" t="n">
        <v>169.93</v>
      </c>
      <c r="S17" t="inlineStr">
        <is>
          <t>AUSTRALIAN DOLLAR</t>
        </is>
      </c>
      <c r="T17" t="n">
        <v>17142.77</v>
      </c>
      <c r="U17" t="n">
        <v>17315.93</v>
      </c>
      <c r="V17" t="n">
        <v>17870.51</v>
      </c>
      <c r="W17" t="inlineStr">
        <is>
          <t>CANADIAN DOLLAR</t>
        </is>
      </c>
      <c r="X17" t="n">
        <v>18426.38</v>
      </c>
      <c r="Y17" t="n">
        <v>18612.5</v>
      </c>
      <c r="Z17" t="n">
        <v>19208.6</v>
      </c>
      <c r="AA17" t="inlineStr">
        <is>
          <t>SWISS FRANC</t>
        </is>
      </c>
      <c r="AB17" t="n">
        <v>31856.97</v>
      </c>
      <c r="AC17" t="n">
        <v>32178.76</v>
      </c>
      <c r="AD17" t="n">
        <v>33209.35</v>
      </c>
      <c r="AE17" t="inlineStr">
        <is>
          <t>SINGAPORE DOLLAR</t>
        </is>
      </c>
      <c r="AF17" t="n">
        <v>19857.35</v>
      </c>
      <c r="AG17" t="n">
        <v>20057.93</v>
      </c>
      <c r="AH17" t="n">
        <v>20741.77</v>
      </c>
      <c r="AI17" t="inlineStr">
        <is>
          <t>YUAN RENMINBI</t>
        </is>
      </c>
      <c r="AJ17" t="n">
        <v>3675.49</v>
      </c>
      <c r="AK17" t="n">
        <v>3712.61</v>
      </c>
      <c r="AL17" t="n">
        <v>3831.52</v>
      </c>
      <c r="AM17" t="inlineStr">
        <is>
          <t>HONGKONG DOLLAR</t>
        </is>
      </c>
      <c r="AN17" t="n">
        <v>3274.25</v>
      </c>
      <c r="AO17" t="n">
        <v>3307.32</v>
      </c>
      <c r="AP17" t="n">
        <v>3433.79</v>
      </c>
      <c r="AQ17" t="inlineStr">
        <is>
          <t>THAILAND BAHT</t>
        </is>
      </c>
      <c r="AR17" t="n">
        <v>737.17</v>
      </c>
      <c r="AS17" t="n">
        <v>819.0700000000001</v>
      </c>
      <c r="AT17" t="n">
        <v>853.8</v>
      </c>
      <c r="AU17" t="inlineStr">
        <is>
          <t>KOREAN WON</t>
        </is>
      </c>
      <c r="AV17" t="n">
        <v>15.42</v>
      </c>
      <c r="AW17" t="n">
        <v>17.13</v>
      </c>
      <c r="AX17" t="n">
        <v>18.59</v>
      </c>
      <c r="AY17" t="inlineStr">
        <is>
          <t>MALAYSIAN RINGGIT</t>
        </is>
      </c>
      <c r="BA17" t="n">
        <v>6407.82</v>
      </c>
      <c r="BB17" t="n">
        <v>6547.23</v>
      </c>
      <c r="BC17" t="inlineStr">
        <is>
          <t>INDIAN RUPEE</t>
        </is>
      </c>
      <c r="BE17" t="n">
        <v>288.89</v>
      </c>
      <c r="BF17" t="n">
        <v>301.32</v>
      </c>
      <c r="BG17" t="inlineStr">
        <is>
          <t>KUWAITI DINAR</t>
        </is>
      </c>
      <c r="BI17" t="n">
        <v>85413.35000000001</v>
      </c>
      <c r="BJ17" t="n">
        <v>89553.36</v>
      </c>
      <c r="BK17" t="inlineStr">
        <is>
          <t>SAUDI RIAL</t>
        </is>
      </c>
      <c r="BM17" t="n">
        <v>6965.17</v>
      </c>
      <c r="BN17" t="n">
        <v>7264.94</v>
      </c>
      <c r="BO17" t="inlineStr">
        <is>
          <t>NORWEGIAN KRONER</t>
        </is>
      </c>
      <c r="BQ17" t="n">
        <v>2543.59</v>
      </c>
      <c r="BR17" t="n">
        <v>2651.45</v>
      </c>
      <c r="BS17" t="inlineStr">
        <is>
          <t>SWEDISH KRONA</t>
        </is>
      </c>
      <c r="BU17" t="n">
        <v>2789.49</v>
      </c>
      <c r="BV17" t="n">
        <v>2907.77</v>
      </c>
      <c r="BW17" t="inlineStr">
        <is>
          <t>DANISH KRONE</t>
        </is>
      </c>
      <c r="BY17" t="n">
        <v>4005.32</v>
      </c>
      <c r="BZ17" t="n">
        <v>4158.48</v>
      </c>
      <c r="CA17" t="inlineStr">
        <is>
          <t>RUSSIAN RUBLE</t>
        </is>
      </c>
      <c r="CC17" t="n">
        <v>319.51</v>
      </c>
      <c r="CD17" t="n">
        <v>353.68</v>
      </c>
    </row>
    <row r="18">
      <c r="A18" t="inlineStr">
        <is>
          <t>17/01/2026</t>
        </is>
      </c>
      <c r="B18">
        <f>IF(ISNUMBER(A18), A18, DATE(RIGHT(A18,4), MID(A18,4,2), LEFT(A18,2)))</f>
        <v/>
      </c>
      <c r="C18" t="inlineStr">
        <is>
          <t>US DOLLAR</t>
        </is>
      </c>
      <c r="D18" t="n">
        <v>26057</v>
      </c>
      <c r="E18" t="n">
        <v>26087</v>
      </c>
      <c r="F18" t="n">
        <v>26387</v>
      </c>
      <c r="G18" t="inlineStr">
        <is>
          <t>EURO</t>
        </is>
      </c>
      <c r="H18" t="n">
        <v>29703.56</v>
      </c>
      <c r="I18" t="n">
        <v>30003.59</v>
      </c>
      <c r="J18" t="n">
        <v>31269.59</v>
      </c>
      <c r="K18" t="inlineStr">
        <is>
          <t>POUND STERLING</t>
        </is>
      </c>
      <c r="L18" t="n">
        <v>34224.11</v>
      </c>
      <c r="M18" t="n">
        <v>34569.81</v>
      </c>
      <c r="N18" t="n">
        <v>35676.98</v>
      </c>
      <c r="O18" t="inlineStr">
        <is>
          <t>YEN</t>
        </is>
      </c>
      <c r="P18" t="n">
        <v>159.78</v>
      </c>
      <c r="Q18" t="n">
        <v>161.39</v>
      </c>
      <c r="R18" t="n">
        <v>169.93</v>
      </c>
      <c r="S18" t="inlineStr">
        <is>
          <t>AUSTRALIAN DOLLAR</t>
        </is>
      </c>
      <c r="T18" t="n">
        <v>17142.77</v>
      </c>
      <c r="U18" t="n">
        <v>17315.93</v>
      </c>
      <c r="V18" t="n">
        <v>17870.51</v>
      </c>
      <c r="W18" t="inlineStr">
        <is>
          <t>CANADIAN DOLLAR</t>
        </is>
      </c>
      <c r="X18" t="n">
        <v>18426.38</v>
      </c>
      <c r="Y18" t="n">
        <v>18612.5</v>
      </c>
      <c r="Z18" t="n">
        <v>19208.6</v>
      </c>
      <c r="AA18" t="inlineStr">
        <is>
          <t>SWISS FRANC</t>
        </is>
      </c>
      <c r="AB18" t="n">
        <v>31856.97</v>
      </c>
      <c r="AC18" t="n">
        <v>32178.76</v>
      </c>
      <c r="AD18" t="n">
        <v>33209.35</v>
      </c>
      <c r="AE18" t="inlineStr">
        <is>
          <t>SINGAPORE DOLLAR</t>
        </is>
      </c>
      <c r="AF18" t="n">
        <v>19857.35</v>
      </c>
      <c r="AG18" t="n">
        <v>20057.93</v>
      </c>
      <c r="AH18" t="n">
        <v>20741.77</v>
      </c>
      <c r="AI18" t="inlineStr">
        <is>
          <t>YUAN RENMINBI</t>
        </is>
      </c>
      <c r="AJ18" t="n">
        <v>3675.49</v>
      </c>
      <c r="AK18" t="n">
        <v>3712.61</v>
      </c>
      <c r="AL18" t="n">
        <v>3831.52</v>
      </c>
      <c r="AM18" t="inlineStr">
        <is>
          <t>HONGKONG DOLLAR</t>
        </is>
      </c>
      <c r="AN18" t="n">
        <v>3274.25</v>
      </c>
      <c r="AO18" t="n">
        <v>3307.32</v>
      </c>
      <c r="AP18" t="n">
        <v>3433.79</v>
      </c>
      <c r="AQ18" t="inlineStr">
        <is>
          <t>THAILAND BAHT</t>
        </is>
      </c>
      <c r="AR18" t="n">
        <v>737.17</v>
      </c>
      <c r="AS18" t="n">
        <v>819.0700000000001</v>
      </c>
      <c r="AT18" t="n">
        <v>853.8</v>
      </c>
      <c r="AU18" t="inlineStr">
        <is>
          <t>KOREAN WON</t>
        </is>
      </c>
      <c r="AV18" t="n">
        <v>15.42</v>
      </c>
      <c r="AW18" t="n">
        <v>17.13</v>
      </c>
      <c r="AX18" t="n">
        <v>18.59</v>
      </c>
      <c r="AY18" t="inlineStr">
        <is>
          <t>MALAYSIAN RINGGIT</t>
        </is>
      </c>
      <c r="BA18" t="n">
        <v>6407.82</v>
      </c>
      <c r="BB18" t="n">
        <v>6547.23</v>
      </c>
      <c r="BC18" t="inlineStr">
        <is>
          <t>INDIAN RUPEE</t>
        </is>
      </c>
      <c r="BE18" t="n">
        <v>288.89</v>
      </c>
      <c r="BF18" t="n">
        <v>301.32</v>
      </c>
      <c r="BG18" t="inlineStr">
        <is>
          <t>KUWAITI DINAR</t>
        </is>
      </c>
      <c r="BI18" t="n">
        <v>85413.35000000001</v>
      </c>
      <c r="BJ18" t="n">
        <v>89553.36</v>
      </c>
      <c r="BK18" t="inlineStr">
        <is>
          <t>SAUDI RIAL</t>
        </is>
      </c>
      <c r="BM18" t="n">
        <v>6965.17</v>
      </c>
      <c r="BN18" t="n">
        <v>7264.94</v>
      </c>
      <c r="BO18" t="inlineStr">
        <is>
          <t>NORWEGIAN KRONER</t>
        </is>
      </c>
      <c r="BQ18" t="n">
        <v>2543.59</v>
      </c>
      <c r="BR18" t="n">
        <v>2651.45</v>
      </c>
      <c r="BS18" t="inlineStr">
        <is>
          <t>SWEDISH KRONA</t>
        </is>
      </c>
      <c r="BU18" t="n">
        <v>2789.49</v>
      </c>
      <c r="BV18" t="n">
        <v>2907.77</v>
      </c>
      <c r="BW18" t="inlineStr">
        <is>
          <t>DANISH KRONE</t>
        </is>
      </c>
      <c r="BY18" t="n">
        <v>4005.32</v>
      </c>
      <c r="BZ18" t="n">
        <v>4158.48</v>
      </c>
      <c r="CA18" t="inlineStr">
        <is>
          <t>RUSSIAN RUBLE</t>
        </is>
      </c>
      <c r="CC18" t="n">
        <v>319.51</v>
      </c>
      <c r="CD18" t="n">
        <v>353.68</v>
      </c>
    </row>
    <row r="19">
      <c r="A19" t="inlineStr">
        <is>
          <t>18/01/2026</t>
        </is>
      </c>
      <c r="B19">
        <f>IF(ISNUMBER(A19), A19, DATE(RIGHT(A19,4), MID(A19,4,2), LEFT(A19,2)))</f>
        <v/>
      </c>
      <c r="C19" t="inlineStr">
        <is>
          <t>US DOLLAR</t>
        </is>
      </c>
      <c r="D19" t="n">
        <v>26057</v>
      </c>
      <c r="E19" t="n">
        <v>26087</v>
      </c>
      <c r="F19" t="n">
        <v>26387</v>
      </c>
      <c r="G19" t="inlineStr">
        <is>
          <t>EURO</t>
        </is>
      </c>
      <c r="H19" t="n">
        <v>29703.56</v>
      </c>
      <c r="I19" t="n">
        <v>30003.59</v>
      </c>
      <c r="J19" t="n">
        <v>31269.59</v>
      </c>
      <c r="K19" t="inlineStr">
        <is>
          <t>POUND STERLING</t>
        </is>
      </c>
      <c r="L19" t="n">
        <v>34224.11</v>
      </c>
      <c r="M19" t="n">
        <v>34569.81</v>
      </c>
      <c r="N19" t="n">
        <v>35676.98</v>
      </c>
      <c r="O19" t="inlineStr">
        <is>
          <t>YEN</t>
        </is>
      </c>
      <c r="P19" t="n">
        <v>159.78</v>
      </c>
      <c r="Q19" t="n">
        <v>161.39</v>
      </c>
      <c r="R19" t="n">
        <v>169.93</v>
      </c>
      <c r="S19" t="inlineStr">
        <is>
          <t>AUSTRALIAN DOLLAR</t>
        </is>
      </c>
      <c r="T19" t="n">
        <v>17142.77</v>
      </c>
      <c r="U19" t="n">
        <v>17315.93</v>
      </c>
      <c r="V19" t="n">
        <v>17870.51</v>
      </c>
      <c r="W19" t="inlineStr">
        <is>
          <t>CANADIAN DOLLAR</t>
        </is>
      </c>
      <c r="X19" t="n">
        <v>18426.38</v>
      </c>
      <c r="Y19" t="n">
        <v>18612.5</v>
      </c>
      <c r="Z19" t="n">
        <v>19208.6</v>
      </c>
      <c r="AA19" t="inlineStr">
        <is>
          <t>SWISS FRANC</t>
        </is>
      </c>
      <c r="AB19" t="n">
        <v>31856.97</v>
      </c>
      <c r="AC19" t="n">
        <v>32178.76</v>
      </c>
      <c r="AD19" t="n">
        <v>33209.35</v>
      </c>
      <c r="AE19" t="inlineStr">
        <is>
          <t>SINGAPORE DOLLAR</t>
        </is>
      </c>
      <c r="AF19" t="n">
        <v>19857.35</v>
      </c>
      <c r="AG19" t="n">
        <v>20057.93</v>
      </c>
      <c r="AH19" t="n">
        <v>20741.77</v>
      </c>
      <c r="AI19" t="inlineStr">
        <is>
          <t>YUAN RENMINBI</t>
        </is>
      </c>
      <c r="AJ19" t="n">
        <v>3675.49</v>
      </c>
      <c r="AK19" t="n">
        <v>3712.61</v>
      </c>
      <c r="AL19" t="n">
        <v>3831.52</v>
      </c>
      <c r="AM19" t="inlineStr">
        <is>
          <t>HONGKONG DOLLAR</t>
        </is>
      </c>
      <c r="AN19" t="n">
        <v>3274.25</v>
      </c>
      <c r="AO19" t="n">
        <v>3307.32</v>
      </c>
      <c r="AP19" t="n">
        <v>3433.79</v>
      </c>
      <c r="AQ19" t="inlineStr">
        <is>
          <t>THAILAND BAHT</t>
        </is>
      </c>
      <c r="AR19" t="n">
        <v>737.17</v>
      </c>
      <c r="AS19" t="n">
        <v>819.0700000000001</v>
      </c>
      <c r="AT19" t="n">
        <v>853.8</v>
      </c>
      <c r="AU19" t="inlineStr">
        <is>
          <t>KOREAN WON</t>
        </is>
      </c>
      <c r="AV19" t="n">
        <v>15.42</v>
      </c>
      <c r="AW19" t="n">
        <v>17.13</v>
      </c>
      <c r="AX19" t="n">
        <v>18.59</v>
      </c>
      <c r="AY19" t="inlineStr">
        <is>
          <t>MALAYSIAN RINGGIT</t>
        </is>
      </c>
      <c r="BA19" t="n">
        <v>6407.82</v>
      </c>
      <c r="BB19" t="n">
        <v>6547.23</v>
      </c>
      <c r="BC19" t="inlineStr">
        <is>
          <t>INDIAN RUPEE</t>
        </is>
      </c>
      <c r="BE19" t="n">
        <v>288.89</v>
      </c>
      <c r="BF19" t="n">
        <v>301.32</v>
      </c>
      <c r="BG19" t="inlineStr">
        <is>
          <t>KUWAITI DINAR</t>
        </is>
      </c>
      <c r="BI19" t="n">
        <v>85413.35000000001</v>
      </c>
      <c r="BJ19" t="n">
        <v>89553.36</v>
      </c>
      <c r="BK19" t="inlineStr">
        <is>
          <t>SAUDI RIAL</t>
        </is>
      </c>
      <c r="BM19" t="n">
        <v>6965.17</v>
      </c>
      <c r="BN19" t="n">
        <v>7264.94</v>
      </c>
      <c r="BO19" t="inlineStr">
        <is>
          <t>NORWEGIAN KRONER</t>
        </is>
      </c>
      <c r="BQ19" t="n">
        <v>2543.59</v>
      </c>
      <c r="BR19" t="n">
        <v>2651.45</v>
      </c>
      <c r="BS19" t="inlineStr">
        <is>
          <t>SWEDISH KRONA</t>
        </is>
      </c>
      <c r="BU19" t="n">
        <v>2789.49</v>
      </c>
      <c r="BV19" t="n">
        <v>2907.77</v>
      </c>
      <c r="BW19" t="inlineStr">
        <is>
          <t>DANISH KRONE</t>
        </is>
      </c>
      <c r="BY19" t="n">
        <v>4005.32</v>
      </c>
      <c r="BZ19" t="n">
        <v>4158.48</v>
      </c>
      <c r="CA19" t="inlineStr">
        <is>
          <t>RUSSIAN RUBLE</t>
        </is>
      </c>
      <c r="CC19" t="n">
        <v>319.51</v>
      </c>
      <c r="CD19" t="n">
        <v>353.68</v>
      </c>
    </row>
    <row r="20">
      <c r="A20" t="inlineStr">
        <is>
          <t>19/01/2026</t>
        </is>
      </c>
      <c r="B20">
        <f>IF(ISNUMBER(A20), A20, DATE(RIGHT(A20,4), MID(A20,4,2), LEFT(A20,2)))</f>
        <v/>
      </c>
      <c r="C20" t="inlineStr">
        <is>
          <t>US DOLLAR</t>
        </is>
      </c>
      <c r="D20" t="n">
        <v>26058</v>
      </c>
      <c r="E20" t="n">
        <v>26088</v>
      </c>
      <c r="F20" t="n">
        <v>26388</v>
      </c>
      <c r="G20" t="inlineStr">
        <is>
          <t>EURO</t>
        </is>
      </c>
      <c r="H20" t="n">
        <v>29734.27</v>
      </c>
      <c r="I20" t="n">
        <v>30034.62</v>
      </c>
      <c r="J20" t="n">
        <v>31301.93</v>
      </c>
      <c r="K20" t="inlineStr">
        <is>
          <t>POUND STERLING</t>
        </is>
      </c>
      <c r="L20" t="n">
        <v>34265.06</v>
      </c>
      <c r="M20" t="n">
        <v>34611.18</v>
      </c>
      <c r="N20" t="n">
        <v>35719.67</v>
      </c>
      <c r="O20" t="inlineStr">
        <is>
          <t>YEN</t>
        </is>
      </c>
      <c r="P20" t="n">
        <v>161.16</v>
      </c>
      <c r="Q20" t="n">
        <v>162.79</v>
      </c>
      <c r="R20" t="n">
        <v>171.4</v>
      </c>
      <c r="S20" t="inlineStr">
        <is>
          <t>AUSTRALIAN DOLLAR</t>
        </is>
      </c>
      <c r="T20" t="n">
        <v>17106.93</v>
      </c>
      <c r="U20" t="n">
        <v>17279.73</v>
      </c>
      <c r="V20" t="n">
        <v>17833.15</v>
      </c>
      <c r="W20" t="inlineStr">
        <is>
          <t>CANADIAN DOLLAR</t>
        </is>
      </c>
      <c r="X20" t="n">
        <v>18422.4</v>
      </c>
      <c r="Y20" t="n">
        <v>18608.48</v>
      </c>
      <c r="Z20" t="n">
        <v>19204.46</v>
      </c>
      <c r="AA20" t="inlineStr">
        <is>
          <t>SWISS FRANC</t>
        </is>
      </c>
      <c r="AB20" t="n">
        <v>32052.39</v>
      </c>
      <c r="AC20" t="n">
        <v>32376.15</v>
      </c>
      <c r="AD20" t="n">
        <v>33413.06</v>
      </c>
      <c r="AE20" t="inlineStr">
        <is>
          <t>SINGAPORE DOLLAR</t>
        </is>
      </c>
      <c r="AF20" t="n">
        <v>19882.04</v>
      </c>
      <c r="AG20" t="n">
        <v>20082.87</v>
      </c>
      <c r="AH20" t="n">
        <v>20767.57</v>
      </c>
      <c r="AI20" t="inlineStr">
        <is>
          <t>YUAN RENMINBI</t>
        </is>
      </c>
      <c r="AJ20" t="n">
        <v>3676.49</v>
      </c>
      <c r="AK20" t="n">
        <v>3713.63</v>
      </c>
      <c r="AL20" t="n">
        <v>3832.56</v>
      </c>
      <c r="AM20" t="inlineStr">
        <is>
          <t>HONGKONG DOLLAR</t>
        </is>
      </c>
      <c r="AN20" t="n">
        <v>3274.88</v>
      </c>
      <c r="AO20" t="n">
        <v>3307.96</v>
      </c>
      <c r="AP20" t="n">
        <v>3434.45</v>
      </c>
      <c r="AQ20" t="inlineStr">
        <is>
          <t>THAILAND BAHT</t>
        </is>
      </c>
      <c r="AR20" t="n">
        <v>740.7</v>
      </c>
      <c r="AS20" t="n">
        <v>823</v>
      </c>
      <c r="AT20" t="n">
        <v>857.9</v>
      </c>
      <c r="AU20" t="inlineStr">
        <is>
          <t>KOREAN WON</t>
        </is>
      </c>
      <c r="AV20" t="n">
        <v>15.43</v>
      </c>
      <c r="AW20" t="n">
        <v>17.15</v>
      </c>
      <c r="AX20" t="n">
        <v>18.6</v>
      </c>
      <c r="AY20" t="inlineStr">
        <is>
          <t>MALAYSIAN RINGGIT</t>
        </is>
      </c>
      <c r="BA20" t="n">
        <v>6409.4</v>
      </c>
      <c r="BB20" t="n">
        <v>6548.84</v>
      </c>
      <c r="BC20" t="inlineStr">
        <is>
          <t>INDIAN RUPEE</t>
        </is>
      </c>
      <c r="BE20" t="n">
        <v>287.94</v>
      </c>
      <c r="BF20" t="n">
        <v>300.34</v>
      </c>
      <c r="BG20" t="inlineStr">
        <is>
          <t>KUWAITI DINAR</t>
        </is>
      </c>
      <c r="BI20" t="n">
        <v>85413.35000000001</v>
      </c>
      <c r="BJ20" t="n">
        <v>89553.36</v>
      </c>
      <c r="BK20" t="inlineStr">
        <is>
          <t>SAUDI RIAL</t>
        </is>
      </c>
      <c r="BM20" t="n">
        <v>6967.22</v>
      </c>
      <c r="BN20" t="n">
        <v>7267.07</v>
      </c>
      <c r="BO20" t="inlineStr">
        <is>
          <t>NORWEGIAN KRONER</t>
        </is>
      </c>
      <c r="BQ20" t="n">
        <v>2553.08</v>
      </c>
      <c r="BR20" t="n">
        <v>2661.34</v>
      </c>
      <c r="BS20" t="inlineStr">
        <is>
          <t>SWEDISH KRONA</t>
        </is>
      </c>
      <c r="BU20" t="n">
        <v>2793.22</v>
      </c>
      <c r="BV20" t="n">
        <v>2911.65</v>
      </c>
      <c r="BW20" t="inlineStr">
        <is>
          <t>DANISH KRONE</t>
        </is>
      </c>
      <c r="BY20" t="n">
        <v>4009.49</v>
      </c>
      <c r="BZ20" t="n">
        <v>4162.81</v>
      </c>
      <c r="CA20" t="inlineStr">
        <is>
          <t>RUSSIAN RUBLE</t>
        </is>
      </c>
      <c r="CC20" t="n">
        <v>320.53</v>
      </c>
      <c r="CD20" t="n">
        <v>354.81</v>
      </c>
    </row>
    <row r="21">
      <c r="A21" t="inlineStr">
        <is>
          <t>20/01/2026</t>
        </is>
      </c>
      <c r="B21">
        <f>IF(ISNUMBER(A21), A21, DATE(RIGHT(A21,4), MID(A21,4,2), LEFT(A21,2)))</f>
        <v/>
      </c>
      <c r="C21" t="inlineStr">
        <is>
          <t>US DOLLAR</t>
        </is>
      </c>
      <c r="D21" t="n">
        <v>26056</v>
      </c>
      <c r="E21" t="n">
        <v>26086</v>
      </c>
      <c r="F21" t="n">
        <v>26386</v>
      </c>
      <c r="G21" t="inlineStr">
        <is>
          <t>EURO</t>
        </is>
      </c>
      <c r="H21" t="n">
        <v>30012.69</v>
      </c>
      <c r="I21" t="n">
        <v>30315.85</v>
      </c>
      <c r="J21" t="n">
        <v>31595.03</v>
      </c>
      <c r="K21" t="inlineStr">
        <is>
          <t>POUND STERLING</t>
        </is>
      </c>
      <c r="L21" t="n">
        <v>34481.2</v>
      </c>
      <c r="M21" t="n">
        <v>34829.49</v>
      </c>
      <c r="N21" t="n">
        <v>35944.99</v>
      </c>
      <c r="O21" t="inlineStr">
        <is>
          <t>YEN</t>
        </is>
      </c>
      <c r="P21" t="n">
        <v>160.73</v>
      </c>
      <c r="Q21" t="n">
        <v>162.35</v>
      </c>
      <c r="R21" t="n">
        <v>170.94</v>
      </c>
      <c r="S21" t="inlineStr">
        <is>
          <t>AUSTRALIAN DOLLAR</t>
        </is>
      </c>
      <c r="T21" t="n">
        <v>17218.84</v>
      </c>
      <c r="U21" t="n">
        <v>17392.77</v>
      </c>
      <c r="V21" t="n">
        <v>17949.82</v>
      </c>
      <c r="W21" t="inlineStr">
        <is>
          <t>CANADIAN DOLLAR</t>
        </is>
      </c>
      <c r="X21" t="n">
        <v>18516.15</v>
      </c>
      <c r="Y21" t="n">
        <v>18703.18</v>
      </c>
      <c r="Z21" t="n">
        <v>19302.19</v>
      </c>
      <c r="AA21" t="inlineStr">
        <is>
          <t>SWISS FRANC</t>
        </is>
      </c>
      <c r="AB21" t="n">
        <v>32395.05</v>
      </c>
      <c r="AC21" t="n">
        <v>32722.28</v>
      </c>
      <c r="AD21" t="n">
        <v>33770.28</v>
      </c>
      <c r="AE21" t="inlineStr">
        <is>
          <t>SINGAPORE DOLLAR</t>
        </is>
      </c>
      <c r="AF21" t="n">
        <v>19944.92</v>
      </c>
      <c r="AG21" t="n">
        <v>20146.38</v>
      </c>
      <c r="AH21" t="n">
        <v>20833.25</v>
      </c>
      <c r="AI21" t="inlineStr">
        <is>
          <t>YUAN RENMINBI</t>
        </is>
      </c>
      <c r="AJ21" t="n">
        <v>3678.43</v>
      </c>
      <c r="AK21" t="n">
        <v>3715.59</v>
      </c>
      <c r="AL21" t="n">
        <v>3834.59</v>
      </c>
      <c r="AM21" t="inlineStr">
        <is>
          <t>HONGKONG DOLLAR</t>
        </is>
      </c>
      <c r="AN21" t="n">
        <v>3273.08</v>
      </c>
      <c r="AO21" t="n">
        <v>3306.14</v>
      </c>
      <c r="AP21" t="n">
        <v>3432.57</v>
      </c>
      <c r="AQ21" t="inlineStr">
        <is>
          <t>THAILAND BAHT</t>
        </is>
      </c>
      <c r="AR21" t="n">
        <v>745.33</v>
      </c>
      <c r="AS21" t="n">
        <v>828.14</v>
      </c>
      <c r="AT21" t="n">
        <v>863.26</v>
      </c>
      <c r="AU21" t="inlineStr">
        <is>
          <t>KOREAN WON</t>
        </is>
      </c>
      <c r="AV21" t="n">
        <v>15.36</v>
      </c>
      <c r="AW21" t="n">
        <v>17.07</v>
      </c>
      <c r="AX21" t="n">
        <v>18.52</v>
      </c>
      <c r="AY21" t="inlineStr">
        <is>
          <t>MALAYSIAN RINGGIT</t>
        </is>
      </c>
      <c r="BA21" t="n">
        <v>6412.92</v>
      </c>
      <c r="BB21" t="n">
        <v>6552.44</v>
      </c>
      <c r="BC21" t="inlineStr">
        <is>
          <t>INDIAN RUPEE</t>
        </is>
      </c>
      <c r="BE21" t="n">
        <v>287.05</v>
      </c>
      <c r="BF21" t="n">
        <v>299.4</v>
      </c>
      <c r="BG21" t="inlineStr">
        <is>
          <t>KUWAITI DINAR</t>
        </is>
      </c>
      <c r="BI21" t="n">
        <v>85452.97</v>
      </c>
      <c r="BJ21" t="n">
        <v>89594.92</v>
      </c>
      <c r="BK21" t="inlineStr">
        <is>
          <t>SAUDI RIAL</t>
        </is>
      </c>
      <c r="BM21" t="n">
        <v>6964.03</v>
      </c>
      <c r="BN21" t="n">
        <v>7263.75</v>
      </c>
      <c r="BO21" t="inlineStr">
        <is>
          <t>NORWEGIAN KRONER</t>
        </is>
      </c>
      <c r="BQ21" t="n">
        <v>2568.9</v>
      </c>
      <c r="BR21" t="n">
        <v>2677.83</v>
      </c>
      <c r="BS21" t="inlineStr">
        <is>
          <t>SWEDISH KRONA</t>
        </is>
      </c>
      <c r="BU21" t="n">
        <v>2812.96</v>
      </c>
      <c r="BV21" t="n">
        <v>2932.23</v>
      </c>
      <c r="BW21" t="inlineStr">
        <is>
          <t>DANISH KRONE</t>
        </is>
      </c>
      <c r="BY21" t="n">
        <v>4047.18</v>
      </c>
      <c r="BZ21" t="n">
        <v>4201.94</v>
      </c>
      <c r="CA21" t="inlineStr">
        <is>
          <t>RUSSIAN RUBLE</t>
        </is>
      </c>
      <c r="CC21" t="n">
        <v>321.28</v>
      </c>
      <c r="CD21" t="n">
        <v>355.64</v>
      </c>
    </row>
    <row r="22">
      <c r="A22" t="inlineStr">
        <is>
          <t>21/01/2026</t>
        </is>
      </c>
      <c r="B22">
        <f>IF(ISNUMBER(A22), A22, DATE(RIGHT(A22,4), MID(A22,4,2), LEFT(A22,2)))</f>
        <v/>
      </c>
      <c r="C22" t="inlineStr">
        <is>
          <t>US DOLLAR</t>
        </is>
      </c>
      <c r="D22" t="n">
        <v>26050</v>
      </c>
      <c r="E22" t="n">
        <v>26080</v>
      </c>
      <c r="F22" t="n">
        <v>26380</v>
      </c>
      <c r="G22" t="inlineStr">
        <is>
          <t>EURO</t>
        </is>
      </c>
      <c r="H22" t="n">
        <v>29992.81</v>
      </c>
      <c r="I22" t="n">
        <v>30295.77</v>
      </c>
      <c r="J22" t="n">
        <v>31574.09</v>
      </c>
      <c r="K22" t="inlineStr">
        <is>
          <t>POUND STERLING</t>
        </is>
      </c>
      <c r="L22" t="n">
        <v>34377.69</v>
      </c>
      <c r="M22" t="n">
        <v>34724.94</v>
      </c>
      <c r="N22" t="n">
        <v>35837.08</v>
      </c>
      <c r="O22" t="inlineStr">
        <is>
          <t>YEN</t>
        </is>
      </c>
      <c r="P22" t="n">
        <v>160.24</v>
      </c>
      <c r="Q22" t="n">
        <v>161.86</v>
      </c>
      <c r="R22" t="n">
        <v>170.42</v>
      </c>
      <c r="S22" t="inlineStr">
        <is>
          <t>AUSTRALIAN DOLLAR</t>
        </is>
      </c>
      <c r="T22" t="n">
        <v>17227.24</v>
      </c>
      <c r="U22" t="n">
        <v>17401.26</v>
      </c>
      <c r="V22" t="n">
        <v>17958.57</v>
      </c>
      <c r="W22" t="inlineStr">
        <is>
          <t>CANADIAN DOLLAR</t>
        </is>
      </c>
      <c r="X22" t="n">
        <v>18500.94</v>
      </c>
      <c r="Y22" t="n">
        <v>18687.82</v>
      </c>
      <c r="Z22" t="n">
        <v>19286.33</v>
      </c>
      <c r="AA22" t="inlineStr">
        <is>
          <t>SWISS FRANC</t>
        </is>
      </c>
      <c r="AB22" t="n">
        <v>32397.13</v>
      </c>
      <c r="AC22" t="n">
        <v>32724.37</v>
      </c>
      <c r="AD22" t="n">
        <v>33772.43</v>
      </c>
      <c r="AE22" t="inlineStr">
        <is>
          <t>SINGAPORE DOLLAR</t>
        </is>
      </c>
      <c r="AF22" t="n">
        <v>19919.2</v>
      </c>
      <c r="AG22" t="n">
        <v>20120.41</v>
      </c>
      <c r="AH22" t="n">
        <v>20806.39</v>
      </c>
      <c r="AI22" t="inlineStr">
        <is>
          <t>YUAN RENMINBI</t>
        </is>
      </c>
      <c r="AJ22" t="n">
        <v>3678.71</v>
      </c>
      <c r="AK22" t="n">
        <v>3715.87</v>
      </c>
      <c r="AL22" t="n">
        <v>3834.88</v>
      </c>
      <c r="AM22" t="inlineStr">
        <is>
          <t>HONGKONG DOLLAR</t>
        </is>
      </c>
      <c r="AN22" t="n">
        <v>3273.32</v>
      </c>
      <c r="AO22" t="n">
        <v>3306.39</v>
      </c>
      <c r="AP22" t="n">
        <v>3432.82</v>
      </c>
      <c r="AQ22" t="inlineStr">
        <is>
          <t>THAILAND BAHT</t>
        </is>
      </c>
      <c r="AR22" t="n">
        <v>747.64</v>
      </c>
      <c r="AS22" t="n">
        <v>830.71</v>
      </c>
      <c r="AT22" t="n">
        <v>865.9299999999999</v>
      </c>
      <c r="AU22" t="inlineStr">
        <is>
          <t>KOREAN WON</t>
        </is>
      </c>
      <c r="AV22" t="n">
        <v>15.35</v>
      </c>
      <c r="AW22" t="n">
        <v>17.05</v>
      </c>
      <c r="AX22" t="n">
        <v>18.5</v>
      </c>
      <c r="AY22" t="inlineStr">
        <is>
          <t>MALAYSIAN RINGGIT</t>
        </is>
      </c>
      <c r="BA22" t="n">
        <v>6412.56</v>
      </c>
      <c r="BB22" t="n">
        <v>6552.07</v>
      </c>
      <c r="BC22" t="inlineStr">
        <is>
          <t>INDIAN RUPEE</t>
        </is>
      </c>
      <c r="BE22" t="n">
        <v>286.86</v>
      </c>
      <c r="BF22" t="n">
        <v>299.21</v>
      </c>
      <c r="BG22" t="inlineStr">
        <is>
          <t>KUWAITI DINAR</t>
        </is>
      </c>
      <c r="BI22" t="n">
        <v>85469.25</v>
      </c>
      <c r="BJ22" t="n">
        <v>89611.97</v>
      </c>
      <c r="BK22" t="inlineStr">
        <is>
          <t>SAUDI RIAL</t>
        </is>
      </c>
      <c r="BM22" t="n">
        <v>6965.36</v>
      </c>
      <c r="BN22" t="n">
        <v>7265.13</v>
      </c>
      <c r="BO22" t="inlineStr">
        <is>
          <t>NORWEGIAN KRONER</t>
        </is>
      </c>
      <c r="BQ22" t="n">
        <v>2575</v>
      </c>
      <c r="BR22" t="n">
        <v>2684.18</v>
      </c>
      <c r="BS22" t="inlineStr">
        <is>
          <t>SWEDISH KRONA</t>
        </is>
      </c>
      <c r="BU22" t="n">
        <v>2819.19</v>
      </c>
      <c r="BV22" t="n">
        <v>2938.73</v>
      </c>
      <c r="BW22" t="inlineStr">
        <is>
          <t>DANISH KRONE</t>
        </is>
      </c>
      <c r="BY22" t="n">
        <v>4044.9</v>
      </c>
      <c r="BZ22" t="n">
        <v>4199.58</v>
      </c>
      <c r="CA22" t="inlineStr">
        <is>
          <t>RUSSIAN RUBLE</t>
        </is>
      </c>
      <c r="CC22" t="n">
        <v>320.33</v>
      </c>
      <c r="CD22" t="n">
        <v>354.58</v>
      </c>
    </row>
    <row r="23">
      <c r="A23" t="inlineStr">
        <is>
          <t>22/01/2026</t>
        </is>
      </c>
      <c r="B23">
        <f>IF(ISNUMBER(A23), A23, DATE(RIGHT(A23,4), MID(A23,4,2), LEFT(A23,2)))</f>
        <v/>
      </c>
      <c r="C23" t="inlineStr">
        <is>
          <t>US DOLLAR</t>
        </is>
      </c>
      <c r="D23" t="n">
        <v>26051</v>
      </c>
      <c r="E23" t="n">
        <v>26081</v>
      </c>
      <c r="F23" t="n">
        <v>26381</v>
      </c>
      <c r="G23" t="inlineStr">
        <is>
          <t>EURO</t>
        </is>
      </c>
      <c r="H23" t="n">
        <v>29913.46</v>
      </c>
      <c r="I23" t="n">
        <v>30215.61</v>
      </c>
      <c r="J23" t="n">
        <v>31490.56</v>
      </c>
      <c r="K23" t="inlineStr">
        <is>
          <t>POUND STERLING</t>
        </is>
      </c>
      <c r="L23" t="n">
        <v>34364.9</v>
      </c>
      <c r="M23" t="n">
        <v>34712.02</v>
      </c>
      <c r="N23" t="n">
        <v>35823.74</v>
      </c>
      <c r="O23" t="inlineStr">
        <is>
          <t>YEN</t>
        </is>
      </c>
      <c r="P23" t="n">
        <v>160.23</v>
      </c>
      <c r="Q23" t="n">
        <v>161.85</v>
      </c>
      <c r="R23" t="n">
        <v>170.41</v>
      </c>
      <c r="S23" t="inlineStr">
        <is>
          <t>AUSTRALIAN DOLLAR</t>
        </is>
      </c>
      <c r="T23" t="n">
        <v>17375.71</v>
      </c>
      <c r="U23" t="n">
        <v>17551.22</v>
      </c>
      <c r="V23" t="n">
        <v>18113.34</v>
      </c>
      <c r="W23" t="inlineStr">
        <is>
          <t>CANADIAN DOLLAR</t>
        </is>
      </c>
      <c r="X23" t="n">
        <v>18518.33</v>
      </c>
      <c r="Y23" t="n">
        <v>18705.39</v>
      </c>
      <c r="Z23" t="n">
        <v>19304.47</v>
      </c>
      <c r="AA23" t="inlineStr">
        <is>
          <t>SWISS FRANC</t>
        </is>
      </c>
      <c r="AB23" t="n">
        <v>32201.54</v>
      </c>
      <c r="AC23" t="n">
        <v>32526.81</v>
      </c>
      <c r="AD23" t="n">
        <v>33568.55</v>
      </c>
      <c r="AE23" t="inlineStr">
        <is>
          <t>SINGAPORE DOLLAR</t>
        </is>
      </c>
      <c r="AF23" t="n">
        <v>19922.31</v>
      </c>
      <c r="AG23" t="n">
        <v>20123.54</v>
      </c>
      <c r="AH23" t="n">
        <v>20809.63</v>
      </c>
      <c r="AI23" t="inlineStr">
        <is>
          <t>YUAN RENMINBI</t>
        </is>
      </c>
      <c r="AJ23" t="n">
        <v>3676.7</v>
      </c>
      <c r="AK23" t="n">
        <v>3713.84</v>
      </c>
      <c r="AL23" t="n">
        <v>3832.78</v>
      </c>
      <c r="AM23" t="inlineStr">
        <is>
          <t>HONGKONG DOLLAR</t>
        </is>
      </c>
      <c r="AN23" t="n">
        <v>3274.96</v>
      </c>
      <c r="AO23" t="n">
        <v>3308.04</v>
      </c>
      <c r="AP23" t="n">
        <v>3434.54</v>
      </c>
      <c r="AQ23" t="inlineStr">
        <is>
          <t>THAILAND BAHT</t>
        </is>
      </c>
      <c r="AR23" t="n">
        <v>740.23</v>
      </c>
      <c r="AS23" t="n">
        <v>822.48</v>
      </c>
      <c r="AT23" t="n">
        <v>857.35</v>
      </c>
      <c r="AU23" t="inlineStr">
        <is>
          <t>KOREAN WON</t>
        </is>
      </c>
      <c r="AV23" t="n">
        <v>15.5</v>
      </c>
      <c r="AW23" t="n">
        <v>17.22</v>
      </c>
      <c r="AX23" t="n">
        <v>18.68</v>
      </c>
      <c r="AY23" t="inlineStr">
        <is>
          <t>MALAYSIAN RINGGIT</t>
        </is>
      </c>
      <c r="BA23" t="n">
        <v>6428.42</v>
      </c>
      <c r="BB23" t="n">
        <v>6568.28</v>
      </c>
      <c r="BC23" t="inlineStr">
        <is>
          <t>INDIAN RUPEE</t>
        </is>
      </c>
      <c r="BE23" t="n">
        <v>285.14</v>
      </c>
      <c r="BF23" t="n">
        <v>297.41</v>
      </c>
      <c r="BG23" t="inlineStr">
        <is>
          <t>KUWAITI DINAR</t>
        </is>
      </c>
      <c r="BI23" t="n">
        <v>85497.23</v>
      </c>
      <c r="BJ23" t="n">
        <v>89641.3</v>
      </c>
      <c r="BK23" t="inlineStr">
        <is>
          <t>SAUDI RIAL</t>
        </is>
      </c>
      <c r="BM23" t="n">
        <v>6965.36</v>
      </c>
      <c r="BN23" t="n">
        <v>7265.13</v>
      </c>
      <c r="BO23" t="inlineStr">
        <is>
          <t>NORWEGIAN KRONER</t>
        </is>
      </c>
      <c r="BQ23" t="n">
        <v>2583.74</v>
      </c>
      <c r="BR23" t="n">
        <v>2693.29</v>
      </c>
      <c r="BS23" t="inlineStr">
        <is>
          <t>SWEDISH KRONA</t>
        </is>
      </c>
      <c r="BU23" t="n">
        <v>2827.37</v>
      </c>
      <c r="BV23" t="n">
        <v>2947.26</v>
      </c>
      <c r="BW23" t="inlineStr">
        <is>
          <t>DANISH KRONE</t>
        </is>
      </c>
      <c r="BY23" t="n">
        <v>4034.21</v>
      </c>
      <c r="BZ23" t="n">
        <v>4188.47</v>
      </c>
      <c r="CA23" t="inlineStr">
        <is>
          <t>RUSSIAN RUBLE</t>
        </is>
      </c>
      <c r="CC23" t="n">
        <v>324.69</v>
      </c>
      <c r="CD23" t="n">
        <v>359.42</v>
      </c>
    </row>
    <row r="24">
      <c r="A24" t="inlineStr">
        <is>
          <t>23/01/2026</t>
        </is>
      </c>
      <c r="B24">
        <f>IF(ISNUMBER(A24), A24, DATE(RIGHT(A24,4), MID(A24,4,2), LEFT(A24,2)))</f>
        <v/>
      </c>
      <c r="C24" t="inlineStr">
        <is>
          <t>US DOLLAR</t>
        </is>
      </c>
      <c r="D24" t="n">
        <v>26031</v>
      </c>
      <c r="E24" t="n">
        <v>26061</v>
      </c>
      <c r="F24" t="n">
        <v>26381</v>
      </c>
      <c r="G24" t="inlineStr">
        <is>
          <t>EURO</t>
        </is>
      </c>
      <c r="H24" t="n">
        <v>30022.45</v>
      </c>
      <c r="I24" t="n">
        <v>30325.71</v>
      </c>
      <c r="J24" t="n">
        <v>31605.35</v>
      </c>
      <c r="K24" t="inlineStr">
        <is>
          <t>POUND STERLING</t>
        </is>
      </c>
      <c r="L24" t="n">
        <v>34502.04</v>
      </c>
      <c r="M24" t="n">
        <v>34850.55</v>
      </c>
      <c r="N24" t="n">
        <v>35966.77</v>
      </c>
      <c r="O24" t="inlineStr">
        <is>
          <t>YEN</t>
        </is>
      </c>
      <c r="P24" t="n">
        <v>160.03</v>
      </c>
      <c r="Q24" t="n">
        <v>161.65</v>
      </c>
      <c r="R24" t="n">
        <v>170.19</v>
      </c>
      <c r="S24" t="inlineStr">
        <is>
          <t>AUSTRALIAN DOLLAR</t>
        </is>
      </c>
      <c r="T24" t="n">
        <v>17501.59</v>
      </c>
      <c r="U24" t="n">
        <v>17678.38</v>
      </c>
      <c r="V24" t="n">
        <v>18244.59</v>
      </c>
      <c r="W24" t="inlineStr">
        <is>
          <t>CANADIAN DOLLAR</t>
        </is>
      </c>
      <c r="X24" t="n">
        <v>18549.49</v>
      </c>
      <c r="Y24" t="n">
        <v>18736.86</v>
      </c>
      <c r="Z24" t="n">
        <v>19336.98</v>
      </c>
      <c r="AA24" t="inlineStr">
        <is>
          <t>SWISS FRANC</t>
        </is>
      </c>
      <c r="AB24" t="n">
        <v>32372.39</v>
      </c>
      <c r="AC24" t="n">
        <v>32699.38</v>
      </c>
      <c r="AD24" t="n">
        <v>33746.71</v>
      </c>
      <c r="AE24" t="inlineStr">
        <is>
          <t>SINGAPORE DOLLAR</t>
        </is>
      </c>
      <c r="AF24" t="n">
        <v>19982.02</v>
      </c>
      <c r="AG24" t="n">
        <v>20183.86</v>
      </c>
      <c r="AH24" t="n">
        <v>20872.04</v>
      </c>
      <c r="AI24" t="inlineStr">
        <is>
          <t>YUAN RENMINBI</t>
        </is>
      </c>
      <c r="AJ24" t="n">
        <v>3672.87</v>
      </c>
      <c r="AK24" t="n">
        <v>3709.97</v>
      </c>
      <c r="AL24" t="n">
        <v>3828.79</v>
      </c>
      <c r="AM24" t="inlineStr">
        <is>
          <t>HONGKONG DOLLAR</t>
        </is>
      </c>
      <c r="AN24" t="n">
        <v>3270.21</v>
      </c>
      <c r="AO24" t="n">
        <v>3303.24</v>
      </c>
      <c r="AP24" t="n">
        <v>3429.56</v>
      </c>
      <c r="AQ24" t="inlineStr">
        <is>
          <t>THAILAND BAHT</t>
        </is>
      </c>
      <c r="AR24" t="n">
        <v>741.75</v>
      </c>
      <c r="AS24" t="n">
        <v>824.17</v>
      </c>
      <c r="AT24" t="n">
        <v>859.12</v>
      </c>
      <c r="AU24" t="inlineStr">
        <is>
          <t>KOREAN WON</t>
        </is>
      </c>
      <c r="AV24" t="n">
        <v>15.46</v>
      </c>
      <c r="AW24" t="n">
        <v>17.18</v>
      </c>
      <c r="AX24" t="n">
        <v>18.64</v>
      </c>
      <c r="AY24" t="inlineStr">
        <is>
          <t>MALAYSIAN RINGGIT</t>
        </is>
      </c>
      <c r="BA24" t="n">
        <v>6485.24</v>
      </c>
      <c r="BB24" t="n">
        <v>6626.34</v>
      </c>
      <c r="BC24" t="inlineStr">
        <is>
          <t>INDIAN RUPEE</t>
        </is>
      </c>
      <c r="BE24" t="n">
        <v>283.86</v>
      </c>
      <c r="BF24" t="n">
        <v>296.07</v>
      </c>
      <c r="BG24" t="inlineStr">
        <is>
          <t>KUWAITI DINAR</t>
        </is>
      </c>
      <c r="BI24" t="n">
        <v>85371.57000000001</v>
      </c>
      <c r="BJ24" t="n">
        <v>89509.71000000001</v>
      </c>
      <c r="BK24" t="inlineStr">
        <is>
          <t>SAUDI RIAL</t>
        </is>
      </c>
      <c r="BM24" t="n">
        <v>6957.4</v>
      </c>
      <c r="BN24" t="n">
        <v>7256.84</v>
      </c>
      <c r="BO24" t="inlineStr">
        <is>
          <t>NORWEGIAN KRONER</t>
        </is>
      </c>
      <c r="BQ24" t="n">
        <v>2606.56</v>
      </c>
      <c r="BR24" t="n">
        <v>2717.09</v>
      </c>
      <c r="BS24" t="inlineStr">
        <is>
          <t>SWEDISH KRONA</t>
        </is>
      </c>
      <c r="BU24" t="n">
        <v>2846.69</v>
      </c>
      <c r="BV24" t="n">
        <v>2967.4</v>
      </c>
      <c r="BW24" t="inlineStr">
        <is>
          <t>DANISH KRONE</t>
        </is>
      </c>
      <c r="BY24" t="n">
        <v>4049.81</v>
      </c>
      <c r="BZ24" t="n">
        <v>4204.68</v>
      </c>
      <c r="CA24" t="inlineStr">
        <is>
          <t>RUSSIAN RUBLE</t>
        </is>
      </c>
      <c r="CC24" t="n">
        <v>329.22</v>
      </c>
      <c r="CD24" t="n">
        <v>364.43</v>
      </c>
    </row>
    <row r="25">
      <c r="A25" t="inlineStr">
        <is>
          <t>24/01/2026</t>
        </is>
      </c>
      <c r="B25">
        <f>IF(ISNUMBER(A25), A25, DATE(RIGHT(A25,4), MID(A25,4,2), LEFT(A25,2)))</f>
        <v/>
      </c>
      <c r="C25" t="inlineStr">
        <is>
          <t>US DOLLAR</t>
        </is>
      </c>
      <c r="D25" t="n">
        <v>26031</v>
      </c>
      <c r="E25" t="n">
        <v>26061</v>
      </c>
      <c r="F25" t="n">
        <v>26381</v>
      </c>
      <c r="G25" t="inlineStr">
        <is>
          <t>EURO</t>
        </is>
      </c>
      <c r="H25" t="n">
        <v>30022.45</v>
      </c>
      <c r="I25" t="n">
        <v>30325.71</v>
      </c>
      <c r="J25" t="n">
        <v>31605.35</v>
      </c>
      <c r="K25" t="inlineStr">
        <is>
          <t>POUND STERLING</t>
        </is>
      </c>
      <c r="L25" t="n">
        <v>34502.04</v>
      </c>
      <c r="M25" t="n">
        <v>34850.55</v>
      </c>
      <c r="N25" t="n">
        <v>35966.77</v>
      </c>
      <c r="O25" t="inlineStr">
        <is>
          <t>YEN</t>
        </is>
      </c>
      <c r="P25" t="n">
        <v>160.03</v>
      </c>
      <c r="Q25" t="n">
        <v>161.65</v>
      </c>
      <c r="R25" t="n">
        <v>170.19</v>
      </c>
      <c r="S25" t="inlineStr">
        <is>
          <t>AUSTRALIAN DOLLAR</t>
        </is>
      </c>
      <c r="T25" t="n">
        <v>17501.59</v>
      </c>
      <c r="U25" t="n">
        <v>17678.38</v>
      </c>
      <c r="V25" t="n">
        <v>18244.59</v>
      </c>
      <c r="W25" t="inlineStr">
        <is>
          <t>CANADIAN DOLLAR</t>
        </is>
      </c>
      <c r="X25" t="n">
        <v>18549.49</v>
      </c>
      <c r="Y25" t="n">
        <v>18736.86</v>
      </c>
      <c r="Z25" t="n">
        <v>19336.98</v>
      </c>
      <c r="AA25" t="inlineStr">
        <is>
          <t>SWISS FRANC</t>
        </is>
      </c>
      <c r="AB25" t="n">
        <v>32372.39</v>
      </c>
      <c r="AC25" t="n">
        <v>32699.38</v>
      </c>
      <c r="AD25" t="n">
        <v>33746.71</v>
      </c>
      <c r="AE25" t="inlineStr">
        <is>
          <t>SINGAPORE DOLLAR</t>
        </is>
      </c>
      <c r="AF25" t="n">
        <v>19982.02</v>
      </c>
      <c r="AG25" t="n">
        <v>20183.86</v>
      </c>
      <c r="AH25" t="n">
        <v>20872.04</v>
      </c>
      <c r="AI25" t="inlineStr">
        <is>
          <t>YUAN RENMINBI</t>
        </is>
      </c>
      <c r="AJ25" t="n">
        <v>3672.87</v>
      </c>
      <c r="AK25" t="n">
        <v>3709.97</v>
      </c>
      <c r="AL25" t="n">
        <v>3828.79</v>
      </c>
      <c r="AM25" t="inlineStr">
        <is>
          <t>HONGKONG DOLLAR</t>
        </is>
      </c>
      <c r="AN25" t="n">
        <v>3270.21</v>
      </c>
      <c r="AO25" t="n">
        <v>3303.24</v>
      </c>
      <c r="AP25" t="n">
        <v>3429.56</v>
      </c>
      <c r="AQ25" t="inlineStr">
        <is>
          <t>THAILAND BAHT</t>
        </is>
      </c>
      <c r="AR25" t="n">
        <v>741.75</v>
      </c>
      <c r="AS25" t="n">
        <v>824.17</v>
      </c>
      <c r="AT25" t="n">
        <v>859.12</v>
      </c>
      <c r="AU25" t="inlineStr">
        <is>
          <t>KOREAN WON</t>
        </is>
      </c>
      <c r="AV25" t="n">
        <v>15.46</v>
      </c>
      <c r="AW25" t="n">
        <v>17.18</v>
      </c>
      <c r="AX25" t="n">
        <v>18.64</v>
      </c>
      <c r="AY25" t="inlineStr">
        <is>
          <t>MALAYSIAN RINGGIT</t>
        </is>
      </c>
      <c r="BA25" t="n">
        <v>6485.24</v>
      </c>
      <c r="BB25" t="n">
        <v>6626.34</v>
      </c>
      <c r="BC25" t="inlineStr">
        <is>
          <t>INDIAN RUPEE</t>
        </is>
      </c>
      <c r="BE25" t="n">
        <v>283.86</v>
      </c>
      <c r="BF25" t="n">
        <v>296.07</v>
      </c>
      <c r="BG25" t="inlineStr">
        <is>
          <t>KUWAITI DINAR</t>
        </is>
      </c>
      <c r="BI25" t="n">
        <v>85371.57000000001</v>
      </c>
      <c r="BJ25" t="n">
        <v>89509.71000000001</v>
      </c>
      <c r="BK25" t="inlineStr">
        <is>
          <t>SAUDI RIAL</t>
        </is>
      </c>
      <c r="BM25" t="n">
        <v>6957.4</v>
      </c>
      <c r="BN25" t="n">
        <v>7256.84</v>
      </c>
      <c r="BO25" t="inlineStr">
        <is>
          <t>NORWEGIAN KRONER</t>
        </is>
      </c>
      <c r="BQ25" t="n">
        <v>2606.56</v>
      </c>
      <c r="BR25" t="n">
        <v>2717.09</v>
      </c>
      <c r="BS25" t="inlineStr">
        <is>
          <t>SWEDISH KRONA</t>
        </is>
      </c>
      <c r="BU25" t="n">
        <v>2846.69</v>
      </c>
      <c r="BV25" t="n">
        <v>2967.4</v>
      </c>
      <c r="BW25" t="inlineStr">
        <is>
          <t>DANISH KRONE</t>
        </is>
      </c>
      <c r="BY25" t="n">
        <v>4049.81</v>
      </c>
      <c r="BZ25" t="n">
        <v>4204.68</v>
      </c>
      <c r="CA25" t="inlineStr">
        <is>
          <t>RUSSIAN RUBLE</t>
        </is>
      </c>
      <c r="CC25" t="n">
        <v>329.22</v>
      </c>
      <c r="CD25" t="n">
        <v>364.43</v>
      </c>
    </row>
    <row r="26">
      <c r="A26" t="inlineStr">
        <is>
          <t>25/01/2026</t>
        </is>
      </c>
      <c r="B26">
        <f>IF(ISNUMBER(A26), A26, DATE(RIGHT(A26,4), MID(A26,4,2), LEFT(A26,2)))</f>
        <v/>
      </c>
      <c r="C26" t="inlineStr">
        <is>
          <t>US DOLLAR</t>
        </is>
      </c>
      <c r="D26" t="n">
        <v>26031</v>
      </c>
      <c r="E26" t="n">
        <v>26061</v>
      </c>
      <c r="F26" t="n">
        <v>26381</v>
      </c>
      <c r="G26" t="inlineStr">
        <is>
          <t>EURO</t>
        </is>
      </c>
      <c r="H26" t="n">
        <v>30022.45</v>
      </c>
      <c r="I26" t="n">
        <v>30325.71</v>
      </c>
      <c r="J26" t="n">
        <v>31605.35</v>
      </c>
      <c r="K26" t="inlineStr">
        <is>
          <t>POUND STERLING</t>
        </is>
      </c>
      <c r="L26" t="n">
        <v>34502.04</v>
      </c>
      <c r="M26" t="n">
        <v>34850.55</v>
      </c>
      <c r="N26" t="n">
        <v>35966.77</v>
      </c>
      <c r="O26" t="inlineStr">
        <is>
          <t>YEN</t>
        </is>
      </c>
      <c r="P26" t="n">
        <v>160.03</v>
      </c>
      <c r="Q26" t="n">
        <v>161.65</v>
      </c>
      <c r="R26" t="n">
        <v>170.19</v>
      </c>
      <c r="S26" t="inlineStr">
        <is>
          <t>AUSTRALIAN DOLLAR</t>
        </is>
      </c>
      <c r="T26" t="n">
        <v>17501.59</v>
      </c>
      <c r="U26" t="n">
        <v>17678.38</v>
      </c>
      <c r="V26" t="n">
        <v>18244.59</v>
      </c>
      <c r="W26" t="inlineStr">
        <is>
          <t>CANADIAN DOLLAR</t>
        </is>
      </c>
      <c r="X26" t="n">
        <v>18549.49</v>
      </c>
      <c r="Y26" t="n">
        <v>18736.86</v>
      </c>
      <c r="Z26" t="n">
        <v>19336.98</v>
      </c>
      <c r="AA26" t="inlineStr">
        <is>
          <t>SWISS FRANC</t>
        </is>
      </c>
      <c r="AB26" t="n">
        <v>32372.39</v>
      </c>
      <c r="AC26" t="n">
        <v>32699.38</v>
      </c>
      <c r="AD26" t="n">
        <v>33746.71</v>
      </c>
      <c r="AE26" t="inlineStr">
        <is>
          <t>SINGAPORE DOLLAR</t>
        </is>
      </c>
      <c r="AF26" t="n">
        <v>19982.02</v>
      </c>
      <c r="AG26" t="n">
        <v>20183.86</v>
      </c>
      <c r="AH26" t="n">
        <v>20872.04</v>
      </c>
      <c r="AI26" t="inlineStr">
        <is>
          <t>YUAN RENMINBI</t>
        </is>
      </c>
      <c r="AJ26" t="n">
        <v>3672.87</v>
      </c>
      <c r="AK26" t="n">
        <v>3709.97</v>
      </c>
      <c r="AL26" t="n">
        <v>3828.79</v>
      </c>
      <c r="AM26" t="inlineStr">
        <is>
          <t>HONGKONG DOLLAR</t>
        </is>
      </c>
      <c r="AN26" t="n">
        <v>3270.21</v>
      </c>
      <c r="AO26" t="n">
        <v>3303.24</v>
      </c>
      <c r="AP26" t="n">
        <v>3429.56</v>
      </c>
      <c r="AQ26" t="inlineStr">
        <is>
          <t>THAILAND BAHT</t>
        </is>
      </c>
      <c r="AR26" t="n">
        <v>741.75</v>
      </c>
      <c r="AS26" t="n">
        <v>824.17</v>
      </c>
      <c r="AT26" t="n">
        <v>859.12</v>
      </c>
      <c r="AU26" t="inlineStr">
        <is>
          <t>KOREAN WON</t>
        </is>
      </c>
      <c r="AV26" t="n">
        <v>15.46</v>
      </c>
      <c r="AW26" t="n">
        <v>17.18</v>
      </c>
      <c r="AX26" t="n">
        <v>18.64</v>
      </c>
      <c r="AY26" t="inlineStr">
        <is>
          <t>MALAYSIAN RINGGIT</t>
        </is>
      </c>
      <c r="BA26" t="n">
        <v>6485.24</v>
      </c>
      <c r="BB26" t="n">
        <v>6626.34</v>
      </c>
      <c r="BC26" t="inlineStr">
        <is>
          <t>INDIAN RUPEE</t>
        </is>
      </c>
      <c r="BE26" t="n">
        <v>283.86</v>
      </c>
      <c r="BF26" t="n">
        <v>296.07</v>
      </c>
      <c r="BG26" t="inlineStr">
        <is>
          <t>KUWAITI DINAR</t>
        </is>
      </c>
      <c r="BI26" t="n">
        <v>85371.57000000001</v>
      </c>
      <c r="BJ26" t="n">
        <v>89509.71000000001</v>
      </c>
      <c r="BK26" t="inlineStr">
        <is>
          <t>SAUDI RIAL</t>
        </is>
      </c>
      <c r="BM26" t="n">
        <v>6957.4</v>
      </c>
      <c r="BN26" t="n">
        <v>7256.84</v>
      </c>
      <c r="BO26" t="inlineStr">
        <is>
          <t>NORWEGIAN KRONER</t>
        </is>
      </c>
      <c r="BQ26" t="n">
        <v>2606.56</v>
      </c>
      <c r="BR26" t="n">
        <v>2717.09</v>
      </c>
      <c r="BS26" t="inlineStr">
        <is>
          <t>SWEDISH KRONA</t>
        </is>
      </c>
      <c r="BU26" t="n">
        <v>2846.69</v>
      </c>
      <c r="BV26" t="n">
        <v>2967.4</v>
      </c>
      <c r="BW26" t="inlineStr">
        <is>
          <t>DANISH KRONE</t>
        </is>
      </c>
      <c r="BY26" t="n">
        <v>4049.81</v>
      </c>
      <c r="BZ26" t="n">
        <v>4204.68</v>
      </c>
      <c r="CA26" t="inlineStr">
        <is>
          <t>RUSSIAN RUBLE</t>
        </is>
      </c>
      <c r="CC26" t="n">
        <v>329.22</v>
      </c>
      <c r="CD26" t="n">
        <v>364.43</v>
      </c>
    </row>
    <row r="27">
      <c r="A27" t="inlineStr">
        <is>
          <t>26/01/2026</t>
        </is>
      </c>
      <c r="B27">
        <f>IF(ISNUMBER(A27), A27, DATE(RIGHT(A27,4), MID(A27,4,2), LEFT(A27,2)))</f>
        <v/>
      </c>
      <c r="C27" t="inlineStr">
        <is>
          <t>US DOLLAR</t>
        </is>
      </c>
      <c r="D27" t="n">
        <v>25978</v>
      </c>
      <c r="E27" t="n">
        <v>26008</v>
      </c>
      <c r="F27" t="n">
        <v>26368</v>
      </c>
      <c r="G27" t="inlineStr">
        <is>
          <t>EURO</t>
        </is>
      </c>
      <c r="H27" t="n">
        <v>30268.89</v>
      </c>
      <c r="I27" t="n">
        <v>30574.63</v>
      </c>
      <c r="J27" t="n">
        <v>31864.87</v>
      </c>
      <c r="K27" t="inlineStr">
        <is>
          <t>POUND STERLING</t>
        </is>
      </c>
      <c r="L27" t="n">
        <v>34852.22</v>
      </c>
      <c r="M27" t="n">
        <v>35204.26</v>
      </c>
      <c r="N27" t="n">
        <v>36331.92</v>
      </c>
      <c r="O27" t="inlineStr">
        <is>
          <t>YEN</t>
        </is>
      </c>
      <c r="P27" t="n">
        <v>163.92</v>
      </c>
      <c r="Q27" t="n">
        <v>165.58</v>
      </c>
      <c r="R27" t="n">
        <v>174.33</v>
      </c>
      <c r="S27" t="inlineStr">
        <is>
          <t>AUSTRALIAN DOLLAR</t>
        </is>
      </c>
      <c r="T27" t="n">
        <v>17646.86</v>
      </c>
      <c r="U27" t="n">
        <v>17825.11</v>
      </c>
      <c r="V27" t="n">
        <v>18396.08</v>
      </c>
      <c r="W27" t="inlineStr">
        <is>
          <t>CANADIAN DOLLAR</t>
        </is>
      </c>
      <c r="X27" t="n">
        <v>18654.84</v>
      </c>
      <c r="Y27" t="n">
        <v>18843.27</v>
      </c>
      <c r="Z27" t="n">
        <v>19446.86</v>
      </c>
      <c r="AA27" t="inlineStr">
        <is>
          <t>SWISS FRANC</t>
        </is>
      </c>
      <c r="AB27" t="n">
        <v>32855.48</v>
      </c>
      <c r="AC27" t="n">
        <v>33187.35</v>
      </c>
      <c r="AD27" t="n">
        <v>34250.4</v>
      </c>
      <c r="AE27" t="inlineStr">
        <is>
          <t>SINGAPORE DOLLAR</t>
        </is>
      </c>
      <c r="AF27" t="n">
        <v>20091.63</v>
      </c>
      <c r="AG27" t="n">
        <v>20294.57</v>
      </c>
      <c r="AH27" t="n">
        <v>20986.59</v>
      </c>
      <c r="AI27" t="inlineStr">
        <is>
          <t>YUAN RENMINBI</t>
        </is>
      </c>
      <c r="AJ27" t="n">
        <v>3669.87</v>
      </c>
      <c r="AK27" t="n">
        <v>3706.94</v>
      </c>
      <c r="AL27" t="n">
        <v>3825.68</v>
      </c>
      <c r="AM27" t="inlineStr">
        <is>
          <t>HONGKONG DOLLAR</t>
        </is>
      </c>
      <c r="AN27" t="n">
        <v>3265.65</v>
      </c>
      <c r="AO27" t="n">
        <v>3298.64</v>
      </c>
      <c r="AP27" t="n">
        <v>3424.79</v>
      </c>
      <c r="AQ27" t="inlineStr">
        <is>
          <t>THAILAND BAHT</t>
        </is>
      </c>
      <c r="AR27" t="n">
        <v>742.72</v>
      </c>
      <c r="AS27" t="n">
        <v>825.24</v>
      </c>
      <c r="AT27" t="n">
        <v>860.24</v>
      </c>
      <c r="AU27" t="inlineStr">
        <is>
          <t>KOREAN WON</t>
        </is>
      </c>
      <c r="AV27" t="n">
        <v>15.71</v>
      </c>
      <c r="AW27" t="n">
        <v>17.45</v>
      </c>
      <c r="AX27" t="n">
        <v>18.94</v>
      </c>
      <c r="AY27" t="inlineStr">
        <is>
          <t>MALAYSIAN RINGGIT</t>
        </is>
      </c>
      <c r="BA27" t="n">
        <v>6528.32</v>
      </c>
      <c r="BB27" t="n">
        <v>6670.38</v>
      </c>
      <c r="BC27" t="inlineStr">
        <is>
          <t>INDIAN RUPEE</t>
        </is>
      </c>
      <c r="BE27" t="n">
        <v>284.2</v>
      </c>
      <c r="BF27" t="n">
        <v>296.43</v>
      </c>
      <c r="BG27" t="inlineStr">
        <is>
          <t>KUWAITI DINAR</t>
        </is>
      </c>
      <c r="BI27" t="n">
        <v>85320.45</v>
      </c>
      <c r="BJ27" t="n">
        <v>89456.37</v>
      </c>
      <c r="BK27" t="inlineStr">
        <is>
          <t>SAUDI RIAL</t>
        </is>
      </c>
      <c r="BM27" t="n">
        <v>6944.5</v>
      </c>
      <c r="BN27" t="n">
        <v>7243.41</v>
      </c>
      <c r="BO27" t="inlineStr">
        <is>
          <t>NORWEGIAN KRONER</t>
        </is>
      </c>
      <c r="BQ27" t="n">
        <v>2636.83</v>
      </c>
      <c r="BR27" t="n">
        <v>2748.65</v>
      </c>
      <c r="BS27" t="inlineStr">
        <is>
          <t>SWEDISH KRONA</t>
        </is>
      </c>
      <c r="BU27" t="n">
        <v>2882.44</v>
      </c>
      <c r="BV27" t="n">
        <v>3004.67</v>
      </c>
      <c r="BW27" t="inlineStr">
        <is>
          <t>DANISH KRONE</t>
        </is>
      </c>
      <c r="BY27" t="n">
        <v>4083.57</v>
      </c>
      <c r="BZ27" t="n">
        <v>4239.74</v>
      </c>
      <c r="CA27" t="inlineStr">
        <is>
          <t>RUSSIAN RUBLE</t>
        </is>
      </c>
      <c r="CC27" t="n">
        <v>330.14</v>
      </c>
      <c r="CD27" t="n">
        <v>365.45</v>
      </c>
    </row>
    <row r="28">
      <c r="A28" t="inlineStr">
        <is>
          <t>27/01/2026</t>
        </is>
      </c>
      <c r="B28">
        <f>IF(ISNUMBER(A28), A28, DATE(RIGHT(A28,4), MID(A28,4,2), LEFT(A28,2)))</f>
        <v/>
      </c>
      <c r="C28" t="inlineStr">
        <is>
          <t>US DOLLAR</t>
        </is>
      </c>
      <c r="D28" t="n">
        <v>25940</v>
      </c>
      <c r="E28" t="n">
        <v>25970</v>
      </c>
      <c r="F28" t="n">
        <v>26330</v>
      </c>
      <c r="G28" t="inlineStr">
        <is>
          <t>EURO</t>
        </is>
      </c>
      <c r="H28" t="n">
        <v>30286.32</v>
      </c>
      <c r="I28" t="n">
        <v>30592.25</v>
      </c>
      <c r="J28" t="n">
        <v>31883.3</v>
      </c>
      <c r="K28" t="inlineStr">
        <is>
          <t>POUND STERLING</t>
        </is>
      </c>
      <c r="L28" t="n">
        <v>34877.94</v>
      </c>
      <c r="M28" t="n">
        <v>35230.24</v>
      </c>
      <c r="N28" t="n">
        <v>36358.82</v>
      </c>
      <c r="O28" t="inlineStr">
        <is>
          <t>YEN</t>
        </is>
      </c>
      <c r="P28" t="n">
        <v>163.63</v>
      </c>
      <c r="Q28" t="n">
        <v>165.28</v>
      </c>
      <c r="R28" t="n">
        <v>174.02</v>
      </c>
      <c r="S28" t="inlineStr">
        <is>
          <t>AUSTRALIAN DOLLAR</t>
        </is>
      </c>
      <c r="T28" t="n">
        <v>17632.62</v>
      </c>
      <c r="U28" t="n">
        <v>17810.73</v>
      </c>
      <c r="V28" t="n">
        <v>18381.28</v>
      </c>
      <c r="W28" t="inlineStr">
        <is>
          <t>CANADIAN DOLLAR</t>
        </is>
      </c>
      <c r="X28" t="n">
        <v>18589.65</v>
      </c>
      <c r="Y28" t="n">
        <v>18777.42</v>
      </c>
      <c r="Z28" t="n">
        <v>19378.94</v>
      </c>
      <c r="AA28" t="inlineStr">
        <is>
          <t>SWISS FRANC</t>
        </is>
      </c>
      <c r="AB28" t="n">
        <v>32843.3</v>
      </c>
      <c r="AC28" t="n">
        <v>33175.05</v>
      </c>
      <c r="AD28" t="n">
        <v>34237.79</v>
      </c>
      <c r="AE28" t="inlineStr">
        <is>
          <t>SINGAPORE DOLLAR</t>
        </is>
      </c>
      <c r="AF28" t="n">
        <v>20071.99</v>
      </c>
      <c r="AG28" t="n">
        <v>20274.74</v>
      </c>
      <c r="AH28" t="n">
        <v>20966.12</v>
      </c>
      <c r="AI28" t="inlineStr">
        <is>
          <t>YUAN RENMINBI</t>
        </is>
      </c>
      <c r="AJ28" t="n">
        <v>3663.31</v>
      </c>
      <c r="AK28" t="n">
        <v>3700.32</v>
      </c>
      <c r="AL28" t="n">
        <v>3818.85</v>
      </c>
      <c r="AM28" t="inlineStr">
        <is>
          <t>HONGKONG DOLLAR</t>
        </is>
      </c>
      <c r="AN28" t="n">
        <v>3258.99</v>
      </c>
      <c r="AO28" t="n">
        <v>3291.91</v>
      </c>
      <c r="AP28" t="n">
        <v>3417.81</v>
      </c>
      <c r="AQ28" t="inlineStr">
        <is>
          <t>THAILAND BAHT</t>
        </is>
      </c>
      <c r="AR28" t="n">
        <v>738.97</v>
      </c>
      <c r="AS28" t="n">
        <v>821.08</v>
      </c>
      <c r="AT28" t="n">
        <v>855.9</v>
      </c>
      <c r="AU28" t="inlineStr">
        <is>
          <t>KOREAN WON</t>
        </is>
      </c>
      <c r="AV28" t="n">
        <v>15.62</v>
      </c>
      <c r="AW28" t="n">
        <v>17.36</v>
      </c>
      <c r="AX28" t="n">
        <v>18.83</v>
      </c>
      <c r="AY28" t="inlineStr">
        <is>
          <t>MALAYSIAN RINGGIT</t>
        </is>
      </c>
      <c r="BA28" t="n">
        <v>6533.15</v>
      </c>
      <c r="BB28" t="n">
        <v>6675.34</v>
      </c>
      <c r="BC28" t="inlineStr">
        <is>
          <t>INDIAN RUPEE</t>
        </is>
      </c>
      <c r="BE28" t="n">
        <v>283.54</v>
      </c>
      <c r="BF28" t="n">
        <v>295.74</v>
      </c>
      <c r="BG28" t="inlineStr">
        <is>
          <t>KUWAITI DINAR</t>
        </is>
      </c>
      <c r="BI28" t="n">
        <v>85245.89999999999</v>
      </c>
      <c r="BJ28" t="n">
        <v>89378.42</v>
      </c>
      <c r="BK28" t="inlineStr">
        <is>
          <t>SAUDI RIAL</t>
        </is>
      </c>
      <c r="BM28" t="n">
        <v>6933.7</v>
      </c>
      <c r="BN28" t="n">
        <v>7232.16</v>
      </c>
      <c r="BO28" t="inlineStr">
        <is>
          <t>NORWEGIAN KRONER</t>
        </is>
      </c>
      <c r="BQ28" t="n">
        <v>2621.54</v>
      </c>
      <c r="BR28" t="n">
        <v>2732.71</v>
      </c>
      <c r="BS28" t="inlineStr">
        <is>
          <t>SWEDISH KRONA</t>
        </is>
      </c>
      <c r="BU28" t="n">
        <v>2868.52</v>
      </c>
      <c r="BV28" t="n">
        <v>2990.18</v>
      </c>
      <c r="BW28" t="inlineStr">
        <is>
          <t>DANISH KRONE</t>
        </is>
      </c>
      <c r="BY28" t="n">
        <v>4085.76</v>
      </c>
      <c r="BZ28" t="n">
        <v>4242.03</v>
      </c>
      <c r="CA28" t="inlineStr">
        <is>
          <t>RUSSIAN RUBLE</t>
        </is>
      </c>
      <c r="CC28" t="n">
        <v>325.22</v>
      </c>
      <c r="CD28" t="n">
        <v>360</v>
      </c>
    </row>
    <row r="29">
      <c r="A29" t="inlineStr">
        <is>
          <t>28/01/2026</t>
        </is>
      </c>
      <c r="B29">
        <f>IF(ISNUMBER(A29), A29, DATE(RIGHT(A29,4), MID(A29,4,2), LEFT(A29,2)))</f>
        <v/>
      </c>
      <c r="C29" t="inlineStr">
        <is>
          <t>US DOLLAR</t>
        </is>
      </c>
      <c r="D29" t="n">
        <v>25870</v>
      </c>
      <c r="E29" t="n">
        <v>25900</v>
      </c>
      <c r="F29" t="n">
        <v>26260</v>
      </c>
      <c r="G29" t="inlineStr">
        <is>
          <t>EURO</t>
        </is>
      </c>
      <c r="H29" t="n">
        <v>30492.35</v>
      </c>
      <c r="I29" t="n">
        <v>30800.35</v>
      </c>
      <c r="J29" t="n">
        <v>32100.32</v>
      </c>
      <c r="K29" t="inlineStr">
        <is>
          <t>POUND STERLING</t>
        </is>
      </c>
      <c r="L29" t="n">
        <v>35084.37</v>
      </c>
      <c r="M29" t="n">
        <v>35438.76</v>
      </c>
      <c r="N29" t="n">
        <v>36574.16</v>
      </c>
      <c r="O29" t="inlineStr">
        <is>
          <t>YEN</t>
        </is>
      </c>
      <c r="P29" t="n">
        <v>165.05</v>
      </c>
      <c r="Q29" t="n">
        <v>166.72</v>
      </c>
      <c r="R29" t="n">
        <v>175.54</v>
      </c>
      <c r="S29" t="inlineStr">
        <is>
          <t>AUSTRALIAN DOLLAR</t>
        </is>
      </c>
      <c r="T29" t="n">
        <v>17801.39</v>
      </c>
      <c r="U29" t="n">
        <v>17981.2</v>
      </c>
      <c r="V29" t="n">
        <v>18557.3</v>
      </c>
      <c r="W29" t="inlineStr">
        <is>
          <t>CANADIAN DOLLAR</t>
        </is>
      </c>
      <c r="X29" t="n">
        <v>18725.6</v>
      </c>
      <c r="Y29" t="n">
        <v>18914.75</v>
      </c>
      <c r="Z29" t="n">
        <v>19520.75</v>
      </c>
      <c r="AA29" t="inlineStr">
        <is>
          <t>SWISS FRANC</t>
        </is>
      </c>
      <c r="AB29" t="n">
        <v>33256.74</v>
      </c>
      <c r="AC29" t="n">
        <v>33592.67</v>
      </c>
      <c r="AD29" t="n">
        <v>34668.93</v>
      </c>
      <c r="AE29" t="inlineStr">
        <is>
          <t>SINGAPORE DOLLAR</t>
        </is>
      </c>
      <c r="AF29" t="n">
        <v>20158.06</v>
      </c>
      <c r="AG29" t="n">
        <v>20361.68</v>
      </c>
      <c r="AH29" t="n">
        <v>21056.12</v>
      </c>
      <c r="AI29" t="inlineStr">
        <is>
          <t>YUAN RENMINBI</t>
        </is>
      </c>
      <c r="AJ29" t="n">
        <v>3660.02</v>
      </c>
      <c r="AK29" t="n">
        <v>3696.99</v>
      </c>
      <c r="AL29" t="n">
        <v>3815.44</v>
      </c>
      <c r="AM29" t="inlineStr">
        <is>
          <t>HONGKONG DOLLAR</t>
        </is>
      </c>
      <c r="AN29" t="n">
        <v>3248.88</v>
      </c>
      <c r="AO29" t="n">
        <v>3281.7</v>
      </c>
      <c r="AP29" t="n">
        <v>3407.23</v>
      </c>
      <c r="AQ29" t="inlineStr">
        <is>
          <t>THAILAND BAHT</t>
        </is>
      </c>
      <c r="AR29" t="n">
        <v>743.1799999999999</v>
      </c>
      <c r="AS29" t="n">
        <v>825.76</v>
      </c>
      <c r="AT29" t="n">
        <v>860.78</v>
      </c>
      <c r="AU29" t="inlineStr">
        <is>
          <t>KOREAN WON</t>
        </is>
      </c>
      <c r="AV29" t="n">
        <v>15.82</v>
      </c>
      <c r="AW29" t="n">
        <v>17.58</v>
      </c>
      <c r="AX29" t="n">
        <v>19.08</v>
      </c>
      <c r="AY29" t="inlineStr">
        <is>
          <t>MALAYSIAN RINGGIT</t>
        </is>
      </c>
      <c r="BA29" t="n">
        <v>6595.6</v>
      </c>
      <c r="BB29" t="n">
        <v>6739.17</v>
      </c>
      <c r="BC29" t="inlineStr">
        <is>
          <t>INDIAN RUPEE</t>
        </is>
      </c>
      <c r="BE29" t="n">
        <v>282.84</v>
      </c>
      <c r="BF29" t="n">
        <v>295.02</v>
      </c>
      <c r="BG29" t="inlineStr">
        <is>
          <t>KUWAITI DINAR</t>
        </is>
      </c>
      <c r="BI29" t="n">
        <v>85101.24000000001</v>
      </c>
      <c r="BJ29" t="n">
        <v>89227.11</v>
      </c>
      <c r="BK29" t="inlineStr">
        <is>
          <t>SAUDI RIAL</t>
        </is>
      </c>
      <c r="BM29" t="n">
        <v>6914.21</v>
      </c>
      <c r="BN29" t="n">
        <v>7211.86</v>
      </c>
      <c r="BO29" t="inlineStr">
        <is>
          <t>NORWEGIAN KRONER</t>
        </is>
      </c>
      <c r="BQ29" t="n">
        <v>2667.64</v>
      </c>
      <c r="BR29" t="n">
        <v>2780.78</v>
      </c>
      <c r="BS29" t="inlineStr">
        <is>
          <t>SWEDISH KRONA</t>
        </is>
      </c>
      <c r="BU29" t="n">
        <v>2904.68</v>
      </c>
      <c r="BV29" t="n">
        <v>3027.88</v>
      </c>
      <c r="BW29" t="inlineStr">
        <is>
          <t>DANISH KRONE</t>
        </is>
      </c>
      <c r="BY29" t="n">
        <v>4113.78</v>
      </c>
      <c r="BZ29" t="n">
        <v>4271.13</v>
      </c>
      <c r="CA29" t="inlineStr">
        <is>
          <t>RUSSIAN RUBLE</t>
        </is>
      </c>
      <c r="CC29" t="n">
        <v>327.43</v>
      </c>
      <c r="CD29" t="n">
        <v>362.45</v>
      </c>
    </row>
    <row r="30">
      <c r="A30" t="inlineStr">
        <is>
          <t>29/01/2026</t>
        </is>
      </c>
      <c r="B30">
        <f>IF(ISNUMBER(A30), A30, DATE(RIGHT(A30,4), MID(A30,4,2), LEFT(A30,2)))</f>
        <v/>
      </c>
      <c r="C30" t="inlineStr">
        <is>
          <t>US DOLLAR</t>
        </is>
      </c>
      <c r="D30" t="n">
        <v>25810</v>
      </c>
      <c r="E30" t="n">
        <v>25840</v>
      </c>
      <c r="F30" t="n">
        <v>26200</v>
      </c>
      <c r="G30" t="inlineStr">
        <is>
          <t>EURO</t>
        </is>
      </c>
      <c r="H30" t="n">
        <v>30341.01</v>
      </c>
      <c r="I30" t="n">
        <v>30647.49</v>
      </c>
      <c r="J30" t="n">
        <v>31941.12</v>
      </c>
      <c r="K30" t="inlineStr">
        <is>
          <t>POUND STERLING</t>
        </is>
      </c>
      <c r="L30" t="n">
        <v>35056.84</v>
      </c>
      <c r="M30" t="n">
        <v>35410.95</v>
      </c>
      <c r="N30" t="n">
        <v>36545.59</v>
      </c>
      <c r="O30" t="inlineStr">
        <is>
          <t>YEN</t>
        </is>
      </c>
      <c r="P30" t="n">
        <v>163.7</v>
      </c>
      <c r="Q30" t="n">
        <v>165.36</v>
      </c>
      <c r="R30" t="n">
        <v>174.1</v>
      </c>
      <c r="S30" t="inlineStr">
        <is>
          <t>AUSTRALIAN DOLLAR</t>
        </is>
      </c>
      <c r="T30" t="n">
        <v>17907.46</v>
      </c>
      <c r="U30" t="n">
        <v>18088.34</v>
      </c>
      <c r="V30" t="n">
        <v>18667.93</v>
      </c>
      <c r="W30" t="inlineStr">
        <is>
          <t>CANADIAN DOLLAR</t>
        </is>
      </c>
      <c r="X30" t="n">
        <v>18751.56</v>
      </c>
      <c r="Y30" t="n">
        <v>18940.97</v>
      </c>
      <c r="Z30" t="n">
        <v>19547.88</v>
      </c>
      <c r="AA30" t="inlineStr">
        <is>
          <t>SWISS FRANC</t>
        </is>
      </c>
      <c r="AB30" t="n">
        <v>33067.68</v>
      </c>
      <c r="AC30" t="n">
        <v>33401.7</v>
      </c>
      <c r="AD30" t="n">
        <v>34471.96</v>
      </c>
      <c r="AE30" t="inlineStr">
        <is>
          <t>SINGAPORE DOLLAR</t>
        </is>
      </c>
      <c r="AF30" t="n">
        <v>20055.93</v>
      </c>
      <c r="AG30" t="n">
        <v>20258.51</v>
      </c>
      <c r="AH30" t="n">
        <v>20949.5</v>
      </c>
      <c r="AI30" t="inlineStr">
        <is>
          <t>YUAN RENMINBI</t>
        </is>
      </c>
      <c r="AJ30" t="n">
        <v>3650.97</v>
      </c>
      <c r="AK30" t="n">
        <v>3687.84</v>
      </c>
      <c r="AL30" t="n">
        <v>3806.01</v>
      </c>
      <c r="AM30" t="inlineStr">
        <is>
          <t>HONGKONG DOLLAR</t>
        </is>
      </c>
      <c r="AN30" t="n">
        <v>3239.45</v>
      </c>
      <c r="AO30" t="n">
        <v>3272.17</v>
      </c>
      <c r="AP30" t="n">
        <v>3397.35</v>
      </c>
      <c r="AQ30" t="inlineStr">
        <is>
          <t>THAILAND BAHT</t>
        </is>
      </c>
      <c r="AR30" t="n">
        <v>736.24</v>
      </c>
      <c r="AS30" t="n">
        <v>818.04</v>
      </c>
      <c r="AT30" t="n">
        <v>852.74</v>
      </c>
      <c r="AU30" t="inlineStr">
        <is>
          <t>KOREAN WON</t>
        </is>
      </c>
      <c r="AV30" t="n">
        <v>15.72</v>
      </c>
      <c r="AW30" t="n">
        <v>17.47</v>
      </c>
      <c r="AX30" t="n">
        <v>18.95</v>
      </c>
      <c r="AY30" t="inlineStr">
        <is>
          <t>MALAYSIAN RINGGIT</t>
        </is>
      </c>
      <c r="BA30" t="n">
        <v>6555.28</v>
      </c>
      <c r="BB30" t="n">
        <v>6698</v>
      </c>
      <c r="BC30" t="inlineStr">
        <is>
          <t>INDIAN RUPEE</t>
        </is>
      </c>
      <c r="BE30" t="n">
        <v>281.41</v>
      </c>
      <c r="BF30" t="n">
        <v>293.52</v>
      </c>
      <c r="BG30" t="inlineStr">
        <is>
          <t>KUWAITI DINAR</t>
        </is>
      </c>
      <c r="BI30" t="n">
        <v>84905.31</v>
      </c>
      <c r="BJ30" t="n">
        <v>89021.99000000001</v>
      </c>
      <c r="BK30" t="inlineStr">
        <is>
          <t>SAUDI RIAL</t>
        </is>
      </c>
      <c r="BM30" t="n">
        <v>6897.74</v>
      </c>
      <c r="BN30" t="n">
        <v>7194.7</v>
      </c>
      <c r="BO30" t="inlineStr">
        <is>
          <t>NORWEGIAN KRONER</t>
        </is>
      </c>
      <c r="BQ30" t="n">
        <v>2661.72</v>
      </c>
      <c r="BR30" t="n">
        <v>2774.62</v>
      </c>
      <c r="BS30" t="inlineStr">
        <is>
          <t>SWEDISH KRONA</t>
        </is>
      </c>
      <c r="BU30" t="n">
        <v>2887.69</v>
      </c>
      <c r="BV30" t="n">
        <v>3010.18</v>
      </c>
      <c r="BW30" t="inlineStr">
        <is>
          <t>DANISH KRONE</t>
        </is>
      </c>
      <c r="BY30" t="n">
        <v>4093.71</v>
      </c>
      <c r="BZ30" t="n">
        <v>4250.32</v>
      </c>
      <c r="CA30" t="inlineStr">
        <is>
          <t>RUSSIAN RUBLE</t>
        </is>
      </c>
      <c r="CC30" t="n">
        <v>325.17</v>
      </c>
      <c r="CD30" t="n">
        <v>359.95</v>
      </c>
    </row>
    <row r="31">
      <c r="A31" t="inlineStr">
        <is>
          <t>30/01/2026</t>
        </is>
      </c>
      <c r="B31">
        <f>IF(ISNUMBER(A31), A31, DATE(RIGHT(A31,4), MID(A31,4,2), LEFT(A31,2)))</f>
        <v/>
      </c>
      <c r="C31" t="inlineStr">
        <is>
          <t>US DOLLAR</t>
        </is>
      </c>
      <c r="D31" t="n">
        <v>25720</v>
      </c>
      <c r="E31" t="n">
        <v>25750</v>
      </c>
      <c r="F31" t="n">
        <v>26110</v>
      </c>
      <c r="G31" t="inlineStr">
        <is>
          <t>EURO</t>
        </is>
      </c>
      <c r="H31" t="n">
        <v>30066.7</v>
      </c>
      <c r="I31" t="n">
        <v>30370.41</v>
      </c>
      <c r="J31" t="n">
        <v>31652.51</v>
      </c>
      <c r="K31" t="inlineStr">
        <is>
          <t>POUND STERLING</t>
        </is>
      </c>
      <c r="L31" t="n">
        <v>34680.3</v>
      </c>
      <c r="M31" t="n">
        <v>35030.61</v>
      </c>
      <c r="N31" t="n">
        <v>36153.25</v>
      </c>
      <c r="O31" t="inlineStr">
        <is>
          <t>YEN</t>
        </is>
      </c>
      <c r="P31" t="n">
        <v>162.25</v>
      </c>
      <c r="Q31" t="n">
        <v>163.89</v>
      </c>
      <c r="R31" t="n">
        <v>172.56</v>
      </c>
      <c r="S31" t="inlineStr">
        <is>
          <t>AUSTRALIAN DOLLAR</t>
        </is>
      </c>
      <c r="T31" t="n">
        <v>17605.44</v>
      </c>
      <c r="U31" t="n">
        <v>17783.28</v>
      </c>
      <c r="V31" t="n">
        <v>18353.19</v>
      </c>
      <c r="W31" t="inlineStr">
        <is>
          <t>CANADIAN DOLLAR</t>
        </is>
      </c>
      <c r="X31" t="n">
        <v>18649.42</v>
      </c>
      <c r="Y31" t="n">
        <v>18837.79</v>
      </c>
      <c r="Z31" t="n">
        <v>19441.5</v>
      </c>
      <c r="AA31" t="inlineStr">
        <is>
          <t>SWISS FRANC</t>
        </is>
      </c>
      <c r="AB31" t="n">
        <v>32824.81</v>
      </c>
      <c r="AC31" t="n">
        <v>33156.38</v>
      </c>
      <c r="AD31" t="n">
        <v>34218.96</v>
      </c>
      <c r="AE31" t="inlineStr">
        <is>
          <t>SINGAPORE DOLLAR</t>
        </is>
      </c>
      <c r="AF31" t="n">
        <v>19896.72</v>
      </c>
      <c r="AG31" t="n">
        <v>20097.7</v>
      </c>
      <c r="AH31" t="n">
        <v>20783.32</v>
      </c>
      <c r="AI31" t="inlineStr">
        <is>
          <t>YUAN RENMINBI</t>
        </is>
      </c>
      <c r="AJ31" t="n">
        <v>3634.66</v>
      </c>
      <c r="AK31" t="n">
        <v>3671.38</v>
      </c>
      <c r="AL31" t="n">
        <v>3789.04</v>
      </c>
      <c r="AM31" t="inlineStr">
        <is>
          <t>HONGKONG DOLLAR</t>
        </is>
      </c>
      <c r="AN31" t="n">
        <v>3227.28</v>
      </c>
      <c r="AO31" t="n">
        <v>3259.88</v>
      </c>
      <c r="AP31" t="n">
        <v>3384.61</v>
      </c>
      <c r="AQ31" t="inlineStr">
        <is>
          <t>THAILAND BAHT</t>
        </is>
      </c>
      <c r="AR31" t="n">
        <v>726.23</v>
      </c>
      <c r="AS31" t="n">
        <v>806.92</v>
      </c>
      <c r="AT31" t="n">
        <v>841.16</v>
      </c>
      <c r="AU31" t="inlineStr">
        <is>
          <t>KOREAN WON</t>
        </is>
      </c>
      <c r="AV31" t="n">
        <v>15.51</v>
      </c>
      <c r="AW31" t="n">
        <v>17.23</v>
      </c>
      <c r="AX31" t="n">
        <v>18.7</v>
      </c>
      <c r="AY31" t="inlineStr">
        <is>
          <t>MALAYSIAN RINGGIT</t>
        </is>
      </c>
      <c r="BA31" t="n">
        <v>6512.68</v>
      </c>
      <c r="BB31" t="n">
        <v>6654.51</v>
      </c>
      <c r="BC31" t="inlineStr">
        <is>
          <t>INDIAN RUPEE</t>
        </is>
      </c>
      <c r="BE31" t="n">
        <v>280.28</v>
      </c>
      <c r="BF31" t="n">
        <v>292.35</v>
      </c>
      <c r="BG31" t="inlineStr">
        <is>
          <t>KUWAITI DINAR</t>
        </is>
      </c>
      <c r="BI31" t="n">
        <v>84611.39999999999</v>
      </c>
      <c r="BJ31" t="n">
        <v>88714.31</v>
      </c>
      <c r="BK31" t="inlineStr">
        <is>
          <t>SAUDI RIAL</t>
        </is>
      </c>
      <c r="BM31" t="n">
        <v>6874.04</v>
      </c>
      <c r="BN31" t="n">
        <v>7170.03</v>
      </c>
      <c r="BO31" t="inlineStr">
        <is>
          <t>NORWEGIAN KRONER</t>
        </is>
      </c>
      <c r="BQ31" t="n">
        <v>2644.69</v>
      </c>
      <c r="BR31" t="n">
        <v>2756.88</v>
      </c>
      <c r="BS31" t="inlineStr">
        <is>
          <t>SWEDISH KRONA</t>
        </is>
      </c>
      <c r="BU31" t="n">
        <v>2865.39</v>
      </c>
      <c r="BV31" t="n">
        <v>2986.95</v>
      </c>
      <c r="BW31" t="inlineStr">
        <is>
          <t>DANISH KRONE</t>
        </is>
      </c>
      <c r="BY31" t="n">
        <v>4056.72</v>
      </c>
      <c r="BZ31" t="n">
        <v>4211.93</v>
      </c>
      <c r="CA31" t="inlineStr">
        <is>
          <t>RUSSIAN RUBLE</t>
        </is>
      </c>
      <c r="CC31" t="n">
        <v>327.05</v>
      </c>
      <c r="CD31" t="n">
        <v>362.04</v>
      </c>
    </row>
    <row r="32">
      <c r="A32" t="inlineStr">
        <is>
          <t>31/01/2026</t>
        </is>
      </c>
      <c r="B32">
        <f>IF(ISNUMBER(A32), A32, DATE(RIGHT(A32,4), MID(A32,4,2), LEFT(A32,2)))</f>
        <v/>
      </c>
      <c r="C32" t="inlineStr">
        <is>
          <t>US DOLLAR</t>
        </is>
      </c>
      <c r="D32" t="n">
        <v>25720</v>
      </c>
      <c r="E32" t="n">
        <v>25750</v>
      </c>
      <c r="F32" t="n">
        <v>26110</v>
      </c>
      <c r="G32" t="inlineStr">
        <is>
          <t>EURO</t>
        </is>
      </c>
      <c r="H32" t="n">
        <v>30066.7</v>
      </c>
      <c r="I32" t="n">
        <v>30370.41</v>
      </c>
      <c r="J32" t="n">
        <v>31652.51</v>
      </c>
      <c r="K32" t="inlineStr">
        <is>
          <t>POUND STERLING</t>
        </is>
      </c>
      <c r="L32" t="n">
        <v>34680.3</v>
      </c>
      <c r="M32" t="n">
        <v>35030.61</v>
      </c>
      <c r="N32" t="n">
        <v>36153.25</v>
      </c>
      <c r="O32" t="inlineStr">
        <is>
          <t>YEN</t>
        </is>
      </c>
      <c r="P32" t="n">
        <v>162.25</v>
      </c>
      <c r="Q32" t="n">
        <v>163.89</v>
      </c>
      <c r="R32" t="n">
        <v>172.56</v>
      </c>
      <c r="S32" t="inlineStr">
        <is>
          <t>AUSTRALIAN DOLLAR</t>
        </is>
      </c>
      <c r="T32" t="n">
        <v>17605.44</v>
      </c>
      <c r="U32" t="n">
        <v>17783.28</v>
      </c>
      <c r="V32" t="n">
        <v>18353.19</v>
      </c>
      <c r="W32" t="inlineStr">
        <is>
          <t>CANADIAN DOLLAR</t>
        </is>
      </c>
      <c r="X32" t="n">
        <v>18649.42</v>
      </c>
      <c r="Y32" t="n">
        <v>18837.79</v>
      </c>
      <c r="Z32" t="n">
        <v>19441.5</v>
      </c>
      <c r="AA32" t="inlineStr">
        <is>
          <t>SWISS FRANC</t>
        </is>
      </c>
      <c r="AB32" t="n">
        <v>32824.81</v>
      </c>
      <c r="AC32" t="n">
        <v>33156.38</v>
      </c>
      <c r="AD32" t="n">
        <v>34218.96</v>
      </c>
      <c r="AE32" t="inlineStr">
        <is>
          <t>SINGAPORE DOLLAR</t>
        </is>
      </c>
      <c r="AF32" t="n">
        <v>19896.72</v>
      </c>
      <c r="AG32" t="n">
        <v>20097.7</v>
      </c>
      <c r="AH32" t="n">
        <v>20783.32</v>
      </c>
      <c r="AI32" t="inlineStr">
        <is>
          <t>YUAN RENMINBI</t>
        </is>
      </c>
      <c r="AJ32" t="n">
        <v>3634.66</v>
      </c>
      <c r="AK32" t="n">
        <v>3671.38</v>
      </c>
      <c r="AL32" t="n">
        <v>3789.04</v>
      </c>
      <c r="AM32" t="inlineStr">
        <is>
          <t>HONGKONG DOLLAR</t>
        </is>
      </c>
      <c r="AN32" t="n">
        <v>3227.28</v>
      </c>
      <c r="AO32" t="n">
        <v>3259.88</v>
      </c>
      <c r="AP32" t="n">
        <v>3384.61</v>
      </c>
      <c r="AQ32" t="inlineStr">
        <is>
          <t>THAILAND BAHT</t>
        </is>
      </c>
      <c r="AR32" t="n">
        <v>726.23</v>
      </c>
      <c r="AS32" t="n">
        <v>806.92</v>
      </c>
      <c r="AT32" t="n">
        <v>841.16</v>
      </c>
      <c r="AU32" t="inlineStr">
        <is>
          <t>KOREAN WON</t>
        </is>
      </c>
      <c r="AV32" t="n">
        <v>15.51</v>
      </c>
      <c r="AW32" t="n">
        <v>17.23</v>
      </c>
      <c r="AX32" t="n">
        <v>18.7</v>
      </c>
      <c r="AY32" t="inlineStr">
        <is>
          <t>MALAYSIAN RINGGIT</t>
        </is>
      </c>
      <c r="BA32" t="n">
        <v>6512.68</v>
      </c>
      <c r="BB32" t="n">
        <v>6654.51</v>
      </c>
      <c r="BC32" t="inlineStr">
        <is>
          <t>INDIAN RUPEE</t>
        </is>
      </c>
      <c r="BE32" t="n">
        <v>280.28</v>
      </c>
      <c r="BF32" t="n">
        <v>292.35</v>
      </c>
      <c r="BG32" t="inlineStr">
        <is>
          <t>KUWAITI DINAR</t>
        </is>
      </c>
      <c r="BI32" t="n">
        <v>84611.39999999999</v>
      </c>
      <c r="BJ32" t="n">
        <v>88714.31</v>
      </c>
      <c r="BK32" t="inlineStr">
        <is>
          <t>SAUDI RIAL</t>
        </is>
      </c>
      <c r="BM32" t="n">
        <v>6874.04</v>
      </c>
      <c r="BN32" t="n">
        <v>7170.03</v>
      </c>
      <c r="BO32" t="inlineStr">
        <is>
          <t>NORWEGIAN KRONER</t>
        </is>
      </c>
      <c r="BQ32" t="n">
        <v>2644.69</v>
      </c>
      <c r="BR32" t="n">
        <v>2756.88</v>
      </c>
      <c r="BS32" t="inlineStr">
        <is>
          <t>SWEDISH KRONA</t>
        </is>
      </c>
      <c r="BU32" t="n">
        <v>2865.39</v>
      </c>
      <c r="BV32" t="n">
        <v>2986.95</v>
      </c>
      <c r="BW32" t="inlineStr">
        <is>
          <t>DANISH KRONE</t>
        </is>
      </c>
      <c r="BY32" t="n">
        <v>4056.72</v>
      </c>
      <c r="BZ32" t="n">
        <v>4211.93</v>
      </c>
      <c r="CA32" t="inlineStr">
        <is>
          <t>RUSSIAN RUBLE</t>
        </is>
      </c>
      <c r="CC32" t="n">
        <v>327.05</v>
      </c>
      <c r="CD32" t="n">
        <v>362.04</v>
      </c>
    </row>
    <row r="33">
      <c r="A33" t="inlineStr">
        <is>
          <t>01/02/2026</t>
        </is>
      </c>
      <c r="B33">
        <f>IF(ISNUMBER(A33), A33, DATE(RIGHT(A33,4), MID(A33,4,2), LEFT(A33,2)))</f>
        <v/>
      </c>
      <c r="C33" t="inlineStr">
        <is>
          <t>US DOLLAR</t>
        </is>
      </c>
      <c r="D33" t="n">
        <v>25720</v>
      </c>
      <c r="E33" t="n">
        <v>25750</v>
      </c>
      <c r="F33" t="n">
        <v>26110</v>
      </c>
      <c r="G33" t="inlineStr">
        <is>
          <t>EURO</t>
        </is>
      </c>
      <c r="H33" t="n">
        <v>30066.7</v>
      </c>
      <c r="I33" t="n">
        <v>30370.41</v>
      </c>
      <c r="J33" t="n">
        <v>31652.51</v>
      </c>
      <c r="K33" t="inlineStr">
        <is>
          <t>POUND STERLING</t>
        </is>
      </c>
      <c r="L33" t="n">
        <v>34680.3</v>
      </c>
      <c r="M33" t="n">
        <v>35030.61</v>
      </c>
      <c r="N33" t="n">
        <v>36153.25</v>
      </c>
      <c r="O33" t="inlineStr">
        <is>
          <t>YEN</t>
        </is>
      </c>
      <c r="P33" t="n">
        <v>162.25</v>
      </c>
      <c r="Q33" t="n">
        <v>163.89</v>
      </c>
      <c r="R33" t="n">
        <v>172.56</v>
      </c>
      <c r="S33" t="inlineStr">
        <is>
          <t>AUSTRALIAN DOLLAR</t>
        </is>
      </c>
      <c r="T33" t="n">
        <v>17605.44</v>
      </c>
      <c r="U33" t="n">
        <v>17783.28</v>
      </c>
      <c r="V33" t="n">
        <v>18353.19</v>
      </c>
      <c r="W33" t="inlineStr">
        <is>
          <t>CANADIAN DOLLAR</t>
        </is>
      </c>
      <c r="X33" t="n">
        <v>18649.42</v>
      </c>
      <c r="Y33" t="n">
        <v>18837.79</v>
      </c>
      <c r="Z33" t="n">
        <v>19441.5</v>
      </c>
      <c r="AA33" t="inlineStr">
        <is>
          <t>SWISS FRANC</t>
        </is>
      </c>
      <c r="AB33" t="n">
        <v>32824.81</v>
      </c>
      <c r="AC33" t="n">
        <v>33156.38</v>
      </c>
      <c r="AD33" t="n">
        <v>34218.96</v>
      </c>
      <c r="AE33" t="inlineStr">
        <is>
          <t>SINGAPORE DOLLAR</t>
        </is>
      </c>
      <c r="AF33" t="n">
        <v>19896.72</v>
      </c>
      <c r="AG33" t="n">
        <v>20097.7</v>
      </c>
      <c r="AH33" t="n">
        <v>20783.32</v>
      </c>
      <c r="AI33" t="inlineStr">
        <is>
          <t>YUAN RENMINBI</t>
        </is>
      </c>
      <c r="AJ33" t="n">
        <v>3634.66</v>
      </c>
      <c r="AK33" t="n">
        <v>3671.38</v>
      </c>
      <c r="AL33" t="n">
        <v>3789.04</v>
      </c>
      <c r="AM33" t="inlineStr">
        <is>
          <t>HONGKONG DOLLAR</t>
        </is>
      </c>
      <c r="AN33" t="n">
        <v>3227.28</v>
      </c>
      <c r="AO33" t="n">
        <v>3259.88</v>
      </c>
      <c r="AP33" t="n">
        <v>3384.61</v>
      </c>
      <c r="AQ33" t="inlineStr">
        <is>
          <t>THAILAND BAHT</t>
        </is>
      </c>
      <c r="AR33" t="n">
        <v>726.23</v>
      </c>
      <c r="AS33" t="n">
        <v>806.92</v>
      </c>
      <c r="AT33" t="n">
        <v>841.16</v>
      </c>
      <c r="AU33" t="inlineStr">
        <is>
          <t>KOREAN WON</t>
        </is>
      </c>
      <c r="AV33" t="n">
        <v>15.51</v>
      </c>
      <c r="AW33" t="n">
        <v>17.23</v>
      </c>
      <c r="AX33" t="n">
        <v>18.7</v>
      </c>
      <c r="AY33" t="inlineStr">
        <is>
          <t>MALAYSIAN RINGGIT</t>
        </is>
      </c>
      <c r="BA33" t="n">
        <v>6512.68</v>
      </c>
      <c r="BB33" t="n">
        <v>6654.51</v>
      </c>
      <c r="BC33" t="inlineStr">
        <is>
          <t>INDIAN RUPEE</t>
        </is>
      </c>
      <c r="BE33" t="n">
        <v>280.28</v>
      </c>
      <c r="BF33" t="n">
        <v>292.35</v>
      </c>
      <c r="BG33" t="inlineStr">
        <is>
          <t>KUWAITI DINAR</t>
        </is>
      </c>
      <c r="BI33" t="n">
        <v>84611.39999999999</v>
      </c>
      <c r="BJ33" t="n">
        <v>88714.31</v>
      </c>
      <c r="BK33" t="inlineStr">
        <is>
          <t>SAUDI RIAL</t>
        </is>
      </c>
      <c r="BM33" t="n">
        <v>6874.04</v>
      </c>
      <c r="BN33" t="n">
        <v>7170.03</v>
      </c>
      <c r="BO33" t="inlineStr">
        <is>
          <t>NORWEGIAN KRONER</t>
        </is>
      </c>
      <c r="BQ33" t="n">
        <v>2644.69</v>
      </c>
      <c r="BR33" t="n">
        <v>2756.88</v>
      </c>
      <c r="BS33" t="inlineStr">
        <is>
          <t>SWEDISH KRONA</t>
        </is>
      </c>
      <c r="BU33" t="n">
        <v>2865.39</v>
      </c>
      <c r="BV33" t="n">
        <v>2986.95</v>
      </c>
      <c r="BW33" t="inlineStr">
        <is>
          <t>DANISH KRONE</t>
        </is>
      </c>
      <c r="BY33" t="n">
        <v>4056.72</v>
      </c>
      <c r="BZ33" t="n">
        <v>4211.93</v>
      </c>
      <c r="CA33" t="inlineStr">
        <is>
          <t>RUSSIAN RUBLE</t>
        </is>
      </c>
      <c r="CC33" t="n">
        <v>327.05</v>
      </c>
      <c r="CD33" t="n">
        <v>362.04</v>
      </c>
    </row>
    <row r="34">
      <c r="A34" t="inlineStr">
        <is>
          <t>02/02/2026</t>
        </is>
      </c>
      <c r="B34">
        <f>IF(ISNUMBER(A34), A34, DATE(RIGHT(A34,4), MID(A34,4,2), LEFT(A34,2)))</f>
        <v/>
      </c>
      <c r="C34" t="inlineStr">
        <is>
          <t>US DOLLAR</t>
        </is>
      </c>
      <c r="D34" t="n">
        <v>25790</v>
      </c>
      <c r="E34" t="n">
        <v>25820</v>
      </c>
      <c r="F34" t="n">
        <v>26180</v>
      </c>
      <c r="G34" t="inlineStr">
        <is>
          <t>EURO</t>
        </is>
      </c>
      <c r="H34" t="n">
        <v>30033.93</v>
      </c>
      <c r="I34" t="n">
        <v>30337.3</v>
      </c>
      <c r="J34" t="n">
        <v>31617.88</v>
      </c>
      <c r="K34" t="inlineStr">
        <is>
          <t>POUND STERLING</t>
        </is>
      </c>
      <c r="L34" t="n">
        <v>34652.39</v>
      </c>
      <c r="M34" t="n">
        <v>35002.41</v>
      </c>
      <c r="N34" t="n">
        <v>36124.01</v>
      </c>
      <c r="O34" t="inlineStr">
        <is>
          <t>YEN</t>
        </is>
      </c>
      <c r="P34" t="n">
        <v>162.18</v>
      </c>
      <c r="Q34" t="n">
        <v>163.82</v>
      </c>
      <c r="R34" t="n">
        <v>172.49</v>
      </c>
      <c r="S34" t="inlineStr">
        <is>
          <t>AUSTRALIAN DOLLAR</t>
        </is>
      </c>
      <c r="T34" t="n">
        <v>17561.8</v>
      </c>
      <c r="U34" t="n">
        <v>17739.2</v>
      </c>
      <c r="V34" t="n">
        <v>18307.62</v>
      </c>
      <c r="W34" t="inlineStr">
        <is>
          <t>CANADIAN DOLLAR</t>
        </is>
      </c>
      <c r="X34" t="n">
        <v>18554.66</v>
      </c>
      <c r="Y34" t="n">
        <v>18742.08</v>
      </c>
      <c r="Z34" t="n">
        <v>19342.64</v>
      </c>
      <c r="AA34" t="inlineStr">
        <is>
          <t>SWISS FRANC</t>
        </is>
      </c>
      <c r="AB34" t="n">
        <v>32798.47</v>
      </c>
      <c r="AC34" t="n">
        <v>33129.77</v>
      </c>
      <c r="AD34" t="n">
        <v>34191.36</v>
      </c>
      <c r="AE34" t="inlineStr">
        <is>
          <t>SINGAPORE DOLLAR</t>
        </is>
      </c>
      <c r="AF34" t="n">
        <v>19898.72</v>
      </c>
      <c r="AG34" t="n">
        <v>20099.72</v>
      </c>
      <c r="AH34" t="n">
        <v>20785.32</v>
      </c>
      <c r="AI34" t="inlineStr">
        <is>
          <t>YUAN RENMINBI</t>
        </is>
      </c>
      <c r="AJ34" t="n">
        <v>3644.9</v>
      </c>
      <c r="AK34" t="n">
        <v>3681.72</v>
      </c>
      <c r="AL34" t="n">
        <v>3799.7</v>
      </c>
      <c r="AM34" t="inlineStr">
        <is>
          <t>HONGKONG DOLLAR</t>
        </is>
      </c>
      <c r="AN34" t="n">
        <v>3235.3</v>
      </c>
      <c r="AO34" t="n">
        <v>3267.98</v>
      </c>
      <c r="AP34" t="n">
        <v>3393</v>
      </c>
      <c r="AQ34" t="inlineStr">
        <is>
          <t>THAILAND BAHT</t>
        </is>
      </c>
      <c r="AR34" t="n">
        <v>723.6</v>
      </c>
      <c r="AS34" t="n">
        <v>804</v>
      </c>
      <c r="AT34" t="n">
        <v>838.1</v>
      </c>
      <c r="AU34" t="inlineStr">
        <is>
          <t>KOREAN WON</t>
        </is>
      </c>
      <c r="AV34" t="n">
        <v>15.39</v>
      </c>
      <c r="AW34" t="n">
        <v>17.1</v>
      </c>
      <c r="AX34" t="n">
        <v>18.55</v>
      </c>
      <c r="AY34" t="inlineStr">
        <is>
          <t>MALAYSIAN RINGGIT</t>
        </is>
      </c>
      <c r="BA34" t="n">
        <v>6530.28</v>
      </c>
      <c r="BB34" t="n">
        <v>6672.46</v>
      </c>
      <c r="BC34" t="inlineStr">
        <is>
          <t>INDIAN RUPEE</t>
        </is>
      </c>
      <c r="BE34" t="n">
        <v>282.37</v>
      </c>
      <c r="BF34" t="n">
        <v>294.52</v>
      </c>
      <c r="BG34" t="inlineStr">
        <is>
          <t>KUWAITI DINAR</t>
        </is>
      </c>
      <c r="BI34" t="n">
        <v>84701</v>
      </c>
      <c r="BJ34" t="n">
        <v>88807.89</v>
      </c>
      <c r="BK34" t="inlineStr">
        <is>
          <t>SAUDI RIAL</t>
        </is>
      </c>
      <c r="BM34" t="n">
        <v>6892.61</v>
      </c>
      <c r="BN34" t="n">
        <v>7189.37</v>
      </c>
      <c r="BO34" t="inlineStr">
        <is>
          <t>NORWEGIAN KRONER</t>
        </is>
      </c>
      <c r="BQ34" t="n">
        <v>2627.68</v>
      </c>
      <c r="BR34" t="n">
        <v>2739.14</v>
      </c>
      <c r="BS34" t="inlineStr">
        <is>
          <t>SWEDISH KRONA</t>
        </is>
      </c>
      <c r="BU34" t="n">
        <v>2854.2</v>
      </c>
      <c r="BV34" t="n">
        <v>2975.27</v>
      </c>
      <c r="BW34" t="inlineStr">
        <is>
          <t>DANISH KRONE</t>
        </is>
      </c>
      <c r="BY34" t="n">
        <v>4052.18</v>
      </c>
      <c r="BZ34" t="n">
        <v>4207.2</v>
      </c>
      <c r="CA34" t="inlineStr">
        <is>
          <t>RUSSIAN RUBLE</t>
        </is>
      </c>
      <c r="CC34" t="n">
        <v>322.17</v>
      </c>
      <c r="CD34" t="n">
        <v>356.63</v>
      </c>
    </row>
    <row r="35">
      <c r="A35" t="inlineStr">
        <is>
          <t>03/02/2026</t>
        </is>
      </c>
      <c r="B35">
        <f>IF(ISNUMBER(A35), A35, DATE(RIGHT(A35,4), MID(A35,4,2), LEFT(A35,2)))</f>
        <v/>
      </c>
      <c r="C35" t="inlineStr">
        <is>
          <t>US DOLLAR</t>
        </is>
      </c>
      <c r="D35" t="n">
        <v>25790</v>
      </c>
      <c r="E35" t="n">
        <v>25820</v>
      </c>
      <c r="F35" t="n">
        <v>26180</v>
      </c>
      <c r="G35" t="inlineStr">
        <is>
          <t>EURO</t>
        </is>
      </c>
      <c r="H35" t="n">
        <v>29917.39</v>
      </c>
      <c r="I35" t="n">
        <v>30219.59</v>
      </c>
      <c r="J35" t="n">
        <v>31495.19</v>
      </c>
      <c r="K35" t="inlineStr">
        <is>
          <t>POUND STERLING</t>
        </is>
      </c>
      <c r="L35" t="n">
        <v>34659.99</v>
      </c>
      <c r="M35" t="n">
        <v>35010.09</v>
      </c>
      <c r="N35" t="n">
        <v>36131.93</v>
      </c>
      <c r="O35" t="inlineStr">
        <is>
          <t>YEN</t>
        </is>
      </c>
      <c r="P35" t="n">
        <v>161.41</v>
      </c>
      <c r="Q35" t="n">
        <v>163.04</v>
      </c>
      <c r="R35" t="n">
        <v>171.67</v>
      </c>
      <c r="S35" t="inlineStr">
        <is>
          <t>AUSTRALIAN DOLLAR</t>
        </is>
      </c>
      <c r="T35" t="n">
        <v>17655.54</v>
      </c>
      <c r="U35" t="n">
        <v>17833.88</v>
      </c>
      <c r="V35" t="n">
        <v>18405.34</v>
      </c>
      <c r="W35" t="inlineStr">
        <is>
          <t>CANADIAN DOLLAR</t>
        </is>
      </c>
      <c r="X35" t="n">
        <v>18541.08</v>
      </c>
      <c r="Y35" t="n">
        <v>18728.37</v>
      </c>
      <c r="Z35" t="n">
        <v>19328.49</v>
      </c>
      <c r="AA35" t="inlineStr">
        <is>
          <t>SWISS FRANC</t>
        </is>
      </c>
      <c r="AB35" t="n">
        <v>32558.27</v>
      </c>
      <c r="AC35" t="n">
        <v>32887.14</v>
      </c>
      <c r="AD35" t="n">
        <v>33940.95</v>
      </c>
      <c r="AE35" t="inlineStr">
        <is>
          <t>SINGAPORE DOLLAR</t>
        </is>
      </c>
      <c r="AF35" t="n">
        <v>19923.78</v>
      </c>
      <c r="AG35" t="n">
        <v>20125.03</v>
      </c>
      <c r="AH35" t="n">
        <v>20811.5</v>
      </c>
      <c r="AI35" t="inlineStr">
        <is>
          <t>YUAN RENMINBI</t>
        </is>
      </c>
      <c r="AJ35" t="n">
        <v>3651.52</v>
      </c>
      <c r="AK35" t="n">
        <v>3688.41</v>
      </c>
      <c r="AL35" t="n">
        <v>3806.59</v>
      </c>
      <c r="AM35" t="inlineStr">
        <is>
          <t>HONGKONG DOLLAR</t>
        </is>
      </c>
      <c r="AN35" t="n">
        <v>3234.51</v>
      </c>
      <c r="AO35" t="n">
        <v>3267.18</v>
      </c>
      <c r="AP35" t="n">
        <v>3392.17</v>
      </c>
      <c r="AQ35" t="inlineStr">
        <is>
          <t>THAILAND BAHT</t>
        </is>
      </c>
      <c r="AR35" t="n">
        <v>728.42</v>
      </c>
      <c r="AS35" t="n">
        <v>809.36</v>
      </c>
      <c r="AT35" t="n">
        <v>843.6900000000001</v>
      </c>
      <c r="AU35" t="inlineStr">
        <is>
          <t>KOREAN WON</t>
        </is>
      </c>
      <c r="AV35" t="n">
        <v>15.52</v>
      </c>
      <c r="AW35" t="n">
        <v>17.24</v>
      </c>
      <c r="AX35" t="n">
        <v>18.71</v>
      </c>
      <c r="AY35" t="inlineStr">
        <is>
          <t>MALAYSIAN RINGGIT</t>
        </is>
      </c>
      <c r="BA35" t="n">
        <v>6525.31</v>
      </c>
      <c r="BB35" t="n">
        <v>6667.38</v>
      </c>
      <c r="BC35" t="inlineStr">
        <is>
          <t>INDIAN RUPEE</t>
        </is>
      </c>
      <c r="BE35" t="n">
        <v>286.2</v>
      </c>
      <c r="BF35" t="n">
        <v>298.52</v>
      </c>
      <c r="BG35" t="inlineStr">
        <is>
          <t>KUWAITI DINAR</t>
        </is>
      </c>
      <c r="BI35" t="n">
        <v>84701</v>
      </c>
      <c r="BJ35" t="n">
        <v>88807.89</v>
      </c>
      <c r="BK35" t="inlineStr">
        <is>
          <t>SAUDI RIAL</t>
        </is>
      </c>
      <c r="BM35" t="n">
        <v>6893.35</v>
      </c>
      <c r="BN35" t="n">
        <v>7190.14</v>
      </c>
      <c r="BO35" t="inlineStr">
        <is>
          <t>NORWEGIAN KRONER</t>
        </is>
      </c>
      <c r="BQ35" t="n">
        <v>2631.15</v>
      </c>
      <c r="BR35" t="n">
        <v>2742.76</v>
      </c>
      <c r="BS35" t="inlineStr">
        <is>
          <t>SWEDISH KRONA</t>
        </is>
      </c>
      <c r="BU35" t="n">
        <v>2848.42</v>
      </c>
      <c r="BV35" t="n">
        <v>2969.25</v>
      </c>
      <c r="BW35" t="inlineStr">
        <is>
          <t>DANISH KRONE</t>
        </is>
      </c>
      <c r="BY35" t="n">
        <v>4036.22</v>
      </c>
      <c r="BZ35" t="n">
        <v>4190.63</v>
      </c>
      <c r="CA35" t="inlineStr">
        <is>
          <t>RUSSIAN RUBLE</t>
        </is>
      </c>
      <c r="CC35" t="n">
        <v>322.59</v>
      </c>
      <c r="CD35" t="n">
        <v>357.1</v>
      </c>
    </row>
    <row r="36">
      <c r="A36" t="inlineStr">
        <is>
          <t>04/02/2026</t>
        </is>
      </c>
      <c r="B36">
        <f>IF(ISNUMBER(A36), A36, DATE(RIGHT(A36,4), MID(A36,4,2), LEFT(A36,2)))</f>
        <v/>
      </c>
      <c r="C36" t="inlineStr">
        <is>
          <t>US DOLLAR</t>
        </is>
      </c>
      <c r="D36" t="n">
        <v>25790</v>
      </c>
      <c r="E36" t="n">
        <v>25820</v>
      </c>
      <c r="F36" t="n">
        <v>26180</v>
      </c>
      <c r="G36" t="inlineStr">
        <is>
          <t>EURO</t>
        </is>
      </c>
      <c r="H36" t="n">
        <v>29927.52</v>
      </c>
      <c r="I36" t="n">
        <v>30229.82</v>
      </c>
      <c r="J36" t="n">
        <v>31505.86</v>
      </c>
      <c r="K36" t="inlineStr">
        <is>
          <t>POUND STERLING</t>
        </is>
      </c>
      <c r="L36" t="n">
        <v>34685.32</v>
      </c>
      <c r="M36" t="n">
        <v>35035.68</v>
      </c>
      <c r="N36" t="n">
        <v>36158.34</v>
      </c>
      <c r="O36" t="inlineStr">
        <is>
          <t>YEN</t>
        </is>
      </c>
      <c r="P36" t="n">
        <v>160.9</v>
      </c>
      <c r="Q36" t="n">
        <v>162.53</v>
      </c>
      <c r="R36" t="n">
        <v>171.13</v>
      </c>
      <c r="S36" t="inlineStr">
        <is>
          <t>AUSTRALIAN DOLLAR</t>
        </is>
      </c>
      <c r="T36" t="n">
        <v>17787.28</v>
      </c>
      <c r="U36" t="n">
        <v>17966.95</v>
      </c>
      <c r="V36" t="n">
        <v>18542.67</v>
      </c>
      <c r="W36" t="inlineStr">
        <is>
          <t>CANADIAN DOLLAR</t>
        </is>
      </c>
      <c r="X36" t="n">
        <v>18576.42</v>
      </c>
      <c r="Y36" t="n">
        <v>18764.06</v>
      </c>
      <c r="Z36" t="n">
        <v>19365.33</v>
      </c>
      <c r="AA36" t="inlineStr">
        <is>
          <t>SWISS FRANC</t>
        </is>
      </c>
      <c r="AB36" t="n">
        <v>32650.56</v>
      </c>
      <c r="AC36" t="n">
        <v>32980.36</v>
      </c>
      <c r="AD36" t="n">
        <v>34037.16</v>
      </c>
      <c r="AE36" t="inlineStr">
        <is>
          <t>SINGAPORE DOLLAR</t>
        </is>
      </c>
      <c r="AF36" t="n">
        <v>19934.76</v>
      </c>
      <c r="AG36" t="n">
        <v>20136.13</v>
      </c>
      <c r="AH36" t="n">
        <v>20822.97</v>
      </c>
      <c r="AI36" t="inlineStr">
        <is>
          <t>YUAN RENMINBI</t>
        </is>
      </c>
      <c r="AJ36" t="n">
        <v>3652.52</v>
      </c>
      <c r="AK36" t="n">
        <v>3689.42</v>
      </c>
      <c r="AL36" t="n">
        <v>3807.64</v>
      </c>
      <c r="AM36" t="inlineStr">
        <is>
          <t>HONGKONG DOLLAR</t>
        </is>
      </c>
      <c r="AN36" t="n">
        <v>3233.48</v>
      </c>
      <c r="AO36" t="n">
        <v>3266.14</v>
      </c>
      <c r="AP36" t="n">
        <v>3391.09</v>
      </c>
      <c r="AQ36" t="inlineStr">
        <is>
          <t>THAILAND BAHT</t>
        </is>
      </c>
      <c r="AR36" t="n">
        <v>724.28</v>
      </c>
      <c r="AS36" t="n">
        <v>804.76</v>
      </c>
      <c r="AT36" t="n">
        <v>838.89</v>
      </c>
      <c r="AU36" t="inlineStr">
        <is>
          <t>KOREAN WON</t>
        </is>
      </c>
      <c r="AV36" t="n">
        <v>15.49</v>
      </c>
      <c r="AW36" t="n">
        <v>17.21</v>
      </c>
      <c r="AX36" t="n">
        <v>18.67</v>
      </c>
      <c r="AY36" t="inlineStr">
        <is>
          <t>MALAYSIAN RINGGIT</t>
        </is>
      </c>
      <c r="BA36" t="n">
        <v>6548.57</v>
      </c>
      <c r="BB36" t="n">
        <v>6691.15</v>
      </c>
      <c r="BC36" t="inlineStr">
        <is>
          <t>INDIAN RUPEE</t>
        </is>
      </c>
      <c r="BE36" t="n">
        <v>285.99</v>
      </c>
      <c r="BF36" t="n">
        <v>298.31</v>
      </c>
      <c r="BG36" t="inlineStr">
        <is>
          <t>KUWAITI DINAR</t>
        </is>
      </c>
      <c r="BI36" t="n">
        <v>84645.53</v>
      </c>
      <c r="BJ36" t="n">
        <v>88749.73</v>
      </c>
      <c r="BK36" t="inlineStr">
        <is>
          <t>SAUDI RIAL</t>
        </is>
      </c>
      <c r="BM36" t="n">
        <v>6895.37</v>
      </c>
      <c r="BN36" t="n">
        <v>7192.25</v>
      </c>
      <c r="BO36" t="inlineStr">
        <is>
          <t>NORWEGIAN KRONER</t>
        </is>
      </c>
      <c r="BQ36" t="n">
        <v>2642.56</v>
      </c>
      <c r="BR36" t="n">
        <v>2754.66</v>
      </c>
      <c r="BS36" t="inlineStr">
        <is>
          <t>SWEDISH KRONA</t>
        </is>
      </c>
      <c r="BU36" t="n">
        <v>2859.55</v>
      </c>
      <c r="BV36" t="n">
        <v>2980.85</v>
      </c>
      <c r="BW36" t="inlineStr">
        <is>
          <t>DANISH KRONE</t>
        </is>
      </c>
      <c r="BY36" t="n">
        <v>4036.99</v>
      </c>
      <c r="BZ36" t="n">
        <v>4191.43</v>
      </c>
      <c r="CA36" t="inlineStr">
        <is>
          <t>RUSSIAN RUBLE</t>
        </is>
      </c>
      <c r="CC36" t="n">
        <v>321.35</v>
      </c>
      <c r="CD36" t="n">
        <v>355.73</v>
      </c>
    </row>
    <row r="37">
      <c r="A37" t="inlineStr">
        <is>
          <t>05/02/2026</t>
        </is>
      </c>
      <c r="B37">
        <f>IF(ISNUMBER(A37), A37, DATE(RIGHT(A37,4), MID(A37,4,2), LEFT(A37,2)))</f>
        <v/>
      </c>
      <c r="C37" t="inlineStr">
        <is>
          <t>US DOLLAR</t>
        </is>
      </c>
      <c r="D37" t="n">
        <v>25760</v>
      </c>
      <c r="E37" t="n">
        <v>25790</v>
      </c>
      <c r="F37" t="n">
        <v>26150</v>
      </c>
      <c r="G37" t="inlineStr">
        <is>
          <t>EURO</t>
        </is>
      </c>
      <c r="H37" t="n">
        <v>29824.64</v>
      </c>
      <c r="I37" t="n">
        <v>30125.9</v>
      </c>
      <c r="J37" t="n">
        <v>31397.61</v>
      </c>
      <c r="K37" t="inlineStr">
        <is>
          <t>POUND STERLING</t>
        </is>
      </c>
      <c r="L37" t="n">
        <v>34468.13</v>
      </c>
      <c r="M37" t="n">
        <v>34816.3</v>
      </c>
      <c r="N37" t="n">
        <v>35931.99</v>
      </c>
      <c r="O37" t="inlineStr">
        <is>
          <t>YEN</t>
        </is>
      </c>
      <c r="P37" t="n">
        <v>159.8</v>
      </c>
      <c r="Q37" t="n">
        <v>161.41</v>
      </c>
      <c r="R37" t="n">
        <v>169.95</v>
      </c>
      <c r="S37" t="inlineStr">
        <is>
          <t>AUSTRALIAN DOLLAR</t>
        </is>
      </c>
      <c r="T37" t="n">
        <v>17622.5</v>
      </c>
      <c r="U37" t="n">
        <v>17800.51</v>
      </c>
      <c r="V37" t="n">
        <v>18370.93</v>
      </c>
      <c r="W37" t="inlineStr">
        <is>
          <t>CANADIAN DOLLAR</t>
        </is>
      </c>
      <c r="X37" t="n">
        <v>18493.96</v>
      </c>
      <c r="Y37" t="n">
        <v>18680.77</v>
      </c>
      <c r="Z37" t="n">
        <v>19279.4</v>
      </c>
      <c r="AA37" t="inlineStr">
        <is>
          <t>SWISS FRANC</t>
        </is>
      </c>
      <c r="AB37" t="n">
        <v>32545.76</v>
      </c>
      <c r="AC37" t="n">
        <v>32874.5</v>
      </c>
      <c r="AD37" t="n">
        <v>33927.98</v>
      </c>
      <c r="AE37" t="inlineStr">
        <is>
          <t>SINGAPORE DOLLAR</t>
        </is>
      </c>
      <c r="AF37" t="n">
        <v>19847.66</v>
      </c>
      <c r="AG37" t="n">
        <v>20048.15</v>
      </c>
      <c r="AH37" t="n">
        <v>20732.03</v>
      </c>
      <c r="AI37" t="inlineStr">
        <is>
          <t>YUAN RENMINBI</t>
        </is>
      </c>
      <c r="AJ37" t="n">
        <v>3643.94</v>
      </c>
      <c r="AK37" t="n">
        <v>3680.75</v>
      </c>
      <c r="AL37" t="n">
        <v>3798.7</v>
      </c>
      <c r="AM37" t="inlineStr">
        <is>
          <t>HONGKONG DOLLAR</t>
        </is>
      </c>
      <c r="AN37" t="n">
        <v>3231.94</v>
      </c>
      <c r="AO37" t="n">
        <v>3264.58</v>
      </c>
      <c r="AP37" t="n">
        <v>3389.48</v>
      </c>
      <c r="AQ37" t="inlineStr">
        <is>
          <t>THAILAND BAHT</t>
        </is>
      </c>
      <c r="AR37" t="n">
        <v>720.03</v>
      </c>
      <c r="AS37" t="n">
        <v>800.04</v>
      </c>
      <c r="AT37" t="n">
        <v>833.98</v>
      </c>
      <c r="AU37" t="inlineStr">
        <is>
          <t>KOREAN WON</t>
        </is>
      </c>
      <c r="AV37" t="n">
        <v>15.34</v>
      </c>
      <c r="AW37" t="n">
        <v>17.04</v>
      </c>
      <c r="AX37" t="n">
        <v>18.49</v>
      </c>
      <c r="AY37" t="inlineStr">
        <is>
          <t>MALAYSIAN RINGGIT</t>
        </is>
      </c>
      <c r="BA37" t="n">
        <v>6507.87</v>
      </c>
      <c r="BB37" t="n">
        <v>6649.58</v>
      </c>
      <c r="BC37" t="inlineStr">
        <is>
          <t>INDIAN RUPEE</t>
        </is>
      </c>
      <c r="BE37" t="n">
        <v>285.35</v>
      </c>
      <c r="BF37" t="n">
        <v>297.64</v>
      </c>
      <c r="BG37" t="inlineStr">
        <is>
          <t>KUWAITI DINAR</t>
        </is>
      </c>
      <c r="BI37" t="n">
        <v>84547.78999999999</v>
      </c>
      <c r="BJ37" t="n">
        <v>88647.39999999999</v>
      </c>
      <c r="BK37" t="inlineStr">
        <is>
          <t>SAUDI RIAL</t>
        </is>
      </c>
      <c r="BM37" t="n">
        <v>6885.57</v>
      </c>
      <c r="BN37" t="n">
        <v>7182.04</v>
      </c>
      <c r="BO37" t="inlineStr">
        <is>
          <t>NORWEGIAN KRONER</t>
        </is>
      </c>
      <c r="BQ37" t="n">
        <v>2623.61</v>
      </c>
      <c r="BR37" t="n">
        <v>2734.91</v>
      </c>
      <c r="BS37" t="inlineStr">
        <is>
          <t>SWEDISH KRONA</t>
        </is>
      </c>
      <c r="BU37" t="n">
        <v>2827.39</v>
      </c>
      <c r="BV37" t="n">
        <v>2947.33</v>
      </c>
      <c r="BW37" t="inlineStr">
        <is>
          <t>DANISH KRONE</t>
        </is>
      </c>
      <c r="BY37" t="n">
        <v>4023.73</v>
      </c>
      <c r="BZ37" t="n">
        <v>4177.67</v>
      </c>
      <c r="CA37" t="inlineStr">
        <is>
          <t>RUSSIAN RUBLE</t>
        </is>
      </c>
      <c r="CC37" t="n">
        <v>322.01</v>
      </c>
      <c r="CD37" t="n">
        <v>356.45</v>
      </c>
    </row>
    <row r="38">
      <c r="A38" t="inlineStr">
        <is>
          <t>06/02/2026</t>
        </is>
      </c>
      <c r="B38">
        <f>IF(ISNUMBER(A38), A38, DATE(RIGHT(A38,4), MID(A38,4,2), LEFT(A38,2)))</f>
        <v/>
      </c>
      <c r="C38" t="inlineStr">
        <is>
          <t>US DOLLAR</t>
        </is>
      </c>
      <c r="D38" t="n">
        <v>25730</v>
      </c>
      <c r="E38" t="n">
        <v>25760</v>
      </c>
      <c r="F38" t="n">
        <v>26140</v>
      </c>
      <c r="G38" t="inlineStr">
        <is>
          <t>EURO</t>
        </is>
      </c>
      <c r="H38" t="n">
        <v>29781.43</v>
      </c>
      <c r="I38" t="n">
        <v>30082.25</v>
      </c>
      <c r="J38" t="n">
        <v>31352.15</v>
      </c>
      <c r="K38" t="inlineStr">
        <is>
          <t>POUND STERLING</t>
        </is>
      </c>
      <c r="L38" t="n">
        <v>34196.3</v>
      </c>
      <c r="M38" t="n">
        <v>34541.72</v>
      </c>
      <c r="N38" t="n">
        <v>35648.66</v>
      </c>
      <c r="O38" t="inlineStr">
        <is>
          <t>YEN</t>
        </is>
      </c>
      <c r="P38" t="n">
        <v>159.83</v>
      </c>
      <c r="Q38" t="n">
        <v>161.44</v>
      </c>
      <c r="R38" t="n">
        <v>169.98</v>
      </c>
      <c r="S38" t="inlineStr">
        <is>
          <t>AUSTRALIAN DOLLAR</t>
        </is>
      </c>
      <c r="T38" t="n">
        <v>17497.66</v>
      </c>
      <c r="U38" t="n">
        <v>17674.41</v>
      </c>
      <c r="V38" t="n">
        <v>18240.81</v>
      </c>
      <c r="W38" t="inlineStr">
        <is>
          <t>CANADIAN DOLLAR</t>
        </is>
      </c>
      <c r="X38" t="n">
        <v>18450.05</v>
      </c>
      <c r="Y38" t="n">
        <v>18636.42</v>
      </c>
      <c r="Z38" t="n">
        <v>19233.65</v>
      </c>
      <c r="AA38" t="inlineStr">
        <is>
          <t>SWISS FRANC</t>
        </is>
      </c>
      <c r="AB38" t="n">
        <v>32533.23</v>
      </c>
      <c r="AC38" t="n">
        <v>32861.84</v>
      </c>
      <c r="AD38" t="n">
        <v>33914.95</v>
      </c>
      <c r="AE38" t="inlineStr">
        <is>
          <t>SINGAPORE DOLLAR</t>
        </is>
      </c>
      <c r="AF38" t="n">
        <v>19810.6</v>
      </c>
      <c r="AG38" t="n">
        <v>20010.71</v>
      </c>
      <c r="AH38" t="n">
        <v>20693.33</v>
      </c>
      <c r="AI38" t="inlineStr">
        <is>
          <t>YUAN RENMINBI</t>
        </is>
      </c>
      <c r="AJ38" t="n">
        <v>3645.44</v>
      </c>
      <c r="AK38" t="n">
        <v>3682.26</v>
      </c>
      <c r="AL38" t="n">
        <v>3800.27</v>
      </c>
      <c r="AM38" t="inlineStr">
        <is>
          <t>HONGKONG DOLLAR</t>
        </is>
      </c>
      <c r="AN38" t="n">
        <v>3227.87</v>
      </c>
      <c r="AO38" t="n">
        <v>3260.48</v>
      </c>
      <c r="AP38" t="n">
        <v>3385.22</v>
      </c>
      <c r="AQ38" t="inlineStr">
        <is>
          <t>THAILAND BAHT</t>
        </is>
      </c>
      <c r="AR38" t="n">
        <v>718.8</v>
      </c>
      <c r="AS38" t="n">
        <v>798.67</v>
      </c>
      <c r="AT38" t="n">
        <v>832.55</v>
      </c>
      <c r="AU38" t="inlineStr">
        <is>
          <t>KOREAN WON</t>
        </is>
      </c>
      <c r="AV38" t="n">
        <v>15.24</v>
      </c>
      <c r="AW38" t="n">
        <v>16.94</v>
      </c>
      <c r="AX38" t="n">
        <v>18.38</v>
      </c>
      <c r="AY38" t="inlineStr">
        <is>
          <t>MALAYSIAN RINGGIT</t>
        </is>
      </c>
      <c r="BA38" t="n">
        <v>6483.15</v>
      </c>
      <c r="BB38" t="n">
        <v>6624.32</v>
      </c>
      <c r="BC38" t="inlineStr">
        <is>
          <t>INDIAN RUPEE</t>
        </is>
      </c>
      <c r="BE38" t="n">
        <v>285.72</v>
      </c>
      <c r="BF38" t="n">
        <v>298.02</v>
      </c>
      <c r="BG38" t="inlineStr">
        <is>
          <t>KUWAITI DINAR</t>
        </is>
      </c>
      <c r="BI38" t="n">
        <v>84427.34</v>
      </c>
      <c r="BJ38" t="n">
        <v>88521.22</v>
      </c>
      <c r="BK38" t="inlineStr">
        <is>
          <t>SAUDI RIAL</t>
        </is>
      </c>
      <c r="BM38" t="n">
        <v>6880.27</v>
      </c>
      <c r="BN38" t="n">
        <v>7176.51</v>
      </c>
      <c r="BO38" t="inlineStr">
        <is>
          <t>NORWEGIAN KRONER</t>
        </is>
      </c>
      <c r="BQ38" t="n">
        <v>2589.91</v>
      </c>
      <c r="BR38" t="n">
        <v>2699.78</v>
      </c>
      <c r="BS38" t="inlineStr">
        <is>
          <t>SWEDISH KRONA</t>
        </is>
      </c>
      <c r="BU38" t="n">
        <v>2803.22</v>
      </c>
      <c r="BV38" t="n">
        <v>2922.14</v>
      </c>
      <c r="BW38" t="inlineStr">
        <is>
          <t>DANISH KRONE</t>
        </is>
      </c>
      <c r="BY38" t="n">
        <v>4018.03</v>
      </c>
      <c r="BZ38" t="n">
        <v>4171.76</v>
      </c>
      <c r="CA38" t="inlineStr">
        <is>
          <t>RUSSIAN RUBLE</t>
        </is>
      </c>
      <c r="CC38" t="n">
        <v>321.78</v>
      </c>
      <c r="CD38" t="n">
        <v>356.2</v>
      </c>
    </row>
    <row r="39">
      <c r="A39" t="inlineStr">
        <is>
          <t>07/02/2026</t>
        </is>
      </c>
      <c r="B39">
        <f>IF(ISNUMBER(A39), A39, DATE(RIGHT(A39,4), MID(A39,4,2), LEFT(A39,2)))</f>
        <v/>
      </c>
      <c r="C39" t="inlineStr">
        <is>
          <t>US DOLLAR</t>
        </is>
      </c>
      <c r="D39" t="n">
        <v>25730</v>
      </c>
      <c r="E39" t="n">
        <v>25760</v>
      </c>
      <c r="F39" t="n">
        <v>26140</v>
      </c>
      <c r="G39" t="inlineStr">
        <is>
          <t>EURO</t>
        </is>
      </c>
      <c r="H39" t="n">
        <v>29781.43</v>
      </c>
      <c r="I39" t="n">
        <v>30082.25</v>
      </c>
      <c r="J39" t="n">
        <v>31352.15</v>
      </c>
      <c r="K39" t="inlineStr">
        <is>
          <t>POUND STERLING</t>
        </is>
      </c>
      <c r="L39" t="n">
        <v>34196.3</v>
      </c>
      <c r="M39" t="n">
        <v>34541.72</v>
      </c>
      <c r="N39" t="n">
        <v>35648.66</v>
      </c>
      <c r="O39" t="inlineStr">
        <is>
          <t>YEN</t>
        </is>
      </c>
      <c r="P39" t="n">
        <v>159.83</v>
      </c>
      <c r="Q39" t="n">
        <v>161.44</v>
      </c>
      <c r="R39" t="n">
        <v>169.98</v>
      </c>
      <c r="S39" t="inlineStr">
        <is>
          <t>AUSTRALIAN DOLLAR</t>
        </is>
      </c>
      <c r="T39" t="n">
        <v>17497.66</v>
      </c>
      <c r="U39" t="n">
        <v>17674.41</v>
      </c>
      <c r="V39" t="n">
        <v>18240.81</v>
      </c>
      <c r="W39" t="inlineStr">
        <is>
          <t>CANADIAN DOLLAR</t>
        </is>
      </c>
      <c r="X39" t="n">
        <v>18450.05</v>
      </c>
      <c r="Y39" t="n">
        <v>18636.42</v>
      </c>
      <c r="Z39" t="n">
        <v>19233.65</v>
      </c>
      <c r="AA39" t="inlineStr">
        <is>
          <t>SWISS FRANC</t>
        </is>
      </c>
      <c r="AB39" t="n">
        <v>32533.23</v>
      </c>
      <c r="AC39" t="n">
        <v>32861.84</v>
      </c>
      <c r="AD39" t="n">
        <v>33914.95</v>
      </c>
      <c r="AE39" t="inlineStr">
        <is>
          <t>SINGAPORE DOLLAR</t>
        </is>
      </c>
      <c r="AF39" t="n">
        <v>19810.6</v>
      </c>
      <c r="AG39" t="n">
        <v>20010.71</v>
      </c>
      <c r="AH39" t="n">
        <v>20693.33</v>
      </c>
      <c r="AI39" t="inlineStr">
        <is>
          <t>YUAN RENMINBI</t>
        </is>
      </c>
      <c r="AJ39" t="n">
        <v>3645.44</v>
      </c>
      <c r="AK39" t="n">
        <v>3682.26</v>
      </c>
      <c r="AL39" t="n">
        <v>3800.27</v>
      </c>
      <c r="AM39" t="inlineStr">
        <is>
          <t>HONGKONG DOLLAR</t>
        </is>
      </c>
      <c r="AN39" t="n">
        <v>3227.87</v>
      </c>
      <c r="AO39" t="n">
        <v>3260.48</v>
      </c>
      <c r="AP39" t="n">
        <v>3385.22</v>
      </c>
      <c r="AQ39" t="inlineStr">
        <is>
          <t>THAILAND BAHT</t>
        </is>
      </c>
      <c r="AR39" t="n">
        <v>718.8</v>
      </c>
      <c r="AS39" t="n">
        <v>798.67</v>
      </c>
      <c r="AT39" t="n">
        <v>832.55</v>
      </c>
      <c r="AU39" t="inlineStr">
        <is>
          <t>KOREAN WON</t>
        </is>
      </c>
      <c r="AV39" t="n">
        <v>15.24</v>
      </c>
      <c r="AW39" t="n">
        <v>16.94</v>
      </c>
      <c r="AX39" t="n">
        <v>18.38</v>
      </c>
      <c r="AY39" t="inlineStr">
        <is>
          <t>MALAYSIAN RINGGIT</t>
        </is>
      </c>
      <c r="BA39" t="n">
        <v>6483.15</v>
      </c>
      <c r="BB39" t="n">
        <v>6624.32</v>
      </c>
      <c r="BC39" t="inlineStr">
        <is>
          <t>INDIAN RUPEE</t>
        </is>
      </c>
      <c r="BE39" t="n">
        <v>285.72</v>
      </c>
      <c r="BF39" t="n">
        <v>298.02</v>
      </c>
      <c r="BG39" t="inlineStr">
        <is>
          <t>KUWAITI DINAR</t>
        </is>
      </c>
      <c r="BI39" t="n">
        <v>84427.34</v>
      </c>
      <c r="BJ39" t="n">
        <v>88521.22</v>
      </c>
      <c r="BK39" t="inlineStr">
        <is>
          <t>SAUDI RIAL</t>
        </is>
      </c>
      <c r="BM39" t="n">
        <v>6880.27</v>
      </c>
      <c r="BN39" t="n">
        <v>7176.51</v>
      </c>
      <c r="BO39" t="inlineStr">
        <is>
          <t>NORWEGIAN KRONER</t>
        </is>
      </c>
      <c r="BQ39" t="n">
        <v>2589.91</v>
      </c>
      <c r="BR39" t="n">
        <v>2699.78</v>
      </c>
      <c r="BS39" t="inlineStr">
        <is>
          <t>SWEDISH KRONA</t>
        </is>
      </c>
      <c r="BU39" t="n">
        <v>2803.22</v>
      </c>
      <c r="BV39" t="n">
        <v>2922.14</v>
      </c>
      <c r="BW39" t="inlineStr">
        <is>
          <t>DANISH KRONE</t>
        </is>
      </c>
      <c r="BY39" t="n">
        <v>4018.03</v>
      </c>
      <c r="BZ39" t="n">
        <v>4171.76</v>
      </c>
      <c r="CA39" t="inlineStr">
        <is>
          <t>RUSSIAN RUBLE</t>
        </is>
      </c>
      <c r="CC39" t="n">
        <v>321.78</v>
      </c>
      <c r="CD39" t="n">
        <v>356.2</v>
      </c>
    </row>
    <row r="40">
      <c r="A40" t="inlineStr">
        <is>
          <t>08/02/2026</t>
        </is>
      </c>
      <c r="B40">
        <f>IF(ISNUMBER(A40), A40, DATE(RIGHT(A40,4), MID(A40,4,2), LEFT(A40,2)))</f>
        <v/>
      </c>
      <c r="C40" t="inlineStr">
        <is>
          <t>US DOLLAR</t>
        </is>
      </c>
      <c r="D40" t="n">
        <v>25730</v>
      </c>
      <c r="E40" t="n">
        <v>25760</v>
      </c>
      <c r="F40" t="n">
        <v>26140</v>
      </c>
      <c r="G40" t="inlineStr">
        <is>
          <t>EURO</t>
        </is>
      </c>
      <c r="H40" t="n">
        <v>29781.43</v>
      </c>
      <c r="I40" t="n">
        <v>30082.25</v>
      </c>
      <c r="J40" t="n">
        <v>31352.15</v>
      </c>
      <c r="K40" t="inlineStr">
        <is>
          <t>POUND STERLING</t>
        </is>
      </c>
      <c r="L40" t="n">
        <v>34196.3</v>
      </c>
      <c r="M40" t="n">
        <v>34541.72</v>
      </c>
      <c r="N40" t="n">
        <v>35648.66</v>
      </c>
      <c r="O40" t="inlineStr">
        <is>
          <t>YEN</t>
        </is>
      </c>
      <c r="P40" t="n">
        <v>159.83</v>
      </c>
      <c r="Q40" t="n">
        <v>161.44</v>
      </c>
      <c r="R40" t="n">
        <v>169.98</v>
      </c>
      <c r="S40" t="inlineStr">
        <is>
          <t>AUSTRALIAN DOLLAR</t>
        </is>
      </c>
      <c r="T40" t="n">
        <v>17497.66</v>
      </c>
      <c r="U40" t="n">
        <v>17674.41</v>
      </c>
      <c r="V40" t="n">
        <v>18240.81</v>
      </c>
      <c r="W40" t="inlineStr">
        <is>
          <t>CANADIAN DOLLAR</t>
        </is>
      </c>
      <c r="X40" t="n">
        <v>18450.05</v>
      </c>
      <c r="Y40" t="n">
        <v>18636.42</v>
      </c>
      <c r="Z40" t="n">
        <v>19233.65</v>
      </c>
      <c r="AA40" t="inlineStr">
        <is>
          <t>SWISS FRANC</t>
        </is>
      </c>
      <c r="AB40" t="n">
        <v>32533.23</v>
      </c>
      <c r="AC40" t="n">
        <v>32861.84</v>
      </c>
      <c r="AD40" t="n">
        <v>33914.95</v>
      </c>
      <c r="AE40" t="inlineStr">
        <is>
          <t>SINGAPORE DOLLAR</t>
        </is>
      </c>
      <c r="AF40" t="n">
        <v>19810.6</v>
      </c>
      <c r="AG40" t="n">
        <v>20010.71</v>
      </c>
      <c r="AH40" t="n">
        <v>20693.33</v>
      </c>
      <c r="AI40" t="inlineStr">
        <is>
          <t>YUAN RENMINBI</t>
        </is>
      </c>
      <c r="AJ40" t="n">
        <v>3645.44</v>
      </c>
      <c r="AK40" t="n">
        <v>3682.26</v>
      </c>
      <c r="AL40" t="n">
        <v>3800.27</v>
      </c>
      <c r="AM40" t="inlineStr">
        <is>
          <t>HONGKONG DOLLAR</t>
        </is>
      </c>
      <c r="AN40" t="n">
        <v>3227.87</v>
      </c>
      <c r="AO40" t="n">
        <v>3260.48</v>
      </c>
      <c r="AP40" t="n">
        <v>3385.22</v>
      </c>
      <c r="AQ40" t="inlineStr">
        <is>
          <t>THAILAND BAHT</t>
        </is>
      </c>
      <c r="AR40" t="n">
        <v>718.8</v>
      </c>
      <c r="AS40" t="n">
        <v>798.67</v>
      </c>
      <c r="AT40" t="n">
        <v>832.55</v>
      </c>
      <c r="AU40" t="inlineStr">
        <is>
          <t>KOREAN WON</t>
        </is>
      </c>
      <c r="AV40" t="n">
        <v>15.24</v>
      </c>
      <c r="AW40" t="n">
        <v>16.94</v>
      </c>
      <c r="AX40" t="n">
        <v>18.38</v>
      </c>
      <c r="AY40" t="inlineStr">
        <is>
          <t>MALAYSIAN RINGGIT</t>
        </is>
      </c>
      <c r="BA40" t="n">
        <v>6483.15</v>
      </c>
      <c r="BB40" t="n">
        <v>6624.32</v>
      </c>
      <c r="BC40" t="inlineStr">
        <is>
          <t>INDIAN RUPEE</t>
        </is>
      </c>
      <c r="BE40" t="n">
        <v>285.72</v>
      </c>
      <c r="BF40" t="n">
        <v>298.02</v>
      </c>
      <c r="BG40" t="inlineStr">
        <is>
          <t>KUWAITI DINAR</t>
        </is>
      </c>
      <c r="BI40" t="n">
        <v>84427.34</v>
      </c>
      <c r="BJ40" t="n">
        <v>88521.22</v>
      </c>
      <c r="BK40" t="inlineStr">
        <is>
          <t>SAUDI RIAL</t>
        </is>
      </c>
      <c r="BM40" t="n">
        <v>6880.27</v>
      </c>
      <c r="BN40" t="n">
        <v>7176.51</v>
      </c>
      <c r="BO40" t="inlineStr">
        <is>
          <t>NORWEGIAN KRONER</t>
        </is>
      </c>
      <c r="BQ40" t="n">
        <v>2589.91</v>
      </c>
      <c r="BR40" t="n">
        <v>2699.78</v>
      </c>
      <c r="BS40" t="inlineStr">
        <is>
          <t>SWEDISH KRONA</t>
        </is>
      </c>
      <c r="BU40" t="n">
        <v>2803.22</v>
      </c>
      <c r="BV40" t="n">
        <v>2922.14</v>
      </c>
      <c r="BW40" t="inlineStr">
        <is>
          <t>DANISH KRONE</t>
        </is>
      </c>
      <c r="BY40" t="n">
        <v>4018.03</v>
      </c>
      <c r="BZ40" t="n">
        <v>4171.76</v>
      </c>
      <c r="CA40" t="inlineStr">
        <is>
          <t>RUSSIAN RUBLE</t>
        </is>
      </c>
      <c r="CC40" t="n">
        <v>321.78</v>
      </c>
      <c r="CD40" t="n">
        <v>356.2</v>
      </c>
    </row>
    <row r="41">
      <c r="A41" t="inlineStr">
        <is>
          <t>09/02/2026</t>
        </is>
      </c>
      <c r="B41">
        <f>IF(ISNUMBER(A41), A41, DATE(RIGHT(A41,4), MID(A41,4,2), LEFT(A41,2)))</f>
        <v/>
      </c>
      <c r="C41" t="inlineStr">
        <is>
          <t>US DOLLAR</t>
        </is>
      </c>
      <c r="D41" t="n">
        <v>25690</v>
      </c>
      <c r="E41" t="n">
        <v>25720</v>
      </c>
      <c r="F41" t="n">
        <v>26100</v>
      </c>
      <c r="G41" t="inlineStr">
        <is>
          <t>EURO</t>
        </is>
      </c>
      <c r="H41" t="n">
        <v>29932.41</v>
      </c>
      <c r="I41" t="n">
        <v>30234.76</v>
      </c>
      <c r="J41" t="n">
        <v>31511.17</v>
      </c>
      <c r="K41" t="inlineStr">
        <is>
          <t>POUND STERLING</t>
        </is>
      </c>
      <c r="L41" t="n">
        <v>34315.22</v>
      </c>
      <c r="M41" t="n">
        <v>34661.84</v>
      </c>
      <c r="N41" t="n">
        <v>35772.72</v>
      </c>
      <c r="O41" t="inlineStr">
        <is>
          <t>YEN</t>
        </is>
      </c>
      <c r="P41" t="n">
        <v>159.56</v>
      </c>
      <c r="Q41" t="n">
        <v>161.17</v>
      </c>
      <c r="R41" t="n">
        <v>169.7</v>
      </c>
      <c r="S41" t="inlineStr">
        <is>
          <t>AUSTRALIAN DOLLAR</t>
        </is>
      </c>
      <c r="T41" t="n">
        <v>17753.43</v>
      </c>
      <c r="U41" t="n">
        <v>17932.76</v>
      </c>
      <c r="V41" t="n">
        <v>18507.49</v>
      </c>
      <c r="W41" t="inlineStr">
        <is>
          <t>CANADIAN DOLLAR</t>
        </is>
      </c>
      <c r="X41" t="n">
        <v>18512.07</v>
      </c>
      <c r="Y41" t="n">
        <v>18699.06</v>
      </c>
      <c r="Z41" t="n">
        <v>19298.35</v>
      </c>
      <c r="AA41" t="inlineStr">
        <is>
          <t>SWISS FRANC</t>
        </is>
      </c>
      <c r="AB41" t="n">
        <v>32680.62</v>
      </c>
      <c r="AC41" t="n">
        <v>33010.73</v>
      </c>
      <c r="AD41" t="n">
        <v>34068.69</v>
      </c>
      <c r="AE41" t="inlineStr">
        <is>
          <t>SINGAPORE DOLLAR</t>
        </is>
      </c>
      <c r="AF41" t="n">
        <v>19878.23</v>
      </c>
      <c r="AG41" t="n">
        <v>20079.02</v>
      </c>
      <c r="AH41" t="n">
        <v>20764.03</v>
      </c>
      <c r="AI41" t="inlineStr">
        <is>
          <t>YUAN RENMINBI</t>
        </is>
      </c>
      <c r="AJ41" t="n">
        <v>3645.75</v>
      </c>
      <c r="AK41" t="n">
        <v>3682.58</v>
      </c>
      <c r="AL41" t="n">
        <v>3800.6</v>
      </c>
      <c r="AM41" t="inlineStr">
        <is>
          <t>HONGKONG DOLLAR</t>
        </is>
      </c>
      <c r="AN41" t="n">
        <v>3221.12</v>
      </c>
      <c r="AO41" t="n">
        <v>3253.66</v>
      </c>
      <c r="AP41" t="n">
        <v>3378.15</v>
      </c>
      <c r="AQ41" t="inlineStr">
        <is>
          <t>THAILAND BAHT</t>
        </is>
      </c>
      <c r="AR41" t="n">
        <v>732.1799999999999</v>
      </c>
      <c r="AS41" t="n">
        <v>813.54</v>
      </c>
      <c r="AT41" t="n">
        <v>848.05</v>
      </c>
      <c r="AU41" t="inlineStr">
        <is>
          <t>KOREAN WON</t>
        </is>
      </c>
      <c r="AV41" t="n">
        <v>15.32</v>
      </c>
      <c r="AW41" t="n">
        <v>17.02</v>
      </c>
      <c r="AX41" t="n">
        <v>18.46</v>
      </c>
      <c r="AY41" t="inlineStr">
        <is>
          <t>MALAYSIAN RINGGIT</t>
        </is>
      </c>
      <c r="BA41" t="n">
        <v>6519.24</v>
      </c>
      <c r="BB41" t="n">
        <v>6661.22</v>
      </c>
      <c r="BC41" t="inlineStr">
        <is>
          <t>INDIAN RUPEE</t>
        </is>
      </c>
      <c r="BE41" t="n">
        <v>284.08</v>
      </c>
      <c r="BF41" t="n">
        <v>296.31</v>
      </c>
      <c r="BG41" t="inlineStr">
        <is>
          <t>KUWAITI DINAR</t>
        </is>
      </c>
      <c r="BI41" t="n">
        <v>84352.31</v>
      </c>
      <c r="BJ41" t="n">
        <v>88442.75</v>
      </c>
      <c r="BK41" t="inlineStr">
        <is>
          <t>SAUDI RIAL</t>
        </is>
      </c>
      <c r="BM41" t="n">
        <v>6869.29</v>
      </c>
      <c r="BN41" t="n">
        <v>7165.08</v>
      </c>
      <c r="BO41" t="inlineStr">
        <is>
          <t>NORWEGIAN KRONER</t>
        </is>
      </c>
      <c r="BQ41" t="n">
        <v>2627.49</v>
      </c>
      <c r="BR41" t="n">
        <v>2738.96</v>
      </c>
      <c r="BS41" t="inlineStr">
        <is>
          <t>SWEDISH KRONA</t>
        </is>
      </c>
      <c r="BU41" t="n">
        <v>2822.77</v>
      </c>
      <c r="BV41" t="n">
        <v>2942.52</v>
      </c>
      <c r="BW41" t="inlineStr">
        <is>
          <t>DANISH KRONE</t>
        </is>
      </c>
      <c r="BY41" t="n">
        <v>4037.89</v>
      </c>
      <c r="BZ41" t="n">
        <v>4192.38</v>
      </c>
      <c r="CA41" t="inlineStr">
        <is>
          <t>RUSSIAN RUBLE</t>
        </is>
      </c>
      <c r="CC41" t="n">
        <v>319.19</v>
      </c>
      <c r="CD41" t="n">
        <v>353.33</v>
      </c>
    </row>
    <row r="42">
      <c r="A42" t="inlineStr">
        <is>
          <t>10/02/2026</t>
        </is>
      </c>
      <c r="B42">
        <f>IF(ISNUMBER(A42), A42, DATE(RIGHT(A42,4), MID(A42,4,2), LEFT(A42,2)))</f>
        <v/>
      </c>
      <c r="C42" t="inlineStr">
        <is>
          <t>US DOLLAR</t>
        </is>
      </c>
      <c r="D42" t="n">
        <v>25650</v>
      </c>
      <c r="E42" t="n">
        <v>25680</v>
      </c>
      <c r="F42" t="n">
        <v>26060</v>
      </c>
      <c r="G42" t="inlineStr">
        <is>
          <t>EURO</t>
        </is>
      </c>
      <c r="H42" t="n">
        <v>30012.2</v>
      </c>
      <c r="I42" t="n">
        <v>30315.35</v>
      </c>
      <c r="J42" t="n">
        <v>31595.25</v>
      </c>
      <c r="K42" t="inlineStr">
        <is>
          <t>POUND STERLING</t>
        </is>
      </c>
      <c r="L42" t="n">
        <v>34473.95</v>
      </c>
      <c r="M42" t="n">
        <v>34822.17</v>
      </c>
      <c r="N42" t="n">
        <v>35938.27</v>
      </c>
      <c r="O42" t="inlineStr">
        <is>
          <t>YEN</t>
        </is>
      </c>
      <c r="P42" t="n">
        <v>160.68</v>
      </c>
      <c r="Q42" t="n">
        <v>162.3</v>
      </c>
      <c r="R42" t="n">
        <v>170.89</v>
      </c>
      <c r="S42" t="inlineStr">
        <is>
          <t>AUSTRALIAN DOLLAR</t>
        </is>
      </c>
      <c r="T42" t="n">
        <v>17819.27</v>
      </c>
      <c r="U42" t="n">
        <v>17999.26</v>
      </c>
      <c r="V42" t="n">
        <v>18576.17</v>
      </c>
      <c r="W42" t="inlineStr">
        <is>
          <t>CANADIAN DOLLAR</t>
        </is>
      </c>
      <c r="X42" t="n">
        <v>18600.74</v>
      </c>
      <c r="Y42" t="n">
        <v>18788.62</v>
      </c>
      <c r="Z42" t="n">
        <v>19390.83</v>
      </c>
      <c r="AA42" t="inlineStr">
        <is>
          <t>SWISS FRANC</t>
        </is>
      </c>
      <c r="AB42" t="n">
        <v>32876.91</v>
      </c>
      <c r="AC42" t="n">
        <v>33209</v>
      </c>
      <c r="AD42" t="n">
        <v>34273.39</v>
      </c>
      <c r="AE42" t="inlineStr">
        <is>
          <t>SINGAPORE DOLLAR</t>
        </is>
      </c>
      <c r="AF42" t="n">
        <v>19908.7</v>
      </c>
      <c r="AG42" t="n">
        <v>20109.8</v>
      </c>
      <c r="AH42" t="n">
        <v>20795.9</v>
      </c>
      <c r="AI42" t="inlineStr">
        <is>
          <t>YUAN RENMINBI</t>
        </is>
      </c>
      <c r="AJ42" t="n">
        <v>3647.6</v>
      </c>
      <c r="AK42" t="n">
        <v>3684.44</v>
      </c>
      <c r="AL42" t="n">
        <v>3802.54</v>
      </c>
      <c r="AM42" t="inlineStr">
        <is>
          <t>HONGKONG DOLLAR</t>
        </is>
      </c>
      <c r="AN42" t="n">
        <v>3215.98</v>
      </c>
      <c r="AO42" t="n">
        <v>3248.47</v>
      </c>
      <c r="AP42" t="n">
        <v>3372.76</v>
      </c>
      <c r="AQ42" t="inlineStr">
        <is>
          <t>THAILAND BAHT</t>
        </is>
      </c>
      <c r="AR42" t="n">
        <v>731.52</v>
      </c>
      <c r="AS42" t="n">
        <v>812.8</v>
      </c>
      <c r="AT42" t="n">
        <v>847.29</v>
      </c>
      <c r="AU42" t="inlineStr">
        <is>
          <t>KOREAN WON</t>
        </is>
      </c>
      <c r="AV42" t="n">
        <v>15.33</v>
      </c>
      <c r="AW42" t="n">
        <v>17.03</v>
      </c>
      <c r="AX42" t="n">
        <v>18.48</v>
      </c>
      <c r="AY42" t="inlineStr">
        <is>
          <t>MALAYSIAN RINGGIT</t>
        </is>
      </c>
      <c r="BA42" t="n">
        <v>6519.12</v>
      </c>
      <c r="BB42" t="n">
        <v>6661.11</v>
      </c>
      <c r="BC42" t="inlineStr">
        <is>
          <t>INDIAN RUPEE</t>
        </is>
      </c>
      <c r="BE42" t="n">
        <v>283.84</v>
      </c>
      <c r="BF42" t="n">
        <v>296.06</v>
      </c>
      <c r="BG42" t="inlineStr">
        <is>
          <t>KUWAITI DINAR</t>
        </is>
      </c>
      <c r="BI42" t="n">
        <v>84304.8</v>
      </c>
      <c r="BJ42" t="n">
        <v>88393.14999999999</v>
      </c>
      <c r="BK42" t="inlineStr">
        <is>
          <t>SAUDI RIAL</t>
        </is>
      </c>
      <c r="BM42" t="n">
        <v>6858.49</v>
      </c>
      <c r="BN42" t="n">
        <v>7153.83</v>
      </c>
      <c r="BO42" t="inlineStr">
        <is>
          <t>NORWEGIAN KRONER</t>
        </is>
      </c>
      <c r="BQ42" t="n">
        <v>2652.79</v>
      </c>
      <c r="BR42" t="n">
        <v>2765.34</v>
      </c>
      <c r="BS42" t="inlineStr">
        <is>
          <t>SWEDISH KRONA</t>
        </is>
      </c>
      <c r="BU42" t="n">
        <v>2837.6</v>
      </c>
      <c r="BV42" t="n">
        <v>2957.99</v>
      </c>
      <c r="BW42" t="inlineStr">
        <is>
          <t>DANISH KRONE</t>
        </is>
      </c>
      <c r="BY42" t="n">
        <v>4047.2</v>
      </c>
      <c r="BZ42" t="n">
        <v>4202.06</v>
      </c>
      <c r="CA42" t="inlineStr">
        <is>
          <t>RUSSIAN RUBLE</t>
        </is>
      </c>
      <c r="CC42" t="n">
        <v>319.31</v>
      </c>
      <c r="CD42" t="n">
        <v>353.47</v>
      </c>
    </row>
    <row r="43">
      <c r="A43" t="inlineStr">
        <is>
          <t>11/02/2026</t>
        </is>
      </c>
      <c r="B43">
        <f>IF(ISNUMBER(A43), A43, DATE(RIGHT(A43,4), MID(A43,4,2), LEFT(A43,2)))</f>
        <v/>
      </c>
      <c r="C43" t="inlineStr">
        <is>
          <t>US DOLLAR</t>
        </is>
      </c>
      <c r="D43" t="n">
        <v>25750</v>
      </c>
      <c r="E43" t="n">
        <v>25780</v>
      </c>
      <c r="F43" t="n">
        <v>26160</v>
      </c>
      <c r="G43" t="inlineStr">
        <is>
          <t>EURO</t>
        </is>
      </c>
      <c r="H43" t="n">
        <v>30146.02</v>
      </c>
      <c r="I43" t="n">
        <v>30450.52</v>
      </c>
      <c r="J43" t="n">
        <v>31735.93</v>
      </c>
      <c r="K43" t="inlineStr">
        <is>
          <t>POUND STERLING</t>
        </is>
      </c>
      <c r="L43" t="n">
        <v>34584.54</v>
      </c>
      <c r="M43" t="n">
        <v>34933.88</v>
      </c>
      <c r="N43" t="n">
        <v>36053.34</v>
      </c>
      <c r="O43" t="inlineStr">
        <is>
          <t>YEN</t>
        </is>
      </c>
      <c r="P43" t="n">
        <v>163.54</v>
      </c>
      <c r="Q43" t="n">
        <v>165.19</v>
      </c>
      <c r="R43" t="n">
        <v>173.93</v>
      </c>
      <c r="S43" t="inlineStr">
        <is>
          <t>AUSTRALIAN DOLLAR</t>
        </is>
      </c>
      <c r="T43" t="n">
        <v>17971.71</v>
      </c>
      <c r="U43" t="n">
        <v>18153.24</v>
      </c>
      <c r="V43" t="n">
        <v>18734.97</v>
      </c>
      <c r="W43" t="inlineStr">
        <is>
          <t>CANADIAN DOLLAR</t>
        </is>
      </c>
      <c r="X43" t="n">
        <v>18709.96</v>
      </c>
      <c r="Y43" t="n">
        <v>18898.95</v>
      </c>
      <c r="Z43" t="n">
        <v>19504.57</v>
      </c>
      <c r="AA43" t="inlineStr">
        <is>
          <t>SWISS FRANC</t>
        </is>
      </c>
      <c r="AB43" t="n">
        <v>33042.87</v>
      </c>
      <c r="AC43" t="n">
        <v>33376.64</v>
      </c>
      <c r="AD43" t="n">
        <v>34446.2</v>
      </c>
      <c r="AE43" t="inlineStr">
        <is>
          <t>SINGAPORE DOLLAR</t>
        </is>
      </c>
      <c r="AF43" t="n">
        <v>20026.87</v>
      </c>
      <c r="AG43" t="n">
        <v>20229.16</v>
      </c>
      <c r="AH43" t="n">
        <v>20919.22</v>
      </c>
      <c r="AI43" t="inlineStr">
        <is>
          <t>YUAN RENMINBI</t>
        </is>
      </c>
      <c r="AJ43" t="n">
        <v>3661.76</v>
      </c>
      <c r="AK43" t="n">
        <v>3698.75</v>
      </c>
      <c r="AL43" t="n">
        <v>3817.28</v>
      </c>
      <c r="AM43" t="inlineStr">
        <is>
          <t>HONGKONG DOLLAR</t>
        </is>
      </c>
      <c r="AN43" t="n">
        <v>3229.12</v>
      </c>
      <c r="AO43" t="n">
        <v>3261.74</v>
      </c>
      <c r="AP43" t="n">
        <v>3386.53</v>
      </c>
      <c r="AQ43" t="inlineStr">
        <is>
          <t>THAILAND BAHT</t>
        </is>
      </c>
      <c r="AR43" t="n">
        <v>736.48</v>
      </c>
      <c r="AS43" t="n">
        <v>818.3099999999999</v>
      </c>
      <c r="AT43" t="n">
        <v>853.02</v>
      </c>
      <c r="AU43" t="inlineStr">
        <is>
          <t>KOREAN WON</t>
        </is>
      </c>
      <c r="AV43" t="n">
        <v>15.45</v>
      </c>
      <c r="AW43" t="n">
        <v>17.17</v>
      </c>
      <c r="AX43" t="n">
        <v>18.63</v>
      </c>
      <c r="AY43" t="inlineStr">
        <is>
          <t>MALAYSIAN RINGGIT</t>
        </is>
      </c>
      <c r="BA43" t="n">
        <v>6546</v>
      </c>
      <c r="BB43" t="n">
        <v>6688.54</v>
      </c>
      <c r="BC43" t="inlineStr">
        <is>
          <t>INDIAN RUPEE</t>
        </is>
      </c>
      <c r="BE43" t="n">
        <v>284.72</v>
      </c>
      <c r="BF43" t="n">
        <v>296.97</v>
      </c>
      <c r="BG43" t="inlineStr">
        <is>
          <t>KUWAITI DINAR</t>
        </is>
      </c>
      <c r="BI43" t="n">
        <v>84658.67</v>
      </c>
      <c r="BJ43" t="n">
        <v>88763.66</v>
      </c>
      <c r="BK43" t="inlineStr">
        <is>
          <t>SAUDI RIAL</t>
        </is>
      </c>
      <c r="BM43" t="n">
        <v>6884.47</v>
      </c>
      <c r="BN43" t="n">
        <v>7180.89</v>
      </c>
      <c r="BO43" t="inlineStr">
        <is>
          <t>NORWEGIAN KRONER</t>
        </is>
      </c>
      <c r="BQ43" t="n">
        <v>2680.16</v>
      </c>
      <c r="BR43" t="n">
        <v>2793.86</v>
      </c>
      <c r="BS43" t="inlineStr">
        <is>
          <t>SWEDISH KRONA</t>
        </is>
      </c>
      <c r="BU43" t="n">
        <v>2868.97</v>
      </c>
      <c r="BV43" t="n">
        <v>2990.67</v>
      </c>
      <c r="BW43" t="inlineStr">
        <is>
          <t>DANISH KRONE</t>
        </is>
      </c>
      <c r="BY43" t="n">
        <v>4065.32</v>
      </c>
      <c r="BZ43" t="n">
        <v>4220.85</v>
      </c>
      <c r="CA43" t="inlineStr">
        <is>
          <t>RUSSIAN RUBLE</t>
        </is>
      </c>
      <c r="CC43" t="n">
        <v>319.1</v>
      </c>
      <c r="CD43" t="n">
        <v>353.23</v>
      </c>
    </row>
    <row r="44">
      <c r="A44" t="inlineStr">
        <is>
          <t>12/02/2026</t>
        </is>
      </c>
      <c r="B44">
        <f>IF(ISNUMBER(A44), A44, DATE(RIGHT(A44,4), MID(A44,4,2), LEFT(A44,2)))</f>
        <v/>
      </c>
      <c r="C44" t="inlineStr">
        <is>
          <t>US DOLLAR</t>
        </is>
      </c>
      <c r="D44" t="n">
        <v>25750</v>
      </c>
      <c r="E44" t="n">
        <v>25780</v>
      </c>
      <c r="F44" t="n">
        <v>26160</v>
      </c>
      <c r="G44" t="inlineStr">
        <is>
          <t>EURO</t>
        </is>
      </c>
      <c r="H44" t="n">
        <v>30032.14</v>
      </c>
      <c r="I44" t="n">
        <v>30335.5</v>
      </c>
      <c r="J44" t="n">
        <v>31616.06</v>
      </c>
      <c r="K44" t="inlineStr">
        <is>
          <t>POUND STERLING</t>
        </is>
      </c>
      <c r="L44" t="n">
        <v>34483.32</v>
      </c>
      <c r="M44" t="n">
        <v>34831.63</v>
      </c>
      <c r="N44" t="n">
        <v>35947.82</v>
      </c>
      <c r="O44" t="inlineStr">
        <is>
          <t>YEN</t>
        </is>
      </c>
      <c r="P44" t="n">
        <v>164.32</v>
      </c>
      <c r="Q44" t="n">
        <v>165.98</v>
      </c>
      <c r="R44" t="n">
        <v>174.76</v>
      </c>
      <c r="S44" t="inlineStr">
        <is>
          <t>AUSTRALIAN DOLLAR</t>
        </is>
      </c>
      <c r="T44" t="n">
        <v>18037.51</v>
      </c>
      <c r="U44" t="n">
        <v>18219.7</v>
      </c>
      <c r="V44" t="n">
        <v>18803.56</v>
      </c>
      <c r="W44" t="inlineStr">
        <is>
          <t>CANADIAN DOLLAR</t>
        </is>
      </c>
      <c r="X44" t="n">
        <v>18646.56</v>
      </c>
      <c r="Y44" t="n">
        <v>18834.91</v>
      </c>
      <c r="Z44" t="n">
        <v>19438.48</v>
      </c>
      <c r="AA44" t="inlineStr">
        <is>
          <t>SWISS FRANC</t>
        </is>
      </c>
      <c r="AB44" t="n">
        <v>32841.36</v>
      </c>
      <c r="AC44" t="n">
        <v>33173.09</v>
      </c>
      <c r="AD44" t="n">
        <v>34236.13</v>
      </c>
      <c r="AE44" t="inlineStr">
        <is>
          <t>SINGAPORE DOLLAR</t>
        </is>
      </c>
      <c r="AF44" t="n">
        <v>20045.92</v>
      </c>
      <c r="AG44" t="n">
        <v>20248.41</v>
      </c>
      <c r="AH44" t="n">
        <v>20939.12</v>
      </c>
      <c r="AI44" t="inlineStr">
        <is>
          <t>YUAN RENMINBI</t>
        </is>
      </c>
      <c r="AJ44" t="n">
        <v>3667.49</v>
      </c>
      <c r="AK44" t="n">
        <v>3704.54</v>
      </c>
      <c r="AL44" t="n">
        <v>3823.25</v>
      </c>
      <c r="AM44" t="inlineStr">
        <is>
          <t>HONGKONG DOLLAR</t>
        </is>
      </c>
      <c r="AN44" t="n">
        <v>3228.88</v>
      </c>
      <c r="AO44" t="n">
        <v>3261.49</v>
      </c>
      <c r="AP44" t="n">
        <v>3386.27</v>
      </c>
      <c r="AQ44" t="inlineStr">
        <is>
          <t>THAILAND BAHT</t>
        </is>
      </c>
      <c r="AR44" t="n">
        <v>737.9</v>
      </c>
      <c r="AS44" t="n">
        <v>819.89</v>
      </c>
      <c r="AT44" t="n">
        <v>854.67</v>
      </c>
      <c r="AU44" t="inlineStr">
        <is>
          <t>KOREAN WON</t>
        </is>
      </c>
      <c r="AV44" t="n">
        <v>15.57</v>
      </c>
      <c r="AW44" t="n">
        <v>17.3</v>
      </c>
      <c r="AX44" t="n">
        <v>18.77</v>
      </c>
      <c r="AY44" t="inlineStr">
        <is>
          <t>MALAYSIAN RINGGIT</t>
        </is>
      </c>
      <c r="BA44" t="n">
        <v>6582.9</v>
      </c>
      <c r="BB44" t="n">
        <v>6726.24</v>
      </c>
      <c r="BC44" t="inlineStr">
        <is>
          <t>INDIAN RUPEE</t>
        </is>
      </c>
      <c r="BE44" t="n">
        <v>285.23</v>
      </c>
      <c r="BF44" t="n">
        <v>297.52</v>
      </c>
      <c r="BG44" t="inlineStr">
        <is>
          <t>KUWAITI DINAR</t>
        </is>
      </c>
      <c r="BI44" t="n">
        <v>84658.67</v>
      </c>
      <c r="BJ44" t="n">
        <v>88763.66</v>
      </c>
      <c r="BK44" t="inlineStr">
        <is>
          <t>SAUDI RIAL</t>
        </is>
      </c>
      <c r="BM44" t="n">
        <v>6885.2</v>
      </c>
      <c r="BN44" t="n">
        <v>7181.65</v>
      </c>
      <c r="BO44" t="inlineStr">
        <is>
          <t>NORWEGIAN KRONER</t>
        </is>
      </c>
      <c r="BQ44" t="n">
        <v>2685.2</v>
      </c>
      <c r="BR44" t="n">
        <v>2799.11</v>
      </c>
      <c r="BS44" t="inlineStr">
        <is>
          <t>SWEDISH KRONA</t>
        </is>
      </c>
      <c r="BU44" t="n">
        <v>2862.9</v>
      </c>
      <c r="BV44" t="n">
        <v>2984.35</v>
      </c>
      <c r="BW44" t="inlineStr">
        <is>
          <t>DANISH KRONE</t>
        </is>
      </c>
      <c r="BY44" t="n">
        <v>4049.56</v>
      </c>
      <c r="BZ44" t="n">
        <v>4204.49</v>
      </c>
      <c r="CA44" t="inlineStr">
        <is>
          <t>RUSSIAN RUBLE</t>
        </is>
      </c>
      <c r="CC44" t="n">
        <v>320.57</v>
      </c>
      <c r="CD44" t="n">
        <v>354.86</v>
      </c>
    </row>
    <row r="45">
      <c r="A45" t="inlineStr">
        <is>
          <t>13/02/2026</t>
        </is>
      </c>
      <c r="B45">
        <f>IF(ISNUMBER(A45), A45, DATE(RIGHT(A45,4), MID(A45,4,2), LEFT(A45,2)))</f>
        <v/>
      </c>
      <c r="C45" t="inlineStr">
        <is>
          <t>US DOLLAR</t>
        </is>
      </c>
      <c r="D45" t="n">
        <v>25750</v>
      </c>
      <c r="E45" t="n">
        <v>25780</v>
      </c>
      <c r="F45" t="n">
        <v>26160</v>
      </c>
      <c r="G45" t="inlineStr">
        <is>
          <t>EURO</t>
        </is>
      </c>
      <c r="H45" t="n">
        <v>29919.38</v>
      </c>
      <c r="I45" t="n">
        <v>30221.59</v>
      </c>
      <c r="J45" t="n">
        <v>31692</v>
      </c>
      <c r="K45" t="inlineStr">
        <is>
          <t>POUND STERLING</t>
        </is>
      </c>
      <c r="L45" t="n">
        <v>34364.4</v>
      </c>
      <c r="M45" t="n">
        <v>34711.51</v>
      </c>
      <c r="N45" t="n">
        <v>36045.24</v>
      </c>
      <c r="O45" t="inlineStr">
        <is>
          <t>YEN</t>
        </is>
      </c>
      <c r="P45" t="n">
        <v>162.74</v>
      </c>
      <c r="Q45" t="n">
        <v>164.38</v>
      </c>
      <c r="R45" t="n">
        <v>174.15</v>
      </c>
      <c r="S45" t="inlineStr">
        <is>
          <t>AUSTRALIAN DOLLAR</t>
        </is>
      </c>
      <c r="T45" t="n">
        <v>17843.15</v>
      </c>
      <c r="U45" t="n">
        <v>18023.38</v>
      </c>
      <c r="V45" t="n">
        <v>18715.9</v>
      </c>
      <c r="W45" t="inlineStr">
        <is>
          <t>CANADIAN DOLLAR</t>
        </is>
      </c>
      <c r="X45" t="n">
        <v>18552.17</v>
      </c>
      <c r="Y45" t="n">
        <v>18739.57</v>
      </c>
      <c r="Z45" t="n">
        <v>19459.6</v>
      </c>
      <c r="AA45" t="inlineStr">
        <is>
          <t>SWISS FRANC</t>
        </is>
      </c>
      <c r="AB45" t="n">
        <v>32791.17</v>
      </c>
      <c r="AC45" t="n">
        <v>33122.4</v>
      </c>
      <c r="AD45" t="n">
        <v>34395.07</v>
      </c>
      <c r="AE45" t="inlineStr">
        <is>
          <t>SINGAPORE DOLLAR</t>
        </is>
      </c>
      <c r="AF45" t="n">
        <v>19954.07</v>
      </c>
      <c r="AG45" t="n">
        <v>20155.62</v>
      </c>
      <c r="AH45" t="n">
        <v>20971.98</v>
      </c>
      <c r="AI45" t="inlineStr">
        <is>
          <t>YUAN RENMINBI</t>
        </is>
      </c>
      <c r="AJ45" t="n">
        <v>3652.43</v>
      </c>
      <c r="AK45" t="n">
        <v>3689.32</v>
      </c>
      <c r="AL45" t="n">
        <v>3831.08</v>
      </c>
      <c r="AM45" t="inlineStr">
        <is>
          <t>HONGKONG DOLLAR</t>
        </is>
      </c>
      <c r="AN45" t="n">
        <v>3218.8</v>
      </c>
      <c r="AO45" t="n">
        <v>3251.31</v>
      </c>
      <c r="AP45" t="n">
        <v>3396.56</v>
      </c>
      <c r="AQ45" t="inlineStr">
        <is>
          <t>THAILAND BAHT</t>
        </is>
      </c>
      <c r="AR45" t="n">
        <v>735.15</v>
      </c>
      <c r="AS45" t="n">
        <v>816.84</v>
      </c>
      <c r="AT45" t="n">
        <v>856.75</v>
      </c>
      <c r="AU45" t="inlineStr">
        <is>
          <t>KOREAN WON</t>
        </is>
      </c>
      <c r="AV45" t="n">
        <v>15.5</v>
      </c>
      <c r="AW45" t="n">
        <v>17.22</v>
      </c>
      <c r="AX45" t="n">
        <v>18.8</v>
      </c>
      <c r="AY45" t="inlineStr">
        <is>
          <t>MALAYSIAN RINGGIT</t>
        </is>
      </c>
      <c r="BA45" t="n">
        <v>6560.93</v>
      </c>
      <c r="BB45" t="n">
        <v>6745.22</v>
      </c>
      <c r="BC45" t="inlineStr">
        <is>
          <t>INDIAN RUPEE</t>
        </is>
      </c>
      <c r="BE45" t="n">
        <v>283.84</v>
      </c>
      <c r="BF45" t="n">
        <v>297.89</v>
      </c>
      <c r="BG45" t="inlineStr">
        <is>
          <t>KUWAITI DINAR</t>
        </is>
      </c>
      <c r="BI45" t="n">
        <v>84370.02</v>
      </c>
      <c r="BJ45" t="n">
        <v>89007.7</v>
      </c>
      <c r="BK45" t="inlineStr">
        <is>
          <t>SAUDI RIAL</t>
        </is>
      </c>
      <c r="BM45" t="n">
        <v>6863.98</v>
      </c>
      <c r="BN45" t="n">
        <v>7203.76</v>
      </c>
      <c r="BO45" t="inlineStr">
        <is>
          <t>NORWEGIAN KRONER</t>
        </is>
      </c>
      <c r="BQ45" t="n">
        <v>2662.34</v>
      </c>
      <c r="BR45" t="n">
        <v>2792.43</v>
      </c>
      <c r="BS45" t="inlineStr">
        <is>
          <t>SWEDISH KRONA</t>
        </is>
      </c>
      <c r="BU45" t="n">
        <v>2840.59</v>
      </c>
      <c r="BV45" t="n">
        <v>2979.39</v>
      </c>
      <c r="BW45" t="inlineStr">
        <is>
          <t>DANISH KRONE</t>
        </is>
      </c>
      <c r="BY45" t="n">
        <v>4036.05</v>
      </c>
      <c r="BZ45" t="n">
        <v>4216.36</v>
      </c>
      <c r="CA45" t="inlineStr">
        <is>
          <t>RUSSIAN RUBLE</t>
        </is>
      </c>
      <c r="CC45" t="n">
        <v>319.35</v>
      </c>
      <c r="CD45" t="n">
        <v>355.7</v>
      </c>
    </row>
    <row r="46">
      <c r="A46" t="inlineStr">
        <is>
          <t>14/02/2026</t>
        </is>
      </c>
      <c r="B46">
        <f>IF(ISNUMBER(A46), A46, DATE(RIGHT(A46,4), MID(A46,4,2), LEFT(A46,2)))</f>
        <v/>
      </c>
      <c r="C46" t="inlineStr">
        <is>
          <t>US DOLLAR</t>
        </is>
      </c>
      <c r="D46" t="n">
        <v>25750</v>
      </c>
      <c r="E46" t="n">
        <v>25780</v>
      </c>
      <c r="F46" t="n">
        <v>26160</v>
      </c>
      <c r="G46" t="inlineStr">
        <is>
          <t>EURO</t>
        </is>
      </c>
      <c r="H46" t="n">
        <v>29919.38</v>
      </c>
      <c r="I46" t="n">
        <v>30221.59</v>
      </c>
      <c r="J46" t="n">
        <v>31692</v>
      </c>
      <c r="K46" t="inlineStr">
        <is>
          <t>POUND STERLING</t>
        </is>
      </c>
      <c r="L46" t="n">
        <v>34364.4</v>
      </c>
      <c r="M46" t="n">
        <v>34711.51</v>
      </c>
      <c r="N46" t="n">
        <v>36045.24</v>
      </c>
      <c r="O46" t="inlineStr">
        <is>
          <t>YEN</t>
        </is>
      </c>
      <c r="P46" t="n">
        <v>162.74</v>
      </c>
      <c r="Q46" t="n">
        <v>164.38</v>
      </c>
      <c r="R46" t="n">
        <v>174.15</v>
      </c>
      <c r="S46" t="inlineStr">
        <is>
          <t>AUSTRALIAN DOLLAR</t>
        </is>
      </c>
      <c r="T46" t="n">
        <v>17843.15</v>
      </c>
      <c r="U46" t="n">
        <v>18023.38</v>
      </c>
      <c r="V46" t="n">
        <v>18715.9</v>
      </c>
      <c r="W46" t="inlineStr">
        <is>
          <t>CANADIAN DOLLAR</t>
        </is>
      </c>
      <c r="X46" t="n">
        <v>18552.17</v>
      </c>
      <c r="Y46" t="n">
        <v>18739.57</v>
      </c>
      <c r="Z46" t="n">
        <v>19459.6</v>
      </c>
      <c r="AA46" t="inlineStr">
        <is>
          <t>SWISS FRANC</t>
        </is>
      </c>
      <c r="AB46" t="n">
        <v>32791.17</v>
      </c>
      <c r="AC46" t="n">
        <v>33122.4</v>
      </c>
      <c r="AD46" t="n">
        <v>34395.07</v>
      </c>
      <c r="AE46" t="inlineStr">
        <is>
          <t>SINGAPORE DOLLAR</t>
        </is>
      </c>
      <c r="AF46" t="n">
        <v>19954.07</v>
      </c>
      <c r="AG46" t="n">
        <v>20155.62</v>
      </c>
      <c r="AH46" t="n">
        <v>20971.98</v>
      </c>
      <c r="AI46" t="inlineStr">
        <is>
          <t>YUAN RENMINBI</t>
        </is>
      </c>
      <c r="AJ46" t="n">
        <v>3652.43</v>
      </c>
      <c r="AK46" t="n">
        <v>3689.32</v>
      </c>
      <c r="AL46" t="n">
        <v>3831.08</v>
      </c>
      <c r="AM46" t="inlineStr">
        <is>
          <t>HONGKONG DOLLAR</t>
        </is>
      </c>
      <c r="AN46" t="n">
        <v>3218.8</v>
      </c>
      <c r="AO46" t="n">
        <v>3251.31</v>
      </c>
      <c r="AP46" t="n">
        <v>3396.56</v>
      </c>
      <c r="AQ46" t="inlineStr">
        <is>
          <t>THAILAND BAHT</t>
        </is>
      </c>
      <c r="AR46" t="n">
        <v>735.15</v>
      </c>
      <c r="AS46" t="n">
        <v>816.84</v>
      </c>
      <c r="AT46" t="n">
        <v>856.75</v>
      </c>
      <c r="AU46" t="inlineStr">
        <is>
          <t>KOREAN WON</t>
        </is>
      </c>
      <c r="AV46" t="n">
        <v>15.5</v>
      </c>
      <c r="AW46" t="n">
        <v>17.22</v>
      </c>
      <c r="AX46" t="n">
        <v>18.8</v>
      </c>
      <c r="AY46" t="inlineStr">
        <is>
          <t>MALAYSIAN RINGGIT</t>
        </is>
      </c>
      <c r="BA46" t="n">
        <v>6560.93</v>
      </c>
      <c r="BB46" t="n">
        <v>6745.22</v>
      </c>
      <c r="BC46" t="inlineStr">
        <is>
          <t>INDIAN RUPEE</t>
        </is>
      </c>
      <c r="BE46" t="n">
        <v>283.84</v>
      </c>
      <c r="BF46" t="n">
        <v>297.89</v>
      </c>
      <c r="BG46" t="inlineStr">
        <is>
          <t>KUWAITI DINAR</t>
        </is>
      </c>
      <c r="BI46" t="n">
        <v>84370.02</v>
      </c>
      <c r="BJ46" t="n">
        <v>89007.7</v>
      </c>
      <c r="BK46" t="inlineStr">
        <is>
          <t>SAUDI RIAL</t>
        </is>
      </c>
      <c r="BM46" t="n">
        <v>6863.98</v>
      </c>
      <c r="BN46" t="n">
        <v>7203.76</v>
      </c>
      <c r="BO46" t="inlineStr">
        <is>
          <t>NORWEGIAN KRONER</t>
        </is>
      </c>
      <c r="BQ46" t="n">
        <v>2662.34</v>
      </c>
      <c r="BR46" t="n">
        <v>2792.43</v>
      </c>
      <c r="BS46" t="inlineStr">
        <is>
          <t>SWEDISH KRONA</t>
        </is>
      </c>
      <c r="BU46" t="n">
        <v>2840.59</v>
      </c>
      <c r="BV46" t="n">
        <v>2979.39</v>
      </c>
      <c r="BW46" t="inlineStr">
        <is>
          <t>DANISH KRONE</t>
        </is>
      </c>
      <c r="BY46" t="n">
        <v>4036.05</v>
      </c>
      <c r="BZ46" t="n">
        <v>4216.36</v>
      </c>
      <c r="CA46" t="inlineStr">
        <is>
          <t>RUSSIAN RUBLE</t>
        </is>
      </c>
      <c r="CC46" t="n">
        <v>319.35</v>
      </c>
      <c r="CD46" t="n">
        <v>355.7</v>
      </c>
    </row>
    <row r="47">
      <c r="A47" t="inlineStr">
        <is>
          <t>15/02/2026</t>
        </is>
      </c>
      <c r="B47">
        <f>IF(ISNUMBER(A47), A47, DATE(RIGHT(A47,4), MID(A47,4,2), LEFT(A47,2)))</f>
        <v/>
      </c>
      <c r="C47" t="inlineStr">
        <is>
          <t>US DOLLAR</t>
        </is>
      </c>
      <c r="D47" t="n">
        <v>25750</v>
      </c>
      <c r="E47" t="n">
        <v>25780</v>
      </c>
      <c r="F47" t="n">
        <v>26160</v>
      </c>
      <c r="G47" t="inlineStr">
        <is>
          <t>EURO</t>
        </is>
      </c>
      <c r="H47" t="n">
        <v>29919.38</v>
      </c>
      <c r="I47" t="n">
        <v>30221.59</v>
      </c>
      <c r="J47" t="n">
        <v>31692</v>
      </c>
      <c r="K47" t="inlineStr">
        <is>
          <t>POUND STERLING</t>
        </is>
      </c>
      <c r="L47" t="n">
        <v>34364.4</v>
      </c>
      <c r="M47" t="n">
        <v>34711.51</v>
      </c>
      <c r="N47" t="n">
        <v>36045.24</v>
      </c>
      <c r="O47" t="inlineStr">
        <is>
          <t>YEN</t>
        </is>
      </c>
      <c r="P47" t="n">
        <v>162.74</v>
      </c>
      <c r="Q47" t="n">
        <v>164.38</v>
      </c>
      <c r="R47" t="n">
        <v>174.15</v>
      </c>
      <c r="S47" t="inlineStr">
        <is>
          <t>AUSTRALIAN DOLLAR</t>
        </is>
      </c>
      <c r="T47" t="n">
        <v>17843.15</v>
      </c>
      <c r="U47" t="n">
        <v>18023.38</v>
      </c>
      <c r="V47" t="n">
        <v>18715.9</v>
      </c>
      <c r="W47" t="inlineStr">
        <is>
          <t>CANADIAN DOLLAR</t>
        </is>
      </c>
      <c r="X47" t="n">
        <v>18552.17</v>
      </c>
      <c r="Y47" t="n">
        <v>18739.57</v>
      </c>
      <c r="Z47" t="n">
        <v>19459.6</v>
      </c>
      <c r="AA47" t="inlineStr">
        <is>
          <t>SWISS FRANC</t>
        </is>
      </c>
      <c r="AB47" t="n">
        <v>32791.17</v>
      </c>
      <c r="AC47" t="n">
        <v>33122.4</v>
      </c>
      <c r="AD47" t="n">
        <v>34395.07</v>
      </c>
      <c r="AE47" t="inlineStr">
        <is>
          <t>SINGAPORE DOLLAR</t>
        </is>
      </c>
      <c r="AF47" t="n">
        <v>19954.07</v>
      </c>
      <c r="AG47" t="n">
        <v>20155.62</v>
      </c>
      <c r="AH47" t="n">
        <v>20971.98</v>
      </c>
      <c r="AI47" t="inlineStr">
        <is>
          <t>YUAN RENMINBI</t>
        </is>
      </c>
      <c r="AJ47" t="n">
        <v>3652.43</v>
      </c>
      <c r="AK47" t="n">
        <v>3689.32</v>
      </c>
      <c r="AL47" t="n">
        <v>3831.08</v>
      </c>
      <c r="AM47" t="inlineStr">
        <is>
          <t>HONGKONG DOLLAR</t>
        </is>
      </c>
      <c r="AN47" t="n">
        <v>3218.8</v>
      </c>
      <c r="AO47" t="n">
        <v>3251.31</v>
      </c>
      <c r="AP47" t="n">
        <v>3396.56</v>
      </c>
      <c r="AQ47" t="inlineStr">
        <is>
          <t>THAILAND BAHT</t>
        </is>
      </c>
      <c r="AR47" t="n">
        <v>735.15</v>
      </c>
      <c r="AS47" t="n">
        <v>816.84</v>
      </c>
      <c r="AT47" t="n">
        <v>856.75</v>
      </c>
      <c r="AU47" t="inlineStr">
        <is>
          <t>KOREAN WON</t>
        </is>
      </c>
      <c r="AV47" t="n">
        <v>15.5</v>
      </c>
      <c r="AW47" t="n">
        <v>17.22</v>
      </c>
      <c r="AX47" t="n">
        <v>18.8</v>
      </c>
      <c r="AY47" t="inlineStr">
        <is>
          <t>MALAYSIAN RINGGIT</t>
        </is>
      </c>
      <c r="BA47" t="n">
        <v>6560.93</v>
      </c>
      <c r="BB47" t="n">
        <v>6745.22</v>
      </c>
      <c r="BC47" t="inlineStr">
        <is>
          <t>INDIAN RUPEE</t>
        </is>
      </c>
      <c r="BE47" t="n">
        <v>283.84</v>
      </c>
      <c r="BF47" t="n">
        <v>297.89</v>
      </c>
      <c r="BG47" t="inlineStr">
        <is>
          <t>KUWAITI DINAR</t>
        </is>
      </c>
      <c r="BI47" t="n">
        <v>84370.02</v>
      </c>
      <c r="BJ47" t="n">
        <v>89007.7</v>
      </c>
      <c r="BK47" t="inlineStr">
        <is>
          <t>SAUDI RIAL</t>
        </is>
      </c>
      <c r="BM47" t="n">
        <v>6863.98</v>
      </c>
      <c r="BN47" t="n">
        <v>7203.76</v>
      </c>
      <c r="BO47" t="inlineStr">
        <is>
          <t>NORWEGIAN KRONER</t>
        </is>
      </c>
      <c r="BQ47" t="n">
        <v>2662.34</v>
      </c>
      <c r="BR47" t="n">
        <v>2792.43</v>
      </c>
      <c r="BS47" t="inlineStr">
        <is>
          <t>SWEDISH KRONA</t>
        </is>
      </c>
      <c r="BU47" t="n">
        <v>2840.59</v>
      </c>
      <c r="BV47" t="n">
        <v>2979.39</v>
      </c>
      <c r="BW47" t="inlineStr">
        <is>
          <t>DANISH KRONE</t>
        </is>
      </c>
      <c r="BY47" t="n">
        <v>4036.05</v>
      </c>
      <c r="BZ47" t="n">
        <v>4216.36</v>
      </c>
      <c r="CA47" t="inlineStr">
        <is>
          <t>RUSSIAN RUBLE</t>
        </is>
      </c>
      <c r="CC47" t="n">
        <v>319.35</v>
      </c>
      <c r="CD47" t="n">
        <v>355.7</v>
      </c>
    </row>
    <row r="48">
      <c r="A48" t="inlineStr">
        <is>
          <t>16/02/2026</t>
        </is>
      </c>
      <c r="B48">
        <f>IF(ISNUMBER(A48), A48, DATE(RIGHT(A48,4), MID(A48,4,2), LEFT(A48,2)))</f>
        <v/>
      </c>
      <c r="C48" t="inlineStr">
        <is>
          <t>US DOLLAR</t>
        </is>
      </c>
      <c r="D48" t="n">
        <v>25750</v>
      </c>
      <c r="E48" t="n">
        <v>25780</v>
      </c>
      <c r="F48" t="n">
        <v>26160</v>
      </c>
      <c r="G48" t="inlineStr">
        <is>
          <t>EURO</t>
        </is>
      </c>
      <c r="H48" t="n">
        <v>29919.38</v>
      </c>
      <c r="I48" t="n">
        <v>30221.59</v>
      </c>
      <c r="J48" t="n">
        <v>31692</v>
      </c>
      <c r="K48" t="inlineStr">
        <is>
          <t>POUND STERLING</t>
        </is>
      </c>
      <c r="L48" t="n">
        <v>34364.4</v>
      </c>
      <c r="M48" t="n">
        <v>34711.51</v>
      </c>
      <c r="N48" t="n">
        <v>36045.24</v>
      </c>
      <c r="O48" t="inlineStr">
        <is>
          <t>YEN</t>
        </is>
      </c>
      <c r="P48" t="n">
        <v>162.74</v>
      </c>
      <c r="Q48" t="n">
        <v>164.38</v>
      </c>
      <c r="R48" t="n">
        <v>174.15</v>
      </c>
      <c r="S48" t="inlineStr">
        <is>
          <t>AUSTRALIAN DOLLAR</t>
        </is>
      </c>
      <c r="T48" t="n">
        <v>17843.15</v>
      </c>
      <c r="U48" t="n">
        <v>18023.38</v>
      </c>
      <c r="V48" t="n">
        <v>18715.9</v>
      </c>
      <c r="W48" t="inlineStr">
        <is>
          <t>CANADIAN DOLLAR</t>
        </is>
      </c>
      <c r="X48" t="n">
        <v>18552.17</v>
      </c>
      <c r="Y48" t="n">
        <v>18739.57</v>
      </c>
      <c r="Z48" t="n">
        <v>19459.6</v>
      </c>
      <c r="AA48" t="inlineStr">
        <is>
          <t>SWISS FRANC</t>
        </is>
      </c>
      <c r="AB48" t="n">
        <v>32791.17</v>
      </c>
      <c r="AC48" t="n">
        <v>33122.4</v>
      </c>
      <c r="AD48" t="n">
        <v>34395.07</v>
      </c>
      <c r="AE48" t="inlineStr">
        <is>
          <t>SINGAPORE DOLLAR</t>
        </is>
      </c>
      <c r="AF48" t="n">
        <v>19954.07</v>
      </c>
      <c r="AG48" t="n">
        <v>20155.62</v>
      </c>
      <c r="AH48" t="n">
        <v>20971.98</v>
      </c>
      <c r="AI48" t="inlineStr">
        <is>
          <t>YUAN RENMINBI</t>
        </is>
      </c>
      <c r="AJ48" t="n">
        <v>3652.43</v>
      </c>
      <c r="AK48" t="n">
        <v>3689.32</v>
      </c>
      <c r="AL48" t="n">
        <v>3831.08</v>
      </c>
      <c r="AM48" t="inlineStr">
        <is>
          <t>HONGKONG DOLLAR</t>
        </is>
      </c>
      <c r="AN48" t="n">
        <v>3218.8</v>
      </c>
      <c r="AO48" t="n">
        <v>3251.31</v>
      </c>
      <c r="AP48" t="n">
        <v>3396.56</v>
      </c>
      <c r="AQ48" t="inlineStr">
        <is>
          <t>THAILAND BAHT</t>
        </is>
      </c>
      <c r="AR48" t="n">
        <v>735.15</v>
      </c>
      <c r="AS48" t="n">
        <v>816.84</v>
      </c>
      <c r="AT48" t="n">
        <v>856.75</v>
      </c>
      <c r="AU48" t="inlineStr">
        <is>
          <t>KOREAN WON</t>
        </is>
      </c>
      <c r="AV48" t="n">
        <v>15.5</v>
      </c>
      <c r="AW48" t="n">
        <v>17.22</v>
      </c>
      <c r="AX48" t="n">
        <v>18.8</v>
      </c>
      <c r="AY48" t="inlineStr">
        <is>
          <t>MALAYSIAN RINGGIT</t>
        </is>
      </c>
      <c r="BA48" t="n">
        <v>6560.93</v>
      </c>
      <c r="BB48" t="n">
        <v>6745.22</v>
      </c>
      <c r="BC48" t="inlineStr">
        <is>
          <t>INDIAN RUPEE</t>
        </is>
      </c>
      <c r="BE48" t="n">
        <v>283.84</v>
      </c>
      <c r="BF48" t="n">
        <v>297.89</v>
      </c>
      <c r="BG48" t="inlineStr">
        <is>
          <t>KUWAITI DINAR</t>
        </is>
      </c>
      <c r="BI48" t="n">
        <v>84370.02</v>
      </c>
      <c r="BJ48" t="n">
        <v>89007.7</v>
      </c>
      <c r="BK48" t="inlineStr">
        <is>
          <t>SAUDI RIAL</t>
        </is>
      </c>
      <c r="BM48" t="n">
        <v>6863.98</v>
      </c>
      <c r="BN48" t="n">
        <v>7203.76</v>
      </c>
      <c r="BO48" t="inlineStr">
        <is>
          <t>NORWEGIAN KRONER</t>
        </is>
      </c>
      <c r="BQ48" t="n">
        <v>2662.34</v>
      </c>
      <c r="BR48" t="n">
        <v>2792.43</v>
      </c>
      <c r="BS48" t="inlineStr">
        <is>
          <t>SWEDISH KRONA</t>
        </is>
      </c>
      <c r="BU48" t="n">
        <v>2840.59</v>
      </c>
      <c r="BV48" t="n">
        <v>2979.39</v>
      </c>
      <c r="BW48" t="inlineStr">
        <is>
          <t>DANISH KRONE</t>
        </is>
      </c>
      <c r="BY48" t="n">
        <v>4036.05</v>
      </c>
      <c r="BZ48" t="n">
        <v>4216.36</v>
      </c>
      <c r="CA48" t="inlineStr">
        <is>
          <t>RUSSIAN RUBLE</t>
        </is>
      </c>
      <c r="CC48" t="n">
        <v>319.35</v>
      </c>
      <c r="CD48" t="n">
        <v>355.7</v>
      </c>
    </row>
    <row r="49">
      <c r="A49" t="inlineStr">
        <is>
          <t>17/02/2026</t>
        </is>
      </c>
      <c r="B49">
        <f>IF(ISNUMBER(A49), A49, DATE(RIGHT(A49,4), MID(A49,4,2), LEFT(A49,2)))</f>
        <v/>
      </c>
      <c r="C49" t="inlineStr">
        <is>
          <t>US DOLLAR</t>
        </is>
      </c>
      <c r="D49" t="n">
        <v>25750</v>
      </c>
      <c r="E49" t="n">
        <v>25780</v>
      </c>
      <c r="F49" t="n">
        <v>26160</v>
      </c>
      <c r="G49" t="inlineStr">
        <is>
          <t>EURO</t>
        </is>
      </c>
      <c r="H49" t="n">
        <v>29919.38</v>
      </c>
      <c r="I49" t="n">
        <v>30221.59</v>
      </c>
      <c r="J49" t="n">
        <v>31692</v>
      </c>
      <c r="K49" t="inlineStr">
        <is>
          <t>POUND STERLING</t>
        </is>
      </c>
      <c r="L49" t="n">
        <v>34364.4</v>
      </c>
      <c r="M49" t="n">
        <v>34711.51</v>
      </c>
      <c r="N49" t="n">
        <v>36045.24</v>
      </c>
      <c r="O49" t="inlineStr">
        <is>
          <t>YEN</t>
        </is>
      </c>
      <c r="P49" t="n">
        <v>162.74</v>
      </c>
      <c r="Q49" t="n">
        <v>164.38</v>
      </c>
      <c r="R49" t="n">
        <v>174.15</v>
      </c>
      <c r="S49" t="inlineStr">
        <is>
          <t>AUSTRALIAN DOLLAR</t>
        </is>
      </c>
      <c r="T49" t="n">
        <v>17843.15</v>
      </c>
      <c r="U49" t="n">
        <v>18023.38</v>
      </c>
      <c r="V49" t="n">
        <v>18715.9</v>
      </c>
      <c r="W49" t="inlineStr">
        <is>
          <t>CANADIAN DOLLAR</t>
        </is>
      </c>
      <c r="X49" t="n">
        <v>18552.17</v>
      </c>
      <c r="Y49" t="n">
        <v>18739.57</v>
      </c>
      <c r="Z49" t="n">
        <v>19459.6</v>
      </c>
      <c r="AA49" t="inlineStr">
        <is>
          <t>SWISS FRANC</t>
        </is>
      </c>
      <c r="AB49" t="n">
        <v>32791.17</v>
      </c>
      <c r="AC49" t="n">
        <v>33122.4</v>
      </c>
      <c r="AD49" t="n">
        <v>34395.07</v>
      </c>
      <c r="AE49" t="inlineStr">
        <is>
          <t>SINGAPORE DOLLAR</t>
        </is>
      </c>
      <c r="AF49" t="n">
        <v>19954.07</v>
      </c>
      <c r="AG49" t="n">
        <v>20155.62</v>
      </c>
      <c r="AH49" t="n">
        <v>20971.98</v>
      </c>
      <c r="AI49" t="inlineStr">
        <is>
          <t>YUAN RENMINBI</t>
        </is>
      </c>
      <c r="AJ49" t="n">
        <v>3652.43</v>
      </c>
      <c r="AK49" t="n">
        <v>3689.32</v>
      </c>
      <c r="AL49" t="n">
        <v>3831.08</v>
      </c>
      <c r="AM49" t="inlineStr">
        <is>
          <t>HONGKONG DOLLAR</t>
        </is>
      </c>
      <c r="AN49" t="n">
        <v>3218.8</v>
      </c>
      <c r="AO49" t="n">
        <v>3251.31</v>
      </c>
      <c r="AP49" t="n">
        <v>3396.56</v>
      </c>
      <c r="AQ49" t="inlineStr">
        <is>
          <t>THAILAND BAHT</t>
        </is>
      </c>
      <c r="AR49" t="n">
        <v>735.15</v>
      </c>
      <c r="AS49" t="n">
        <v>816.84</v>
      </c>
      <c r="AT49" t="n">
        <v>856.75</v>
      </c>
      <c r="AU49" t="inlineStr">
        <is>
          <t>KOREAN WON</t>
        </is>
      </c>
      <c r="AV49" t="n">
        <v>15.5</v>
      </c>
      <c r="AW49" t="n">
        <v>17.22</v>
      </c>
      <c r="AX49" t="n">
        <v>18.8</v>
      </c>
      <c r="AY49" t="inlineStr">
        <is>
          <t>MALAYSIAN RINGGIT</t>
        </is>
      </c>
      <c r="BA49" t="n">
        <v>6560.93</v>
      </c>
      <c r="BB49" t="n">
        <v>6745.22</v>
      </c>
      <c r="BC49" t="inlineStr">
        <is>
          <t>INDIAN RUPEE</t>
        </is>
      </c>
      <c r="BE49" t="n">
        <v>283.84</v>
      </c>
      <c r="BF49" t="n">
        <v>297.89</v>
      </c>
      <c r="BG49" t="inlineStr">
        <is>
          <t>KUWAITI DINAR</t>
        </is>
      </c>
      <c r="BI49" t="n">
        <v>84370.02</v>
      </c>
      <c r="BJ49" t="n">
        <v>89007.7</v>
      </c>
      <c r="BK49" t="inlineStr">
        <is>
          <t>SAUDI RIAL</t>
        </is>
      </c>
      <c r="BM49" t="n">
        <v>6863.98</v>
      </c>
      <c r="BN49" t="n">
        <v>7203.76</v>
      </c>
      <c r="BO49" t="inlineStr">
        <is>
          <t>NORWEGIAN KRONER</t>
        </is>
      </c>
      <c r="BQ49" t="n">
        <v>2662.34</v>
      </c>
      <c r="BR49" t="n">
        <v>2792.43</v>
      </c>
      <c r="BS49" t="inlineStr">
        <is>
          <t>SWEDISH KRONA</t>
        </is>
      </c>
      <c r="BU49" t="n">
        <v>2840.59</v>
      </c>
      <c r="BV49" t="n">
        <v>2979.39</v>
      </c>
      <c r="BW49" t="inlineStr">
        <is>
          <t>DANISH KRONE</t>
        </is>
      </c>
      <c r="BY49" t="n">
        <v>4036.05</v>
      </c>
      <c r="BZ49" t="n">
        <v>4216.36</v>
      </c>
      <c r="CA49" t="inlineStr">
        <is>
          <t>RUSSIAN RUBLE</t>
        </is>
      </c>
      <c r="CC49" t="n">
        <v>319.35</v>
      </c>
      <c r="CD49" t="n">
        <v>355.7</v>
      </c>
    </row>
    <row r="50">
      <c r="A50" t="inlineStr">
        <is>
          <t>18/02/2026</t>
        </is>
      </c>
      <c r="B50">
        <f>IF(ISNUMBER(A50), A50, DATE(RIGHT(A50,4), MID(A50,4,2), LEFT(A50,2)))</f>
        <v/>
      </c>
      <c r="C50" t="inlineStr">
        <is>
          <t>US DOLLAR</t>
        </is>
      </c>
      <c r="D50" t="n">
        <v>25750</v>
      </c>
      <c r="E50" t="n">
        <v>25780</v>
      </c>
      <c r="F50" t="n">
        <v>26160</v>
      </c>
      <c r="G50" t="inlineStr">
        <is>
          <t>EURO</t>
        </is>
      </c>
      <c r="H50" t="n">
        <v>29919.38</v>
      </c>
      <c r="I50" t="n">
        <v>30221.59</v>
      </c>
      <c r="J50" t="n">
        <v>31692</v>
      </c>
      <c r="K50" t="inlineStr">
        <is>
          <t>POUND STERLING</t>
        </is>
      </c>
      <c r="L50" t="n">
        <v>34364.4</v>
      </c>
      <c r="M50" t="n">
        <v>34711.51</v>
      </c>
      <c r="N50" t="n">
        <v>36045.24</v>
      </c>
      <c r="O50" t="inlineStr">
        <is>
          <t>YEN</t>
        </is>
      </c>
      <c r="P50" t="n">
        <v>162.74</v>
      </c>
      <c r="Q50" t="n">
        <v>164.38</v>
      </c>
      <c r="R50" t="n">
        <v>174.15</v>
      </c>
      <c r="S50" t="inlineStr">
        <is>
          <t>AUSTRALIAN DOLLAR</t>
        </is>
      </c>
      <c r="T50" t="n">
        <v>17843.15</v>
      </c>
      <c r="U50" t="n">
        <v>18023.38</v>
      </c>
      <c r="V50" t="n">
        <v>18715.9</v>
      </c>
      <c r="W50" t="inlineStr">
        <is>
          <t>CANADIAN DOLLAR</t>
        </is>
      </c>
      <c r="X50" t="n">
        <v>18552.17</v>
      </c>
      <c r="Y50" t="n">
        <v>18739.57</v>
      </c>
      <c r="Z50" t="n">
        <v>19459.6</v>
      </c>
      <c r="AA50" t="inlineStr">
        <is>
          <t>SWISS FRANC</t>
        </is>
      </c>
      <c r="AB50" t="n">
        <v>32791.17</v>
      </c>
      <c r="AC50" t="n">
        <v>33122.4</v>
      </c>
      <c r="AD50" t="n">
        <v>34395.07</v>
      </c>
      <c r="AE50" t="inlineStr">
        <is>
          <t>SINGAPORE DOLLAR</t>
        </is>
      </c>
      <c r="AF50" t="n">
        <v>19954.07</v>
      </c>
      <c r="AG50" t="n">
        <v>20155.62</v>
      </c>
      <c r="AH50" t="n">
        <v>20971.98</v>
      </c>
      <c r="AI50" t="inlineStr">
        <is>
          <t>YUAN RENMINBI</t>
        </is>
      </c>
      <c r="AJ50" t="n">
        <v>3652.43</v>
      </c>
      <c r="AK50" t="n">
        <v>3689.32</v>
      </c>
      <c r="AL50" t="n">
        <v>3831.08</v>
      </c>
      <c r="AM50" t="inlineStr">
        <is>
          <t>HONGKONG DOLLAR</t>
        </is>
      </c>
      <c r="AN50" t="n">
        <v>3218.8</v>
      </c>
      <c r="AO50" t="n">
        <v>3251.31</v>
      </c>
      <c r="AP50" t="n">
        <v>3396.56</v>
      </c>
      <c r="AQ50" t="inlineStr">
        <is>
          <t>THAILAND BAHT</t>
        </is>
      </c>
      <c r="AR50" t="n">
        <v>735.15</v>
      </c>
      <c r="AS50" t="n">
        <v>816.84</v>
      </c>
      <c r="AT50" t="n">
        <v>856.75</v>
      </c>
      <c r="AU50" t="inlineStr">
        <is>
          <t>KOREAN WON</t>
        </is>
      </c>
      <c r="AV50" t="n">
        <v>15.5</v>
      </c>
      <c r="AW50" t="n">
        <v>17.22</v>
      </c>
      <c r="AX50" t="n">
        <v>18.8</v>
      </c>
      <c r="AY50" t="inlineStr">
        <is>
          <t>MALAYSIAN RINGGIT</t>
        </is>
      </c>
      <c r="BA50" t="n">
        <v>6560.93</v>
      </c>
      <c r="BB50" t="n">
        <v>6745.22</v>
      </c>
      <c r="BC50" t="inlineStr">
        <is>
          <t>INDIAN RUPEE</t>
        </is>
      </c>
      <c r="BE50" t="n">
        <v>283.84</v>
      </c>
      <c r="BF50" t="n">
        <v>297.89</v>
      </c>
      <c r="BG50" t="inlineStr">
        <is>
          <t>KUWAITI DINAR</t>
        </is>
      </c>
      <c r="BI50" t="n">
        <v>84370.02</v>
      </c>
      <c r="BJ50" t="n">
        <v>89007.7</v>
      </c>
      <c r="BK50" t="inlineStr">
        <is>
          <t>SAUDI RIAL</t>
        </is>
      </c>
      <c r="BM50" t="n">
        <v>6863.98</v>
      </c>
      <c r="BN50" t="n">
        <v>7203.76</v>
      </c>
      <c r="BO50" t="inlineStr">
        <is>
          <t>NORWEGIAN KRONER</t>
        </is>
      </c>
      <c r="BQ50" t="n">
        <v>2662.34</v>
      </c>
      <c r="BR50" t="n">
        <v>2792.43</v>
      </c>
      <c r="BS50" t="inlineStr">
        <is>
          <t>SWEDISH KRONA</t>
        </is>
      </c>
      <c r="BU50" t="n">
        <v>2840.59</v>
      </c>
      <c r="BV50" t="n">
        <v>2979.39</v>
      </c>
      <c r="BW50" t="inlineStr">
        <is>
          <t>DANISH KRONE</t>
        </is>
      </c>
      <c r="BY50" t="n">
        <v>4036.05</v>
      </c>
      <c r="BZ50" t="n">
        <v>4216.36</v>
      </c>
      <c r="CA50" t="inlineStr">
        <is>
          <t>RUSSIAN RUBLE</t>
        </is>
      </c>
      <c r="CC50" t="n">
        <v>319.35</v>
      </c>
      <c r="CD50" t="n">
        <v>355.7</v>
      </c>
    </row>
    <row r="51">
      <c r="A51" t="inlineStr">
        <is>
          <t>19/02/2026</t>
        </is>
      </c>
      <c r="B51">
        <f>IF(ISNUMBER(A51), A51, DATE(RIGHT(A51,4), MID(A51,4,2), LEFT(A51,2)))</f>
        <v/>
      </c>
      <c r="C51" t="inlineStr">
        <is>
          <t>US DOLLAR</t>
        </is>
      </c>
      <c r="D51" t="n">
        <v>25750</v>
      </c>
      <c r="E51" t="n">
        <v>25780</v>
      </c>
      <c r="F51" t="n">
        <v>26160</v>
      </c>
      <c r="G51" t="inlineStr">
        <is>
          <t>EURO</t>
        </is>
      </c>
      <c r="H51" t="n">
        <v>29919.38</v>
      </c>
      <c r="I51" t="n">
        <v>30221.59</v>
      </c>
      <c r="J51" t="n">
        <v>31692</v>
      </c>
      <c r="K51" t="inlineStr">
        <is>
          <t>POUND STERLING</t>
        </is>
      </c>
      <c r="L51" t="n">
        <v>34364.4</v>
      </c>
      <c r="M51" t="n">
        <v>34711.51</v>
      </c>
      <c r="N51" t="n">
        <v>36045.24</v>
      </c>
      <c r="O51" t="inlineStr">
        <is>
          <t>YEN</t>
        </is>
      </c>
      <c r="P51" t="n">
        <v>162.74</v>
      </c>
      <c r="Q51" t="n">
        <v>164.38</v>
      </c>
      <c r="R51" t="n">
        <v>174.15</v>
      </c>
      <c r="S51" t="inlineStr">
        <is>
          <t>AUSTRALIAN DOLLAR</t>
        </is>
      </c>
      <c r="T51" t="n">
        <v>17843.15</v>
      </c>
      <c r="U51" t="n">
        <v>18023.38</v>
      </c>
      <c r="V51" t="n">
        <v>18715.9</v>
      </c>
      <c r="W51" t="inlineStr">
        <is>
          <t>CANADIAN DOLLAR</t>
        </is>
      </c>
      <c r="X51" t="n">
        <v>18552.17</v>
      </c>
      <c r="Y51" t="n">
        <v>18739.57</v>
      </c>
      <c r="Z51" t="n">
        <v>19459.6</v>
      </c>
      <c r="AA51" t="inlineStr">
        <is>
          <t>SWISS FRANC</t>
        </is>
      </c>
      <c r="AB51" t="n">
        <v>32791.17</v>
      </c>
      <c r="AC51" t="n">
        <v>33122.4</v>
      </c>
      <c r="AD51" t="n">
        <v>34395.07</v>
      </c>
      <c r="AE51" t="inlineStr">
        <is>
          <t>SINGAPORE DOLLAR</t>
        </is>
      </c>
      <c r="AF51" t="n">
        <v>19954.07</v>
      </c>
      <c r="AG51" t="n">
        <v>20155.62</v>
      </c>
      <c r="AH51" t="n">
        <v>20971.98</v>
      </c>
      <c r="AI51" t="inlineStr">
        <is>
          <t>YUAN RENMINBI</t>
        </is>
      </c>
      <c r="AJ51" t="n">
        <v>3652.43</v>
      </c>
      <c r="AK51" t="n">
        <v>3689.32</v>
      </c>
      <c r="AL51" t="n">
        <v>3831.08</v>
      </c>
      <c r="AM51" t="inlineStr">
        <is>
          <t>HONGKONG DOLLAR</t>
        </is>
      </c>
      <c r="AN51" t="n">
        <v>3218.8</v>
      </c>
      <c r="AO51" t="n">
        <v>3251.31</v>
      </c>
      <c r="AP51" t="n">
        <v>3396.56</v>
      </c>
      <c r="AQ51" t="inlineStr">
        <is>
          <t>THAILAND BAHT</t>
        </is>
      </c>
      <c r="AR51" t="n">
        <v>735.15</v>
      </c>
      <c r="AS51" t="n">
        <v>816.84</v>
      </c>
      <c r="AT51" t="n">
        <v>856.75</v>
      </c>
      <c r="AU51" t="inlineStr">
        <is>
          <t>KOREAN WON</t>
        </is>
      </c>
      <c r="AV51" t="n">
        <v>15.5</v>
      </c>
      <c r="AW51" t="n">
        <v>17.22</v>
      </c>
      <c r="AX51" t="n">
        <v>18.8</v>
      </c>
      <c r="AY51" t="inlineStr">
        <is>
          <t>MALAYSIAN RINGGIT</t>
        </is>
      </c>
      <c r="BA51" t="n">
        <v>6560.93</v>
      </c>
      <c r="BB51" t="n">
        <v>6745.22</v>
      </c>
      <c r="BC51" t="inlineStr">
        <is>
          <t>INDIAN RUPEE</t>
        </is>
      </c>
      <c r="BE51" t="n">
        <v>283.84</v>
      </c>
      <c r="BF51" t="n">
        <v>297.89</v>
      </c>
      <c r="BG51" t="inlineStr">
        <is>
          <t>KUWAITI DINAR</t>
        </is>
      </c>
      <c r="BI51" t="n">
        <v>84370.02</v>
      </c>
      <c r="BJ51" t="n">
        <v>89007.7</v>
      </c>
      <c r="BK51" t="inlineStr">
        <is>
          <t>SAUDI RIAL</t>
        </is>
      </c>
      <c r="BM51" t="n">
        <v>6863.98</v>
      </c>
      <c r="BN51" t="n">
        <v>7203.76</v>
      </c>
      <c r="BO51" t="inlineStr">
        <is>
          <t>NORWEGIAN KRONER</t>
        </is>
      </c>
      <c r="BQ51" t="n">
        <v>2662.34</v>
      </c>
      <c r="BR51" t="n">
        <v>2792.43</v>
      </c>
      <c r="BS51" t="inlineStr">
        <is>
          <t>SWEDISH KRONA</t>
        </is>
      </c>
      <c r="BU51" t="n">
        <v>2840.59</v>
      </c>
      <c r="BV51" t="n">
        <v>2979.39</v>
      </c>
      <c r="BW51" t="inlineStr">
        <is>
          <t>DANISH KRONE</t>
        </is>
      </c>
      <c r="BY51" t="n">
        <v>4036.05</v>
      </c>
      <c r="BZ51" t="n">
        <v>4216.36</v>
      </c>
      <c r="CA51" t="inlineStr">
        <is>
          <t>RUSSIAN RUBLE</t>
        </is>
      </c>
      <c r="CC51" t="n">
        <v>319.35</v>
      </c>
      <c r="CD51" t="n">
        <v>355.7</v>
      </c>
    </row>
    <row r="52">
      <c r="A52" t="inlineStr">
        <is>
          <t>20/02/2026</t>
        </is>
      </c>
      <c r="B52">
        <f>IF(ISNUMBER(A52), A52, DATE(RIGHT(A52,4), MID(A52,4,2), LEFT(A52,2)))</f>
        <v/>
      </c>
      <c r="C52" t="inlineStr">
        <is>
          <t>US DOLLAR</t>
        </is>
      </c>
      <c r="D52" t="n">
        <v>25750</v>
      </c>
      <c r="E52" t="n">
        <v>25780</v>
      </c>
      <c r="F52" t="n">
        <v>26160</v>
      </c>
      <c r="G52" t="inlineStr">
        <is>
          <t>EURO</t>
        </is>
      </c>
      <c r="H52" t="n">
        <v>29919.38</v>
      </c>
      <c r="I52" t="n">
        <v>30221.59</v>
      </c>
      <c r="J52" t="n">
        <v>31692</v>
      </c>
      <c r="K52" t="inlineStr">
        <is>
          <t>POUND STERLING</t>
        </is>
      </c>
      <c r="L52" t="n">
        <v>34364.4</v>
      </c>
      <c r="M52" t="n">
        <v>34711.51</v>
      </c>
      <c r="N52" t="n">
        <v>36045.24</v>
      </c>
      <c r="O52" t="inlineStr">
        <is>
          <t>YEN</t>
        </is>
      </c>
      <c r="P52" t="n">
        <v>162.74</v>
      </c>
      <c r="Q52" t="n">
        <v>164.38</v>
      </c>
      <c r="R52" t="n">
        <v>174.15</v>
      </c>
      <c r="S52" t="inlineStr">
        <is>
          <t>AUSTRALIAN DOLLAR</t>
        </is>
      </c>
      <c r="T52" t="n">
        <v>17843.15</v>
      </c>
      <c r="U52" t="n">
        <v>18023.38</v>
      </c>
      <c r="V52" t="n">
        <v>18715.9</v>
      </c>
      <c r="W52" t="inlineStr">
        <is>
          <t>CANADIAN DOLLAR</t>
        </is>
      </c>
      <c r="X52" t="n">
        <v>18552.17</v>
      </c>
      <c r="Y52" t="n">
        <v>18739.57</v>
      </c>
      <c r="Z52" t="n">
        <v>19459.6</v>
      </c>
      <c r="AA52" t="inlineStr">
        <is>
          <t>SWISS FRANC</t>
        </is>
      </c>
      <c r="AB52" t="n">
        <v>32791.17</v>
      </c>
      <c r="AC52" t="n">
        <v>33122.4</v>
      </c>
      <c r="AD52" t="n">
        <v>34395.07</v>
      </c>
      <c r="AE52" t="inlineStr">
        <is>
          <t>SINGAPORE DOLLAR</t>
        </is>
      </c>
      <c r="AF52" t="n">
        <v>19954.07</v>
      </c>
      <c r="AG52" t="n">
        <v>20155.62</v>
      </c>
      <c r="AH52" t="n">
        <v>20971.98</v>
      </c>
      <c r="AI52" t="inlineStr">
        <is>
          <t>YUAN RENMINBI</t>
        </is>
      </c>
      <c r="AJ52" t="n">
        <v>3652.43</v>
      </c>
      <c r="AK52" t="n">
        <v>3689.32</v>
      </c>
      <c r="AL52" t="n">
        <v>3831.08</v>
      </c>
      <c r="AM52" t="inlineStr">
        <is>
          <t>HONGKONG DOLLAR</t>
        </is>
      </c>
      <c r="AN52" t="n">
        <v>3218.8</v>
      </c>
      <c r="AO52" t="n">
        <v>3251.31</v>
      </c>
      <c r="AP52" t="n">
        <v>3396.56</v>
      </c>
      <c r="AQ52" t="inlineStr">
        <is>
          <t>THAILAND BAHT</t>
        </is>
      </c>
      <c r="AR52" t="n">
        <v>735.15</v>
      </c>
      <c r="AS52" t="n">
        <v>816.84</v>
      </c>
      <c r="AT52" t="n">
        <v>856.75</v>
      </c>
      <c r="AU52" t="inlineStr">
        <is>
          <t>KOREAN WON</t>
        </is>
      </c>
      <c r="AV52" t="n">
        <v>15.5</v>
      </c>
      <c r="AW52" t="n">
        <v>17.22</v>
      </c>
      <c r="AX52" t="n">
        <v>18.8</v>
      </c>
      <c r="AY52" t="inlineStr">
        <is>
          <t>MALAYSIAN RINGGIT</t>
        </is>
      </c>
      <c r="BA52" t="n">
        <v>6560.93</v>
      </c>
      <c r="BB52" t="n">
        <v>6745.22</v>
      </c>
      <c r="BC52" t="inlineStr">
        <is>
          <t>INDIAN RUPEE</t>
        </is>
      </c>
      <c r="BE52" t="n">
        <v>283.84</v>
      </c>
      <c r="BF52" t="n">
        <v>297.89</v>
      </c>
      <c r="BG52" t="inlineStr">
        <is>
          <t>KUWAITI DINAR</t>
        </is>
      </c>
      <c r="BI52" t="n">
        <v>84370.02</v>
      </c>
      <c r="BJ52" t="n">
        <v>89007.7</v>
      </c>
      <c r="BK52" t="inlineStr">
        <is>
          <t>SAUDI RIAL</t>
        </is>
      </c>
      <c r="BM52" t="n">
        <v>6863.98</v>
      </c>
      <c r="BN52" t="n">
        <v>7203.76</v>
      </c>
      <c r="BO52" t="inlineStr">
        <is>
          <t>NORWEGIAN KRONER</t>
        </is>
      </c>
      <c r="BQ52" t="n">
        <v>2662.34</v>
      </c>
      <c r="BR52" t="n">
        <v>2792.43</v>
      </c>
      <c r="BS52" t="inlineStr">
        <is>
          <t>SWEDISH KRONA</t>
        </is>
      </c>
      <c r="BU52" t="n">
        <v>2840.59</v>
      </c>
      <c r="BV52" t="n">
        <v>2979.39</v>
      </c>
      <c r="BW52" t="inlineStr">
        <is>
          <t>DANISH KRONE</t>
        </is>
      </c>
      <c r="BY52" t="n">
        <v>4036.05</v>
      </c>
      <c r="BZ52" t="n">
        <v>4216.36</v>
      </c>
      <c r="CA52" t="inlineStr">
        <is>
          <t>RUSSIAN RUBLE</t>
        </is>
      </c>
      <c r="CC52" t="n">
        <v>319.35</v>
      </c>
      <c r="CD52" t="n">
        <v>355.7</v>
      </c>
    </row>
    <row r="53">
      <c r="A53" t="inlineStr">
        <is>
          <t>21/02/2026</t>
        </is>
      </c>
      <c r="B53">
        <f>IF(ISNUMBER(A53), A53, DATE(RIGHT(A53,4), MID(A53,4,2), LEFT(A53,2)))</f>
        <v/>
      </c>
      <c r="C53" t="inlineStr">
        <is>
          <t>US DOLLAR</t>
        </is>
      </c>
      <c r="D53" t="n">
        <v>25750</v>
      </c>
      <c r="E53" t="n">
        <v>25780</v>
      </c>
      <c r="F53" t="n">
        <v>26160</v>
      </c>
      <c r="G53" t="inlineStr">
        <is>
          <t>EURO</t>
        </is>
      </c>
      <c r="H53" t="n">
        <v>29919.38</v>
      </c>
      <c r="I53" t="n">
        <v>30221.59</v>
      </c>
      <c r="J53" t="n">
        <v>31692</v>
      </c>
      <c r="K53" t="inlineStr">
        <is>
          <t>POUND STERLING</t>
        </is>
      </c>
      <c r="L53" t="n">
        <v>34364.4</v>
      </c>
      <c r="M53" t="n">
        <v>34711.51</v>
      </c>
      <c r="N53" t="n">
        <v>36045.24</v>
      </c>
      <c r="O53" t="inlineStr">
        <is>
          <t>YEN</t>
        </is>
      </c>
      <c r="P53" t="n">
        <v>162.74</v>
      </c>
      <c r="Q53" t="n">
        <v>164.38</v>
      </c>
      <c r="R53" t="n">
        <v>174.15</v>
      </c>
      <c r="S53" t="inlineStr">
        <is>
          <t>AUSTRALIAN DOLLAR</t>
        </is>
      </c>
      <c r="T53" t="n">
        <v>17843.15</v>
      </c>
      <c r="U53" t="n">
        <v>18023.38</v>
      </c>
      <c r="V53" t="n">
        <v>18715.9</v>
      </c>
      <c r="W53" t="inlineStr">
        <is>
          <t>CANADIAN DOLLAR</t>
        </is>
      </c>
      <c r="X53" t="n">
        <v>18552.17</v>
      </c>
      <c r="Y53" t="n">
        <v>18739.57</v>
      </c>
      <c r="Z53" t="n">
        <v>19459.6</v>
      </c>
      <c r="AA53" t="inlineStr">
        <is>
          <t>SWISS FRANC</t>
        </is>
      </c>
      <c r="AB53" t="n">
        <v>32791.17</v>
      </c>
      <c r="AC53" t="n">
        <v>33122.4</v>
      </c>
      <c r="AD53" t="n">
        <v>34395.07</v>
      </c>
      <c r="AE53" t="inlineStr">
        <is>
          <t>SINGAPORE DOLLAR</t>
        </is>
      </c>
      <c r="AF53" t="n">
        <v>19954.07</v>
      </c>
      <c r="AG53" t="n">
        <v>20155.62</v>
      </c>
      <c r="AH53" t="n">
        <v>20971.98</v>
      </c>
      <c r="AI53" t="inlineStr">
        <is>
          <t>YUAN RENMINBI</t>
        </is>
      </c>
      <c r="AJ53" t="n">
        <v>3652.43</v>
      </c>
      <c r="AK53" t="n">
        <v>3689.32</v>
      </c>
      <c r="AL53" t="n">
        <v>3831.08</v>
      </c>
      <c r="AM53" t="inlineStr">
        <is>
          <t>HONGKONG DOLLAR</t>
        </is>
      </c>
      <c r="AN53" t="n">
        <v>3218.8</v>
      </c>
      <c r="AO53" t="n">
        <v>3251.31</v>
      </c>
      <c r="AP53" t="n">
        <v>3396.56</v>
      </c>
      <c r="AQ53" t="inlineStr">
        <is>
          <t>THAILAND BAHT</t>
        </is>
      </c>
      <c r="AR53" t="n">
        <v>735.15</v>
      </c>
      <c r="AS53" t="n">
        <v>816.84</v>
      </c>
      <c r="AT53" t="n">
        <v>856.75</v>
      </c>
      <c r="AU53" t="inlineStr">
        <is>
          <t>KOREAN WON</t>
        </is>
      </c>
      <c r="AV53" t="n">
        <v>15.5</v>
      </c>
      <c r="AW53" t="n">
        <v>17.22</v>
      </c>
      <c r="AX53" t="n">
        <v>18.8</v>
      </c>
      <c r="AY53" t="inlineStr">
        <is>
          <t>MALAYSIAN RINGGIT</t>
        </is>
      </c>
      <c r="BA53" t="n">
        <v>6560.93</v>
      </c>
      <c r="BB53" t="n">
        <v>6745.22</v>
      </c>
      <c r="BC53" t="inlineStr">
        <is>
          <t>INDIAN RUPEE</t>
        </is>
      </c>
      <c r="BE53" t="n">
        <v>283.84</v>
      </c>
      <c r="BF53" t="n">
        <v>297.89</v>
      </c>
      <c r="BG53" t="inlineStr">
        <is>
          <t>KUWAITI DINAR</t>
        </is>
      </c>
      <c r="BI53" t="n">
        <v>84370.02</v>
      </c>
      <c r="BJ53" t="n">
        <v>89007.7</v>
      </c>
      <c r="BK53" t="inlineStr">
        <is>
          <t>SAUDI RIAL</t>
        </is>
      </c>
      <c r="BM53" t="n">
        <v>6863.98</v>
      </c>
      <c r="BN53" t="n">
        <v>7203.76</v>
      </c>
      <c r="BO53" t="inlineStr">
        <is>
          <t>NORWEGIAN KRONER</t>
        </is>
      </c>
      <c r="BQ53" t="n">
        <v>2662.34</v>
      </c>
      <c r="BR53" t="n">
        <v>2792.43</v>
      </c>
      <c r="BS53" t="inlineStr">
        <is>
          <t>SWEDISH KRONA</t>
        </is>
      </c>
      <c r="BU53" t="n">
        <v>2840.59</v>
      </c>
      <c r="BV53" t="n">
        <v>2979.39</v>
      </c>
      <c r="BW53" t="inlineStr">
        <is>
          <t>DANISH KRONE</t>
        </is>
      </c>
      <c r="BY53" t="n">
        <v>4036.05</v>
      </c>
      <c r="BZ53" t="n">
        <v>4216.36</v>
      </c>
      <c r="CA53" t="inlineStr">
        <is>
          <t>RUSSIAN RUBLE</t>
        </is>
      </c>
      <c r="CC53" t="n">
        <v>319.35</v>
      </c>
      <c r="CD53" t="n">
        <v>355.7</v>
      </c>
    </row>
    <row r="54">
      <c r="A54" t="inlineStr">
        <is>
          <t>22/02/2026</t>
        </is>
      </c>
      <c r="B54">
        <f>IF(ISNUMBER(A54), A54, DATE(RIGHT(A54,4), MID(A54,4,2), LEFT(A54,2)))</f>
        <v/>
      </c>
      <c r="C54" t="inlineStr">
        <is>
          <t>US DOLLAR</t>
        </is>
      </c>
      <c r="D54" t="n">
        <v>25750</v>
      </c>
      <c r="E54" t="n">
        <v>25780</v>
      </c>
      <c r="F54" t="n">
        <v>26160</v>
      </c>
      <c r="G54" t="inlineStr">
        <is>
          <t>EURO</t>
        </is>
      </c>
      <c r="H54" t="n">
        <v>29919.38</v>
      </c>
      <c r="I54" t="n">
        <v>30221.59</v>
      </c>
      <c r="J54" t="n">
        <v>31692</v>
      </c>
      <c r="K54" t="inlineStr">
        <is>
          <t>POUND STERLING</t>
        </is>
      </c>
      <c r="L54" t="n">
        <v>34364.4</v>
      </c>
      <c r="M54" t="n">
        <v>34711.51</v>
      </c>
      <c r="N54" t="n">
        <v>36045.24</v>
      </c>
      <c r="O54" t="inlineStr">
        <is>
          <t>YEN</t>
        </is>
      </c>
      <c r="P54" t="n">
        <v>162.74</v>
      </c>
      <c r="Q54" t="n">
        <v>164.38</v>
      </c>
      <c r="R54" t="n">
        <v>174.15</v>
      </c>
      <c r="S54" t="inlineStr">
        <is>
          <t>AUSTRALIAN DOLLAR</t>
        </is>
      </c>
      <c r="T54" t="n">
        <v>17843.15</v>
      </c>
      <c r="U54" t="n">
        <v>18023.38</v>
      </c>
      <c r="V54" t="n">
        <v>18715.9</v>
      </c>
      <c r="W54" t="inlineStr">
        <is>
          <t>CANADIAN DOLLAR</t>
        </is>
      </c>
      <c r="X54" t="n">
        <v>18552.17</v>
      </c>
      <c r="Y54" t="n">
        <v>18739.57</v>
      </c>
      <c r="Z54" t="n">
        <v>19459.6</v>
      </c>
      <c r="AA54" t="inlineStr">
        <is>
          <t>SWISS FRANC</t>
        </is>
      </c>
      <c r="AB54" t="n">
        <v>32791.17</v>
      </c>
      <c r="AC54" t="n">
        <v>33122.4</v>
      </c>
      <c r="AD54" t="n">
        <v>34395.07</v>
      </c>
      <c r="AE54" t="inlineStr">
        <is>
          <t>SINGAPORE DOLLAR</t>
        </is>
      </c>
      <c r="AF54" t="n">
        <v>19954.07</v>
      </c>
      <c r="AG54" t="n">
        <v>20155.62</v>
      </c>
      <c r="AH54" t="n">
        <v>20971.98</v>
      </c>
      <c r="AI54" t="inlineStr">
        <is>
          <t>YUAN RENMINBI</t>
        </is>
      </c>
      <c r="AJ54" t="n">
        <v>3652.43</v>
      </c>
      <c r="AK54" t="n">
        <v>3689.32</v>
      </c>
      <c r="AL54" t="n">
        <v>3831.08</v>
      </c>
      <c r="AM54" t="inlineStr">
        <is>
          <t>HONGKONG DOLLAR</t>
        </is>
      </c>
      <c r="AN54" t="n">
        <v>3218.8</v>
      </c>
      <c r="AO54" t="n">
        <v>3251.31</v>
      </c>
      <c r="AP54" t="n">
        <v>3396.56</v>
      </c>
      <c r="AQ54" t="inlineStr">
        <is>
          <t>THAILAND BAHT</t>
        </is>
      </c>
      <c r="AR54" t="n">
        <v>735.15</v>
      </c>
      <c r="AS54" t="n">
        <v>816.84</v>
      </c>
      <c r="AT54" t="n">
        <v>856.75</v>
      </c>
      <c r="AU54" t="inlineStr">
        <is>
          <t>KOREAN WON</t>
        </is>
      </c>
      <c r="AV54" t="n">
        <v>15.5</v>
      </c>
      <c r="AW54" t="n">
        <v>17.22</v>
      </c>
      <c r="AX54" t="n">
        <v>18.8</v>
      </c>
      <c r="AY54" t="inlineStr">
        <is>
          <t>MALAYSIAN RINGGIT</t>
        </is>
      </c>
      <c r="BA54" t="n">
        <v>6560.93</v>
      </c>
      <c r="BB54" t="n">
        <v>6745.22</v>
      </c>
      <c r="BC54" t="inlineStr">
        <is>
          <t>INDIAN RUPEE</t>
        </is>
      </c>
      <c r="BE54" t="n">
        <v>283.84</v>
      </c>
      <c r="BF54" t="n">
        <v>297.89</v>
      </c>
      <c r="BG54" t="inlineStr">
        <is>
          <t>KUWAITI DINAR</t>
        </is>
      </c>
      <c r="BI54" t="n">
        <v>84370.02</v>
      </c>
      <c r="BJ54" t="n">
        <v>89007.7</v>
      </c>
      <c r="BK54" t="inlineStr">
        <is>
          <t>SAUDI RIAL</t>
        </is>
      </c>
      <c r="BM54" t="n">
        <v>6863.98</v>
      </c>
      <c r="BN54" t="n">
        <v>7203.76</v>
      </c>
      <c r="BO54" t="inlineStr">
        <is>
          <t>NORWEGIAN KRONER</t>
        </is>
      </c>
      <c r="BQ54" t="n">
        <v>2662.34</v>
      </c>
      <c r="BR54" t="n">
        <v>2792.43</v>
      </c>
      <c r="BS54" t="inlineStr">
        <is>
          <t>SWEDISH KRONA</t>
        </is>
      </c>
      <c r="BU54" t="n">
        <v>2840.59</v>
      </c>
      <c r="BV54" t="n">
        <v>2979.39</v>
      </c>
      <c r="BW54" t="inlineStr">
        <is>
          <t>DANISH KRONE</t>
        </is>
      </c>
      <c r="BY54" t="n">
        <v>4036.05</v>
      </c>
      <c r="BZ54" t="n">
        <v>4216.36</v>
      </c>
      <c r="CA54" t="inlineStr">
        <is>
          <t>RUSSIAN RUBLE</t>
        </is>
      </c>
      <c r="CC54" t="n">
        <v>319.35</v>
      </c>
      <c r="CD54" t="n">
        <v>355.7</v>
      </c>
    </row>
    <row r="55">
      <c r="A55" t="inlineStr">
        <is>
          <t>23/02/2026</t>
        </is>
      </c>
      <c r="B55">
        <f>IF(ISNUMBER(A55), A55, DATE(RIGHT(A55,4), MID(A55,4,2), LEFT(A55,2)))</f>
        <v/>
      </c>
      <c r="C55" t="inlineStr">
        <is>
          <t>US DOLLAR</t>
        </is>
      </c>
      <c r="D55" t="n">
        <v>25880</v>
      </c>
      <c r="E55" t="n">
        <v>25910</v>
      </c>
      <c r="F55" t="n">
        <v>26290</v>
      </c>
      <c r="G55" t="inlineStr">
        <is>
          <t>EURO</t>
        </is>
      </c>
      <c r="H55" t="n">
        <v>30032.54</v>
      </c>
      <c r="I55" t="n">
        <v>30335.9</v>
      </c>
      <c r="J55" t="n">
        <v>31616.24</v>
      </c>
      <c r="K55" t="inlineStr">
        <is>
          <t>POUND STERLING</t>
        </is>
      </c>
      <c r="L55" t="n">
        <v>34361.06</v>
      </c>
      <c r="M55" t="n">
        <v>34708.14</v>
      </c>
      <c r="N55" t="n">
        <v>35820.09</v>
      </c>
      <c r="O55" t="inlineStr">
        <is>
          <t>YEN</t>
        </is>
      </c>
      <c r="P55" t="n">
        <v>162.78</v>
      </c>
      <c r="Q55" t="n">
        <v>164.42</v>
      </c>
      <c r="R55" t="n">
        <v>173.12</v>
      </c>
      <c r="S55" t="inlineStr">
        <is>
          <t>AUSTRALIAN DOLLAR</t>
        </is>
      </c>
      <c r="T55" t="n">
        <v>18021.05</v>
      </c>
      <c r="U55" t="n">
        <v>18203.08</v>
      </c>
      <c r="V55" t="n">
        <v>18786.26</v>
      </c>
      <c r="W55" t="inlineStr">
        <is>
          <t>CANADIAN DOLLAR</t>
        </is>
      </c>
      <c r="X55" t="n">
        <v>18615.17</v>
      </c>
      <c r="Y55" t="n">
        <v>18803.21</v>
      </c>
      <c r="Z55" t="n">
        <v>19405.61</v>
      </c>
      <c r="AA55" t="inlineStr">
        <is>
          <t>SWISS FRANC</t>
        </is>
      </c>
      <c r="AB55" t="n">
        <v>32877.91</v>
      </c>
      <c r="AC55" t="n">
        <v>33210.01</v>
      </c>
      <c r="AD55" t="n">
        <v>34273.96</v>
      </c>
      <c r="AE55" t="inlineStr">
        <is>
          <t>SINGAPORE DOLLAR</t>
        </is>
      </c>
      <c r="AF55" t="n">
        <v>20095.36</v>
      </c>
      <c r="AG55" t="n">
        <v>20298.35</v>
      </c>
      <c r="AH55" t="n">
        <v>20990.6</v>
      </c>
      <c r="AI55" t="inlineStr">
        <is>
          <t>YUAN RENMINBI</t>
        </is>
      </c>
      <c r="AJ55" t="n">
        <v>3682.34</v>
      </c>
      <c r="AK55" t="n">
        <v>3719.54</v>
      </c>
      <c r="AL55" t="n">
        <v>3838.7</v>
      </c>
      <c r="AM55" t="inlineStr">
        <is>
          <t>HONGKONG DOLLAR</t>
        </is>
      </c>
      <c r="AN55" t="n">
        <v>3244.26</v>
      </c>
      <c r="AO55" t="n">
        <v>3277.03</v>
      </c>
      <c r="AP55" t="n">
        <v>3402.38</v>
      </c>
      <c r="AQ55" t="inlineStr">
        <is>
          <t>THAILAND BAHT</t>
        </is>
      </c>
      <c r="AR55" t="n">
        <v>741.84</v>
      </c>
      <c r="AS55" t="n">
        <v>824.26</v>
      </c>
      <c r="AT55" t="n">
        <v>859.22</v>
      </c>
      <c r="AU55" t="inlineStr">
        <is>
          <t>KOREAN WON</t>
        </is>
      </c>
      <c r="AV55" t="n">
        <v>15.64</v>
      </c>
      <c r="AW55" t="n">
        <v>17.38</v>
      </c>
      <c r="AX55" t="n">
        <v>18.86</v>
      </c>
      <c r="AY55" t="inlineStr">
        <is>
          <t>MALAYSIAN RINGGIT</t>
        </is>
      </c>
      <c r="BA55" t="n">
        <v>6641.4</v>
      </c>
      <c r="BB55" t="n">
        <v>6785.97</v>
      </c>
      <c r="BC55" t="inlineStr">
        <is>
          <t>INDIAN RUPEE</t>
        </is>
      </c>
      <c r="BE55" t="n">
        <v>285.59</v>
      </c>
      <c r="BF55" t="n">
        <v>297.89</v>
      </c>
      <c r="BG55" t="inlineStr">
        <is>
          <t>KUWAITI DINAR</t>
        </is>
      </c>
      <c r="BI55" t="n">
        <v>85027.03</v>
      </c>
      <c r="BJ55" t="n">
        <v>89149.19</v>
      </c>
      <c r="BK55" t="inlineStr">
        <is>
          <t>SAUDI RIAL</t>
        </is>
      </c>
      <c r="BM55" t="n">
        <v>6918.22</v>
      </c>
      <c r="BN55" t="n">
        <v>7216.04</v>
      </c>
      <c r="BO55" t="inlineStr">
        <is>
          <t>NORWEGIAN KRONER</t>
        </is>
      </c>
      <c r="BQ55" t="n">
        <v>2680.85</v>
      </c>
      <c r="BR55" t="n">
        <v>2794.55</v>
      </c>
      <c r="BS55" t="inlineStr">
        <is>
          <t>SWEDISH KRONA</t>
        </is>
      </c>
      <c r="BU55" t="n">
        <v>2827.01</v>
      </c>
      <c r="BV55" t="n">
        <v>2946.91</v>
      </c>
      <c r="BW55" t="inlineStr">
        <is>
          <t>DANISH KRONE</t>
        </is>
      </c>
      <c r="BY55" t="n">
        <v>4049.84</v>
      </c>
      <c r="BZ55" t="n">
        <v>4204.74</v>
      </c>
      <c r="CA55" t="inlineStr">
        <is>
          <t>RUSSIAN RUBLE</t>
        </is>
      </c>
      <c r="CC55" t="n">
        <v>322.99</v>
      </c>
      <c r="CD55" t="n">
        <v>357.54</v>
      </c>
    </row>
    <row r="56">
      <c r="A56" t="inlineStr">
        <is>
          <t>24/02/2026</t>
        </is>
      </c>
      <c r="B56">
        <f>IF(ISNUMBER(A56), A56, DATE(RIGHT(A56,4), MID(A56,4,2), LEFT(A56,2)))</f>
        <v/>
      </c>
      <c r="C56" t="inlineStr">
        <is>
          <t>US DOLLAR</t>
        </is>
      </c>
      <c r="D56" t="n">
        <v>25955</v>
      </c>
      <c r="E56" t="n">
        <v>25985</v>
      </c>
      <c r="F56" t="n">
        <v>26305</v>
      </c>
      <c r="G56" t="inlineStr">
        <is>
          <t>EURO</t>
        </is>
      </c>
      <c r="H56" t="n">
        <v>30054.52</v>
      </c>
      <c r="I56" t="n">
        <v>30358.1</v>
      </c>
      <c r="J56" t="n">
        <v>31639.2</v>
      </c>
      <c r="K56" t="inlineStr">
        <is>
          <t>POUND STERLING</t>
        </is>
      </c>
      <c r="L56" t="n">
        <v>34408.18</v>
      </c>
      <c r="M56" t="n">
        <v>34755.74</v>
      </c>
      <c r="N56" t="n">
        <v>35869.03</v>
      </c>
      <c r="O56" t="inlineStr">
        <is>
          <t>YEN</t>
        </is>
      </c>
      <c r="P56" t="n">
        <v>163.06</v>
      </c>
      <c r="Q56" t="n">
        <v>164.71</v>
      </c>
      <c r="R56" t="n">
        <v>173.42</v>
      </c>
      <c r="S56" t="inlineStr">
        <is>
          <t>AUSTRALIAN DOLLAR</t>
        </is>
      </c>
      <c r="T56" t="n">
        <v>18027.1</v>
      </c>
      <c r="U56" t="n">
        <v>18209.19</v>
      </c>
      <c r="V56" t="n">
        <v>18792.47</v>
      </c>
      <c r="W56" t="inlineStr">
        <is>
          <t>CANADIAN DOLLAR</t>
        </is>
      </c>
      <c r="X56" t="n">
        <v>18633.05</v>
      </c>
      <c r="Y56" t="n">
        <v>18821.27</v>
      </c>
      <c r="Z56" t="n">
        <v>19424.15</v>
      </c>
      <c r="AA56" t="inlineStr">
        <is>
          <t>SWISS FRANC</t>
        </is>
      </c>
      <c r="AB56" t="n">
        <v>32914.79</v>
      </c>
      <c r="AC56" t="n">
        <v>33247.26</v>
      </c>
      <c r="AD56" t="n">
        <v>34312.23</v>
      </c>
      <c r="AE56" t="inlineStr">
        <is>
          <t>SINGAPORE DOLLAR</t>
        </is>
      </c>
      <c r="AF56" t="n">
        <v>20134.46</v>
      </c>
      <c r="AG56" t="n">
        <v>20337.84</v>
      </c>
      <c r="AH56" t="n">
        <v>21031.33</v>
      </c>
      <c r="AI56" t="inlineStr">
        <is>
          <t>YUAN RENMINBI</t>
        </is>
      </c>
      <c r="AJ56" t="n">
        <v>3702.66</v>
      </c>
      <c r="AK56" t="n">
        <v>3740.06</v>
      </c>
      <c r="AL56" t="n">
        <v>3859.86</v>
      </c>
      <c r="AM56" t="inlineStr">
        <is>
          <t>HONGKONG DOLLAR</t>
        </is>
      </c>
      <c r="AN56" t="n">
        <v>3253.92</v>
      </c>
      <c r="AO56" t="n">
        <v>3286.79</v>
      </c>
      <c r="AP56" t="n">
        <v>3412.49</v>
      </c>
      <c r="AQ56" t="inlineStr">
        <is>
          <t>THAILAND BAHT</t>
        </is>
      </c>
      <c r="AR56" t="n">
        <v>743.4400000000001</v>
      </c>
      <c r="AS56" t="n">
        <v>826.04</v>
      </c>
      <c r="AT56" t="n">
        <v>861.0700000000001</v>
      </c>
      <c r="AU56" t="inlineStr">
        <is>
          <t>KOREAN WON</t>
        </is>
      </c>
      <c r="AV56" t="n">
        <v>15.7</v>
      </c>
      <c r="AW56" t="n">
        <v>17.44</v>
      </c>
      <c r="AX56" t="n">
        <v>18.92</v>
      </c>
      <c r="AY56" t="inlineStr">
        <is>
          <t>MALAYSIAN RINGGIT</t>
        </is>
      </c>
      <c r="BA56" t="n">
        <v>6655.76</v>
      </c>
      <c r="BB56" t="n">
        <v>6800.6</v>
      </c>
      <c r="BC56" t="inlineStr">
        <is>
          <t>INDIAN RUPEE</t>
        </is>
      </c>
      <c r="BE56" t="n">
        <v>286.28</v>
      </c>
      <c r="BF56" t="n">
        <v>298.6</v>
      </c>
      <c r="BG56" t="inlineStr">
        <is>
          <t>KUWAITI DINAR</t>
        </is>
      </c>
      <c r="BI56" t="n">
        <v>85320.45</v>
      </c>
      <c r="BJ56" t="n">
        <v>89456.37</v>
      </c>
      <c r="BK56" t="inlineStr">
        <is>
          <t>SAUDI RIAL</t>
        </is>
      </c>
      <c r="BM56" t="n">
        <v>6941.17</v>
      </c>
      <c r="BN56" t="n">
        <v>7239.94</v>
      </c>
      <c r="BO56" t="inlineStr">
        <is>
          <t>NORWEGIAN KRONER</t>
        </is>
      </c>
      <c r="BQ56" t="n">
        <v>2679.54</v>
      </c>
      <c r="BR56" t="n">
        <v>2793.17</v>
      </c>
      <c r="BS56" t="inlineStr">
        <is>
          <t>SWEDISH KRONA</t>
        </is>
      </c>
      <c r="BU56" t="n">
        <v>2827.76</v>
      </c>
      <c r="BV56" t="n">
        <v>2947.68</v>
      </c>
      <c r="BW56" t="inlineStr">
        <is>
          <t>DANISH KRONE</t>
        </is>
      </c>
      <c r="BY56" t="n">
        <v>4052.92</v>
      </c>
      <c r="BZ56" t="n">
        <v>4207.92</v>
      </c>
      <c r="CA56" t="inlineStr">
        <is>
          <t>RUSSIAN RUBLE</t>
        </is>
      </c>
      <c r="CC56" t="n">
        <v>324.53</v>
      </c>
      <c r="CD56" t="n">
        <v>359.24</v>
      </c>
    </row>
    <row r="57">
      <c r="A57" t="inlineStr">
        <is>
          <t>25/02/2026</t>
        </is>
      </c>
      <c r="B57">
        <f>IF(ISNUMBER(A57), A57, DATE(RIGHT(A57,4), MID(A57,4,2), LEFT(A57,2)))</f>
        <v/>
      </c>
      <c r="C57" t="inlineStr">
        <is>
          <t>US DOLLAR</t>
        </is>
      </c>
      <c r="D57" t="n">
        <v>25899</v>
      </c>
      <c r="E57" t="n">
        <v>25929</v>
      </c>
      <c r="F57" t="n">
        <v>26309</v>
      </c>
      <c r="G57" t="inlineStr">
        <is>
          <t>EURO</t>
        </is>
      </c>
      <c r="H57" t="n">
        <v>30042.85</v>
      </c>
      <c r="I57" t="n">
        <v>30346.31</v>
      </c>
      <c r="J57" t="n">
        <v>31627.05</v>
      </c>
      <c r="K57" t="inlineStr">
        <is>
          <t>POUND STERLING</t>
        </is>
      </c>
      <c r="L57" t="n">
        <v>34420.49</v>
      </c>
      <c r="M57" t="n">
        <v>34768.18</v>
      </c>
      <c r="N57" t="n">
        <v>35882.01</v>
      </c>
      <c r="O57" t="inlineStr">
        <is>
          <t>YEN</t>
        </is>
      </c>
      <c r="P57" t="n">
        <v>161.9</v>
      </c>
      <c r="Q57" t="n">
        <v>163.53</v>
      </c>
      <c r="R57" t="n">
        <v>172.18</v>
      </c>
      <c r="S57" t="inlineStr">
        <is>
          <t>AUSTRALIAN DOLLAR</t>
        </is>
      </c>
      <c r="T57" t="n">
        <v>18106.14</v>
      </c>
      <c r="U57" t="n">
        <v>18289.03</v>
      </c>
      <c r="V57" t="n">
        <v>18874.94</v>
      </c>
      <c r="W57" t="inlineStr">
        <is>
          <t>CANADIAN DOLLAR</t>
        </is>
      </c>
      <c r="X57" t="n">
        <v>18617.19</v>
      </c>
      <c r="Y57" t="n">
        <v>18805.24</v>
      </c>
      <c r="Z57" t="n">
        <v>19407.69</v>
      </c>
      <c r="AA57" t="inlineStr">
        <is>
          <t>SWISS FRANC</t>
        </is>
      </c>
      <c r="AB57" t="n">
        <v>32954.23</v>
      </c>
      <c r="AC57" t="n">
        <v>33287.1</v>
      </c>
      <c r="AD57" t="n">
        <v>34353.49</v>
      </c>
      <c r="AE57" t="inlineStr">
        <is>
          <t>SINGAPORE DOLLAR</t>
        </is>
      </c>
      <c r="AF57" t="n">
        <v>20121.91</v>
      </c>
      <c r="AG57" t="n">
        <v>20325.17</v>
      </c>
      <c r="AH57" t="n">
        <v>21018.31</v>
      </c>
      <c r="AI57" t="inlineStr">
        <is>
          <t>YUAN RENMINBI</t>
        </is>
      </c>
      <c r="AJ57" t="n">
        <v>3707.76</v>
      </c>
      <c r="AK57" t="n">
        <v>3745.22</v>
      </c>
      <c r="AL57" t="n">
        <v>3865.2</v>
      </c>
      <c r="AM57" t="inlineStr">
        <is>
          <t>HONGKONG DOLLAR</t>
        </is>
      </c>
      <c r="AN57" t="n">
        <v>3245.55</v>
      </c>
      <c r="AO57" t="n">
        <v>3278.33</v>
      </c>
      <c r="AP57" t="n">
        <v>3403.72</v>
      </c>
      <c r="AQ57" t="inlineStr">
        <is>
          <t>THAILAND BAHT</t>
        </is>
      </c>
      <c r="AR57" t="n">
        <v>741.9299999999999</v>
      </c>
      <c r="AS57" t="n">
        <v>824.36</v>
      </c>
      <c r="AT57" t="n">
        <v>859.33</v>
      </c>
      <c r="AU57" t="inlineStr">
        <is>
          <t>KOREAN WON</t>
        </is>
      </c>
      <c r="AV57" t="n">
        <v>15.8</v>
      </c>
      <c r="AW57" t="n">
        <v>17.55</v>
      </c>
      <c r="AX57" t="n">
        <v>19.04</v>
      </c>
      <c r="AY57" t="inlineStr">
        <is>
          <t>MALAYSIAN RINGGIT</t>
        </is>
      </c>
      <c r="BA57" t="n">
        <v>6655.06</v>
      </c>
      <c r="BB57" t="n">
        <v>6799.91</v>
      </c>
      <c r="BC57" t="inlineStr">
        <is>
          <t>INDIAN RUPEE</t>
        </is>
      </c>
      <c r="BE57" t="n">
        <v>285.6</v>
      </c>
      <c r="BF57" t="n">
        <v>297.89</v>
      </c>
      <c r="BG57" t="inlineStr">
        <is>
          <t>KUWAITI DINAR</t>
        </is>
      </c>
      <c r="BI57" t="n">
        <v>85036.50999999999</v>
      </c>
      <c r="BJ57" t="n">
        <v>89159.03</v>
      </c>
      <c r="BK57" t="inlineStr">
        <is>
          <t>SAUDI RIAL</t>
        </is>
      </c>
      <c r="BM57" t="n">
        <v>6922.6</v>
      </c>
      <c r="BN57" t="n">
        <v>7220.6</v>
      </c>
      <c r="BO57" t="inlineStr">
        <is>
          <t>NORWEGIAN KRONER</t>
        </is>
      </c>
      <c r="BQ57" t="n">
        <v>2686.29</v>
      </c>
      <c r="BR57" t="n">
        <v>2800.22</v>
      </c>
      <c r="BS57" t="inlineStr">
        <is>
          <t>SWEDISH KRONA</t>
        </is>
      </c>
      <c r="BU57" t="n">
        <v>2838.6</v>
      </c>
      <c r="BV57" t="n">
        <v>2958.98</v>
      </c>
      <c r="BW57" t="inlineStr">
        <is>
          <t>DANISH KRONE</t>
        </is>
      </c>
      <c r="BY57" t="n">
        <v>4051.21</v>
      </c>
      <c r="BZ57" t="n">
        <v>4206.17</v>
      </c>
      <c r="CA57" t="inlineStr">
        <is>
          <t>RUSSIAN RUBLE</t>
        </is>
      </c>
      <c r="CC57" t="n">
        <v>326</v>
      </c>
      <c r="CD57" t="n">
        <v>360.86</v>
      </c>
    </row>
    <row r="58">
      <c r="A58" t="inlineStr">
        <is>
          <t>26/02/2026</t>
        </is>
      </c>
      <c r="B58">
        <f>IF(ISNUMBER(A58), A58, DATE(RIGHT(A58,4), MID(A58,4,2), LEFT(A58,2)))</f>
        <v/>
      </c>
      <c r="C58" t="inlineStr">
        <is>
          <t>US DOLLAR</t>
        </is>
      </c>
      <c r="D58" t="n">
        <v>25850</v>
      </c>
      <c r="E58" t="n">
        <v>25880</v>
      </c>
      <c r="F58" t="n">
        <v>26260</v>
      </c>
      <c r="G58" t="inlineStr">
        <is>
          <t>EURO</t>
        </is>
      </c>
      <c r="H58" t="n">
        <v>30003.08</v>
      </c>
      <c r="I58" t="n">
        <v>30306.14</v>
      </c>
      <c r="J58" t="n">
        <v>31585.27</v>
      </c>
      <c r="K58" t="inlineStr">
        <is>
          <t>POUND STERLING</t>
        </is>
      </c>
      <c r="L58" t="n">
        <v>34390.12</v>
      </c>
      <c r="M58" t="n">
        <v>34737.49</v>
      </c>
      <c r="N58" t="n">
        <v>35850.45</v>
      </c>
      <c r="O58" t="inlineStr">
        <is>
          <t>YEN</t>
        </is>
      </c>
      <c r="P58" t="n">
        <v>161.24</v>
      </c>
      <c r="Q58" t="n">
        <v>162.87</v>
      </c>
      <c r="R58" t="n">
        <v>171.49</v>
      </c>
      <c r="S58" t="inlineStr">
        <is>
          <t>AUSTRALIAN DOLLAR</t>
        </is>
      </c>
      <c r="T58" t="n">
        <v>18079.07</v>
      </c>
      <c r="U58" t="n">
        <v>18261.69</v>
      </c>
      <c r="V58" t="n">
        <v>18846.78</v>
      </c>
      <c r="W58" t="inlineStr">
        <is>
          <t>CANADIAN DOLLAR</t>
        </is>
      </c>
      <c r="X58" t="n">
        <v>18592.4</v>
      </c>
      <c r="Y58" t="n">
        <v>18780.2</v>
      </c>
      <c r="Z58" t="n">
        <v>19381.9</v>
      </c>
      <c r="AA58" t="inlineStr">
        <is>
          <t>SWISS FRANC</t>
        </is>
      </c>
      <c r="AB58" t="n">
        <v>32912.4</v>
      </c>
      <c r="AC58" t="n">
        <v>33244.85</v>
      </c>
      <c r="AD58" t="n">
        <v>34309.99</v>
      </c>
      <c r="AE58" t="inlineStr">
        <is>
          <t>SINGAPORE DOLLAR</t>
        </is>
      </c>
      <c r="AF58" t="n">
        <v>20099.27</v>
      </c>
      <c r="AG58" t="n">
        <v>20302.29</v>
      </c>
      <c r="AH58" t="n">
        <v>20994.72</v>
      </c>
      <c r="AI58" t="inlineStr">
        <is>
          <t>YUAN RENMINBI</t>
        </is>
      </c>
      <c r="AJ58" t="n">
        <v>3715.44</v>
      </c>
      <c r="AK58" t="n">
        <v>3752.96</v>
      </c>
      <c r="AL58" t="n">
        <v>3873.21</v>
      </c>
      <c r="AM58" t="inlineStr">
        <is>
          <t>HONGKONG DOLLAR</t>
        </is>
      </c>
      <c r="AN58" t="n">
        <v>3238.54</v>
      </c>
      <c r="AO58" t="n">
        <v>3271.25</v>
      </c>
      <c r="AP58" t="n">
        <v>3396.39</v>
      </c>
      <c r="AQ58" t="inlineStr">
        <is>
          <t>THAILAND BAHT</t>
        </is>
      </c>
      <c r="AR58" t="n">
        <v>740.51</v>
      </c>
      <c r="AS58" t="n">
        <v>822.78</v>
      </c>
      <c r="AT58" t="n">
        <v>857.6799999999999</v>
      </c>
      <c r="AU58" t="inlineStr">
        <is>
          <t>KOREAN WON</t>
        </is>
      </c>
      <c r="AV58" t="n">
        <v>15.78</v>
      </c>
      <c r="AW58" t="n">
        <v>17.54</v>
      </c>
      <c r="AX58" t="n">
        <v>19.03</v>
      </c>
      <c r="AY58" t="inlineStr">
        <is>
          <t>MALAYSIAN RINGGIT</t>
        </is>
      </c>
      <c r="BA58" t="n">
        <v>6638.89</v>
      </c>
      <c r="BB58" t="n">
        <v>6783.41</v>
      </c>
      <c r="BC58" t="inlineStr">
        <is>
          <t>INDIAN RUPEE</t>
        </is>
      </c>
      <c r="BE58" t="n">
        <v>285.24</v>
      </c>
      <c r="BF58" t="n">
        <v>297.52</v>
      </c>
      <c r="BG58" t="inlineStr">
        <is>
          <t>KUWAITI DINAR</t>
        </is>
      </c>
      <c r="BI58" t="n">
        <v>84873.60000000001</v>
      </c>
      <c r="BJ58" t="n">
        <v>88988.49000000001</v>
      </c>
      <c r="BK58" t="inlineStr">
        <is>
          <t>SAUDI RIAL</t>
        </is>
      </c>
      <c r="BM58" t="n">
        <v>6911.37</v>
      </c>
      <c r="BN58" t="n">
        <v>7208.9</v>
      </c>
      <c r="BO58" t="inlineStr">
        <is>
          <t>NORWEGIAN KRONER</t>
        </is>
      </c>
      <c r="BQ58" t="n">
        <v>2675.78</v>
      </c>
      <c r="BR58" t="n">
        <v>2789.27</v>
      </c>
      <c r="BS58" t="inlineStr">
        <is>
          <t>SWEDISH KRONA</t>
        </is>
      </c>
      <c r="BU58" t="n">
        <v>2827.98</v>
      </c>
      <c r="BV58" t="n">
        <v>2947.93</v>
      </c>
      <c r="BW58" t="inlineStr">
        <is>
          <t>DANISH KRONE</t>
        </is>
      </c>
      <c r="BY58" t="n">
        <v>4045.5</v>
      </c>
      <c r="BZ58" t="n">
        <v>4200.24</v>
      </c>
      <c r="CA58" t="inlineStr">
        <is>
          <t>RUSSIAN RUBLE</t>
        </is>
      </c>
      <c r="CC58" t="n">
        <v>322.2</v>
      </c>
      <c r="CD58" t="n">
        <v>356.66</v>
      </c>
    </row>
    <row r="59">
      <c r="A59" t="inlineStr">
        <is>
          <t>27/02/2026</t>
        </is>
      </c>
      <c r="B59">
        <f>IF(ISNUMBER(A59), A59, DATE(RIGHT(A59,4), MID(A59,4,2), LEFT(A59,2)))</f>
        <v/>
      </c>
      <c r="C59" t="inlineStr">
        <is>
          <t>US DOLLAR</t>
        </is>
      </c>
      <c r="D59" t="n">
        <v>25820</v>
      </c>
      <c r="E59" t="n">
        <v>25850</v>
      </c>
      <c r="F59" t="n">
        <v>26230</v>
      </c>
      <c r="G59" t="inlineStr">
        <is>
          <t>EURO</t>
        </is>
      </c>
      <c r="H59" t="n">
        <v>29925.39</v>
      </c>
      <c r="I59" t="n">
        <v>30227.67</v>
      </c>
      <c r="J59" t="n">
        <v>31503.54</v>
      </c>
      <c r="K59" t="inlineStr">
        <is>
          <t>POUND STERLING</t>
        </is>
      </c>
      <c r="L59" t="n">
        <v>34205.88</v>
      </c>
      <c r="M59" t="n">
        <v>34551.4</v>
      </c>
      <c r="N59" t="n">
        <v>35658.46</v>
      </c>
      <c r="O59" t="inlineStr">
        <is>
          <t>YEN</t>
        </is>
      </c>
      <c r="P59" t="n">
        <v>161.19</v>
      </c>
      <c r="Q59" t="n">
        <v>162.82</v>
      </c>
      <c r="R59" t="n">
        <v>171.43</v>
      </c>
      <c r="S59" t="inlineStr">
        <is>
          <t>AUSTRALIAN DOLLAR</t>
        </is>
      </c>
      <c r="T59" t="n">
        <v>18015.12</v>
      </c>
      <c r="U59" t="n">
        <v>18197.09</v>
      </c>
      <c r="V59" t="n">
        <v>18780.14</v>
      </c>
      <c r="W59" t="inlineStr">
        <is>
          <t>CANADIAN DOLLAR</t>
        </is>
      </c>
      <c r="X59" t="n">
        <v>18551.98</v>
      </c>
      <c r="Y59" t="n">
        <v>18739.38</v>
      </c>
      <c r="Z59" t="n">
        <v>19339.8</v>
      </c>
      <c r="AA59" t="inlineStr">
        <is>
          <t>SWISS FRANC</t>
        </is>
      </c>
      <c r="AB59" t="n">
        <v>32810.75</v>
      </c>
      <c r="AC59" t="n">
        <v>33142.17</v>
      </c>
      <c r="AD59" t="n">
        <v>34204.08</v>
      </c>
      <c r="AE59" t="inlineStr">
        <is>
          <t>SINGAPORE DOLLAR</t>
        </is>
      </c>
      <c r="AF59" t="n">
        <v>20050.72</v>
      </c>
      <c r="AG59" t="n">
        <v>20253.25</v>
      </c>
      <c r="AH59" t="n">
        <v>20944.04</v>
      </c>
      <c r="AI59" t="inlineStr">
        <is>
          <t>YUAN RENMINBI</t>
        </is>
      </c>
      <c r="AJ59" t="n">
        <v>3700.71</v>
      </c>
      <c r="AK59" t="n">
        <v>3738.09</v>
      </c>
      <c r="AL59" t="n">
        <v>3857.87</v>
      </c>
      <c r="AM59" t="inlineStr">
        <is>
          <t>HONGKONG DOLLAR</t>
        </is>
      </c>
      <c r="AN59" t="n">
        <v>3234.98</v>
      </c>
      <c r="AO59" t="n">
        <v>3267.65</v>
      </c>
      <c r="AP59" t="n">
        <v>3392.65</v>
      </c>
      <c r="AQ59" t="inlineStr">
        <is>
          <t>THAILAND BAHT</t>
        </is>
      </c>
      <c r="AR59" t="n">
        <v>738.23</v>
      </c>
      <c r="AS59" t="n">
        <v>820.25</v>
      </c>
      <c r="AT59" t="n">
        <v>855.04</v>
      </c>
      <c r="AU59" t="inlineStr">
        <is>
          <t>KOREAN WON</t>
        </is>
      </c>
      <c r="AV59" t="n">
        <v>15.65</v>
      </c>
      <c r="AW59" t="n">
        <v>17.39</v>
      </c>
      <c r="AX59" t="n">
        <v>18.87</v>
      </c>
      <c r="AY59" t="inlineStr">
        <is>
          <t>MALAYSIAN RINGGIT</t>
        </is>
      </c>
      <c r="BA59" t="n">
        <v>6626.13</v>
      </c>
      <c r="BB59" t="n">
        <v>6770.38</v>
      </c>
      <c r="BC59" t="inlineStr">
        <is>
          <t>INDIAN RUPEE</t>
        </is>
      </c>
      <c r="BE59" t="n">
        <v>284.5</v>
      </c>
      <c r="BF59" t="n">
        <v>296.75</v>
      </c>
      <c r="BG59" t="inlineStr">
        <is>
          <t>KUWAITI DINAR</t>
        </is>
      </c>
      <c r="BI59" t="n">
        <v>84775.86</v>
      </c>
      <c r="BJ59" t="n">
        <v>88886.16</v>
      </c>
      <c r="BK59" t="inlineStr">
        <is>
          <t>SAUDI RIAL</t>
        </is>
      </c>
      <c r="BM59" t="n">
        <v>6903.59</v>
      </c>
      <c r="BN59" t="n">
        <v>7200.81</v>
      </c>
      <c r="BO59" t="inlineStr">
        <is>
          <t>NORWEGIAN KRONER</t>
        </is>
      </c>
      <c r="BQ59" t="n">
        <v>2669.48</v>
      </c>
      <c r="BR59" t="n">
        <v>2782.71</v>
      </c>
      <c r="BS59" t="inlineStr">
        <is>
          <t>SWEDISH KRONA</t>
        </is>
      </c>
      <c r="BU59" t="n">
        <v>2817.21</v>
      </c>
      <c r="BV59" t="n">
        <v>2936.7</v>
      </c>
      <c r="BW59" t="inlineStr">
        <is>
          <t>DANISH KRONE</t>
        </is>
      </c>
      <c r="BY59" t="n">
        <v>4035.16</v>
      </c>
      <c r="BZ59" t="n">
        <v>4189.52</v>
      </c>
      <c r="CA59" t="inlineStr">
        <is>
          <t>RUSSIAN RUBLE</t>
        </is>
      </c>
      <c r="CC59" t="n">
        <v>322.37</v>
      </c>
      <c r="CD59" t="n">
        <v>356.85</v>
      </c>
    </row>
    <row r="60">
      <c r="A60" t="inlineStr">
        <is>
          <t>28/02/2026</t>
        </is>
      </c>
      <c r="B60">
        <f>IF(ISNUMBER(A60), A60, DATE(RIGHT(A60,4), MID(A60,4,2), LEFT(A60,2)))</f>
        <v/>
      </c>
      <c r="C60" t="inlineStr">
        <is>
          <t>US DOLLAR</t>
        </is>
      </c>
      <c r="D60" t="n">
        <v>25820</v>
      </c>
      <c r="E60" t="n">
        <v>25850</v>
      </c>
      <c r="F60" t="n">
        <v>26230</v>
      </c>
      <c r="G60" t="inlineStr">
        <is>
          <t>EURO</t>
        </is>
      </c>
      <c r="H60" t="n">
        <v>29925.39</v>
      </c>
      <c r="I60" t="n">
        <v>30227.67</v>
      </c>
      <c r="J60" t="n">
        <v>31503.54</v>
      </c>
      <c r="K60" t="inlineStr">
        <is>
          <t>POUND STERLING</t>
        </is>
      </c>
      <c r="L60" t="n">
        <v>34205.88</v>
      </c>
      <c r="M60" t="n">
        <v>34551.4</v>
      </c>
      <c r="N60" t="n">
        <v>35658.46</v>
      </c>
      <c r="O60" t="inlineStr">
        <is>
          <t>YEN</t>
        </is>
      </c>
      <c r="P60" t="n">
        <v>161.19</v>
      </c>
      <c r="Q60" t="n">
        <v>162.82</v>
      </c>
      <c r="R60" t="n">
        <v>171.43</v>
      </c>
      <c r="S60" t="inlineStr">
        <is>
          <t>AUSTRALIAN DOLLAR</t>
        </is>
      </c>
      <c r="T60" t="n">
        <v>18015.12</v>
      </c>
      <c r="U60" t="n">
        <v>18197.09</v>
      </c>
      <c r="V60" t="n">
        <v>18780.14</v>
      </c>
      <c r="W60" t="inlineStr">
        <is>
          <t>CANADIAN DOLLAR</t>
        </is>
      </c>
      <c r="X60" t="n">
        <v>18551.98</v>
      </c>
      <c r="Y60" t="n">
        <v>18739.38</v>
      </c>
      <c r="Z60" t="n">
        <v>19339.8</v>
      </c>
      <c r="AA60" t="inlineStr">
        <is>
          <t>SWISS FRANC</t>
        </is>
      </c>
      <c r="AB60" t="n">
        <v>32810.75</v>
      </c>
      <c r="AC60" t="n">
        <v>33142.17</v>
      </c>
      <c r="AD60" t="n">
        <v>34204.08</v>
      </c>
      <c r="AE60" t="inlineStr">
        <is>
          <t>SINGAPORE DOLLAR</t>
        </is>
      </c>
      <c r="AF60" t="n">
        <v>20050.72</v>
      </c>
      <c r="AG60" t="n">
        <v>20253.25</v>
      </c>
      <c r="AH60" t="n">
        <v>20944.04</v>
      </c>
      <c r="AI60" t="inlineStr">
        <is>
          <t>YUAN RENMINBI</t>
        </is>
      </c>
      <c r="AJ60" t="n">
        <v>3700.71</v>
      </c>
      <c r="AK60" t="n">
        <v>3738.09</v>
      </c>
      <c r="AL60" t="n">
        <v>3857.87</v>
      </c>
      <c r="AM60" t="inlineStr">
        <is>
          <t>HONGKONG DOLLAR</t>
        </is>
      </c>
      <c r="AN60" t="n">
        <v>3234.98</v>
      </c>
      <c r="AO60" t="n">
        <v>3267.65</v>
      </c>
      <c r="AP60" t="n">
        <v>3392.65</v>
      </c>
      <c r="AQ60" t="inlineStr">
        <is>
          <t>THAILAND BAHT</t>
        </is>
      </c>
      <c r="AR60" t="n">
        <v>738.23</v>
      </c>
      <c r="AS60" t="n">
        <v>820.25</v>
      </c>
      <c r="AT60" t="n">
        <v>855.04</v>
      </c>
      <c r="AU60" t="inlineStr">
        <is>
          <t>KOREAN WON</t>
        </is>
      </c>
      <c r="AV60" t="n">
        <v>15.65</v>
      </c>
      <c r="AW60" t="n">
        <v>17.39</v>
      </c>
      <c r="AX60" t="n">
        <v>18.87</v>
      </c>
      <c r="AY60" t="inlineStr">
        <is>
          <t>MALAYSIAN RINGGIT</t>
        </is>
      </c>
      <c r="BA60" t="n">
        <v>6626.13</v>
      </c>
      <c r="BB60" t="n">
        <v>6770.38</v>
      </c>
      <c r="BC60" t="inlineStr">
        <is>
          <t>INDIAN RUPEE</t>
        </is>
      </c>
      <c r="BE60" t="n">
        <v>284.5</v>
      </c>
      <c r="BF60" t="n">
        <v>296.75</v>
      </c>
      <c r="BG60" t="inlineStr">
        <is>
          <t>KUWAITI DINAR</t>
        </is>
      </c>
      <c r="BI60" t="n">
        <v>84775.86</v>
      </c>
      <c r="BJ60" t="n">
        <v>88886.16</v>
      </c>
      <c r="BK60" t="inlineStr">
        <is>
          <t>SAUDI RIAL</t>
        </is>
      </c>
      <c r="BM60" t="n">
        <v>6903.59</v>
      </c>
      <c r="BN60" t="n">
        <v>7200.81</v>
      </c>
      <c r="BO60" t="inlineStr">
        <is>
          <t>NORWEGIAN KRONER</t>
        </is>
      </c>
      <c r="BQ60" t="n">
        <v>2669.48</v>
      </c>
      <c r="BR60" t="n">
        <v>2782.71</v>
      </c>
      <c r="BS60" t="inlineStr">
        <is>
          <t>SWEDISH KRONA</t>
        </is>
      </c>
      <c r="BU60" t="n">
        <v>2817.21</v>
      </c>
      <c r="BV60" t="n">
        <v>2936.7</v>
      </c>
      <c r="BW60" t="inlineStr">
        <is>
          <t>DANISH KRONE</t>
        </is>
      </c>
      <c r="BY60" t="n">
        <v>4035.16</v>
      </c>
      <c r="BZ60" t="n">
        <v>4189.52</v>
      </c>
      <c r="CA60" t="inlineStr">
        <is>
          <t>RUSSIAN RUBLE</t>
        </is>
      </c>
      <c r="CC60" t="n">
        <v>322.37</v>
      </c>
      <c r="CD60" t="n">
        <v>356.85</v>
      </c>
    </row>
    <row r="61">
      <c r="A61" t="inlineStr">
        <is>
          <t>01/03/2026</t>
        </is>
      </c>
      <c r="B61">
        <f>IF(ISNUMBER(A61), A61, DATE(RIGHT(A61,4), MID(A61,4,2), LEFT(A61,2)))</f>
        <v/>
      </c>
      <c r="C61" t="inlineStr">
        <is>
          <t>US DOLLAR</t>
        </is>
      </c>
      <c r="D61" t="n">
        <v>25820</v>
      </c>
      <c r="E61" t="n">
        <v>25850</v>
      </c>
      <c r="F61" t="n">
        <v>26230</v>
      </c>
      <c r="G61" t="inlineStr">
        <is>
          <t>EURO</t>
        </is>
      </c>
      <c r="H61" t="n">
        <v>29925.39</v>
      </c>
      <c r="I61" t="n">
        <v>30227.67</v>
      </c>
      <c r="J61" t="n">
        <v>31503.54</v>
      </c>
      <c r="K61" t="inlineStr">
        <is>
          <t>POUND STERLING</t>
        </is>
      </c>
      <c r="L61" t="n">
        <v>34205.88</v>
      </c>
      <c r="M61" t="n">
        <v>34551.4</v>
      </c>
      <c r="N61" t="n">
        <v>35658.46</v>
      </c>
      <c r="O61" t="inlineStr">
        <is>
          <t>YEN</t>
        </is>
      </c>
      <c r="P61" t="n">
        <v>161.19</v>
      </c>
      <c r="Q61" t="n">
        <v>162.82</v>
      </c>
      <c r="R61" t="n">
        <v>171.43</v>
      </c>
      <c r="S61" t="inlineStr">
        <is>
          <t>AUSTRALIAN DOLLAR</t>
        </is>
      </c>
      <c r="T61" t="n">
        <v>18015.12</v>
      </c>
      <c r="U61" t="n">
        <v>18197.09</v>
      </c>
      <c r="V61" t="n">
        <v>18780.14</v>
      </c>
      <c r="W61" t="inlineStr">
        <is>
          <t>CANADIAN DOLLAR</t>
        </is>
      </c>
      <c r="X61" t="n">
        <v>18551.98</v>
      </c>
      <c r="Y61" t="n">
        <v>18739.38</v>
      </c>
      <c r="Z61" t="n">
        <v>19339.8</v>
      </c>
      <c r="AA61" t="inlineStr">
        <is>
          <t>SWISS FRANC</t>
        </is>
      </c>
      <c r="AB61" t="n">
        <v>32810.75</v>
      </c>
      <c r="AC61" t="n">
        <v>33142.17</v>
      </c>
      <c r="AD61" t="n">
        <v>34204.08</v>
      </c>
      <c r="AE61" t="inlineStr">
        <is>
          <t>SINGAPORE DOLLAR</t>
        </is>
      </c>
      <c r="AF61" t="n">
        <v>20050.72</v>
      </c>
      <c r="AG61" t="n">
        <v>20253.25</v>
      </c>
      <c r="AH61" t="n">
        <v>20944.04</v>
      </c>
      <c r="AI61" t="inlineStr">
        <is>
          <t>YUAN RENMINBI</t>
        </is>
      </c>
      <c r="AJ61" t="n">
        <v>3700.71</v>
      </c>
      <c r="AK61" t="n">
        <v>3738.09</v>
      </c>
      <c r="AL61" t="n">
        <v>3857.87</v>
      </c>
      <c r="AM61" t="inlineStr">
        <is>
          <t>HONGKONG DOLLAR</t>
        </is>
      </c>
      <c r="AN61" t="n">
        <v>3234.98</v>
      </c>
      <c r="AO61" t="n">
        <v>3267.65</v>
      </c>
      <c r="AP61" t="n">
        <v>3392.65</v>
      </c>
      <c r="AQ61" t="inlineStr">
        <is>
          <t>THAILAND BAHT</t>
        </is>
      </c>
      <c r="AR61" t="n">
        <v>738.23</v>
      </c>
      <c r="AS61" t="n">
        <v>820.25</v>
      </c>
      <c r="AT61" t="n">
        <v>855.04</v>
      </c>
      <c r="AU61" t="inlineStr">
        <is>
          <t>KOREAN WON</t>
        </is>
      </c>
      <c r="AV61" t="n">
        <v>15.65</v>
      </c>
      <c r="AW61" t="n">
        <v>17.39</v>
      </c>
      <c r="AX61" t="n">
        <v>18.87</v>
      </c>
      <c r="AY61" t="inlineStr">
        <is>
          <t>MALAYSIAN RINGGIT</t>
        </is>
      </c>
      <c r="BA61" t="n">
        <v>6626.13</v>
      </c>
      <c r="BB61" t="n">
        <v>6770.38</v>
      </c>
      <c r="BC61" t="inlineStr">
        <is>
          <t>INDIAN RUPEE</t>
        </is>
      </c>
      <c r="BE61" t="n">
        <v>284.5</v>
      </c>
      <c r="BF61" t="n">
        <v>296.75</v>
      </c>
      <c r="BG61" t="inlineStr">
        <is>
          <t>KUWAITI DINAR</t>
        </is>
      </c>
      <c r="BI61" t="n">
        <v>84775.86</v>
      </c>
      <c r="BJ61" t="n">
        <v>88886.16</v>
      </c>
      <c r="BK61" t="inlineStr">
        <is>
          <t>SAUDI RIAL</t>
        </is>
      </c>
      <c r="BM61" t="n">
        <v>6903.59</v>
      </c>
      <c r="BN61" t="n">
        <v>7200.81</v>
      </c>
      <c r="BO61" t="inlineStr">
        <is>
          <t>NORWEGIAN KRONER</t>
        </is>
      </c>
      <c r="BQ61" t="n">
        <v>2669.48</v>
      </c>
      <c r="BR61" t="n">
        <v>2782.71</v>
      </c>
      <c r="BS61" t="inlineStr">
        <is>
          <t>SWEDISH KRONA</t>
        </is>
      </c>
      <c r="BU61" t="n">
        <v>2817.21</v>
      </c>
      <c r="BV61" t="n">
        <v>2936.7</v>
      </c>
      <c r="BW61" t="inlineStr">
        <is>
          <t>DANISH KRONE</t>
        </is>
      </c>
      <c r="BY61" t="n">
        <v>4035.16</v>
      </c>
      <c r="BZ61" t="n">
        <v>4189.52</v>
      </c>
      <c r="CA61" t="inlineStr">
        <is>
          <t>RUSSIAN RUBLE</t>
        </is>
      </c>
      <c r="CC61" t="n">
        <v>322.37</v>
      </c>
      <c r="CD61" t="n">
        <v>356.85</v>
      </c>
    </row>
    <row r="62">
      <c r="A62" t="inlineStr">
        <is>
          <t>02/03/2026</t>
        </is>
      </c>
      <c r="B62">
        <f>IF(ISNUMBER(A62), A62, DATE(RIGHT(A62,4), MID(A62,4,2), LEFT(A62,2)))</f>
        <v/>
      </c>
      <c r="C62" t="inlineStr">
        <is>
          <t>US DOLLAR</t>
        </is>
      </c>
      <c r="D62" t="n">
        <v>25959</v>
      </c>
      <c r="E62" t="n">
        <v>25989</v>
      </c>
      <c r="F62" t="n">
        <v>26289</v>
      </c>
      <c r="G62" t="inlineStr">
        <is>
          <t>EURO</t>
        </is>
      </c>
      <c r="H62" t="n">
        <v>29884.75</v>
      </c>
      <c r="I62" t="n">
        <v>30186.61</v>
      </c>
      <c r="J62" t="n">
        <v>31460.46</v>
      </c>
      <c r="K62" t="inlineStr">
        <is>
          <t>POUND STERLING</t>
        </is>
      </c>
      <c r="L62" t="n">
        <v>34097.1</v>
      </c>
      <c r="M62" t="n">
        <v>34441.52</v>
      </c>
      <c r="N62" t="n">
        <v>35544.72</v>
      </c>
      <c r="O62" t="inlineStr">
        <is>
          <t>YEN</t>
        </is>
      </c>
      <c r="P62" t="n">
        <v>161.17</v>
      </c>
      <c r="Q62" t="n">
        <v>162.8</v>
      </c>
      <c r="R62" t="n">
        <v>171.41</v>
      </c>
      <c r="S62" t="inlineStr">
        <is>
          <t>AUSTRALIAN DOLLAR</t>
        </is>
      </c>
      <c r="T62" t="n">
        <v>18062.07</v>
      </c>
      <c r="U62" t="n">
        <v>18244.51</v>
      </c>
      <c r="V62" t="n">
        <v>18828.91</v>
      </c>
      <c r="W62" t="inlineStr">
        <is>
          <t>CANADIAN DOLLAR</t>
        </is>
      </c>
      <c r="X62" t="n">
        <v>18697.5</v>
      </c>
      <c r="Y62" t="n">
        <v>18886.36</v>
      </c>
      <c r="Z62" t="n">
        <v>19491.32</v>
      </c>
      <c r="AA62" t="inlineStr">
        <is>
          <t>SWISS FRANC</t>
        </is>
      </c>
      <c r="AB62" t="n">
        <v>33076.65</v>
      </c>
      <c r="AC62" t="n">
        <v>33410.76</v>
      </c>
      <c r="AD62" t="n">
        <v>34480.94</v>
      </c>
      <c r="AE62" t="inlineStr">
        <is>
          <t>SINGAPORE DOLLAR</t>
        </is>
      </c>
      <c r="AF62" t="n">
        <v>20050.33</v>
      </c>
      <c r="AG62" t="n">
        <v>20252.86</v>
      </c>
      <c r="AH62" t="n">
        <v>20943.44</v>
      </c>
      <c r="AI62" t="inlineStr">
        <is>
          <t>YUAN RENMINBI</t>
        </is>
      </c>
      <c r="AJ62" t="n">
        <v>3709.78</v>
      </c>
      <c r="AK62" t="n">
        <v>3747.25</v>
      </c>
      <c r="AL62" t="n">
        <v>3867.28</v>
      </c>
      <c r="AM62" t="inlineStr">
        <is>
          <t>HONGKONG DOLLAR</t>
        </is>
      </c>
      <c r="AN62" t="n">
        <v>3254.87</v>
      </c>
      <c r="AO62" t="n">
        <v>3287.75</v>
      </c>
      <c r="AP62" t="n">
        <v>3413.48</v>
      </c>
      <c r="AQ62" t="inlineStr">
        <is>
          <t>THAILAND BAHT</t>
        </is>
      </c>
      <c r="AR62" t="n">
        <v>735.4299999999999</v>
      </c>
      <c r="AS62" t="n">
        <v>817.15</v>
      </c>
      <c r="AT62" t="n">
        <v>851.8</v>
      </c>
      <c r="AU62" t="inlineStr">
        <is>
          <t>KOREAN WON</t>
        </is>
      </c>
      <c r="AV62" t="n">
        <v>15.56</v>
      </c>
      <c r="AW62" t="n">
        <v>17.29</v>
      </c>
      <c r="AX62" t="n">
        <v>18.75</v>
      </c>
      <c r="AY62" t="inlineStr">
        <is>
          <t>MALAYSIAN RINGGIT</t>
        </is>
      </c>
      <c r="BA62" t="n">
        <v>6602.34</v>
      </c>
      <c r="BB62" t="n">
        <v>6746.01</v>
      </c>
      <c r="BC62" t="inlineStr">
        <is>
          <t>INDIAN RUPEE</t>
        </is>
      </c>
      <c r="BE62" t="n">
        <v>284.84</v>
      </c>
      <c r="BF62" t="n">
        <v>297.1</v>
      </c>
      <c r="BG62" t="inlineStr">
        <is>
          <t>KUWAITI DINAR</t>
        </is>
      </c>
      <c r="BI62" t="n">
        <v>85241.33</v>
      </c>
      <c r="BJ62" t="n">
        <v>89373.36</v>
      </c>
      <c r="BK62" t="inlineStr">
        <is>
          <t>SAUDI RIAL</t>
        </is>
      </c>
      <c r="BM62" t="n">
        <v>6941.05</v>
      </c>
      <c r="BN62" t="n">
        <v>7239.8</v>
      </c>
      <c r="BO62" t="inlineStr">
        <is>
          <t>NORWEGIAN KRONER</t>
        </is>
      </c>
      <c r="BQ62" t="n">
        <v>2696.56</v>
      </c>
      <c r="BR62" t="n">
        <v>2810.91</v>
      </c>
      <c r="BS62" t="inlineStr">
        <is>
          <t>SWEDISH KRONA</t>
        </is>
      </c>
      <c r="BU62" t="n">
        <v>2808.94</v>
      </c>
      <c r="BV62" t="n">
        <v>2928.05</v>
      </c>
      <c r="BW62" t="inlineStr">
        <is>
          <t>DANISH KRONE</t>
        </is>
      </c>
      <c r="BY62" t="n">
        <v>4037.79</v>
      </c>
      <c r="BZ62" t="n">
        <v>4192.21</v>
      </c>
      <c r="CA62" t="inlineStr">
        <is>
          <t>RUSSIAN RUBLE</t>
        </is>
      </c>
      <c r="CC62" t="n">
        <v>323.39</v>
      </c>
      <c r="CD62" t="n">
        <v>357.98</v>
      </c>
    </row>
    <row r="63">
      <c r="A63" t="inlineStr">
        <is>
          <t>03/03/2026</t>
        </is>
      </c>
      <c r="B63">
        <f>IF(ISNUMBER(A63), A63, DATE(RIGHT(A63,4), MID(A63,4,2), LEFT(A63,2)))</f>
        <v/>
      </c>
      <c r="C63" t="inlineStr">
        <is>
          <t>US DOLLAR</t>
        </is>
      </c>
      <c r="D63" t="n">
        <v>25968</v>
      </c>
      <c r="E63" t="n">
        <v>25998</v>
      </c>
      <c r="F63" t="n">
        <v>26298</v>
      </c>
      <c r="G63" t="inlineStr">
        <is>
          <t>EURO</t>
        </is>
      </c>
      <c r="H63" t="n">
        <v>29862.96</v>
      </c>
      <c r="I63" t="n">
        <v>30164.61</v>
      </c>
      <c r="J63" t="n">
        <v>31437.51</v>
      </c>
      <c r="K63" t="inlineStr">
        <is>
          <t>POUND STERLING</t>
        </is>
      </c>
      <c r="L63" t="n">
        <v>34245.48</v>
      </c>
      <c r="M63" t="n">
        <v>34591.4</v>
      </c>
      <c r="N63" t="n">
        <v>35699.38</v>
      </c>
      <c r="O63" t="inlineStr">
        <is>
          <t>YEN</t>
        </is>
      </c>
      <c r="P63" t="n">
        <v>160.72</v>
      </c>
      <c r="Q63" t="n">
        <v>162.34</v>
      </c>
      <c r="R63" t="n">
        <v>170.93</v>
      </c>
      <c r="S63" t="inlineStr">
        <is>
          <t>AUSTRALIAN DOLLAR</t>
        </is>
      </c>
      <c r="T63" t="n">
        <v>18137.92</v>
      </c>
      <c r="U63" t="n">
        <v>18321.14</v>
      </c>
      <c r="V63" t="n">
        <v>18907.97</v>
      </c>
      <c r="W63" t="inlineStr">
        <is>
          <t>CANADIAN DOLLAR</t>
        </is>
      </c>
      <c r="X63" t="n">
        <v>18689.59</v>
      </c>
      <c r="Y63" t="n">
        <v>18878.37</v>
      </c>
      <c r="Z63" t="n">
        <v>19483.06</v>
      </c>
      <c r="AA63" t="inlineStr">
        <is>
          <t>SWISS FRANC</t>
        </is>
      </c>
      <c r="AB63" t="n">
        <v>32783.53</v>
      </c>
      <c r="AC63" t="n">
        <v>33114.68</v>
      </c>
      <c r="AD63" t="n">
        <v>34175.36</v>
      </c>
      <c r="AE63" t="inlineStr">
        <is>
          <t>SINGAPORE DOLLAR</t>
        </is>
      </c>
      <c r="AF63" t="n">
        <v>20053.26</v>
      </c>
      <c r="AG63" t="n">
        <v>20255.82</v>
      </c>
      <c r="AH63" t="n">
        <v>20946.49</v>
      </c>
      <c r="AI63" t="inlineStr">
        <is>
          <t>YUAN RENMINBI</t>
        </is>
      </c>
      <c r="AJ63" t="n">
        <v>3711.79</v>
      </c>
      <c r="AK63" t="n">
        <v>3749.29</v>
      </c>
      <c r="AL63" t="n">
        <v>3869.38</v>
      </c>
      <c r="AM63" t="inlineStr">
        <is>
          <t>HONGKONG DOLLAR</t>
        </is>
      </c>
      <c r="AN63" t="n">
        <v>3256.61</v>
      </c>
      <c r="AO63" t="n">
        <v>3289.51</v>
      </c>
      <c r="AP63" t="n">
        <v>3415.31</v>
      </c>
      <c r="AQ63" t="inlineStr">
        <is>
          <t>THAILAND BAHT</t>
        </is>
      </c>
      <c r="AR63" t="n">
        <v>737.12</v>
      </c>
      <c r="AS63" t="n">
        <v>819.03</v>
      </c>
      <c r="AT63" t="n">
        <v>853.76</v>
      </c>
      <c r="AU63" t="inlineStr">
        <is>
          <t>KOREAN WON</t>
        </is>
      </c>
      <c r="AV63" t="n">
        <v>15.48</v>
      </c>
      <c r="AW63" t="n">
        <v>17.2</v>
      </c>
      <c r="AX63" t="n">
        <v>18.66</v>
      </c>
      <c r="AY63" t="inlineStr">
        <is>
          <t>MALAYSIAN RINGGIT</t>
        </is>
      </c>
      <c r="BA63" t="n">
        <v>6601.5</v>
      </c>
      <c r="BB63" t="n">
        <v>6745.15</v>
      </c>
      <c r="BC63" t="inlineStr">
        <is>
          <t>INDIAN RUPEE</t>
        </is>
      </c>
      <c r="BE63" t="n">
        <v>284.54</v>
      </c>
      <c r="BF63" t="n">
        <v>296.78</v>
      </c>
      <c r="BG63" t="inlineStr">
        <is>
          <t>KUWAITI DINAR</t>
        </is>
      </c>
      <c r="BI63" t="n">
        <v>85273.89</v>
      </c>
      <c r="BJ63" t="n">
        <v>89407.45</v>
      </c>
      <c r="BK63" t="inlineStr">
        <is>
          <t>SAUDI RIAL</t>
        </is>
      </c>
      <c r="BM63" t="n">
        <v>6945.55</v>
      </c>
      <c r="BN63" t="n">
        <v>7244.5</v>
      </c>
      <c r="BO63" t="inlineStr">
        <is>
          <t>NORWEGIAN KRONER</t>
        </is>
      </c>
      <c r="BQ63" t="n">
        <v>2686.55</v>
      </c>
      <c r="BR63" t="n">
        <v>2800.48</v>
      </c>
      <c r="BS63" t="inlineStr">
        <is>
          <t>SWEDISH KRONA</t>
        </is>
      </c>
      <c r="BU63" t="n">
        <v>2803.87</v>
      </c>
      <c r="BV63" t="n">
        <v>2922.77</v>
      </c>
      <c r="BW63" t="inlineStr">
        <is>
          <t>DANISH KRONE</t>
        </is>
      </c>
      <c r="BY63" t="n">
        <v>4027.13</v>
      </c>
      <c r="BZ63" t="n">
        <v>4181.14</v>
      </c>
      <c r="CA63" t="inlineStr">
        <is>
          <t>RUSSIAN RUBLE</t>
        </is>
      </c>
      <c r="CC63" t="n">
        <v>321.97</v>
      </c>
      <c r="CD63" t="n">
        <v>356.4</v>
      </c>
    </row>
    <row r="64">
      <c r="A64" t="inlineStr">
        <is>
          <t>04/03/2026</t>
        </is>
      </c>
      <c r="B64">
        <f>IF(ISNUMBER(A64), A64, DATE(RIGHT(A64,4), MID(A64,4,2), LEFT(A64,2)))</f>
        <v/>
      </c>
      <c r="C64" t="inlineStr">
        <is>
          <t>US DOLLAR</t>
        </is>
      </c>
      <c r="D64" t="n">
        <v>25974</v>
      </c>
      <c r="E64" t="n">
        <v>26004</v>
      </c>
      <c r="F64" t="n">
        <v>26304</v>
      </c>
      <c r="G64" t="inlineStr">
        <is>
          <t>EURO</t>
        </is>
      </c>
      <c r="H64" t="n">
        <v>29607.57</v>
      </c>
      <c r="I64" t="n">
        <v>29906.64</v>
      </c>
      <c r="J64" t="n">
        <v>31168.65</v>
      </c>
      <c r="K64" t="inlineStr">
        <is>
          <t>POUND STERLING</t>
        </is>
      </c>
      <c r="L64" t="n">
        <v>34043.72</v>
      </c>
      <c r="M64" t="n">
        <v>34387.6</v>
      </c>
      <c r="N64" t="n">
        <v>35489.06</v>
      </c>
      <c r="O64" t="inlineStr">
        <is>
          <t>YEN</t>
        </is>
      </c>
      <c r="P64" t="n">
        <v>160.52</v>
      </c>
      <c r="Q64" t="n">
        <v>162.14</v>
      </c>
      <c r="R64" t="n">
        <v>170.71</v>
      </c>
      <c r="S64" t="inlineStr">
        <is>
          <t>AUSTRALIAN DOLLAR</t>
        </is>
      </c>
      <c r="T64" t="n">
        <v>17902.96</v>
      </c>
      <c r="U64" t="n">
        <v>18083.8</v>
      </c>
      <c r="V64" t="n">
        <v>18663.04</v>
      </c>
      <c r="W64" t="inlineStr">
        <is>
          <t>CANADIAN DOLLAR</t>
        </is>
      </c>
      <c r="X64" t="n">
        <v>18673.19</v>
      </c>
      <c r="Y64" t="n">
        <v>18861.81</v>
      </c>
      <c r="Z64" t="n">
        <v>19465.97</v>
      </c>
      <c r="AA64" t="inlineStr">
        <is>
          <t>SWISS FRANC</t>
        </is>
      </c>
      <c r="AB64" t="n">
        <v>32678.68</v>
      </c>
      <c r="AC64" t="n">
        <v>33008.77</v>
      </c>
      <c r="AD64" t="n">
        <v>34066.06</v>
      </c>
      <c r="AE64" t="inlineStr">
        <is>
          <t>SINGAPORE DOLLAR</t>
        </is>
      </c>
      <c r="AF64" t="n">
        <v>19976.35</v>
      </c>
      <c r="AG64" t="n">
        <v>20178.13</v>
      </c>
      <c r="AH64" t="n">
        <v>20866.15</v>
      </c>
      <c r="AI64" t="inlineStr">
        <is>
          <t>YUAN RENMINBI</t>
        </is>
      </c>
      <c r="AJ64" t="n">
        <v>3702.38</v>
      </c>
      <c r="AK64" t="n">
        <v>3739.78</v>
      </c>
      <c r="AL64" t="n">
        <v>3859.56</v>
      </c>
      <c r="AM64" t="inlineStr">
        <is>
          <t>HONGKONG DOLLAR</t>
        </is>
      </c>
      <c r="AN64" t="n">
        <v>3262.83</v>
      </c>
      <c r="AO64" t="n">
        <v>3295.79</v>
      </c>
      <c r="AP64" t="n">
        <v>3421.83</v>
      </c>
      <c r="AQ64" t="inlineStr">
        <is>
          <t>THAILAND BAHT</t>
        </is>
      </c>
      <c r="AR64" t="n">
        <v>729.45</v>
      </c>
      <c r="AS64" t="n">
        <v>810.49</v>
      </c>
      <c r="AT64" t="n">
        <v>844.86</v>
      </c>
      <c r="AU64" t="inlineStr">
        <is>
          <t>KOREAN WON</t>
        </is>
      </c>
      <c r="AV64" t="n">
        <v>15.34</v>
      </c>
      <c r="AW64" t="n">
        <v>17.05</v>
      </c>
      <c r="AX64" t="n">
        <v>18.5</v>
      </c>
      <c r="AY64" t="inlineStr">
        <is>
          <t>MALAYSIAN RINGGIT</t>
        </is>
      </c>
      <c r="BA64" t="n">
        <v>6581.39</v>
      </c>
      <c r="BB64" t="n">
        <v>6724.61</v>
      </c>
      <c r="BC64" t="inlineStr">
        <is>
          <t>INDIAN RUPEE</t>
        </is>
      </c>
      <c r="BE64" t="n">
        <v>283.24</v>
      </c>
      <c r="BF64" t="n">
        <v>295.43</v>
      </c>
      <c r="BG64" t="inlineStr">
        <is>
          <t>KUWAITI DINAR</t>
        </is>
      </c>
      <c r="BI64" t="n">
        <v>85162.42</v>
      </c>
      <c r="BJ64" t="n">
        <v>89290.58</v>
      </c>
      <c r="BK64" t="inlineStr">
        <is>
          <t>SAUDI RIAL</t>
        </is>
      </c>
      <c r="BM64" t="n">
        <v>6946.1</v>
      </c>
      <c r="BN64" t="n">
        <v>7245.07</v>
      </c>
      <c r="BO64" t="inlineStr">
        <is>
          <t>NORWEGIAN KRONER</t>
        </is>
      </c>
      <c r="BQ64" t="n">
        <v>2656.7</v>
      </c>
      <c r="BR64" t="n">
        <v>2769.36</v>
      </c>
      <c r="BS64" t="inlineStr">
        <is>
          <t>SWEDISH KRONA</t>
        </is>
      </c>
      <c r="BU64" t="n">
        <v>2767.93</v>
      </c>
      <c r="BV64" t="n">
        <v>2885.31</v>
      </c>
      <c r="BW64" t="inlineStr">
        <is>
          <t>DANISH KRONE</t>
        </is>
      </c>
      <c r="BY64" t="n">
        <v>3992.26</v>
      </c>
      <c r="BZ64" t="n">
        <v>4144.94</v>
      </c>
      <c r="CA64" t="inlineStr">
        <is>
          <t>RUSSIAN RUBLE</t>
        </is>
      </c>
      <c r="CC64" t="n">
        <v>321.24</v>
      </c>
      <c r="CD64" t="n">
        <v>355.6</v>
      </c>
    </row>
    <row r="65">
      <c r="A65" t="inlineStr">
        <is>
          <t>05/03/2026</t>
        </is>
      </c>
      <c r="B65">
        <f>IF(ISNUMBER(A65), A65, DATE(RIGHT(A65,4), MID(A65,4,2), LEFT(A65,2)))</f>
        <v/>
      </c>
      <c r="C65" t="inlineStr">
        <is>
          <t>US DOLLAR</t>
        </is>
      </c>
      <c r="D65" t="n">
        <v>25997</v>
      </c>
      <c r="E65" t="n">
        <v>26027</v>
      </c>
      <c r="F65" t="n">
        <v>26307</v>
      </c>
      <c r="G65" t="inlineStr">
        <is>
          <t>EURO</t>
        </is>
      </c>
      <c r="H65" t="n">
        <v>29637.85</v>
      </c>
      <c r="I65" t="n">
        <v>29937.22</v>
      </c>
      <c r="J65" t="n">
        <v>31200.49</v>
      </c>
      <c r="K65" t="inlineStr">
        <is>
          <t>POUND STERLING</t>
        </is>
      </c>
      <c r="L65" t="n">
        <v>34054.39</v>
      </c>
      <c r="M65" t="n">
        <v>34398.37</v>
      </c>
      <c r="N65" t="n">
        <v>35500.13</v>
      </c>
      <c r="O65" t="inlineStr">
        <is>
          <t>YEN</t>
        </is>
      </c>
      <c r="P65" t="n">
        <v>161.02</v>
      </c>
      <c r="Q65" t="n">
        <v>162.64</v>
      </c>
      <c r="R65" t="n">
        <v>171.24</v>
      </c>
      <c r="S65" t="inlineStr">
        <is>
          <t>AUSTRALIAN DOLLAR</t>
        </is>
      </c>
      <c r="T65" t="n">
        <v>17947.31</v>
      </c>
      <c r="U65" t="n">
        <v>18128.59</v>
      </c>
      <c r="V65" t="n">
        <v>18709.24</v>
      </c>
      <c r="W65" t="inlineStr">
        <is>
          <t>CANADIAN DOLLAR</t>
        </is>
      </c>
      <c r="X65" t="n">
        <v>18714.81</v>
      </c>
      <c r="Y65" t="n">
        <v>18903.85</v>
      </c>
      <c r="Z65" t="n">
        <v>19509.33</v>
      </c>
      <c r="AA65" t="inlineStr">
        <is>
          <t>SWISS FRANC</t>
        </is>
      </c>
      <c r="AB65" t="n">
        <v>32732.95</v>
      </c>
      <c r="AC65" t="n">
        <v>33063.59</v>
      </c>
      <c r="AD65" t="n">
        <v>34122.59</v>
      </c>
      <c r="AE65" t="inlineStr">
        <is>
          <t>SINGAPORE DOLLAR</t>
        </is>
      </c>
      <c r="AF65" t="n">
        <v>19986.91</v>
      </c>
      <c r="AG65" t="n">
        <v>20188.8</v>
      </c>
      <c r="AH65" t="n">
        <v>20877.16</v>
      </c>
      <c r="AI65" t="inlineStr">
        <is>
          <t>YUAN RENMINBI</t>
        </is>
      </c>
      <c r="AJ65" t="n">
        <v>3706.12</v>
      </c>
      <c r="AK65" t="n">
        <v>3743.55</v>
      </c>
      <c r="AL65" t="n">
        <v>3863.46</v>
      </c>
      <c r="AM65" t="inlineStr">
        <is>
          <t>HONGKONG DOLLAR</t>
        </is>
      </c>
      <c r="AN65" t="n">
        <v>3259.39</v>
      </c>
      <c r="AO65" t="n">
        <v>3292.32</v>
      </c>
      <c r="AP65" t="n">
        <v>3418.22</v>
      </c>
      <c r="AQ65" t="inlineStr">
        <is>
          <t>THAILAND BAHT</t>
        </is>
      </c>
      <c r="AR65" t="n">
        <v>730.46</v>
      </c>
      <c r="AS65" t="n">
        <v>811.63</v>
      </c>
      <c r="AT65" t="n">
        <v>846.04</v>
      </c>
      <c r="AU65" t="inlineStr">
        <is>
          <t>KOREAN WON</t>
        </is>
      </c>
      <c r="AV65" t="n">
        <v>15.44</v>
      </c>
      <c r="AW65" t="n">
        <v>17.16</v>
      </c>
      <c r="AX65" t="n">
        <v>18.62</v>
      </c>
      <c r="AY65" t="inlineStr">
        <is>
          <t>MALAYSIAN RINGGIT</t>
        </is>
      </c>
      <c r="BA65" t="n">
        <v>6579.74</v>
      </c>
      <c r="BB65" t="n">
        <v>6722.91</v>
      </c>
      <c r="BC65" t="inlineStr">
        <is>
          <t>INDIAN RUPEE</t>
        </is>
      </c>
      <c r="BE65" t="n">
        <v>284.64</v>
      </c>
      <c r="BF65" t="n">
        <v>296.89</v>
      </c>
      <c r="BG65" t="inlineStr">
        <is>
          <t>KUWAITI DINAR</t>
        </is>
      </c>
      <c r="BI65" t="n">
        <v>85171.78999999999</v>
      </c>
      <c r="BJ65" t="n">
        <v>89300.28999999999</v>
      </c>
      <c r="BK65" t="inlineStr">
        <is>
          <t>SAUDI RIAL</t>
        </is>
      </c>
      <c r="BM65" t="n">
        <v>6947.15</v>
      </c>
      <c r="BN65" t="n">
        <v>7246.16</v>
      </c>
      <c r="BO65" t="inlineStr">
        <is>
          <t>NORWEGIAN KRONER</t>
        </is>
      </c>
      <c r="BQ65" t="n">
        <v>2655.16</v>
      </c>
      <c r="BR65" t="n">
        <v>2767.75</v>
      </c>
      <c r="BS65" t="inlineStr">
        <is>
          <t>SWEDISH KRONA</t>
        </is>
      </c>
      <c r="BU65" t="n">
        <v>2785</v>
      </c>
      <c r="BV65" t="n">
        <v>2903.1</v>
      </c>
      <c r="BW65" t="inlineStr">
        <is>
          <t>DANISH KRONE</t>
        </is>
      </c>
      <c r="BY65" t="n">
        <v>3996.24</v>
      </c>
      <c r="BZ65" t="n">
        <v>4149.06</v>
      </c>
      <c r="CA65" t="inlineStr">
        <is>
          <t>RUSSIAN RUBLE</t>
        </is>
      </c>
      <c r="CC65" t="n">
        <v>318.19</v>
      </c>
      <c r="CD65" t="n">
        <v>352.22</v>
      </c>
    </row>
    <row r="66">
      <c r="A66" t="inlineStr">
        <is>
          <t>06/03/2026</t>
        </is>
      </c>
      <c r="B66">
        <f>IF(ISNUMBER(A66), A66, DATE(RIGHT(A66,4), MID(A66,4,2), LEFT(A66,2)))</f>
        <v/>
      </c>
      <c r="C66" t="inlineStr">
        <is>
          <t>US DOLLAR</t>
        </is>
      </c>
      <c r="D66" t="n">
        <v>25999</v>
      </c>
      <c r="E66" t="n">
        <v>26029</v>
      </c>
      <c r="F66" t="n">
        <v>26309</v>
      </c>
      <c r="G66" t="inlineStr">
        <is>
          <t>EURO</t>
        </is>
      </c>
      <c r="H66" t="n">
        <v>29673.63</v>
      </c>
      <c r="I66" t="n">
        <v>29973.36</v>
      </c>
      <c r="J66" t="n">
        <v>31238.16</v>
      </c>
      <c r="K66" t="inlineStr">
        <is>
          <t>POUND STERLING</t>
        </is>
      </c>
      <c r="L66" t="n">
        <v>34148.95</v>
      </c>
      <c r="M66" t="n">
        <v>34493.89</v>
      </c>
      <c r="N66" t="n">
        <v>35598.71</v>
      </c>
      <c r="O66" t="inlineStr">
        <is>
          <t>YEN</t>
        </is>
      </c>
      <c r="P66" t="n">
        <v>160.78</v>
      </c>
      <c r="Q66" t="n">
        <v>162.41</v>
      </c>
      <c r="R66" t="n">
        <v>170.99</v>
      </c>
      <c r="S66" t="inlineStr">
        <is>
          <t>AUSTRALIAN DOLLAR</t>
        </is>
      </c>
      <c r="T66" t="n">
        <v>17944.75</v>
      </c>
      <c r="U66" t="n">
        <v>18126.01</v>
      </c>
      <c r="V66" t="n">
        <v>18706.58</v>
      </c>
      <c r="W66" t="inlineStr">
        <is>
          <t>CANADIAN DOLLAR</t>
        </is>
      </c>
      <c r="X66" t="n">
        <v>18713.44</v>
      </c>
      <c r="Y66" t="n">
        <v>18902.47</v>
      </c>
      <c r="Z66" t="n">
        <v>19507.9</v>
      </c>
      <c r="AA66" t="inlineStr">
        <is>
          <t>SWISS FRANC</t>
        </is>
      </c>
      <c r="AB66" t="n">
        <v>32758.12</v>
      </c>
      <c r="AC66" t="n">
        <v>33089.01</v>
      </c>
      <c r="AD66" t="n">
        <v>34148.83</v>
      </c>
      <c r="AE66" t="inlineStr">
        <is>
          <t>SINGAPORE DOLLAR</t>
        </is>
      </c>
      <c r="AF66" t="n">
        <v>19961.91</v>
      </c>
      <c r="AG66" t="n">
        <v>20163.55</v>
      </c>
      <c r="AH66" t="n">
        <v>20851.05</v>
      </c>
      <c r="AI66" t="inlineStr">
        <is>
          <t>YUAN RENMINBI</t>
        </is>
      </c>
      <c r="AJ66" t="n">
        <v>3709.72</v>
      </c>
      <c r="AK66" t="n">
        <v>3747.19</v>
      </c>
      <c r="AL66" t="n">
        <v>3867.21</v>
      </c>
      <c r="AM66" t="inlineStr">
        <is>
          <t>HONGKONG DOLLAR</t>
        </is>
      </c>
      <c r="AN66" t="n">
        <v>3259.85</v>
      </c>
      <c r="AO66" t="n">
        <v>3292.78</v>
      </c>
      <c r="AP66" t="n">
        <v>3418.7</v>
      </c>
      <c r="AQ66" t="inlineStr">
        <is>
          <t>THAILAND BAHT</t>
        </is>
      </c>
      <c r="AR66" t="n">
        <v>728.85</v>
      </c>
      <c r="AS66" t="n">
        <v>809.84</v>
      </c>
      <c r="AT66" t="n">
        <v>844.1799999999999</v>
      </c>
      <c r="AU66" t="inlineStr">
        <is>
          <t>KOREAN WON</t>
        </is>
      </c>
      <c r="AV66" t="n">
        <v>15.33</v>
      </c>
      <c r="AW66" t="n">
        <v>17.03</v>
      </c>
      <c r="AX66" t="n">
        <v>18.48</v>
      </c>
      <c r="AY66" t="inlineStr">
        <is>
          <t>MALAYSIAN RINGGIT</t>
        </is>
      </c>
      <c r="BA66" t="n">
        <v>6578.07</v>
      </c>
      <c r="BB66" t="n">
        <v>6721.2</v>
      </c>
      <c r="BC66" t="inlineStr">
        <is>
          <t>INDIAN RUPEE</t>
        </is>
      </c>
      <c r="BE66" t="n">
        <v>284.22</v>
      </c>
      <c r="BF66" t="n">
        <v>296.46</v>
      </c>
      <c r="BG66" t="inlineStr">
        <is>
          <t>KUWAITI DINAR</t>
        </is>
      </c>
      <c r="BI66" t="n">
        <v>85171.78999999999</v>
      </c>
      <c r="BJ66" t="n">
        <v>89300.28999999999</v>
      </c>
      <c r="BK66" t="inlineStr">
        <is>
          <t>SAUDI RIAL</t>
        </is>
      </c>
      <c r="BM66" t="n">
        <v>6950.85</v>
      </c>
      <c r="BN66" t="n">
        <v>7250.02</v>
      </c>
      <c r="BO66" t="inlineStr">
        <is>
          <t>NORWEGIAN KRONER</t>
        </is>
      </c>
      <c r="BQ66" t="n">
        <v>2660.02</v>
      </c>
      <c r="BR66" t="n">
        <v>2772.82</v>
      </c>
      <c r="BS66" t="inlineStr">
        <is>
          <t>SWEDISH KRONA</t>
        </is>
      </c>
      <c r="BU66" t="n">
        <v>2787.08</v>
      </c>
      <c r="BV66" t="n">
        <v>2905.27</v>
      </c>
      <c r="BW66" t="inlineStr">
        <is>
          <t>DANISH KRONE</t>
        </is>
      </c>
      <c r="BY66" t="n">
        <v>4001.52</v>
      </c>
      <c r="BZ66" t="n">
        <v>4154.54</v>
      </c>
      <c r="CA66" t="inlineStr">
        <is>
          <t>RUSSIAN RUBLE</t>
        </is>
      </c>
      <c r="CC66" t="n">
        <v>317.3</v>
      </c>
      <c r="CD66" t="n">
        <v>351.23</v>
      </c>
    </row>
    <row r="67">
      <c r="A67" t="inlineStr">
        <is>
          <t>07/03/2026</t>
        </is>
      </c>
      <c r="B67">
        <f>IF(ISNUMBER(A67), A67, DATE(RIGHT(A67,4), MID(A67,4,2), LEFT(A67,2)))</f>
        <v/>
      </c>
      <c r="C67" t="inlineStr">
        <is>
          <t>US DOLLAR</t>
        </is>
      </c>
      <c r="D67" t="n">
        <v>25999</v>
      </c>
      <c r="E67" t="n">
        <v>26029</v>
      </c>
      <c r="F67" t="n">
        <v>26309</v>
      </c>
      <c r="G67" t="inlineStr">
        <is>
          <t>EURO</t>
        </is>
      </c>
      <c r="H67" t="n">
        <v>29673.63</v>
      </c>
      <c r="I67" t="n">
        <v>29973.36</v>
      </c>
      <c r="J67" t="n">
        <v>31238.16</v>
      </c>
      <c r="K67" t="inlineStr">
        <is>
          <t>POUND STERLING</t>
        </is>
      </c>
      <c r="L67" t="n">
        <v>34148.95</v>
      </c>
      <c r="M67" t="n">
        <v>34493.89</v>
      </c>
      <c r="N67" t="n">
        <v>35598.71</v>
      </c>
      <c r="O67" t="inlineStr">
        <is>
          <t>YEN</t>
        </is>
      </c>
      <c r="P67" t="n">
        <v>160.78</v>
      </c>
      <c r="Q67" t="n">
        <v>162.41</v>
      </c>
      <c r="R67" t="n">
        <v>170.99</v>
      </c>
      <c r="S67" t="inlineStr">
        <is>
          <t>AUSTRALIAN DOLLAR</t>
        </is>
      </c>
      <c r="T67" t="n">
        <v>17944.75</v>
      </c>
      <c r="U67" t="n">
        <v>18126.01</v>
      </c>
      <c r="V67" t="n">
        <v>18706.58</v>
      </c>
      <c r="W67" t="inlineStr">
        <is>
          <t>CANADIAN DOLLAR</t>
        </is>
      </c>
      <c r="X67" t="n">
        <v>18713.44</v>
      </c>
      <c r="Y67" t="n">
        <v>18902.47</v>
      </c>
      <c r="Z67" t="n">
        <v>19507.9</v>
      </c>
      <c r="AA67" t="inlineStr">
        <is>
          <t>SWISS FRANC</t>
        </is>
      </c>
      <c r="AB67" t="n">
        <v>32758.12</v>
      </c>
      <c r="AC67" t="n">
        <v>33089.01</v>
      </c>
      <c r="AD67" t="n">
        <v>34148.83</v>
      </c>
      <c r="AE67" t="inlineStr">
        <is>
          <t>SINGAPORE DOLLAR</t>
        </is>
      </c>
      <c r="AF67" t="n">
        <v>19961.91</v>
      </c>
      <c r="AG67" t="n">
        <v>20163.55</v>
      </c>
      <c r="AH67" t="n">
        <v>20851.05</v>
      </c>
      <c r="AI67" t="inlineStr">
        <is>
          <t>YUAN RENMINBI</t>
        </is>
      </c>
      <c r="AJ67" t="n">
        <v>3709.72</v>
      </c>
      <c r="AK67" t="n">
        <v>3747.19</v>
      </c>
      <c r="AL67" t="n">
        <v>3867.21</v>
      </c>
      <c r="AM67" t="inlineStr">
        <is>
          <t>HONGKONG DOLLAR</t>
        </is>
      </c>
      <c r="AN67" t="n">
        <v>3259.85</v>
      </c>
      <c r="AO67" t="n">
        <v>3292.78</v>
      </c>
      <c r="AP67" t="n">
        <v>3418.7</v>
      </c>
      <c r="AQ67" t="inlineStr">
        <is>
          <t>THAILAND BAHT</t>
        </is>
      </c>
      <c r="AR67" t="n">
        <v>728.85</v>
      </c>
      <c r="AS67" t="n">
        <v>809.84</v>
      </c>
      <c r="AT67" t="n">
        <v>844.1799999999999</v>
      </c>
      <c r="AU67" t="inlineStr">
        <is>
          <t>KOREAN WON</t>
        </is>
      </c>
      <c r="AV67" t="n">
        <v>15.33</v>
      </c>
      <c r="AW67" t="n">
        <v>17.03</v>
      </c>
      <c r="AX67" t="n">
        <v>18.48</v>
      </c>
      <c r="AY67" t="inlineStr">
        <is>
          <t>MALAYSIAN RINGGIT</t>
        </is>
      </c>
      <c r="BA67" t="n">
        <v>6578.07</v>
      </c>
      <c r="BB67" t="n">
        <v>6721.2</v>
      </c>
      <c r="BC67" t="inlineStr">
        <is>
          <t>INDIAN RUPEE</t>
        </is>
      </c>
      <c r="BE67" t="n">
        <v>284.22</v>
      </c>
      <c r="BF67" t="n">
        <v>296.46</v>
      </c>
      <c r="BG67" t="inlineStr">
        <is>
          <t>KUWAITI DINAR</t>
        </is>
      </c>
      <c r="BI67" t="n">
        <v>85171.78999999999</v>
      </c>
      <c r="BJ67" t="n">
        <v>89300.28999999999</v>
      </c>
      <c r="BK67" t="inlineStr">
        <is>
          <t>SAUDI RIAL</t>
        </is>
      </c>
      <c r="BM67" t="n">
        <v>6950.85</v>
      </c>
      <c r="BN67" t="n">
        <v>7250.02</v>
      </c>
      <c r="BO67" t="inlineStr">
        <is>
          <t>NORWEGIAN KRONER</t>
        </is>
      </c>
      <c r="BQ67" t="n">
        <v>2660.02</v>
      </c>
      <c r="BR67" t="n">
        <v>2772.82</v>
      </c>
      <c r="BS67" t="inlineStr">
        <is>
          <t>SWEDISH KRONA</t>
        </is>
      </c>
      <c r="BU67" t="n">
        <v>2787.08</v>
      </c>
      <c r="BV67" t="n">
        <v>2905.27</v>
      </c>
      <c r="BW67" t="inlineStr">
        <is>
          <t>DANISH KRONE</t>
        </is>
      </c>
      <c r="BY67" t="n">
        <v>4001.52</v>
      </c>
      <c r="BZ67" t="n">
        <v>4154.54</v>
      </c>
      <c r="CA67" t="inlineStr">
        <is>
          <t>RUSSIAN RUBLE</t>
        </is>
      </c>
      <c r="CC67" t="n">
        <v>317.3</v>
      </c>
      <c r="CD67" t="n">
        <v>351.23</v>
      </c>
    </row>
    <row r="68">
      <c r="A68" t="inlineStr">
        <is>
          <t>08/03/2026</t>
        </is>
      </c>
      <c r="B68">
        <f>IF(ISNUMBER(A68), A68, DATE(RIGHT(A68,4), MID(A68,4,2), LEFT(A68,2)))</f>
        <v/>
      </c>
      <c r="C68" t="inlineStr">
        <is>
          <t>US DOLLAR</t>
        </is>
      </c>
      <c r="D68" t="n">
        <v>25999</v>
      </c>
      <c r="E68" t="n">
        <v>26029</v>
      </c>
      <c r="F68" t="n">
        <v>26309</v>
      </c>
      <c r="G68" t="inlineStr">
        <is>
          <t>EURO</t>
        </is>
      </c>
      <c r="H68" t="n">
        <v>29673.63</v>
      </c>
      <c r="I68" t="n">
        <v>29973.36</v>
      </c>
      <c r="J68" t="n">
        <v>31238.16</v>
      </c>
      <c r="K68" t="inlineStr">
        <is>
          <t>POUND STERLING</t>
        </is>
      </c>
      <c r="L68" t="n">
        <v>34148.95</v>
      </c>
      <c r="M68" t="n">
        <v>34493.89</v>
      </c>
      <c r="N68" t="n">
        <v>35598.71</v>
      </c>
      <c r="O68" t="inlineStr">
        <is>
          <t>YEN</t>
        </is>
      </c>
      <c r="P68" t="n">
        <v>160.78</v>
      </c>
      <c r="Q68" t="n">
        <v>162.41</v>
      </c>
      <c r="R68" t="n">
        <v>170.99</v>
      </c>
      <c r="S68" t="inlineStr">
        <is>
          <t>AUSTRALIAN DOLLAR</t>
        </is>
      </c>
      <c r="T68" t="n">
        <v>17944.75</v>
      </c>
      <c r="U68" t="n">
        <v>18126.01</v>
      </c>
      <c r="V68" t="n">
        <v>18706.58</v>
      </c>
      <c r="W68" t="inlineStr">
        <is>
          <t>CANADIAN DOLLAR</t>
        </is>
      </c>
      <c r="X68" t="n">
        <v>18713.44</v>
      </c>
      <c r="Y68" t="n">
        <v>18902.47</v>
      </c>
      <c r="Z68" t="n">
        <v>19507.9</v>
      </c>
      <c r="AA68" t="inlineStr">
        <is>
          <t>SWISS FRANC</t>
        </is>
      </c>
      <c r="AB68" t="n">
        <v>32758.12</v>
      </c>
      <c r="AC68" t="n">
        <v>33089.01</v>
      </c>
      <c r="AD68" t="n">
        <v>34148.83</v>
      </c>
      <c r="AE68" t="inlineStr">
        <is>
          <t>SINGAPORE DOLLAR</t>
        </is>
      </c>
      <c r="AF68" t="n">
        <v>19961.91</v>
      </c>
      <c r="AG68" t="n">
        <v>20163.55</v>
      </c>
      <c r="AH68" t="n">
        <v>20851.05</v>
      </c>
      <c r="AI68" t="inlineStr">
        <is>
          <t>YUAN RENMINBI</t>
        </is>
      </c>
      <c r="AJ68" t="n">
        <v>3709.72</v>
      </c>
      <c r="AK68" t="n">
        <v>3747.19</v>
      </c>
      <c r="AL68" t="n">
        <v>3867.21</v>
      </c>
      <c r="AM68" t="inlineStr">
        <is>
          <t>HONGKONG DOLLAR</t>
        </is>
      </c>
      <c r="AN68" t="n">
        <v>3259.85</v>
      </c>
      <c r="AO68" t="n">
        <v>3292.78</v>
      </c>
      <c r="AP68" t="n">
        <v>3418.7</v>
      </c>
      <c r="AQ68" t="inlineStr">
        <is>
          <t>THAILAND BAHT</t>
        </is>
      </c>
      <c r="AR68" t="n">
        <v>728.85</v>
      </c>
      <c r="AS68" t="n">
        <v>809.84</v>
      </c>
      <c r="AT68" t="n">
        <v>844.1799999999999</v>
      </c>
      <c r="AU68" t="inlineStr">
        <is>
          <t>KOREAN WON</t>
        </is>
      </c>
      <c r="AV68" t="n">
        <v>15.33</v>
      </c>
      <c r="AW68" t="n">
        <v>17.03</v>
      </c>
      <c r="AX68" t="n">
        <v>18.48</v>
      </c>
      <c r="AY68" t="inlineStr">
        <is>
          <t>MALAYSIAN RINGGIT</t>
        </is>
      </c>
      <c r="BA68" t="n">
        <v>6578.07</v>
      </c>
      <c r="BB68" t="n">
        <v>6721.2</v>
      </c>
      <c r="BC68" t="inlineStr">
        <is>
          <t>INDIAN RUPEE</t>
        </is>
      </c>
      <c r="BE68" t="n">
        <v>284.22</v>
      </c>
      <c r="BF68" t="n">
        <v>296.46</v>
      </c>
      <c r="BG68" t="inlineStr">
        <is>
          <t>KUWAITI DINAR</t>
        </is>
      </c>
      <c r="BI68" t="n">
        <v>85171.78999999999</v>
      </c>
      <c r="BJ68" t="n">
        <v>89300.28999999999</v>
      </c>
      <c r="BK68" t="inlineStr">
        <is>
          <t>SAUDI RIAL</t>
        </is>
      </c>
      <c r="BM68" t="n">
        <v>6950.85</v>
      </c>
      <c r="BN68" t="n">
        <v>7250.02</v>
      </c>
      <c r="BO68" t="inlineStr">
        <is>
          <t>NORWEGIAN KRONER</t>
        </is>
      </c>
      <c r="BQ68" t="n">
        <v>2660.02</v>
      </c>
      <c r="BR68" t="n">
        <v>2772.82</v>
      </c>
      <c r="BS68" t="inlineStr">
        <is>
          <t>SWEDISH KRONA</t>
        </is>
      </c>
      <c r="BU68" t="n">
        <v>2787.08</v>
      </c>
      <c r="BV68" t="n">
        <v>2905.27</v>
      </c>
      <c r="BW68" t="inlineStr">
        <is>
          <t>DANISH KRONE</t>
        </is>
      </c>
      <c r="BY68" t="n">
        <v>4001.52</v>
      </c>
      <c r="BZ68" t="n">
        <v>4154.54</v>
      </c>
      <c r="CA68" t="inlineStr">
        <is>
          <t>RUSSIAN RUBLE</t>
        </is>
      </c>
      <c r="CC68" t="n">
        <v>317.3</v>
      </c>
      <c r="CD68" t="n">
        <v>351.23</v>
      </c>
    </row>
    <row r="69">
      <c r="A69" t="inlineStr">
        <is>
          <t>09/03/2026</t>
        </is>
      </c>
      <c r="B69">
        <f>IF(ISNUMBER(A69), A69, DATE(RIGHT(A69,4), MID(A69,4,2), LEFT(A69,2)))</f>
        <v/>
      </c>
      <c r="C69" t="inlineStr">
        <is>
          <t>US DOLLAR</t>
        </is>
      </c>
      <c r="D69" t="n">
        <v>26041</v>
      </c>
      <c r="E69" t="n">
        <v>26071</v>
      </c>
      <c r="F69" t="n">
        <v>26311</v>
      </c>
      <c r="G69" t="inlineStr">
        <is>
          <t>EURO</t>
        </is>
      </c>
      <c r="H69" t="n">
        <v>29505.88</v>
      </c>
      <c r="I69" t="n">
        <v>29803.92</v>
      </c>
      <c r="J69" t="n">
        <v>31061.45</v>
      </c>
      <c r="K69" t="inlineStr">
        <is>
          <t>POUND STERLING</t>
        </is>
      </c>
      <c r="L69" t="n">
        <v>34063.18</v>
      </c>
      <c r="M69" t="n">
        <v>34407.25</v>
      </c>
      <c r="N69" t="n">
        <v>35509.17</v>
      </c>
      <c r="O69" t="inlineStr">
        <is>
          <t>YEN</t>
        </is>
      </c>
      <c r="P69" t="n">
        <v>159.93</v>
      </c>
      <c r="Q69" t="n">
        <v>161.55</v>
      </c>
      <c r="R69" t="n">
        <v>170.09</v>
      </c>
      <c r="S69" t="inlineStr">
        <is>
          <t>AUSTRALIAN DOLLAR</t>
        </is>
      </c>
      <c r="T69" t="n">
        <v>17883.36</v>
      </c>
      <c r="U69" t="n">
        <v>18064</v>
      </c>
      <c r="V69" t="n">
        <v>18642.52</v>
      </c>
      <c r="W69" t="inlineStr">
        <is>
          <t>CANADIAN DOLLAR</t>
        </is>
      </c>
      <c r="X69" t="n">
        <v>18870.94</v>
      </c>
      <c r="Y69" t="n">
        <v>19061.55</v>
      </c>
      <c r="Z69" t="n">
        <v>19672.01</v>
      </c>
      <c r="AA69" t="inlineStr">
        <is>
          <t>SWISS FRANC</t>
        </is>
      </c>
      <c r="AB69" t="n">
        <v>32791.09</v>
      </c>
      <c r="AC69" t="n">
        <v>33122.31</v>
      </c>
      <c r="AD69" t="n">
        <v>34183.08</v>
      </c>
      <c r="AE69" t="inlineStr">
        <is>
          <t>SINGAPORE DOLLAR</t>
        </is>
      </c>
      <c r="AF69" t="n">
        <v>19951.47</v>
      </c>
      <c r="AG69" t="n">
        <v>20153</v>
      </c>
      <c r="AH69" t="n">
        <v>20840.07</v>
      </c>
      <c r="AI69" t="inlineStr">
        <is>
          <t>YUAN RENMINBI</t>
        </is>
      </c>
      <c r="AJ69" t="n">
        <v>3701.99</v>
      </c>
      <c r="AK69" t="n">
        <v>3739.38</v>
      </c>
      <c r="AL69" t="n">
        <v>3859.14</v>
      </c>
      <c r="AM69" t="inlineStr">
        <is>
          <t>HONGKONG DOLLAR</t>
        </is>
      </c>
      <c r="AN69" t="n">
        <v>3268.61</v>
      </c>
      <c r="AO69" t="n">
        <v>3301.62</v>
      </c>
      <c r="AP69" t="n">
        <v>3427.87</v>
      </c>
      <c r="AQ69" t="inlineStr">
        <is>
          <t>THAILAND BAHT</t>
        </is>
      </c>
      <c r="AR69" t="n">
        <v>720.08</v>
      </c>
      <c r="AS69" t="n">
        <v>800.09</v>
      </c>
      <c r="AT69" t="n">
        <v>834.01</v>
      </c>
      <c r="AU69" t="inlineStr">
        <is>
          <t>KOREAN WON</t>
        </is>
      </c>
      <c r="AV69" t="n">
        <v>15.21</v>
      </c>
      <c r="AW69" t="n">
        <v>16.9</v>
      </c>
      <c r="AX69" t="n">
        <v>18.34</v>
      </c>
      <c r="AY69" t="inlineStr">
        <is>
          <t>MALAYSIAN RINGGIT</t>
        </is>
      </c>
      <c r="BA69" t="n">
        <v>6558.22</v>
      </c>
      <c r="BB69" t="n">
        <v>6700.9</v>
      </c>
      <c r="BC69" t="inlineStr">
        <is>
          <t>INDIAN RUPEE</t>
        </is>
      </c>
      <c r="BE69" t="n">
        <v>283.29</v>
      </c>
      <c r="BF69" t="n">
        <v>295.49</v>
      </c>
      <c r="BG69" t="inlineStr">
        <is>
          <t>KUWAITI DINAR</t>
        </is>
      </c>
      <c r="BI69" t="n">
        <v>85422.56</v>
      </c>
      <c r="BJ69" t="n">
        <v>89562.91</v>
      </c>
      <c r="BK69" t="inlineStr">
        <is>
          <t>SAUDI RIAL</t>
        </is>
      </c>
      <c r="BM69" t="n">
        <v>6964.91</v>
      </c>
      <c r="BN69" t="n">
        <v>7264.65</v>
      </c>
      <c r="BO69" t="inlineStr">
        <is>
          <t>NORWEGIAN KRONER</t>
        </is>
      </c>
      <c r="BQ69" t="n">
        <v>2670.56</v>
      </c>
      <c r="BR69" t="n">
        <v>2783.8</v>
      </c>
      <c r="BS69" t="inlineStr">
        <is>
          <t>SWEDISH KRONA</t>
        </is>
      </c>
      <c r="BU69" t="n">
        <v>2773.64</v>
      </c>
      <c r="BV69" t="n">
        <v>2891.24</v>
      </c>
      <c r="BW69" t="inlineStr">
        <is>
          <t>DANISH KRONE</t>
        </is>
      </c>
      <c r="BY69" t="n">
        <v>3980.06</v>
      </c>
      <c r="BZ69" t="n">
        <v>4132.25</v>
      </c>
      <c r="CA69" t="inlineStr">
        <is>
          <t>RUSSIAN RUBLE</t>
        </is>
      </c>
      <c r="CC69" t="n">
        <v>316.71</v>
      </c>
      <c r="CD69" t="n">
        <v>350.59</v>
      </c>
    </row>
    <row r="70">
      <c r="A70" t="inlineStr">
        <is>
          <t>10/03/2026</t>
        </is>
      </c>
      <c r="B70">
        <f>IF(ISNUMBER(A70), A70, DATE(RIGHT(A70,4), MID(A70,4,2), LEFT(A70,2)))</f>
        <v/>
      </c>
      <c r="C70" t="inlineStr">
        <is>
          <t>US DOLLAR</t>
        </is>
      </c>
      <c r="D70" t="n">
        <v>25985</v>
      </c>
      <c r="E70" t="n">
        <v>26015</v>
      </c>
      <c r="F70" t="n">
        <v>26315</v>
      </c>
      <c r="G70" t="inlineStr">
        <is>
          <t>EURO</t>
        </is>
      </c>
      <c r="H70" t="n">
        <v>29779.83</v>
      </c>
      <c r="I70" t="n">
        <v>30080.64</v>
      </c>
      <c r="J70" t="n">
        <v>31349.98</v>
      </c>
      <c r="K70" t="inlineStr">
        <is>
          <t>POUND STERLING</t>
        </is>
      </c>
      <c r="L70" t="n">
        <v>34419.52</v>
      </c>
      <c r="M70" t="n">
        <v>34767.19</v>
      </c>
      <c r="N70" t="n">
        <v>35880.79</v>
      </c>
      <c r="O70" t="inlineStr">
        <is>
          <t>YEN</t>
        </is>
      </c>
      <c r="P70" t="n">
        <v>160.85</v>
      </c>
      <c r="Q70" t="n">
        <v>162.48</v>
      </c>
      <c r="R70" t="n">
        <v>171.07</v>
      </c>
      <c r="S70" t="inlineStr">
        <is>
          <t>AUSTRALIAN DOLLAR</t>
        </is>
      </c>
      <c r="T70" t="n">
        <v>18175.51</v>
      </c>
      <c r="U70" t="n">
        <v>18359.1</v>
      </c>
      <c r="V70" t="n">
        <v>18947.14</v>
      </c>
      <c r="W70" t="inlineStr">
        <is>
          <t>CANADIAN DOLLAR</t>
        </is>
      </c>
      <c r="X70" t="n">
        <v>18835.91</v>
      </c>
      <c r="Y70" t="n">
        <v>19026.17</v>
      </c>
      <c r="Z70" t="n">
        <v>19635.58</v>
      </c>
      <c r="AA70" t="inlineStr">
        <is>
          <t>SWISS FRANC</t>
        </is>
      </c>
      <c r="AB70" t="n">
        <v>32935.53</v>
      </c>
      <c r="AC70" t="n">
        <v>33268.21</v>
      </c>
      <c r="AD70" t="n">
        <v>34333.8</v>
      </c>
      <c r="AE70" t="inlineStr">
        <is>
          <t>SINGAPORE DOLLAR</t>
        </is>
      </c>
      <c r="AF70" t="n">
        <v>20086.17</v>
      </c>
      <c r="AG70" t="n">
        <v>20289.06</v>
      </c>
      <c r="AH70" t="n">
        <v>20980.85</v>
      </c>
      <c r="AI70" t="inlineStr">
        <is>
          <t>YUAN RENMINBI</t>
        </is>
      </c>
      <c r="AJ70" t="n">
        <v>3718.56</v>
      </c>
      <c r="AK70" t="n">
        <v>3756.12</v>
      </c>
      <c r="AL70" t="n">
        <v>3876.43</v>
      </c>
      <c r="AM70" t="inlineStr">
        <is>
          <t>HONGKONG DOLLAR</t>
        </is>
      </c>
      <c r="AN70" t="n">
        <v>3256.07</v>
      </c>
      <c r="AO70" t="n">
        <v>3288.96</v>
      </c>
      <c r="AP70" t="n">
        <v>3414.73</v>
      </c>
      <c r="AQ70" t="inlineStr">
        <is>
          <t>THAILAND BAHT</t>
        </is>
      </c>
      <c r="AR70" t="n">
        <v>732.27</v>
      </c>
      <c r="AS70" t="n">
        <v>813.63</v>
      </c>
      <c r="AT70" t="n">
        <v>848.13</v>
      </c>
      <c r="AU70" t="inlineStr">
        <is>
          <t>KOREAN WON</t>
        </is>
      </c>
      <c r="AV70" t="n">
        <v>15.48</v>
      </c>
      <c r="AW70" t="n">
        <v>17.2</v>
      </c>
      <c r="AX70" t="n">
        <v>18.66</v>
      </c>
      <c r="AY70" t="inlineStr">
        <is>
          <t>MALAYSIAN RINGGIT</t>
        </is>
      </c>
      <c r="BA70" t="n">
        <v>6610.75</v>
      </c>
      <c r="BB70" t="n">
        <v>6754.6</v>
      </c>
      <c r="BC70" t="inlineStr">
        <is>
          <t>INDIAN RUPEE</t>
        </is>
      </c>
      <c r="BE70" t="n">
        <v>283.95</v>
      </c>
      <c r="BF70" t="n">
        <v>296.17</v>
      </c>
      <c r="BG70" t="inlineStr">
        <is>
          <t>KUWAITI DINAR</t>
        </is>
      </c>
      <c r="BI70" t="n">
        <v>85111.5</v>
      </c>
      <c r="BJ70" t="n">
        <v>89237.13</v>
      </c>
      <c r="BK70" t="inlineStr">
        <is>
          <t>SAUDI RIAL</t>
        </is>
      </c>
      <c r="BM70" t="n">
        <v>6946.72</v>
      </c>
      <c r="BN70" t="n">
        <v>7245.71</v>
      </c>
      <c r="BO70" t="inlineStr">
        <is>
          <t>NORWEGIAN KRONER</t>
        </is>
      </c>
      <c r="BQ70" t="n">
        <v>2674.82</v>
      </c>
      <c r="BR70" t="n">
        <v>2788.24</v>
      </c>
      <c r="BS70" t="inlineStr">
        <is>
          <t>SWEDISH KRONA</t>
        </is>
      </c>
      <c r="BU70" t="n">
        <v>2819.79</v>
      </c>
      <c r="BV70" t="n">
        <v>2939.36</v>
      </c>
      <c r="BW70" t="inlineStr">
        <is>
          <t>DANISH KRONE</t>
        </is>
      </c>
      <c r="BY70" t="n">
        <v>4016.09</v>
      </c>
      <c r="BZ70" t="n">
        <v>4169.68</v>
      </c>
      <c r="CA70" t="inlineStr">
        <is>
          <t>RUSSIAN RUBLE</t>
        </is>
      </c>
      <c r="CC70" t="n">
        <v>316.45</v>
      </c>
      <c r="CD70" t="n">
        <v>350.3</v>
      </c>
    </row>
    <row r="71">
      <c r="A71" t="inlineStr">
        <is>
          <t>11/03/2026</t>
        </is>
      </c>
      <c r="B71">
        <f>IF(ISNUMBER(A71), A71, DATE(RIGHT(A71,4), MID(A71,4,2), LEFT(A71,2)))</f>
        <v/>
      </c>
      <c r="C71" t="inlineStr">
        <is>
          <t>US DOLLAR</t>
        </is>
      </c>
      <c r="D71" t="n">
        <v>26001</v>
      </c>
      <c r="E71" t="n">
        <v>26031</v>
      </c>
      <c r="F71" t="n">
        <v>26311</v>
      </c>
      <c r="G71" t="inlineStr">
        <is>
          <t>EURO</t>
        </is>
      </c>
      <c r="H71" t="n">
        <v>29719.29</v>
      </c>
      <c r="I71" t="n">
        <v>30019.49</v>
      </c>
      <c r="J71" t="n">
        <v>31286.19</v>
      </c>
      <c r="K71" t="inlineStr">
        <is>
          <t>POUND STERLING</t>
        </is>
      </c>
      <c r="L71" t="n">
        <v>34346.39</v>
      </c>
      <c r="M71" t="n">
        <v>34693.32</v>
      </c>
      <c r="N71" t="n">
        <v>35804.49</v>
      </c>
      <c r="O71" t="inlineStr">
        <is>
          <t>YEN</t>
        </is>
      </c>
      <c r="P71" t="n">
        <v>160.23</v>
      </c>
      <c r="Q71" t="n">
        <v>161.85</v>
      </c>
      <c r="R71" t="n">
        <v>170.41</v>
      </c>
      <c r="S71" t="inlineStr">
        <is>
          <t>AUSTRALIAN DOLLAR</t>
        </is>
      </c>
      <c r="T71" t="n">
        <v>18237.25</v>
      </c>
      <c r="U71" t="n">
        <v>18421.46</v>
      </c>
      <c r="V71" t="n">
        <v>19011.47</v>
      </c>
      <c r="W71" t="inlineStr">
        <is>
          <t>CANADIAN DOLLAR</t>
        </is>
      </c>
      <c r="X71" t="n">
        <v>18842.2</v>
      </c>
      <c r="Y71" t="n">
        <v>19032.53</v>
      </c>
      <c r="Z71" t="n">
        <v>19642.11</v>
      </c>
      <c r="AA71" t="inlineStr">
        <is>
          <t>SWISS FRANC</t>
        </is>
      </c>
      <c r="AB71" t="n">
        <v>32875.79</v>
      </c>
      <c r="AC71" t="n">
        <v>33207.87</v>
      </c>
      <c r="AD71" t="n">
        <v>34271.46</v>
      </c>
      <c r="AE71" t="inlineStr">
        <is>
          <t>SINGAPORE DOLLAR</t>
        </is>
      </c>
      <c r="AF71" t="n">
        <v>20091.79</v>
      </c>
      <c r="AG71" t="n">
        <v>20294.73</v>
      </c>
      <c r="AH71" t="n">
        <v>20986.68</v>
      </c>
      <c r="AI71" t="inlineStr">
        <is>
          <t>YUAN RENMINBI</t>
        </is>
      </c>
      <c r="AJ71" t="n">
        <v>3720.43</v>
      </c>
      <c r="AK71" t="n">
        <v>3758.01</v>
      </c>
      <c r="AL71" t="n">
        <v>3878.38</v>
      </c>
      <c r="AM71" t="inlineStr">
        <is>
          <t>HONGKONG DOLLAR</t>
        </is>
      </c>
      <c r="AN71" t="n">
        <v>3260.21</v>
      </c>
      <c r="AO71" t="n">
        <v>3293.14</v>
      </c>
      <c r="AP71" t="n">
        <v>3419.08</v>
      </c>
      <c r="AQ71" t="inlineStr">
        <is>
          <t>THAILAND BAHT</t>
        </is>
      </c>
      <c r="AR71" t="n">
        <v>734.97</v>
      </c>
      <c r="AS71" t="n">
        <v>816.63</v>
      </c>
      <c r="AT71" t="n">
        <v>851.26</v>
      </c>
      <c r="AU71" t="inlineStr">
        <is>
          <t>KOREAN WON</t>
        </is>
      </c>
      <c r="AV71" t="n">
        <v>15.46</v>
      </c>
      <c r="AW71" t="n">
        <v>17.18</v>
      </c>
      <c r="AX71" t="n">
        <v>18.64</v>
      </c>
      <c r="AY71" t="inlineStr">
        <is>
          <t>MALAYSIAN RINGGIT</t>
        </is>
      </c>
      <c r="BA71" t="n">
        <v>6625.08</v>
      </c>
      <c r="BB71" t="n">
        <v>6769.22</v>
      </c>
      <c r="BC71" t="inlineStr">
        <is>
          <t>INDIAN RUPEE</t>
        </is>
      </c>
      <c r="BE71" t="n">
        <v>284</v>
      </c>
      <c r="BF71" t="n">
        <v>296.23</v>
      </c>
      <c r="BG71" t="inlineStr">
        <is>
          <t>KUWAITI DINAR</t>
        </is>
      </c>
      <c r="BI71" t="n">
        <v>85264.63</v>
      </c>
      <c r="BJ71" t="n">
        <v>89397.53</v>
      </c>
      <c r="BK71" t="inlineStr">
        <is>
          <t>SAUDI RIAL</t>
        </is>
      </c>
      <c r="BM71" t="n">
        <v>6955.23</v>
      </c>
      <c r="BN71" t="n">
        <v>7254.58</v>
      </c>
      <c r="BO71" t="inlineStr">
        <is>
          <t>NORWEGIAN KRONER</t>
        </is>
      </c>
      <c r="BQ71" t="n">
        <v>2668.6</v>
      </c>
      <c r="BR71" t="n">
        <v>2781.76</v>
      </c>
      <c r="BS71" t="inlineStr">
        <is>
          <t>SWEDISH KRONA</t>
        </is>
      </c>
      <c r="BU71" t="n">
        <v>2805.28</v>
      </c>
      <c r="BV71" t="n">
        <v>2924.23</v>
      </c>
      <c r="BW71" t="inlineStr">
        <is>
          <t>DANISH KRONE</t>
        </is>
      </c>
      <c r="BY71" t="n">
        <v>4007.56</v>
      </c>
      <c r="BZ71" t="n">
        <v>4160.81</v>
      </c>
      <c r="CA71" t="inlineStr">
        <is>
          <t>RUSSIAN RUBLE</t>
        </is>
      </c>
      <c r="CC71" t="n">
        <v>316.03</v>
      </c>
      <c r="CD71" t="n">
        <v>349.83</v>
      </c>
    </row>
    <row r="72">
      <c r="A72" t="inlineStr">
        <is>
          <t>12/03/2026</t>
        </is>
      </c>
      <c r="B72">
        <f>IF(ISNUMBER(A72), A72, DATE(RIGHT(A72,4), MID(A72,4,2), LEFT(A72,2)))</f>
        <v/>
      </c>
      <c r="C72" t="inlineStr">
        <is>
          <t>US DOLLAR</t>
        </is>
      </c>
      <c r="D72" t="n">
        <v>26044</v>
      </c>
      <c r="E72" t="n">
        <v>26074</v>
      </c>
      <c r="F72" t="n">
        <v>26314</v>
      </c>
      <c r="G72" t="inlineStr">
        <is>
          <t>EURO</t>
        </is>
      </c>
      <c r="H72" t="n">
        <v>29537.17</v>
      </c>
      <c r="I72" t="n">
        <v>29835.53</v>
      </c>
      <c r="J72" t="n">
        <v>31094.43</v>
      </c>
      <c r="K72" t="inlineStr">
        <is>
          <t>POUND STERLING</t>
        </is>
      </c>
      <c r="L72" t="n">
        <v>34226.67</v>
      </c>
      <c r="M72" t="n">
        <v>34572.39</v>
      </c>
      <c r="N72" t="n">
        <v>35679.64</v>
      </c>
      <c r="O72" t="inlineStr">
        <is>
          <t>YEN</t>
        </is>
      </c>
      <c r="P72" t="n">
        <v>159.48</v>
      </c>
      <c r="Q72" t="n">
        <v>161.09</v>
      </c>
      <c r="R72" t="n">
        <v>169.61</v>
      </c>
      <c r="S72" t="inlineStr">
        <is>
          <t>AUSTRALIAN DOLLAR</t>
        </is>
      </c>
      <c r="T72" t="n">
        <v>18266.51</v>
      </c>
      <c r="U72" t="n">
        <v>18451.02</v>
      </c>
      <c r="V72" t="n">
        <v>19041.95</v>
      </c>
      <c r="W72" t="inlineStr">
        <is>
          <t>CANADIAN DOLLAR</t>
        </is>
      </c>
      <c r="X72" t="n">
        <v>18844.08</v>
      </c>
      <c r="Y72" t="n">
        <v>19034.42</v>
      </c>
      <c r="Z72" t="n">
        <v>19644.04</v>
      </c>
      <c r="AA72" t="inlineStr">
        <is>
          <t>SWISS FRANC</t>
        </is>
      </c>
      <c r="AB72" t="n">
        <v>32661.63</v>
      </c>
      <c r="AC72" t="n">
        <v>32991.54</v>
      </c>
      <c r="AD72" t="n">
        <v>34048.16</v>
      </c>
      <c r="AE72" t="inlineStr">
        <is>
          <t>SINGAPORE DOLLAR</t>
        </is>
      </c>
      <c r="AF72" t="n">
        <v>20050.36</v>
      </c>
      <c r="AG72" t="n">
        <v>20252.89</v>
      </c>
      <c r="AH72" t="n">
        <v>20943.39</v>
      </c>
      <c r="AI72" t="inlineStr">
        <is>
          <t>YUAN RENMINBI</t>
        </is>
      </c>
      <c r="AJ72" t="n">
        <v>3721.49</v>
      </c>
      <c r="AK72" t="n">
        <v>3759.08</v>
      </c>
      <c r="AL72" t="n">
        <v>3879.47</v>
      </c>
      <c r="AM72" t="inlineStr">
        <is>
          <t>HONGKONG DOLLAR</t>
        </is>
      </c>
      <c r="AN72" t="n">
        <v>3262.32</v>
      </c>
      <c r="AO72" t="n">
        <v>3295.27</v>
      </c>
      <c r="AP72" t="n">
        <v>3421.28</v>
      </c>
      <c r="AQ72" t="inlineStr">
        <is>
          <t>THAILAND BAHT</t>
        </is>
      </c>
      <c r="AR72" t="n">
        <v>724.9400000000001</v>
      </c>
      <c r="AS72" t="n">
        <v>805.49</v>
      </c>
      <c r="AT72" t="n">
        <v>839.64</v>
      </c>
      <c r="AU72" t="inlineStr">
        <is>
          <t>KOREAN WON</t>
        </is>
      </c>
      <c r="AV72" t="n">
        <v>15.35</v>
      </c>
      <c r="AW72" t="n">
        <v>17.06</v>
      </c>
      <c r="AX72" t="n">
        <v>18.5</v>
      </c>
      <c r="AY72" t="inlineStr">
        <is>
          <t>MALAYSIAN RINGGIT</t>
        </is>
      </c>
      <c r="BA72" t="n">
        <v>6616.62</v>
      </c>
      <c r="BB72" t="n">
        <v>6760.58</v>
      </c>
      <c r="BC72" t="inlineStr">
        <is>
          <t>INDIAN RUPEE</t>
        </is>
      </c>
      <c r="BE72" t="n">
        <v>282.94</v>
      </c>
      <c r="BF72" t="n">
        <v>295.11</v>
      </c>
      <c r="BG72" t="inlineStr">
        <is>
          <t>KUWAITI DINAR</t>
        </is>
      </c>
      <c r="BI72" t="n">
        <v>85329.64</v>
      </c>
      <c r="BJ72" t="n">
        <v>89465.59</v>
      </c>
      <c r="BK72" t="inlineStr">
        <is>
          <t>SAUDI RIAL</t>
        </is>
      </c>
      <c r="BM72" t="n">
        <v>6960.53</v>
      </c>
      <c r="BN72" t="n">
        <v>7260.1</v>
      </c>
      <c r="BO72" t="inlineStr">
        <is>
          <t>NORWEGIAN KRONER</t>
        </is>
      </c>
      <c r="BQ72" t="n">
        <v>2664.03</v>
      </c>
      <c r="BR72" t="n">
        <v>2776.99</v>
      </c>
      <c r="BS72" t="inlineStr">
        <is>
          <t>SWEDISH KRONA</t>
        </is>
      </c>
      <c r="BU72" t="n">
        <v>2777.27</v>
      </c>
      <c r="BV72" t="n">
        <v>2895.03</v>
      </c>
      <c r="BW72" t="inlineStr">
        <is>
          <t>DANISH KRONE</t>
        </is>
      </c>
      <c r="BY72" t="n">
        <v>3982.86</v>
      </c>
      <c r="BZ72" t="n">
        <v>4135.17</v>
      </c>
      <c r="CA72" t="inlineStr">
        <is>
          <t>RUSSIAN RUBLE</t>
        </is>
      </c>
      <c r="CC72" t="n">
        <v>315.86</v>
      </c>
      <c r="CD72" t="n">
        <v>349.64</v>
      </c>
    </row>
    <row r="73">
      <c r="A73" t="inlineStr">
        <is>
          <t>13/03/2026</t>
        </is>
      </c>
      <c r="B73">
        <f>IF(ISNUMBER(A73), A73, DATE(RIGHT(A73,4), MID(A73,4,2), LEFT(A73,2)))</f>
        <v/>
      </c>
      <c r="C73" t="inlineStr">
        <is>
          <t>US DOLLAR</t>
        </is>
      </c>
      <c r="D73" t="n">
        <v>26048</v>
      </c>
      <c r="E73" t="n">
        <v>26078</v>
      </c>
      <c r="F73" t="n">
        <v>26318</v>
      </c>
      <c r="G73" t="inlineStr">
        <is>
          <t>EURO</t>
        </is>
      </c>
      <c r="H73" t="n">
        <v>29390.6</v>
      </c>
      <c r="I73" t="n">
        <v>29687.48</v>
      </c>
      <c r="J73" t="n">
        <v>30940.1</v>
      </c>
      <c r="K73" t="inlineStr">
        <is>
          <t>POUND STERLING</t>
        </is>
      </c>
      <c r="L73" t="n">
        <v>34060.62</v>
      </c>
      <c r="M73" t="n">
        <v>34404.66</v>
      </c>
      <c r="N73" t="n">
        <v>35506.5</v>
      </c>
      <c r="O73" t="inlineStr">
        <is>
          <t>YEN</t>
        </is>
      </c>
      <c r="P73" t="n">
        <v>159.2</v>
      </c>
      <c r="Q73" t="n">
        <v>160.81</v>
      </c>
      <c r="R73" t="n">
        <v>169.31</v>
      </c>
      <c r="S73" t="inlineStr">
        <is>
          <t>AUSTRALIAN DOLLAR</t>
        </is>
      </c>
      <c r="T73" t="n">
        <v>18014.01</v>
      </c>
      <c r="U73" t="n">
        <v>18195.97</v>
      </c>
      <c r="V73" t="n">
        <v>18778.71</v>
      </c>
      <c r="W73" t="inlineStr">
        <is>
          <t>CANADIAN DOLLAR</t>
        </is>
      </c>
      <c r="X73" t="n">
        <v>18756.28</v>
      </c>
      <c r="Y73" t="n">
        <v>18945.74</v>
      </c>
      <c r="Z73" t="n">
        <v>19552.49</v>
      </c>
      <c r="AA73" t="inlineStr">
        <is>
          <t>SWISS FRANC</t>
        </is>
      </c>
      <c r="AB73" t="n">
        <v>32537.09</v>
      </c>
      <c r="AC73" t="n">
        <v>32865.74</v>
      </c>
      <c r="AD73" t="n">
        <v>33918.3</v>
      </c>
      <c r="AE73" t="inlineStr">
        <is>
          <t>SINGAPORE DOLLAR</t>
        </is>
      </c>
      <c r="AF73" t="n">
        <v>19996.67</v>
      </c>
      <c r="AG73" t="n">
        <v>20198.66</v>
      </c>
      <c r="AH73" t="n">
        <v>20887.28</v>
      </c>
      <c r="AI73" t="inlineStr">
        <is>
          <t>YUAN RENMINBI</t>
        </is>
      </c>
      <c r="AJ73" t="n">
        <v>3717.78</v>
      </c>
      <c r="AK73" t="n">
        <v>3755.34</v>
      </c>
      <c r="AL73" t="n">
        <v>3875.6</v>
      </c>
      <c r="AM73" t="inlineStr">
        <is>
          <t>HONGKONG DOLLAR</t>
        </is>
      </c>
      <c r="AN73" t="n">
        <v>3263.76</v>
      </c>
      <c r="AO73" t="n">
        <v>3296.73</v>
      </c>
      <c r="AP73" t="n">
        <v>3422.79</v>
      </c>
      <c r="AQ73" t="inlineStr">
        <is>
          <t>THAILAND BAHT</t>
        </is>
      </c>
      <c r="AR73" t="n">
        <v>718.96</v>
      </c>
      <c r="AS73" t="n">
        <v>798.85</v>
      </c>
      <c r="AT73" t="n">
        <v>832.72</v>
      </c>
      <c r="AU73" t="inlineStr">
        <is>
          <t>KOREAN WON</t>
        </is>
      </c>
      <c r="AV73" t="n">
        <v>15.21</v>
      </c>
      <c r="AW73" t="n">
        <v>16.9</v>
      </c>
      <c r="AX73" t="n">
        <v>18.34</v>
      </c>
      <c r="AY73" t="inlineStr">
        <is>
          <t>MALAYSIAN RINGGIT</t>
        </is>
      </c>
      <c r="BA73" t="n">
        <v>6611.57</v>
      </c>
      <c r="BB73" t="n">
        <v>6755.4</v>
      </c>
      <c r="BC73" t="inlineStr">
        <is>
          <t>INDIAN RUPEE</t>
        </is>
      </c>
      <c r="BE73" t="n">
        <v>283</v>
      </c>
      <c r="BF73" t="n">
        <v>295.18</v>
      </c>
      <c r="BG73" t="inlineStr">
        <is>
          <t>KUWAITI DINAR</t>
        </is>
      </c>
      <c r="BI73" t="n">
        <v>85311.03999999999</v>
      </c>
      <c r="BJ73" t="n">
        <v>89445.99000000001</v>
      </c>
      <c r="BK73" t="inlineStr">
        <is>
          <t>SAUDI RIAL</t>
        </is>
      </c>
      <c r="BM73" t="n">
        <v>6966.77</v>
      </c>
      <c r="BN73" t="n">
        <v>7266.59</v>
      </c>
      <c r="BO73" t="inlineStr">
        <is>
          <t>NORWEGIAN KRONER</t>
        </is>
      </c>
      <c r="BQ73" t="n">
        <v>2643.75</v>
      </c>
      <c r="BR73" t="n">
        <v>2755.85</v>
      </c>
      <c r="BS73" t="inlineStr">
        <is>
          <t>SWEDISH KRONA</t>
        </is>
      </c>
      <c r="BU73" t="n">
        <v>2740.03</v>
      </c>
      <c r="BV73" t="n">
        <v>2856.21</v>
      </c>
      <c r="BW73" t="inlineStr">
        <is>
          <t>DANISH KRONE</t>
        </is>
      </c>
      <c r="BY73" t="n">
        <v>3963.31</v>
      </c>
      <c r="BZ73" t="n">
        <v>4114.86</v>
      </c>
      <c r="CA73" t="inlineStr">
        <is>
          <t>RUSSIAN RUBLE</t>
        </is>
      </c>
      <c r="CC73" t="n">
        <v>312.15</v>
      </c>
      <c r="CD73" t="n">
        <v>345.54</v>
      </c>
    </row>
    <row r="74">
      <c r="A74" t="inlineStr">
        <is>
          <t>14/03/2026</t>
        </is>
      </c>
      <c r="B74">
        <f>IF(ISNUMBER(A74), A74, DATE(RIGHT(A74,4), MID(A74,4,2), LEFT(A74,2)))</f>
        <v/>
      </c>
      <c r="C74" t="inlineStr">
        <is>
          <t>US DOLLAR</t>
        </is>
      </c>
      <c r="D74" t="n">
        <v>26048</v>
      </c>
      <c r="E74" t="n">
        <v>26078</v>
      </c>
      <c r="F74" t="n">
        <v>26318</v>
      </c>
      <c r="G74" t="inlineStr">
        <is>
          <t>EURO</t>
        </is>
      </c>
      <c r="H74" t="n">
        <v>29390.6</v>
      </c>
      <c r="I74" t="n">
        <v>29687.48</v>
      </c>
      <c r="J74" t="n">
        <v>30940.1</v>
      </c>
      <c r="K74" t="inlineStr">
        <is>
          <t>POUND STERLING</t>
        </is>
      </c>
      <c r="L74" t="n">
        <v>34060.62</v>
      </c>
      <c r="M74" t="n">
        <v>34404.66</v>
      </c>
      <c r="N74" t="n">
        <v>35506.5</v>
      </c>
      <c r="O74" t="inlineStr">
        <is>
          <t>YEN</t>
        </is>
      </c>
      <c r="P74" t="n">
        <v>159.2</v>
      </c>
      <c r="Q74" t="n">
        <v>160.81</v>
      </c>
      <c r="R74" t="n">
        <v>169.31</v>
      </c>
      <c r="S74" t="inlineStr">
        <is>
          <t>AUSTRALIAN DOLLAR</t>
        </is>
      </c>
      <c r="T74" t="n">
        <v>18014.01</v>
      </c>
      <c r="U74" t="n">
        <v>18195.97</v>
      </c>
      <c r="V74" t="n">
        <v>18778.71</v>
      </c>
      <c r="W74" t="inlineStr">
        <is>
          <t>CANADIAN DOLLAR</t>
        </is>
      </c>
      <c r="X74" t="n">
        <v>18756.28</v>
      </c>
      <c r="Y74" t="n">
        <v>18945.74</v>
      </c>
      <c r="Z74" t="n">
        <v>19552.49</v>
      </c>
      <c r="AA74" t="inlineStr">
        <is>
          <t>SWISS FRANC</t>
        </is>
      </c>
      <c r="AB74" t="n">
        <v>32537.09</v>
      </c>
      <c r="AC74" t="n">
        <v>32865.74</v>
      </c>
      <c r="AD74" t="n">
        <v>33918.3</v>
      </c>
      <c r="AE74" t="inlineStr">
        <is>
          <t>SINGAPORE DOLLAR</t>
        </is>
      </c>
      <c r="AF74" t="n">
        <v>19996.67</v>
      </c>
      <c r="AG74" t="n">
        <v>20198.66</v>
      </c>
      <c r="AH74" t="n">
        <v>20887.28</v>
      </c>
      <c r="AI74" t="inlineStr">
        <is>
          <t>YUAN RENMINBI</t>
        </is>
      </c>
      <c r="AJ74" t="n">
        <v>3717.78</v>
      </c>
      <c r="AK74" t="n">
        <v>3755.34</v>
      </c>
      <c r="AL74" t="n">
        <v>3875.6</v>
      </c>
      <c r="AM74" t="inlineStr">
        <is>
          <t>HONGKONG DOLLAR</t>
        </is>
      </c>
      <c r="AN74" t="n">
        <v>3263.76</v>
      </c>
      <c r="AO74" t="n">
        <v>3296.73</v>
      </c>
      <c r="AP74" t="n">
        <v>3422.79</v>
      </c>
      <c r="AQ74" t="inlineStr">
        <is>
          <t>THAILAND BAHT</t>
        </is>
      </c>
      <c r="AR74" t="n">
        <v>718.96</v>
      </c>
      <c r="AS74" t="n">
        <v>798.85</v>
      </c>
      <c r="AT74" t="n">
        <v>832.72</v>
      </c>
      <c r="AU74" t="inlineStr">
        <is>
          <t>KOREAN WON</t>
        </is>
      </c>
      <c r="AV74" t="n">
        <v>15.21</v>
      </c>
      <c r="AW74" t="n">
        <v>16.9</v>
      </c>
      <c r="AX74" t="n">
        <v>18.34</v>
      </c>
      <c r="AY74" t="inlineStr">
        <is>
          <t>MALAYSIAN RINGGIT</t>
        </is>
      </c>
      <c r="BA74" t="n">
        <v>6611.57</v>
      </c>
      <c r="BB74" t="n">
        <v>6755.4</v>
      </c>
      <c r="BC74" t="inlineStr">
        <is>
          <t>INDIAN RUPEE</t>
        </is>
      </c>
      <c r="BE74" t="n">
        <v>283</v>
      </c>
      <c r="BF74" t="n">
        <v>295.18</v>
      </c>
      <c r="BG74" t="inlineStr">
        <is>
          <t>KUWAITI DINAR</t>
        </is>
      </c>
      <c r="BI74" t="n">
        <v>85311.03999999999</v>
      </c>
      <c r="BJ74" t="n">
        <v>89445.99000000001</v>
      </c>
      <c r="BK74" t="inlineStr">
        <is>
          <t>SAUDI RIAL</t>
        </is>
      </c>
      <c r="BM74" t="n">
        <v>6966.77</v>
      </c>
      <c r="BN74" t="n">
        <v>7266.59</v>
      </c>
      <c r="BO74" t="inlineStr">
        <is>
          <t>NORWEGIAN KRONER</t>
        </is>
      </c>
      <c r="BQ74" t="n">
        <v>2643.75</v>
      </c>
      <c r="BR74" t="n">
        <v>2755.85</v>
      </c>
      <c r="BS74" t="inlineStr">
        <is>
          <t>SWEDISH KRONA</t>
        </is>
      </c>
      <c r="BU74" t="n">
        <v>2740.03</v>
      </c>
      <c r="BV74" t="n">
        <v>2856.21</v>
      </c>
      <c r="BW74" t="inlineStr">
        <is>
          <t>DANISH KRONE</t>
        </is>
      </c>
      <c r="BY74" t="n">
        <v>3963.31</v>
      </c>
      <c r="BZ74" t="n">
        <v>4114.86</v>
      </c>
      <c r="CA74" t="inlineStr">
        <is>
          <t>RUSSIAN RUBLE</t>
        </is>
      </c>
      <c r="CC74" t="n">
        <v>312.15</v>
      </c>
      <c r="CD74" t="n">
        <v>345.54</v>
      </c>
    </row>
    <row r="75">
      <c r="A75" t="inlineStr">
        <is>
          <t>15/03/2026</t>
        </is>
      </c>
      <c r="B75">
        <f>IF(ISNUMBER(A75), A75, DATE(RIGHT(A75,4), MID(A75,4,2), LEFT(A75,2)))</f>
        <v/>
      </c>
      <c r="C75" t="inlineStr">
        <is>
          <t>US DOLLAR</t>
        </is>
      </c>
      <c r="D75" t="n">
        <v>26048</v>
      </c>
      <c r="E75" t="n">
        <v>26078</v>
      </c>
      <c r="F75" t="n">
        <v>26318</v>
      </c>
      <c r="G75" t="inlineStr">
        <is>
          <t>EURO</t>
        </is>
      </c>
      <c r="H75" t="n">
        <v>29390.6</v>
      </c>
      <c r="I75" t="n">
        <v>29687.48</v>
      </c>
      <c r="J75" t="n">
        <v>30940.1</v>
      </c>
      <c r="K75" t="inlineStr">
        <is>
          <t>POUND STERLING</t>
        </is>
      </c>
      <c r="L75" t="n">
        <v>34060.62</v>
      </c>
      <c r="M75" t="n">
        <v>34404.66</v>
      </c>
      <c r="N75" t="n">
        <v>35506.5</v>
      </c>
      <c r="O75" t="inlineStr">
        <is>
          <t>YEN</t>
        </is>
      </c>
      <c r="P75" t="n">
        <v>159.2</v>
      </c>
      <c r="Q75" t="n">
        <v>160.81</v>
      </c>
      <c r="R75" t="n">
        <v>169.31</v>
      </c>
      <c r="S75" t="inlineStr">
        <is>
          <t>AUSTRALIAN DOLLAR</t>
        </is>
      </c>
      <c r="T75" t="n">
        <v>18014.01</v>
      </c>
      <c r="U75" t="n">
        <v>18195.97</v>
      </c>
      <c r="V75" t="n">
        <v>18778.71</v>
      </c>
      <c r="W75" t="inlineStr">
        <is>
          <t>CANADIAN DOLLAR</t>
        </is>
      </c>
      <c r="X75" t="n">
        <v>18756.28</v>
      </c>
      <c r="Y75" t="n">
        <v>18945.74</v>
      </c>
      <c r="Z75" t="n">
        <v>19552.49</v>
      </c>
      <c r="AA75" t="inlineStr">
        <is>
          <t>SWISS FRANC</t>
        </is>
      </c>
      <c r="AB75" t="n">
        <v>32537.09</v>
      </c>
      <c r="AC75" t="n">
        <v>32865.74</v>
      </c>
      <c r="AD75" t="n">
        <v>33918.3</v>
      </c>
      <c r="AE75" t="inlineStr">
        <is>
          <t>SINGAPORE DOLLAR</t>
        </is>
      </c>
      <c r="AF75" t="n">
        <v>19996.67</v>
      </c>
      <c r="AG75" t="n">
        <v>20198.66</v>
      </c>
      <c r="AH75" t="n">
        <v>20887.28</v>
      </c>
      <c r="AI75" t="inlineStr">
        <is>
          <t>YUAN RENMINBI</t>
        </is>
      </c>
      <c r="AJ75" t="n">
        <v>3717.78</v>
      </c>
      <c r="AK75" t="n">
        <v>3755.34</v>
      </c>
      <c r="AL75" t="n">
        <v>3875.6</v>
      </c>
      <c r="AM75" t="inlineStr">
        <is>
          <t>HONGKONG DOLLAR</t>
        </is>
      </c>
      <c r="AN75" t="n">
        <v>3263.76</v>
      </c>
      <c r="AO75" t="n">
        <v>3296.73</v>
      </c>
      <c r="AP75" t="n">
        <v>3422.79</v>
      </c>
      <c r="AQ75" t="inlineStr">
        <is>
          <t>THAILAND BAHT</t>
        </is>
      </c>
      <c r="AR75" t="n">
        <v>718.96</v>
      </c>
      <c r="AS75" t="n">
        <v>798.85</v>
      </c>
      <c r="AT75" t="n">
        <v>832.72</v>
      </c>
      <c r="AU75" t="inlineStr">
        <is>
          <t>KOREAN WON</t>
        </is>
      </c>
      <c r="AV75" t="n">
        <v>15.21</v>
      </c>
      <c r="AW75" t="n">
        <v>16.9</v>
      </c>
      <c r="AX75" t="n">
        <v>18.34</v>
      </c>
      <c r="AY75" t="inlineStr">
        <is>
          <t>MALAYSIAN RINGGIT</t>
        </is>
      </c>
      <c r="BA75" t="n">
        <v>6611.57</v>
      </c>
      <c r="BB75" t="n">
        <v>6755.4</v>
      </c>
      <c r="BC75" t="inlineStr">
        <is>
          <t>INDIAN RUPEE</t>
        </is>
      </c>
      <c r="BE75" t="n">
        <v>283</v>
      </c>
      <c r="BF75" t="n">
        <v>295.18</v>
      </c>
      <c r="BG75" t="inlineStr">
        <is>
          <t>KUWAITI DINAR</t>
        </is>
      </c>
      <c r="BI75" t="n">
        <v>85311.03999999999</v>
      </c>
      <c r="BJ75" t="n">
        <v>89445.99000000001</v>
      </c>
      <c r="BK75" t="inlineStr">
        <is>
          <t>SAUDI RIAL</t>
        </is>
      </c>
      <c r="BM75" t="n">
        <v>6966.77</v>
      </c>
      <c r="BN75" t="n">
        <v>7266.59</v>
      </c>
      <c r="BO75" t="inlineStr">
        <is>
          <t>NORWEGIAN KRONER</t>
        </is>
      </c>
      <c r="BQ75" t="n">
        <v>2643.75</v>
      </c>
      <c r="BR75" t="n">
        <v>2755.85</v>
      </c>
      <c r="BS75" t="inlineStr">
        <is>
          <t>SWEDISH KRONA</t>
        </is>
      </c>
      <c r="BU75" t="n">
        <v>2740.03</v>
      </c>
      <c r="BV75" t="n">
        <v>2856.21</v>
      </c>
      <c r="BW75" t="inlineStr">
        <is>
          <t>DANISH KRONE</t>
        </is>
      </c>
      <c r="BY75" t="n">
        <v>3963.31</v>
      </c>
      <c r="BZ75" t="n">
        <v>4114.86</v>
      </c>
      <c r="CA75" t="inlineStr">
        <is>
          <t>RUSSIAN RUBLE</t>
        </is>
      </c>
      <c r="CC75" t="n">
        <v>312.15</v>
      </c>
      <c r="CD75" t="n">
        <v>345.54</v>
      </c>
    </row>
    <row r="76">
      <c r="A76" t="inlineStr">
        <is>
          <t>16/03/2026</t>
        </is>
      </c>
      <c r="B76">
        <f>IF(ISNUMBER(A76), A76, DATE(RIGHT(A76,4), MID(A76,4,2), LEFT(A76,2)))</f>
        <v/>
      </c>
      <c r="C76" t="inlineStr">
        <is>
          <t>US DOLLAR</t>
        </is>
      </c>
      <c r="D76" t="n">
        <v>26051</v>
      </c>
      <c r="E76" t="n">
        <v>26081</v>
      </c>
      <c r="F76" t="n">
        <v>26321</v>
      </c>
      <c r="G76" t="inlineStr">
        <is>
          <t>EURO</t>
        </is>
      </c>
      <c r="H76" t="n">
        <v>29334.24</v>
      </c>
      <c r="I76" t="n">
        <v>29630.55</v>
      </c>
      <c r="J76" t="n">
        <v>30880.77</v>
      </c>
      <c r="K76" t="inlineStr">
        <is>
          <t>POUND STERLING</t>
        </is>
      </c>
      <c r="L76" t="n">
        <v>33960.71</v>
      </c>
      <c r="M76" t="n">
        <v>34303.75</v>
      </c>
      <c r="N76" t="n">
        <v>35402.35</v>
      </c>
      <c r="O76" t="inlineStr">
        <is>
          <t>YEN</t>
        </is>
      </c>
      <c r="P76" t="n">
        <v>159.2</v>
      </c>
      <c r="Q76" t="n">
        <v>160.81</v>
      </c>
      <c r="R76" t="n">
        <v>169.31</v>
      </c>
      <c r="S76" t="inlineStr">
        <is>
          <t>AUSTRALIAN DOLLAR</t>
        </is>
      </c>
      <c r="T76" t="n">
        <v>17970.46</v>
      </c>
      <c r="U76" t="n">
        <v>18151.98</v>
      </c>
      <c r="V76" t="n">
        <v>18733.31</v>
      </c>
      <c r="W76" t="inlineStr">
        <is>
          <t>CANADIAN DOLLAR</t>
        </is>
      </c>
      <c r="X76" t="n">
        <v>18690.61</v>
      </c>
      <c r="Y76" t="n">
        <v>18879.4</v>
      </c>
      <c r="Z76" t="n">
        <v>19484.03</v>
      </c>
      <c r="AA76" t="inlineStr">
        <is>
          <t>SWISS FRANC</t>
        </is>
      </c>
      <c r="AB76" t="n">
        <v>32479.35</v>
      </c>
      <c r="AC76" t="n">
        <v>32807.42</v>
      </c>
      <c r="AD76" t="n">
        <v>33858.11</v>
      </c>
      <c r="AE76" t="inlineStr">
        <is>
          <t>SINGAPORE DOLLAR</t>
        </is>
      </c>
      <c r="AF76" t="n">
        <v>19985.74</v>
      </c>
      <c r="AG76" t="n">
        <v>20187.62</v>
      </c>
      <c r="AH76" t="n">
        <v>20875.86</v>
      </c>
      <c r="AI76" t="inlineStr">
        <is>
          <t>YUAN RENMINBI</t>
        </is>
      </c>
      <c r="AJ76" t="n">
        <v>3715.57</v>
      </c>
      <c r="AK76" t="n">
        <v>3753.1</v>
      </c>
      <c r="AL76" t="n">
        <v>3873.3</v>
      </c>
      <c r="AM76" t="inlineStr">
        <is>
          <t>HONGKONG DOLLAR</t>
        </is>
      </c>
      <c r="AN76" t="n">
        <v>3263.51</v>
      </c>
      <c r="AO76" t="n">
        <v>3296.48</v>
      </c>
      <c r="AP76" t="n">
        <v>3422.53</v>
      </c>
      <c r="AQ76" t="inlineStr">
        <is>
          <t>THAILAND BAHT</t>
        </is>
      </c>
      <c r="AR76" t="n">
        <v>716.52</v>
      </c>
      <c r="AS76" t="n">
        <v>796.13</v>
      </c>
      <c r="AT76" t="n">
        <v>829.89</v>
      </c>
      <c r="AU76" t="inlineStr">
        <is>
          <t>KOREAN WON</t>
        </is>
      </c>
      <c r="AV76" t="n">
        <v>15.23</v>
      </c>
      <c r="AW76" t="n">
        <v>16.92</v>
      </c>
      <c r="AX76" t="n">
        <v>18.36</v>
      </c>
      <c r="AY76" t="inlineStr">
        <is>
          <t>MALAYSIAN RINGGIT</t>
        </is>
      </c>
      <c r="BA76" t="n">
        <v>6618.3</v>
      </c>
      <c r="BB76" t="n">
        <v>6762.28</v>
      </c>
      <c r="BC76" t="inlineStr">
        <is>
          <t>INDIAN RUPEE</t>
        </is>
      </c>
      <c r="BE76" t="n">
        <v>282.56</v>
      </c>
      <c r="BF76" t="n">
        <v>294.72</v>
      </c>
      <c r="BG76" t="inlineStr">
        <is>
          <t>KUWAITI DINAR</t>
        </is>
      </c>
      <c r="BI76" t="n">
        <v>85311.03999999999</v>
      </c>
      <c r="BJ76" t="n">
        <v>89445.99000000001</v>
      </c>
      <c r="BK76" t="inlineStr">
        <is>
          <t>SAUDI RIAL</t>
        </is>
      </c>
      <c r="BM76" t="n">
        <v>6966.77</v>
      </c>
      <c r="BN76" t="n">
        <v>7266.59</v>
      </c>
      <c r="BO76" t="inlineStr">
        <is>
          <t>NORWEGIAN KRONER</t>
        </is>
      </c>
      <c r="BQ76" t="n">
        <v>2641.07</v>
      </c>
      <c r="BR76" t="n">
        <v>2753.05</v>
      </c>
      <c r="BS76" t="inlineStr">
        <is>
          <t>SWEDISH KRONA</t>
        </is>
      </c>
      <c r="BU76" t="n">
        <v>2730.07</v>
      </c>
      <c r="BV76" t="n">
        <v>2845.82</v>
      </c>
      <c r="BW76" t="inlineStr">
        <is>
          <t>DANISH KRONE</t>
        </is>
      </c>
      <c r="BY76" t="n">
        <v>3955.11</v>
      </c>
      <c r="BZ76" t="n">
        <v>4106.35</v>
      </c>
      <c r="CA76" t="inlineStr">
        <is>
          <t>RUSSIAN RUBLE</t>
        </is>
      </c>
      <c r="CC76" t="n">
        <v>312.37</v>
      </c>
      <c r="CD76" t="n">
        <v>345.77</v>
      </c>
    </row>
    <row r="77">
      <c r="A77" t="inlineStr">
        <is>
          <t>17/03/2026</t>
        </is>
      </c>
      <c r="B77">
        <f>IF(ISNUMBER(A77), A77, DATE(RIGHT(A77,4), MID(A77,4,2), LEFT(A77,2)))</f>
        <v/>
      </c>
      <c r="C77" t="inlineStr">
        <is>
          <t>US DOLLAR</t>
        </is>
      </c>
      <c r="D77" t="n">
        <v>26051</v>
      </c>
      <c r="E77" t="n">
        <v>26081</v>
      </c>
      <c r="F77" t="n">
        <v>26321</v>
      </c>
      <c r="G77" t="inlineStr">
        <is>
          <t>EURO</t>
        </is>
      </c>
      <c r="H77" t="n">
        <v>29439.28</v>
      </c>
      <c r="I77" t="n">
        <v>29736.64</v>
      </c>
      <c r="J77" t="n">
        <v>30991.34</v>
      </c>
      <c r="K77" t="inlineStr">
        <is>
          <t>POUND STERLING</t>
        </is>
      </c>
      <c r="L77" t="n">
        <v>34073.43</v>
      </c>
      <c r="M77" t="n">
        <v>34417.6</v>
      </c>
      <c r="N77" t="n">
        <v>35519.85</v>
      </c>
      <c r="O77" t="inlineStr">
        <is>
          <t>YEN</t>
        </is>
      </c>
      <c r="P77" t="n">
        <v>159.28</v>
      </c>
      <c r="Q77" t="n">
        <v>160.89</v>
      </c>
      <c r="R77" t="n">
        <v>169.39</v>
      </c>
      <c r="S77" t="inlineStr">
        <is>
          <t>AUSTRALIAN DOLLAR</t>
        </is>
      </c>
      <c r="T77" t="n">
        <v>18088.3</v>
      </c>
      <c r="U77" t="n">
        <v>18271.01</v>
      </c>
      <c r="V77" t="n">
        <v>18856.15</v>
      </c>
      <c r="W77" t="inlineStr">
        <is>
          <t>CANADIAN DOLLAR</t>
        </is>
      </c>
      <c r="X77" t="n">
        <v>18723.39</v>
      </c>
      <c r="Y77" t="n">
        <v>18912.51</v>
      </c>
      <c r="Z77" t="n">
        <v>19518.2</v>
      </c>
      <c r="AA77" t="inlineStr">
        <is>
          <t>SWISS FRANC</t>
        </is>
      </c>
      <c r="AB77" t="n">
        <v>32508.19</v>
      </c>
      <c r="AC77" t="n">
        <v>32836.56</v>
      </c>
      <c r="AD77" t="n">
        <v>33888.18</v>
      </c>
      <c r="AE77" t="inlineStr">
        <is>
          <t>SINGAPORE DOLLAR</t>
        </is>
      </c>
      <c r="AF77" t="n">
        <v>20023.26</v>
      </c>
      <c r="AG77" t="n">
        <v>20225.52</v>
      </c>
      <c r="AH77" t="n">
        <v>20915.05</v>
      </c>
      <c r="AI77" t="inlineStr">
        <is>
          <t>YUAN RENMINBI</t>
        </is>
      </c>
      <c r="AJ77" t="n">
        <v>3715.9</v>
      </c>
      <c r="AK77" t="n">
        <v>3753.43</v>
      </c>
      <c r="AL77" t="n">
        <v>3873.64</v>
      </c>
      <c r="AM77" t="inlineStr">
        <is>
          <t>HONGKONG DOLLAR</t>
        </is>
      </c>
      <c r="AN77" t="n">
        <v>3262.81</v>
      </c>
      <c r="AO77" t="n">
        <v>3295.76</v>
      </c>
      <c r="AP77" t="n">
        <v>3421.79</v>
      </c>
      <c r="AQ77" t="inlineStr">
        <is>
          <t>THAILAND BAHT</t>
        </is>
      </c>
      <c r="AR77" t="n">
        <v>714.53</v>
      </c>
      <c r="AS77" t="n">
        <v>793.92</v>
      </c>
      <c r="AT77" t="n">
        <v>827.59</v>
      </c>
      <c r="AU77" t="inlineStr">
        <is>
          <t>KOREAN WON</t>
        </is>
      </c>
      <c r="AV77" t="n">
        <v>15.24</v>
      </c>
      <c r="AW77" t="n">
        <v>16.93</v>
      </c>
      <c r="AX77" t="n">
        <v>18.37</v>
      </c>
      <c r="AY77" t="inlineStr">
        <is>
          <t>MALAYSIAN RINGGIT</t>
        </is>
      </c>
      <c r="BA77" t="n">
        <v>6626.73</v>
      </c>
      <c r="BB77" t="n">
        <v>6770.89</v>
      </c>
      <c r="BC77" t="inlineStr">
        <is>
          <t>INDIAN RUPEE</t>
        </is>
      </c>
      <c r="BE77" t="n">
        <v>283.22</v>
      </c>
      <c r="BF77" t="n">
        <v>295.41</v>
      </c>
      <c r="BG77" t="inlineStr">
        <is>
          <t>KUWAITI DINAR</t>
        </is>
      </c>
      <c r="BI77" t="n">
        <v>85144.31</v>
      </c>
      <c r="BJ77" t="n">
        <v>89271.17</v>
      </c>
      <c r="BK77" t="inlineStr">
        <is>
          <t>SAUDI RIAL</t>
        </is>
      </c>
      <c r="BM77" t="n">
        <v>6966.02</v>
      </c>
      <c r="BN77" t="n">
        <v>7265.82</v>
      </c>
      <c r="BO77" t="inlineStr">
        <is>
          <t>NORWEGIAN KRONER</t>
        </is>
      </c>
      <c r="BQ77" t="n">
        <v>2660.91</v>
      </c>
      <c r="BR77" t="n">
        <v>2773.73</v>
      </c>
      <c r="BS77" t="inlineStr">
        <is>
          <t>SWEDISH KRONA</t>
        </is>
      </c>
      <c r="BU77" t="n">
        <v>2752.24</v>
      </c>
      <c r="BV77" t="n">
        <v>2868.94</v>
      </c>
      <c r="BW77" t="inlineStr">
        <is>
          <t>DANISH KRONE</t>
        </is>
      </c>
      <c r="BY77" t="n">
        <v>3969.22</v>
      </c>
      <c r="BZ77" t="n">
        <v>4121</v>
      </c>
      <c r="CA77" t="inlineStr">
        <is>
          <t>RUSSIAN RUBLE</t>
        </is>
      </c>
      <c r="CC77" t="n">
        <v>306.98</v>
      </c>
      <c r="CD77" t="n">
        <v>339.81</v>
      </c>
    </row>
    <row r="78">
      <c r="A78" t="inlineStr">
        <is>
          <t>18/03/2026</t>
        </is>
      </c>
      <c r="B78">
        <f>IF(ISNUMBER(A78), A78, DATE(RIGHT(A78,4), MID(A78,4,2), LEFT(A78,2)))</f>
        <v/>
      </c>
      <c r="C78" t="inlineStr">
        <is>
          <t>US DOLLAR</t>
        </is>
      </c>
      <c r="D78" t="n">
        <v>26050</v>
      </c>
      <c r="E78" t="n">
        <v>26080</v>
      </c>
      <c r="F78" t="n">
        <v>26320</v>
      </c>
      <c r="G78" t="inlineStr">
        <is>
          <t>EURO</t>
        </is>
      </c>
      <c r="H78" t="n">
        <v>29448.19</v>
      </c>
      <c r="I78" t="n">
        <v>29745.65</v>
      </c>
      <c r="J78" t="n">
        <v>31119.12</v>
      </c>
      <c r="K78" t="inlineStr">
        <is>
          <t>POUND STERLING</t>
        </is>
      </c>
      <c r="L78" t="n">
        <v>34084.34</v>
      </c>
      <c r="M78" t="n">
        <v>34428.62</v>
      </c>
      <c r="N78" t="n">
        <v>35666.93</v>
      </c>
      <c r="O78" t="inlineStr">
        <is>
          <t>YEN</t>
        </is>
      </c>
      <c r="P78" t="n">
        <v>159.61</v>
      </c>
      <c r="Q78" t="n">
        <v>161.23</v>
      </c>
      <c r="R78" t="n">
        <v>170.4</v>
      </c>
      <c r="S78" t="inlineStr">
        <is>
          <t>AUSTRALIAN DOLLAR</t>
        </is>
      </c>
      <c r="T78" t="n">
        <v>18136.1</v>
      </c>
      <c r="U78" t="n">
        <v>18319.3</v>
      </c>
      <c r="V78" t="n">
        <v>18978.19</v>
      </c>
      <c r="W78" t="inlineStr">
        <is>
          <t>CANADIAN DOLLAR</t>
        </is>
      </c>
      <c r="X78" t="n">
        <v>18646.98</v>
      </c>
      <c r="Y78" t="n">
        <v>18835.33</v>
      </c>
      <c r="Z78" t="n">
        <v>19512.79</v>
      </c>
      <c r="AA78" t="inlineStr">
        <is>
          <t>SWISS FRANC</t>
        </is>
      </c>
      <c r="AB78" t="n">
        <v>32520.6</v>
      </c>
      <c r="AC78" t="n">
        <v>32849.09</v>
      </c>
      <c r="AD78" t="n">
        <v>34030.58</v>
      </c>
      <c r="AE78" t="inlineStr">
        <is>
          <t>SINGAPORE DOLLAR</t>
        </is>
      </c>
      <c r="AF78" t="n">
        <v>19990.63</v>
      </c>
      <c r="AG78" t="n">
        <v>20192.55</v>
      </c>
      <c r="AH78" t="n">
        <v>20960.71</v>
      </c>
      <c r="AI78" t="inlineStr">
        <is>
          <t>YUAN RENMINBI</t>
        </is>
      </c>
      <c r="AJ78" t="n">
        <v>3709.89</v>
      </c>
      <c r="AK78" t="n">
        <v>3747.36</v>
      </c>
      <c r="AL78" t="n">
        <v>3882.15</v>
      </c>
      <c r="AM78" t="inlineStr">
        <is>
          <t>HONGKONG DOLLAR</t>
        </is>
      </c>
      <c r="AN78" t="n">
        <v>3248.27</v>
      </c>
      <c r="AO78" t="n">
        <v>3281.08</v>
      </c>
      <c r="AP78" t="n">
        <v>3419.55</v>
      </c>
      <c r="AQ78" t="inlineStr">
        <is>
          <t>THAILAND BAHT</t>
        </is>
      </c>
      <c r="AR78" t="n">
        <v>716.0599999999999</v>
      </c>
      <c r="AS78" t="n">
        <v>795.62</v>
      </c>
      <c r="AT78" t="n">
        <v>832.52</v>
      </c>
      <c r="AU78" t="inlineStr">
        <is>
          <t>KOREAN WON</t>
        </is>
      </c>
      <c r="AV78" t="n">
        <v>15.23</v>
      </c>
      <c r="AW78" t="n">
        <v>16.92</v>
      </c>
      <c r="AX78" t="n">
        <v>18.43</v>
      </c>
      <c r="AY78" t="inlineStr">
        <is>
          <t>MALAYSIAN RINGGIT</t>
        </is>
      </c>
      <c r="BA78" t="n">
        <v>6632.75</v>
      </c>
      <c r="BB78" t="n">
        <v>6802.93</v>
      </c>
      <c r="BC78" t="inlineStr">
        <is>
          <t>INDIAN RUPEE</t>
        </is>
      </c>
      <c r="BE78" t="n">
        <v>282.14</v>
      </c>
      <c r="BF78" t="n">
        <v>295.4</v>
      </c>
      <c r="BG78" t="inlineStr">
        <is>
          <t>KUWAITI DINAR</t>
        </is>
      </c>
      <c r="BI78" t="n">
        <v>84907.92</v>
      </c>
      <c r="BJ78" t="n">
        <v>89363.32000000001</v>
      </c>
      <c r="BK78" t="inlineStr">
        <is>
          <t>SAUDI RIAL</t>
        </is>
      </c>
      <c r="BM78" t="n">
        <v>6937.54</v>
      </c>
      <c r="BN78" t="n">
        <v>7263.74</v>
      </c>
      <c r="BO78" t="inlineStr">
        <is>
          <t>NORWEGIAN KRONER</t>
        </is>
      </c>
      <c r="BQ78" t="n">
        <v>2679.08</v>
      </c>
      <c r="BR78" t="n">
        <v>2803.34</v>
      </c>
      <c r="BS78" t="inlineStr">
        <is>
          <t>SWEDISH KRONA</t>
        </is>
      </c>
      <c r="BU78" t="n">
        <v>2766.31</v>
      </c>
      <c r="BV78" t="n">
        <v>2894.62</v>
      </c>
      <c r="BW78" t="inlineStr">
        <is>
          <t>DANISH KRONE</t>
        </is>
      </c>
      <c r="BY78" t="n">
        <v>3970.22</v>
      </c>
      <c r="BZ78" t="n">
        <v>4137.78</v>
      </c>
      <c r="CA78" t="inlineStr">
        <is>
          <t>RUSSIAN RUBLE</t>
        </is>
      </c>
      <c r="CC78" t="n">
        <v>302.7</v>
      </c>
      <c r="CD78" t="n">
        <v>336.35</v>
      </c>
    </row>
    <row r="79">
      <c r="A79" t="inlineStr">
        <is>
          <t>19/03/2026</t>
        </is>
      </c>
      <c r="B79">
        <f>IF(ISNUMBER(A79), A79, DATE(RIGHT(A79,4), MID(A79,4,2), LEFT(A79,2)))</f>
        <v/>
      </c>
      <c r="C79" t="inlineStr">
        <is>
          <t>US DOLLAR</t>
        </is>
      </c>
      <c r="D79" t="n">
        <v>26055</v>
      </c>
      <c r="E79" t="n">
        <v>26085</v>
      </c>
      <c r="F79" t="n">
        <v>26325</v>
      </c>
      <c r="G79" t="inlineStr">
        <is>
          <t>EURO</t>
        </is>
      </c>
      <c r="H79" t="n">
        <v>29404.35</v>
      </c>
      <c r="I79" t="n">
        <v>29701.37</v>
      </c>
      <c r="J79" t="n">
        <v>30954.56</v>
      </c>
      <c r="K79" t="inlineStr">
        <is>
          <t>POUND STERLING</t>
        </is>
      </c>
      <c r="L79" t="n">
        <v>34040.27</v>
      </c>
      <c r="M79" t="n">
        <v>34384.11</v>
      </c>
      <c r="N79" t="n">
        <v>35485.27</v>
      </c>
      <c r="O79" t="inlineStr">
        <is>
          <t>YEN</t>
        </is>
      </c>
      <c r="P79" t="n">
        <v>158.85</v>
      </c>
      <c r="Q79" t="n">
        <v>160.45</v>
      </c>
      <c r="R79" t="n">
        <v>168.94</v>
      </c>
      <c r="S79" t="inlineStr">
        <is>
          <t>AUSTRALIAN DOLLAR</t>
        </is>
      </c>
      <c r="T79" t="n">
        <v>18056.74</v>
      </c>
      <c r="U79" t="n">
        <v>18239.13</v>
      </c>
      <c r="V79" t="n">
        <v>18823.25</v>
      </c>
      <c r="W79" t="inlineStr">
        <is>
          <t>CANADIAN DOLLAR</t>
        </is>
      </c>
      <c r="X79" t="n">
        <v>18684.09</v>
      </c>
      <c r="Y79" t="n">
        <v>18872.82</v>
      </c>
      <c r="Z79" t="n">
        <v>19477.23</v>
      </c>
      <c r="AA79" t="inlineStr">
        <is>
          <t>SWISS FRANC</t>
        </is>
      </c>
      <c r="AB79" t="n">
        <v>32368.62</v>
      </c>
      <c r="AC79" t="n">
        <v>32695.57</v>
      </c>
      <c r="AD79" t="n">
        <v>33742.66</v>
      </c>
      <c r="AE79" t="inlineStr">
        <is>
          <t>SINGAPORE DOLLAR</t>
        </is>
      </c>
      <c r="AF79" t="n">
        <v>19976.19</v>
      </c>
      <c r="AG79" t="n">
        <v>20177.97</v>
      </c>
      <c r="AH79" t="n">
        <v>20865.88</v>
      </c>
      <c r="AI79" t="inlineStr">
        <is>
          <t>YUAN RENMINBI</t>
        </is>
      </c>
      <c r="AJ79" t="n">
        <v>3729.7</v>
      </c>
      <c r="AK79" t="n">
        <v>3767.37</v>
      </c>
      <c r="AL79" t="n">
        <v>3888.02</v>
      </c>
      <c r="AM79" t="inlineStr">
        <is>
          <t>HONGKONG DOLLAR</t>
        </is>
      </c>
      <c r="AN79" t="n">
        <v>3261.13</v>
      </c>
      <c r="AO79" t="n">
        <v>3294.07</v>
      </c>
      <c r="AP79" t="n">
        <v>3420.03</v>
      </c>
      <c r="AQ79" t="inlineStr">
        <is>
          <t>THAILAND BAHT</t>
        </is>
      </c>
      <c r="AR79" t="n">
        <v>706.96</v>
      </c>
      <c r="AS79" t="n">
        <v>785.51</v>
      </c>
      <c r="AT79" t="n">
        <v>818.8200000000001</v>
      </c>
      <c r="AU79" t="inlineStr">
        <is>
          <t>KOREAN WON</t>
        </is>
      </c>
      <c r="AV79" t="n">
        <v>15.17</v>
      </c>
      <c r="AW79" t="n">
        <v>16.85</v>
      </c>
      <c r="AX79" t="n">
        <v>18.28</v>
      </c>
      <c r="AY79" t="inlineStr">
        <is>
          <t>MALAYSIAN RINGGIT</t>
        </is>
      </c>
      <c r="BA79" t="n">
        <v>6625.87</v>
      </c>
      <c r="BB79" t="n">
        <v>6770.02</v>
      </c>
      <c r="BC79" t="inlineStr">
        <is>
          <t>INDIAN RUPEE</t>
        </is>
      </c>
      <c r="BE79" t="n">
        <v>281.11</v>
      </c>
      <c r="BF79" t="n">
        <v>293.21</v>
      </c>
      <c r="BG79" t="inlineStr">
        <is>
          <t>KUWAITI DINAR</t>
        </is>
      </c>
      <c r="BI79" t="n">
        <v>85287.85000000001</v>
      </c>
      <c r="BJ79" t="n">
        <v>89421.61</v>
      </c>
      <c r="BK79" t="inlineStr">
        <is>
          <t>SAUDI RIAL</t>
        </is>
      </c>
      <c r="BM79" t="n">
        <v>6965.7</v>
      </c>
      <c r="BN79" t="n">
        <v>7265.48</v>
      </c>
      <c r="BO79" t="inlineStr">
        <is>
          <t>NORWEGIAN KRONER</t>
        </is>
      </c>
      <c r="BQ79" t="n">
        <v>2691.17</v>
      </c>
      <c r="BR79" t="n">
        <v>2805.28</v>
      </c>
      <c r="BS79" t="inlineStr">
        <is>
          <t>SWEDISH KRONA</t>
        </is>
      </c>
      <c r="BU79" t="n">
        <v>2740.46</v>
      </c>
      <c r="BV79" t="n">
        <v>2856.66</v>
      </c>
      <c r="BW79" t="inlineStr">
        <is>
          <t>DANISH KRONE</t>
        </is>
      </c>
      <c r="BY79" t="n">
        <v>3964.45</v>
      </c>
      <c r="BZ79" t="n">
        <v>4116.04</v>
      </c>
      <c r="CA79" t="inlineStr">
        <is>
          <t>RUSSIAN RUBLE</t>
        </is>
      </c>
      <c r="CC79" t="n">
        <v>298.42</v>
      </c>
      <c r="CD79" t="n">
        <v>330.33</v>
      </c>
    </row>
    <row r="80">
      <c r="A80" t="inlineStr">
        <is>
          <t>20/03/2026</t>
        </is>
      </c>
      <c r="B80">
        <f>IF(ISNUMBER(A80), A80, DATE(RIGHT(A80,4), MID(A80,4,2), LEFT(A80,2)))</f>
        <v/>
      </c>
      <c r="C80" t="inlineStr">
        <is>
          <t>US DOLLAR</t>
        </is>
      </c>
      <c r="D80" t="n">
        <v>26069</v>
      </c>
      <c r="E80" t="n">
        <v>26099</v>
      </c>
      <c r="F80" t="n">
        <v>26339</v>
      </c>
      <c r="G80" t="inlineStr">
        <is>
          <t>EURO</t>
        </is>
      </c>
      <c r="H80" t="n">
        <v>29658.06</v>
      </c>
      <c r="I80" t="n">
        <v>29957.64</v>
      </c>
      <c r="J80" t="n">
        <v>31221.64</v>
      </c>
      <c r="K80" t="inlineStr">
        <is>
          <t>POUND STERLING</t>
        </is>
      </c>
      <c r="L80" t="n">
        <v>34388.79</v>
      </c>
      <c r="M80" t="n">
        <v>34736.16</v>
      </c>
      <c r="N80" t="n">
        <v>35848.59</v>
      </c>
      <c r="O80" t="inlineStr">
        <is>
          <t>YEN</t>
        </is>
      </c>
      <c r="P80" t="n">
        <v>160.76</v>
      </c>
      <c r="Q80" t="n">
        <v>162.39</v>
      </c>
      <c r="R80" t="n">
        <v>170.97</v>
      </c>
      <c r="S80" t="inlineStr">
        <is>
          <t>AUSTRALIAN DOLLAR</t>
        </is>
      </c>
      <c r="T80" t="n">
        <v>18143.87</v>
      </c>
      <c r="U80" t="n">
        <v>18327.15</v>
      </c>
      <c r="V80" t="n">
        <v>18914.08</v>
      </c>
      <c r="W80" t="inlineStr">
        <is>
          <t>CANADIAN DOLLAR</t>
        </is>
      </c>
      <c r="X80" t="n">
        <v>18659.61</v>
      </c>
      <c r="Y80" t="n">
        <v>18848.09</v>
      </c>
      <c r="Z80" t="n">
        <v>19451.71</v>
      </c>
      <c r="AA80" t="inlineStr">
        <is>
          <t>SWISS FRANC</t>
        </is>
      </c>
      <c r="AB80" t="n">
        <v>32508.19</v>
      </c>
      <c r="AC80" t="n">
        <v>32836.56</v>
      </c>
      <c r="AD80" t="n">
        <v>33888.16</v>
      </c>
      <c r="AE80" t="inlineStr">
        <is>
          <t>SINGAPORE DOLLAR</t>
        </is>
      </c>
      <c r="AF80" t="n">
        <v>20048.13</v>
      </c>
      <c r="AG80" t="n">
        <v>20250.64</v>
      </c>
      <c r="AH80" t="n">
        <v>20941.02</v>
      </c>
      <c r="AI80" t="inlineStr">
        <is>
          <t>YUAN RENMINBI</t>
        </is>
      </c>
      <c r="AJ80" t="n">
        <v>3714.99</v>
      </c>
      <c r="AK80" t="n">
        <v>3752.52</v>
      </c>
      <c r="AL80" t="n">
        <v>3872.69</v>
      </c>
      <c r="AM80" t="inlineStr">
        <is>
          <t>HONGKONG DOLLAR</t>
        </is>
      </c>
      <c r="AN80" t="n">
        <v>3262.21</v>
      </c>
      <c r="AO80" t="n">
        <v>3295.17</v>
      </c>
      <c r="AP80" t="n">
        <v>3421.17</v>
      </c>
      <c r="AQ80" t="inlineStr">
        <is>
          <t>THAILAND BAHT</t>
        </is>
      </c>
      <c r="AR80" t="n">
        <v>713.05</v>
      </c>
      <c r="AS80" t="n">
        <v>792.27</v>
      </c>
      <c r="AT80" t="n">
        <v>825.87</v>
      </c>
      <c r="AU80" t="inlineStr">
        <is>
          <t>KOREAN WON</t>
        </is>
      </c>
      <c r="AV80" t="n">
        <v>15.28</v>
      </c>
      <c r="AW80" t="n">
        <v>16.98</v>
      </c>
      <c r="AX80" t="n">
        <v>18.43</v>
      </c>
      <c r="AY80" t="inlineStr">
        <is>
          <t>MALAYSIAN RINGGIT</t>
        </is>
      </c>
      <c r="BA80" t="n">
        <v>6610.72</v>
      </c>
      <c r="BB80" t="n">
        <v>6754.54</v>
      </c>
      <c r="BC80" t="inlineStr">
        <is>
          <t>INDIAN RUPEE</t>
        </is>
      </c>
      <c r="BE80" t="n">
        <v>281.5</v>
      </c>
      <c r="BF80" t="n">
        <v>293.62</v>
      </c>
      <c r="BG80" t="inlineStr">
        <is>
          <t>KUWAITI DINAR</t>
        </is>
      </c>
      <c r="BI80" t="n">
        <v>85287.85000000001</v>
      </c>
      <c r="BJ80" t="n">
        <v>89421.61</v>
      </c>
      <c r="BK80" t="inlineStr">
        <is>
          <t>SAUDI RIAL</t>
        </is>
      </c>
      <c r="BM80" t="n">
        <v>6965.15</v>
      </c>
      <c r="BN80" t="n">
        <v>7264.9</v>
      </c>
      <c r="BO80" t="inlineStr">
        <is>
          <t>NORWEGIAN KRONER</t>
        </is>
      </c>
      <c r="BQ80" t="n">
        <v>2713.59</v>
      </c>
      <c r="BR80" t="n">
        <v>2828.65</v>
      </c>
      <c r="BS80" t="inlineStr">
        <is>
          <t>SWEDISH KRONA</t>
        </is>
      </c>
      <c r="BU80" t="n">
        <v>2771.62</v>
      </c>
      <c r="BV80" t="n">
        <v>2889.14</v>
      </c>
      <c r="BW80" t="inlineStr">
        <is>
          <t>DANISH KRONE</t>
        </is>
      </c>
      <c r="BY80" t="n">
        <v>3999.65</v>
      </c>
      <c r="BZ80" t="n">
        <v>4152.58</v>
      </c>
      <c r="CA80" t="inlineStr">
        <is>
          <t>RUSSIAN RUBLE</t>
        </is>
      </c>
      <c r="CC80" t="n">
        <v>290.54</v>
      </c>
      <c r="CD80" t="n">
        <v>321.61</v>
      </c>
    </row>
    <row r="81">
      <c r="A81" t="inlineStr">
        <is>
          <t>21/03/2026</t>
        </is>
      </c>
      <c r="B81">
        <f>IF(ISNUMBER(A81), A81, DATE(RIGHT(A81,4), MID(A81,4,2), LEFT(A81,2)))</f>
        <v/>
      </c>
      <c r="C81" t="inlineStr">
        <is>
          <t>US DOLLAR</t>
        </is>
      </c>
      <c r="D81" t="n">
        <v>26069</v>
      </c>
      <c r="E81" t="n">
        <v>26099</v>
      </c>
      <c r="F81" t="n">
        <v>26339</v>
      </c>
      <c r="G81" t="inlineStr">
        <is>
          <t>EURO</t>
        </is>
      </c>
      <c r="H81" t="n">
        <v>29658.06</v>
      </c>
      <c r="I81" t="n">
        <v>29957.64</v>
      </c>
      <c r="J81" t="n">
        <v>31221.64</v>
      </c>
      <c r="K81" t="inlineStr">
        <is>
          <t>POUND STERLING</t>
        </is>
      </c>
      <c r="L81" t="n">
        <v>34388.79</v>
      </c>
      <c r="M81" t="n">
        <v>34736.16</v>
      </c>
      <c r="N81" t="n">
        <v>35848.59</v>
      </c>
      <c r="O81" t="inlineStr">
        <is>
          <t>YEN</t>
        </is>
      </c>
      <c r="P81" t="n">
        <v>160.76</v>
      </c>
      <c r="Q81" t="n">
        <v>162.39</v>
      </c>
      <c r="R81" t="n">
        <v>170.97</v>
      </c>
      <c r="S81" t="inlineStr">
        <is>
          <t>AUSTRALIAN DOLLAR</t>
        </is>
      </c>
      <c r="T81" t="n">
        <v>18143.87</v>
      </c>
      <c r="U81" t="n">
        <v>18327.15</v>
      </c>
      <c r="V81" t="n">
        <v>18914.08</v>
      </c>
      <c r="W81" t="inlineStr">
        <is>
          <t>CANADIAN DOLLAR</t>
        </is>
      </c>
      <c r="X81" t="n">
        <v>18659.61</v>
      </c>
      <c r="Y81" t="n">
        <v>18848.09</v>
      </c>
      <c r="Z81" t="n">
        <v>19451.71</v>
      </c>
      <c r="AA81" t="inlineStr">
        <is>
          <t>SWISS FRANC</t>
        </is>
      </c>
      <c r="AB81" t="n">
        <v>32508.19</v>
      </c>
      <c r="AC81" t="n">
        <v>32836.56</v>
      </c>
      <c r="AD81" t="n">
        <v>33888.16</v>
      </c>
      <c r="AE81" t="inlineStr">
        <is>
          <t>SINGAPORE DOLLAR</t>
        </is>
      </c>
      <c r="AF81" t="n">
        <v>20048.13</v>
      </c>
      <c r="AG81" t="n">
        <v>20250.64</v>
      </c>
      <c r="AH81" t="n">
        <v>20941.02</v>
      </c>
      <c r="AI81" t="inlineStr">
        <is>
          <t>YUAN RENMINBI</t>
        </is>
      </c>
      <c r="AJ81" t="n">
        <v>3714.99</v>
      </c>
      <c r="AK81" t="n">
        <v>3752.52</v>
      </c>
      <c r="AL81" t="n">
        <v>3872.69</v>
      </c>
      <c r="AM81" t="inlineStr">
        <is>
          <t>HONGKONG DOLLAR</t>
        </is>
      </c>
      <c r="AN81" t="n">
        <v>3262.21</v>
      </c>
      <c r="AO81" t="n">
        <v>3295.17</v>
      </c>
      <c r="AP81" t="n">
        <v>3421.17</v>
      </c>
      <c r="AQ81" t="inlineStr">
        <is>
          <t>THAILAND BAHT</t>
        </is>
      </c>
      <c r="AR81" t="n">
        <v>713.05</v>
      </c>
      <c r="AS81" t="n">
        <v>792.27</v>
      </c>
      <c r="AT81" t="n">
        <v>825.87</v>
      </c>
      <c r="AU81" t="inlineStr">
        <is>
          <t>KOREAN WON</t>
        </is>
      </c>
      <c r="AV81" t="n">
        <v>15.28</v>
      </c>
      <c r="AW81" t="n">
        <v>16.98</v>
      </c>
      <c r="AX81" t="n">
        <v>18.43</v>
      </c>
      <c r="AY81" t="inlineStr">
        <is>
          <t>MALAYSIAN RINGGIT</t>
        </is>
      </c>
      <c r="BA81" t="n">
        <v>6610.72</v>
      </c>
      <c r="BB81" t="n">
        <v>6754.54</v>
      </c>
      <c r="BC81" t="inlineStr">
        <is>
          <t>INDIAN RUPEE</t>
        </is>
      </c>
      <c r="BE81" t="n">
        <v>281.5</v>
      </c>
      <c r="BF81" t="n">
        <v>293.62</v>
      </c>
      <c r="BG81" t="inlineStr">
        <is>
          <t>KUWAITI DINAR</t>
        </is>
      </c>
      <c r="BI81" t="n">
        <v>85287.85000000001</v>
      </c>
      <c r="BJ81" t="n">
        <v>89421.61</v>
      </c>
      <c r="BK81" t="inlineStr">
        <is>
          <t>SAUDI RIAL</t>
        </is>
      </c>
      <c r="BM81" t="n">
        <v>6965.15</v>
      </c>
      <c r="BN81" t="n">
        <v>7264.9</v>
      </c>
      <c r="BO81" t="inlineStr">
        <is>
          <t>NORWEGIAN KRONER</t>
        </is>
      </c>
      <c r="BQ81" t="n">
        <v>2713.59</v>
      </c>
      <c r="BR81" t="n">
        <v>2828.65</v>
      </c>
      <c r="BS81" t="inlineStr">
        <is>
          <t>SWEDISH KRONA</t>
        </is>
      </c>
      <c r="BU81" t="n">
        <v>2771.62</v>
      </c>
      <c r="BV81" t="n">
        <v>2889.14</v>
      </c>
      <c r="BW81" t="inlineStr">
        <is>
          <t>DANISH KRONE</t>
        </is>
      </c>
      <c r="BY81" t="n">
        <v>3999.65</v>
      </c>
      <c r="BZ81" t="n">
        <v>4152.58</v>
      </c>
      <c r="CA81" t="inlineStr">
        <is>
          <t>RUSSIAN RUBLE</t>
        </is>
      </c>
      <c r="CC81" t="n">
        <v>290.54</v>
      </c>
      <c r="CD81" t="n">
        <v>321.61</v>
      </c>
    </row>
    <row r="82">
      <c r="A82" t="inlineStr">
        <is>
          <t>22/03/2026</t>
        </is>
      </c>
      <c r="B82">
        <f>IF(ISNUMBER(A82), A82, DATE(RIGHT(A82,4), MID(A82,4,2), LEFT(A82,2)))</f>
        <v/>
      </c>
      <c r="C82" t="inlineStr">
        <is>
          <t>US DOLLAR</t>
        </is>
      </c>
      <c r="D82" t="n">
        <v>26069</v>
      </c>
      <c r="E82" t="n">
        <v>26099</v>
      </c>
      <c r="F82" t="n">
        <v>26339</v>
      </c>
      <c r="G82" t="inlineStr">
        <is>
          <t>EURO</t>
        </is>
      </c>
      <c r="H82" t="n">
        <v>29658.06</v>
      </c>
      <c r="I82" t="n">
        <v>29957.64</v>
      </c>
      <c r="J82" t="n">
        <v>31221.64</v>
      </c>
      <c r="K82" t="inlineStr">
        <is>
          <t>POUND STERLING</t>
        </is>
      </c>
      <c r="L82" t="n">
        <v>34388.79</v>
      </c>
      <c r="M82" t="n">
        <v>34736.16</v>
      </c>
      <c r="N82" t="n">
        <v>35848.59</v>
      </c>
      <c r="O82" t="inlineStr">
        <is>
          <t>YEN</t>
        </is>
      </c>
      <c r="P82" t="n">
        <v>160.76</v>
      </c>
      <c r="Q82" t="n">
        <v>162.39</v>
      </c>
      <c r="R82" t="n">
        <v>170.97</v>
      </c>
      <c r="S82" t="inlineStr">
        <is>
          <t>AUSTRALIAN DOLLAR</t>
        </is>
      </c>
      <c r="T82" t="n">
        <v>18143.87</v>
      </c>
      <c r="U82" t="n">
        <v>18327.15</v>
      </c>
      <c r="V82" t="n">
        <v>18914.08</v>
      </c>
      <c r="W82" t="inlineStr">
        <is>
          <t>CANADIAN DOLLAR</t>
        </is>
      </c>
      <c r="X82" t="n">
        <v>18659.61</v>
      </c>
      <c r="Y82" t="n">
        <v>18848.09</v>
      </c>
      <c r="Z82" t="n">
        <v>19451.71</v>
      </c>
      <c r="AA82" t="inlineStr">
        <is>
          <t>SWISS FRANC</t>
        </is>
      </c>
      <c r="AB82" t="n">
        <v>32508.19</v>
      </c>
      <c r="AC82" t="n">
        <v>32836.56</v>
      </c>
      <c r="AD82" t="n">
        <v>33888.16</v>
      </c>
      <c r="AE82" t="inlineStr">
        <is>
          <t>SINGAPORE DOLLAR</t>
        </is>
      </c>
      <c r="AF82" t="n">
        <v>20048.13</v>
      </c>
      <c r="AG82" t="n">
        <v>20250.64</v>
      </c>
      <c r="AH82" t="n">
        <v>20941.02</v>
      </c>
      <c r="AI82" t="inlineStr">
        <is>
          <t>YUAN RENMINBI</t>
        </is>
      </c>
      <c r="AJ82" t="n">
        <v>3714.99</v>
      </c>
      <c r="AK82" t="n">
        <v>3752.52</v>
      </c>
      <c r="AL82" t="n">
        <v>3872.69</v>
      </c>
      <c r="AM82" t="inlineStr">
        <is>
          <t>HONGKONG DOLLAR</t>
        </is>
      </c>
      <c r="AN82" t="n">
        <v>3262.21</v>
      </c>
      <c r="AO82" t="n">
        <v>3295.17</v>
      </c>
      <c r="AP82" t="n">
        <v>3421.17</v>
      </c>
      <c r="AQ82" t="inlineStr">
        <is>
          <t>THAILAND BAHT</t>
        </is>
      </c>
      <c r="AR82" t="n">
        <v>713.05</v>
      </c>
      <c r="AS82" t="n">
        <v>792.27</v>
      </c>
      <c r="AT82" t="n">
        <v>825.87</v>
      </c>
      <c r="AU82" t="inlineStr">
        <is>
          <t>KOREAN WON</t>
        </is>
      </c>
      <c r="AV82" t="n">
        <v>15.28</v>
      </c>
      <c r="AW82" t="n">
        <v>16.98</v>
      </c>
      <c r="AX82" t="n">
        <v>18.43</v>
      </c>
      <c r="AY82" t="inlineStr">
        <is>
          <t>MALAYSIAN RINGGIT</t>
        </is>
      </c>
      <c r="BA82" t="n">
        <v>6610.72</v>
      </c>
      <c r="BB82" t="n">
        <v>6754.54</v>
      </c>
      <c r="BC82" t="inlineStr">
        <is>
          <t>INDIAN RUPEE</t>
        </is>
      </c>
      <c r="BE82" t="n">
        <v>281.5</v>
      </c>
      <c r="BF82" t="n">
        <v>293.62</v>
      </c>
      <c r="BG82" t="inlineStr">
        <is>
          <t>KUWAITI DINAR</t>
        </is>
      </c>
      <c r="BI82" t="n">
        <v>85287.85000000001</v>
      </c>
      <c r="BJ82" t="n">
        <v>89421.61</v>
      </c>
      <c r="BK82" t="inlineStr">
        <is>
          <t>SAUDI RIAL</t>
        </is>
      </c>
      <c r="BM82" t="n">
        <v>6965.15</v>
      </c>
      <c r="BN82" t="n">
        <v>7264.9</v>
      </c>
      <c r="BO82" t="inlineStr">
        <is>
          <t>NORWEGIAN KRONER</t>
        </is>
      </c>
      <c r="BQ82" t="n">
        <v>2713.59</v>
      </c>
      <c r="BR82" t="n">
        <v>2828.65</v>
      </c>
      <c r="BS82" t="inlineStr">
        <is>
          <t>SWEDISH KRONA</t>
        </is>
      </c>
      <c r="BU82" t="n">
        <v>2771.62</v>
      </c>
      <c r="BV82" t="n">
        <v>2889.14</v>
      </c>
      <c r="BW82" t="inlineStr">
        <is>
          <t>DANISH KRONE</t>
        </is>
      </c>
      <c r="BY82" t="n">
        <v>3999.65</v>
      </c>
      <c r="BZ82" t="n">
        <v>4152.58</v>
      </c>
      <c r="CA82" t="inlineStr">
        <is>
          <t>RUSSIAN RUBLE</t>
        </is>
      </c>
      <c r="CC82" t="n">
        <v>290.54</v>
      </c>
      <c r="CD82" t="n">
        <v>321.61</v>
      </c>
    </row>
    <row r="83">
      <c r="A83" t="inlineStr">
        <is>
          <t>23/03/2026</t>
        </is>
      </c>
      <c r="B83">
        <f>IF(ISNUMBER(A83), A83, DATE(RIGHT(A83,4), MID(A83,4,2), LEFT(A83,2)))</f>
        <v/>
      </c>
      <c r="C83" t="inlineStr">
        <is>
          <t>US DOLLAR</t>
        </is>
      </c>
      <c r="D83" t="n">
        <v>26074</v>
      </c>
      <c r="E83" t="n">
        <v>26104</v>
      </c>
      <c r="F83" t="n">
        <v>26344</v>
      </c>
      <c r="G83" t="inlineStr">
        <is>
          <t>EURO</t>
        </is>
      </c>
      <c r="H83" t="n">
        <v>29608.24</v>
      </c>
      <c r="I83" t="n">
        <v>29907.31</v>
      </c>
      <c r="J83" t="n">
        <v>31169.12</v>
      </c>
      <c r="K83" t="inlineStr">
        <is>
          <t>POUND STERLING</t>
        </is>
      </c>
      <c r="L83" t="n">
        <v>34181.91</v>
      </c>
      <c r="M83" t="n">
        <v>34527.18</v>
      </c>
      <c r="N83" t="n">
        <v>35632.84</v>
      </c>
      <c r="O83" t="inlineStr">
        <is>
          <t>YEN</t>
        </is>
      </c>
      <c r="P83" t="n">
        <v>159.42</v>
      </c>
      <c r="Q83" t="n">
        <v>161.03</v>
      </c>
      <c r="R83" t="n">
        <v>169.55</v>
      </c>
      <c r="S83" t="inlineStr">
        <is>
          <t>AUSTRALIAN DOLLAR</t>
        </is>
      </c>
      <c r="T83" t="n">
        <v>17878.9</v>
      </c>
      <c r="U83" t="n">
        <v>18059.49</v>
      </c>
      <c r="V83" t="n">
        <v>18637.81</v>
      </c>
      <c r="W83" t="inlineStr">
        <is>
          <t>CANADIAN DOLLAR</t>
        </is>
      </c>
      <c r="X83" t="n">
        <v>18701.63</v>
      </c>
      <c r="Y83" t="n">
        <v>18890.53</v>
      </c>
      <c r="Z83" t="n">
        <v>19495.46</v>
      </c>
      <c r="AA83" t="inlineStr">
        <is>
          <t>SWISS FRANC</t>
        </is>
      </c>
      <c r="AB83" t="n">
        <v>32524.67</v>
      </c>
      <c r="AC83" t="n">
        <v>32853.2</v>
      </c>
      <c r="AD83" t="n">
        <v>33905.26</v>
      </c>
      <c r="AE83" t="inlineStr">
        <is>
          <t>SINGAPORE DOLLAR</t>
        </is>
      </c>
      <c r="AF83" t="n">
        <v>19995.68</v>
      </c>
      <c r="AG83" t="n">
        <v>20197.65</v>
      </c>
      <c r="AH83" t="n">
        <v>20886.18</v>
      </c>
      <c r="AI83" t="inlineStr">
        <is>
          <t>YUAN RENMINBI</t>
        </is>
      </c>
      <c r="AJ83" t="n">
        <v>3717.9</v>
      </c>
      <c r="AK83" t="n">
        <v>3755.45</v>
      </c>
      <c r="AL83" t="n">
        <v>3875.71</v>
      </c>
      <c r="AM83" t="inlineStr">
        <is>
          <t>HONGKONG DOLLAR</t>
        </is>
      </c>
      <c r="AN83" t="n">
        <v>3269.27</v>
      </c>
      <c r="AO83" t="n">
        <v>3302.29</v>
      </c>
      <c r="AP83" t="n">
        <v>3428.55</v>
      </c>
      <c r="AQ83" t="inlineStr">
        <is>
          <t>THAILAND BAHT</t>
        </is>
      </c>
      <c r="AR83" t="n">
        <v>704.17</v>
      </c>
      <c r="AS83" t="n">
        <v>782.41</v>
      </c>
      <c r="AT83" t="n">
        <v>815.58</v>
      </c>
      <c r="AU83" t="inlineStr">
        <is>
          <t>KOREAN WON</t>
        </is>
      </c>
      <c r="AV83" t="n">
        <v>15.07</v>
      </c>
      <c r="AW83" t="n">
        <v>16.75</v>
      </c>
      <c r="AX83" t="n">
        <v>18.17</v>
      </c>
      <c r="AY83" t="inlineStr">
        <is>
          <t>MALAYSIAN RINGGIT</t>
        </is>
      </c>
      <c r="BA83" t="n">
        <v>6620.78</v>
      </c>
      <c r="BB83" t="n">
        <v>6764.8</v>
      </c>
      <c r="BC83" t="inlineStr">
        <is>
          <t>INDIAN RUPEE</t>
        </is>
      </c>
      <c r="BE83" t="n">
        <v>278.87</v>
      </c>
      <c r="BF83" t="n">
        <v>290.87</v>
      </c>
      <c r="BG83" t="inlineStr">
        <is>
          <t>KUWAITI DINAR</t>
        </is>
      </c>
      <c r="BI83" t="n">
        <v>85417.66</v>
      </c>
      <c r="BJ83" t="n">
        <v>89557.50999999999</v>
      </c>
      <c r="BK83" t="inlineStr">
        <is>
          <t>SAUDI RIAL</t>
        </is>
      </c>
      <c r="BM83" t="n">
        <v>6975.19</v>
      </c>
      <c r="BN83" t="n">
        <v>7275.36</v>
      </c>
      <c r="BO83" t="inlineStr">
        <is>
          <t>NORWEGIAN KRONER</t>
        </is>
      </c>
      <c r="BQ83" t="n">
        <v>2682.35</v>
      </c>
      <c r="BR83" t="n">
        <v>2796.07</v>
      </c>
      <c r="BS83" t="inlineStr">
        <is>
          <t>SWEDISH KRONA</t>
        </is>
      </c>
      <c r="BU83" t="n">
        <v>2746.27</v>
      </c>
      <c r="BV83" t="n">
        <v>2862.7</v>
      </c>
      <c r="BW83" t="inlineStr">
        <is>
          <t>DANISH KRONE</t>
        </is>
      </c>
      <c r="BY83" t="n">
        <v>3993.11</v>
      </c>
      <c r="BZ83" t="n">
        <v>4145.79</v>
      </c>
      <c r="CA83" t="inlineStr">
        <is>
          <t>RUSSIAN RUBLE</t>
        </is>
      </c>
      <c r="CC83" t="n">
        <v>301.39</v>
      </c>
      <c r="CD83" t="n">
        <v>333.62</v>
      </c>
    </row>
    <row r="84">
      <c r="A84" t="inlineStr">
        <is>
          <t>24/03/2026</t>
        </is>
      </c>
      <c r="B84">
        <f>IF(ISNUMBER(A84), A84, DATE(RIGHT(A84,4), MID(A84,4,2), LEFT(A84,2)))</f>
        <v/>
      </c>
      <c r="C84" t="inlineStr">
        <is>
          <t>US DOLLAR</t>
        </is>
      </c>
      <c r="D84" t="n">
        <v>26114</v>
      </c>
      <c r="E84" t="n">
        <v>26144</v>
      </c>
      <c r="F84" t="n">
        <v>26364</v>
      </c>
      <c r="G84" t="inlineStr">
        <is>
          <t>EURO</t>
        </is>
      </c>
      <c r="H84" t="n">
        <v>29751.46</v>
      </c>
      <c r="I84" t="n">
        <v>30051.98</v>
      </c>
      <c r="J84" t="n">
        <v>31319.85</v>
      </c>
      <c r="K84" t="inlineStr">
        <is>
          <t>POUND STERLING</t>
        </is>
      </c>
      <c r="L84" t="n">
        <v>34395.39</v>
      </c>
      <c r="M84" t="n">
        <v>34742.82</v>
      </c>
      <c r="N84" t="n">
        <v>35855.34</v>
      </c>
      <c r="O84" t="inlineStr">
        <is>
          <t>YEN</t>
        </is>
      </c>
      <c r="P84" t="n">
        <v>160.36</v>
      </c>
      <c r="Q84" t="n">
        <v>161.98</v>
      </c>
      <c r="R84" t="n">
        <v>170.54</v>
      </c>
      <c r="S84" t="inlineStr">
        <is>
          <t>AUSTRALIAN DOLLAR</t>
        </is>
      </c>
      <c r="T84" t="n">
        <v>17895.05</v>
      </c>
      <c r="U84" t="n">
        <v>18075.81</v>
      </c>
      <c r="V84" t="n">
        <v>18654.63</v>
      </c>
      <c r="W84" t="inlineStr">
        <is>
          <t>CANADIAN DOLLAR</t>
        </is>
      </c>
      <c r="X84" t="n">
        <v>18688.61</v>
      </c>
      <c r="Y84" t="n">
        <v>18877.38</v>
      </c>
      <c r="Z84" t="n">
        <v>19481.87</v>
      </c>
      <c r="AA84" t="inlineStr">
        <is>
          <t>SWISS FRANC</t>
        </is>
      </c>
      <c r="AB84" t="n">
        <v>32611.36</v>
      </c>
      <c r="AC84" t="n">
        <v>32940.77</v>
      </c>
      <c r="AD84" t="n">
        <v>33995.59</v>
      </c>
      <c r="AE84" t="inlineStr">
        <is>
          <t>SINGAPORE DOLLAR</t>
        </is>
      </c>
      <c r="AF84" t="n">
        <v>20075.04</v>
      </c>
      <c r="AG84" t="n">
        <v>20277.82</v>
      </c>
      <c r="AH84" t="n">
        <v>20969.06</v>
      </c>
      <c r="AI84" t="inlineStr">
        <is>
          <t>YUAN RENMINBI</t>
        </is>
      </c>
      <c r="AJ84" t="n">
        <v>3726.34</v>
      </c>
      <c r="AK84" t="n">
        <v>3763.98</v>
      </c>
      <c r="AL84" t="n">
        <v>3884.51</v>
      </c>
      <c r="AM84" t="inlineStr">
        <is>
          <t>HONGKONG DOLLAR</t>
        </is>
      </c>
      <c r="AN84" t="n">
        <v>3270.5</v>
      </c>
      <c r="AO84" t="n">
        <v>3303.53</v>
      </c>
      <c r="AP84" t="n">
        <v>3429.84</v>
      </c>
      <c r="AQ84" t="inlineStr">
        <is>
          <t>THAILAND BAHT</t>
        </is>
      </c>
      <c r="AR84" t="n">
        <v>711.83</v>
      </c>
      <c r="AS84" t="n">
        <v>790.92</v>
      </c>
      <c r="AT84" t="n">
        <v>824.45</v>
      </c>
      <c r="AU84" t="inlineStr">
        <is>
          <t>KOREAN WON</t>
        </is>
      </c>
      <c r="AV84" t="n">
        <v>15.2</v>
      </c>
      <c r="AW84" t="n">
        <v>16.89</v>
      </c>
      <c r="AX84" t="n">
        <v>18.32</v>
      </c>
      <c r="AY84" t="inlineStr">
        <is>
          <t>MALAYSIAN RINGGIT</t>
        </is>
      </c>
      <c r="BA84" t="n">
        <v>6610.7</v>
      </c>
      <c r="BB84" t="n">
        <v>6754.49</v>
      </c>
      <c r="BC84" t="inlineStr">
        <is>
          <t>INDIAN RUPEE</t>
        </is>
      </c>
      <c r="BE84" t="n">
        <v>280.3</v>
      </c>
      <c r="BF84" t="n">
        <v>292.37</v>
      </c>
      <c r="BG84" t="inlineStr">
        <is>
          <t>KUWAITI DINAR</t>
        </is>
      </c>
      <c r="BI84" t="n">
        <v>85482.57000000001</v>
      </c>
      <c r="BJ84" t="n">
        <v>89625.46000000001</v>
      </c>
      <c r="BK84" t="inlineStr">
        <is>
          <t>SAUDI RIAL</t>
        </is>
      </c>
      <c r="BM84" t="n">
        <v>6982.54</v>
      </c>
      <c r="BN84" t="n">
        <v>7283.01</v>
      </c>
      <c r="BO84" t="inlineStr">
        <is>
          <t>NORWEGIAN KRONER</t>
        </is>
      </c>
      <c r="BQ84" t="n">
        <v>2645.47</v>
      </c>
      <c r="BR84" t="n">
        <v>2757.63</v>
      </c>
      <c r="BS84" t="inlineStr">
        <is>
          <t>SWEDISH KRONA</t>
        </is>
      </c>
      <c r="BU84" t="n">
        <v>2755.33</v>
      </c>
      <c r="BV84" t="n">
        <v>2872.15</v>
      </c>
      <c r="BW84" t="inlineStr">
        <is>
          <t>DANISH KRONE</t>
        </is>
      </c>
      <c r="BY84" t="n">
        <v>4011.82</v>
      </c>
      <c r="BZ84" t="n">
        <v>4165.21</v>
      </c>
      <c r="CA84" t="inlineStr">
        <is>
          <t>RUSSIAN RUBLE</t>
        </is>
      </c>
      <c r="CC84" t="n">
        <v>306.22</v>
      </c>
      <c r="CD84" t="n">
        <v>338.97</v>
      </c>
    </row>
    <row r="85">
      <c r="A85" t="inlineStr">
        <is>
          <t>25/03/2026</t>
        </is>
      </c>
      <c r="B85">
        <f>IF(ISNUMBER(A85), A85, DATE(RIGHT(A85,4), MID(A85,4,2), LEFT(A85,2)))</f>
        <v/>
      </c>
      <c r="C85" t="inlineStr">
        <is>
          <t>US DOLLAR</t>
        </is>
      </c>
      <c r="D85" t="n">
        <v>26109</v>
      </c>
      <c r="E85" t="n">
        <v>26139</v>
      </c>
      <c r="F85" t="n">
        <v>26359</v>
      </c>
      <c r="G85" t="inlineStr">
        <is>
          <t>EURO</t>
        </is>
      </c>
      <c r="H85" t="n">
        <v>29783.81</v>
      </c>
      <c r="I85" t="n">
        <v>30084.66</v>
      </c>
      <c r="J85" t="n">
        <v>31353.93</v>
      </c>
      <c r="K85" t="inlineStr">
        <is>
          <t>POUND STERLING</t>
        </is>
      </c>
      <c r="L85" t="n">
        <v>34400.3</v>
      </c>
      <c r="M85" t="n">
        <v>34747.78</v>
      </c>
      <c r="N85" t="n">
        <v>35860.48</v>
      </c>
      <c r="O85" t="inlineStr">
        <is>
          <t>YEN</t>
        </is>
      </c>
      <c r="P85" t="n">
        <v>160.15</v>
      </c>
      <c r="Q85" t="n">
        <v>161.77</v>
      </c>
      <c r="R85" t="n">
        <v>170.33</v>
      </c>
      <c r="S85" t="inlineStr">
        <is>
          <t>AUSTRALIAN DOLLAR</t>
        </is>
      </c>
      <c r="T85" t="n">
        <v>17952.45</v>
      </c>
      <c r="U85" t="n">
        <v>18133.79</v>
      </c>
      <c r="V85" t="n">
        <v>18714.47</v>
      </c>
      <c r="W85" t="inlineStr">
        <is>
          <t>CANADIAN DOLLAR</t>
        </is>
      </c>
      <c r="X85" t="n">
        <v>18647.6</v>
      </c>
      <c r="Y85" t="n">
        <v>18835.96</v>
      </c>
      <c r="Z85" t="n">
        <v>19439.13</v>
      </c>
      <c r="AA85" t="inlineStr">
        <is>
          <t>SWISS FRANC</t>
        </is>
      </c>
      <c r="AB85" t="n">
        <v>32545.28</v>
      </c>
      <c r="AC85" t="n">
        <v>32874.02</v>
      </c>
      <c r="AD85" t="n">
        <v>33926.72</v>
      </c>
      <c r="AE85" t="inlineStr">
        <is>
          <t>SINGAPORE DOLLAR</t>
        </is>
      </c>
      <c r="AF85" t="n">
        <v>20067.42</v>
      </c>
      <c r="AG85" t="n">
        <v>20270.12</v>
      </c>
      <c r="AH85" t="n">
        <v>20961.11</v>
      </c>
      <c r="AI85" t="inlineStr">
        <is>
          <t>YUAN RENMINBI</t>
        </is>
      </c>
      <c r="AJ85" t="n">
        <v>3726.81</v>
      </c>
      <c r="AK85" t="n">
        <v>3764.46</v>
      </c>
      <c r="AL85" t="n">
        <v>3885.01</v>
      </c>
      <c r="AM85" t="inlineStr">
        <is>
          <t>HONGKONG DOLLAR</t>
        </is>
      </c>
      <c r="AN85" t="n">
        <v>3270.47</v>
      </c>
      <c r="AO85" t="n">
        <v>3303.5</v>
      </c>
      <c r="AP85" t="n">
        <v>3429.81</v>
      </c>
      <c r="AQ85" t="inlineStr">
        <is>
          <t>THAILAND BAHT</t>
        </is>
      </c>
      <c r="AR85" t="n">
        <v>710.9</v>
      </c>
      <c r="AS85" t="n">
        <v>789.89</v>
      </c>
      <c r="AT85" t="n">
        <v>823.38</v>
      </c>
      <c r="AU85" t="inlineStr">
        <is>
          <t>KOREAN WON</t>
        </is>
      </c>
      <c r="AV85" t="n">
        <v>15.22</v>
      </c>
      <c r="AW85" t="n">
        <v>16.91</v>
      </c>
      <c r="AX85" t="n">
        <v>18.34</v>
      </c>
      <c r="AY85" t="inlineStr">
        <is>
          <t>MALAYSIAN RINGGIT</t>
        </is>
      </c>
      <c r="BA85" t="n">
        <v>6596.48</v>
      </c>
      <c r="BB85" t="n">
        <v>6739.97</v>
      </c>
      <c r="BC85" t="inlineStr">
        <is>
          <t>INDIAN RUPEE</t>
        </is>
      </c>
      <c r="BE85" t="n">
        <v>278.91</v>
      </c>
      <c r="BF85" t="n">
        <v>290.91</v>
      </c>
      <c r="BG85" t="inlineStr">
        <is>
          <t>KUWAITI DINAR</t>
        </is>
      </c>
      <c r="BI85" t="n">
        <v>85450.11</v>
      </c>
      <c r="BJ85" t="n">
        <v>89591.49000000001</v>
      </c>
      <c r="BK85" t="inlineStr">
        <is>
          <t>SAUDI RIAL</t>
        </is>
      </c>
      <c r="BM85" t="n">
        <v>6979.7</v>
      </c>
      <c r="BN85" t="n">
        <v>7280.06</v>
      </c>
      <c r="BO85" t="inlineStr">
        <is>
          <t>NORWEGIAN KRONER</t>
        </is>
      </c>
      <c r="BQ85" t="n">
        <v>2658.17</v>
      </c>
      <c r="BR85" t="n">
        <v>2770.87</v>
      </c>
      <c r="BS85" t="inlineStr">
        <is>
          <t>SWEDISH KRONA</t>
        </is>
      </c>
      <c r="BU85" t="n">
        <v>2767.63</v>
      </c>
      <c r="BV85" t="n">
        <v>2884.98</v>
      </c>
      <c r="BW85" t="inlineStr">
        <is>
          <t>DANISH KRONE</t>
        </is>
      </c>
      <c r="BY85" t="n">
        <v>4015.72</v>
      </c>
      <c r="BZ85" t="n">
        <v>4169.26</v>
      </c>
      <c r="CA85" t="inlineStr">
        <is>
          <t>RUSSIAN RUBLE</t>
        </is>
      </c>
      <c r="CC85" t="n">
        <v>311.52</v>
      </c>
      <c r="CD85" t="n">
        <v>344.84</v>
      </c>
    </row>
    <row r="86">
      <c r="A86" t="inlineStr">
        <is>
          <t>26/03/2026</t>
        </is>
      </c>
      <c r="B86">
        <f>IF(ISNUMBER(A86), A86, DATE(RIGHT(A86,4), MID(A86,4,2), LEFT(A86,2)))</f>
        <v/>
      </c>
      <c r="C86" t="inlineStr">
        <is>
          <t>US DOLLAR</t>
        </is>
      </c>
      <c r="D86" t="n">
        <v>26107</v>
      </c>
      <c r="E86" t="n">
        <v>26137</v>
      </c>
      <c r="F86" t="n">
        <v>26357</v>
      </c>
      <c r="G86" t="inlineStr">
        <is>
          <t>EURO</t>
        </is>
      </c>
      <c r="H86" t="n">
        <v>29664.7</v>
      </c>
      <c r="I86" t="n">
        <v>29964.35</v>
      </c>
      <c r="J86" t="n">
        <v>31228.56</v>
      </c>
      <c r="K86" t="inlineStr">
        <is>
          <t>POUND STERLING</t>
        </is>
      </c>
      <c r="L86" t="n">
        <v>34264.04</v>
      </c>
      <c r="M86" t="n">
        <v>34610.14</v>
      </c>
      <c r="N86" t="n">
        <v>35718.46</v>
      </c>
      <c r="O86" t="inlineStr">
        <is>
          <t>YEN</t>
        </is>
      </c>
      <c r="P86" t="n">
        <v>159.78</v>
      </c>
      <c r="Q86" t="n">
        <v>161.4</v>
      </c>
      <c r="R86" t="n">
        <v>169.93</v>
      </c>
      <c r="S86" t="inlineStr">
        <is>
          <t>AUSTRALIAN DOLLAR</t>
        </is>
      </c>
      <c r="T86" t="n">
        <v>17799.33</v>
      </c>
      <c r="U86" t="n">
        <v>17979.13</v>
      </c>
      <c r="V86" t="n">
        <v>18554.87</v>
      </c>
      <c r="W86" t="inlineStr">
        <is>
          <t>CANADIAN DOLLAR</t>
        </is>
      </c>
      <c r="X86" t="n">
        <v>18569.06</v>
      </c>
      <c r="Y86" t="n">
        <v>18756.63</v>
      </c>
      <c r="Z86" t="n">
        <v>19357.27</v>
      </c>
      <c r="AA86" t="inlineStr">
        <is>
          <t>SWISS FRANC</t>
        </is>
      </c>
      <c r="AB86" t="n">
        <v>32409.7</v>
      </c>
      <c r="AC86" t="n">
        <v>32737.07</v>
      </c>
      <c r="AD86" t="n">
        <v>33785.41</v>
      </c>
      <c r="AE86" t="inlineStr">
        <is>
          <t>SINGAPORE DOLLAR</t>
        </is>
      </c>
      <c r="AF86" t="n">
        <v>20003.48</v>
      </c>
      <c r="AG86" t="n">
        <v>20205.53</v>
      </c>
      <c r="AH86" t="n">
        <v>20894.33</v>
      </c>
      <c r="AI86" t="inlineStr">
        <is>
          <t>YUAN RENMINBI</t>
        </is>
      </c>
      <c r="AJ86" t="n">
        <v>3717.2</v>
      </c>
      <c r="AK86" t="n">
        <v>3754.75</v>
      </c>
      <c r="AL86" t="n">
        <v>3874.98</v>
      </c>
      <c r="AM86" t="inlineStr">
        <is>
          <t>HONGKONG DOLLAR</t>
        </is>
      </c>
      <c r="AN86" t="n">
        <v>3274.37</v>
      </c>
      <c r="AO86" t="n">
        <v>3307.44</v>
      </c>
      <c r="AP86" t="n">
        <v>3433.9</v>
      </c>
      <c r="AQ86" t="inlineStr">
        <is>
          <t>THAILAND BAHT</t>
        </is>
      </c>
      <c r="AR86" t="n">
        <v>708.9</v>
      </c>
      <c r="AS86" t="n">
        <v>787.67</v>
      </c>
      <c r="AT86" t="n">
        <v>821.0599999999999</v>
      </c>
      <c r="AU86" t="inlineStr">
        <is>
          <t>KOREAN WON</t>
        </is>
      </c>
      <c r="AV86" t="n">
        <v>15.11</v>
      </c>
      <c r="AW86" t="n">
        <v>16.79</v>
      </c>
      <c r="AX86" t="n">
        <v>18.21</v>
      </c>
      <c r="AY86" t="inlineStr">
        <is>
          <t>MALAYSIAN RINGGIT</t>
        </is>
      </c>
      <c r="BA86" t="n">
        <v>6537.73</v>
      </c>
      <c r="BB86" t="n">
        <v>6679.95</v>
      </c>
      <c r="BC86" t="inlineStr">
        <is>
          <t>INDIAN RUPEE</t>
        </is>
      </c>
      <c r="BE86" t="n">
        <v>279.23</v>
      </c>
      <c r="BF86" t="n">
        <v>291.25</v>
      </c>
      <c r="BG86" t="inlineStr">
        <is>
          <t>KUWAITI DINAR</t>
        </is>
      </c>
      <c r="BI86" t="n">
        <v>85473.42</v>
      </c>
      <c r="BJ86" t="n">
        <v>89615.97</v>
      </c>
      <c r="BK86" t="inlineStr">
        <is>
          <t>SAUDI RIAL</t>
        </is>
      </c>
      <c r="BM86" t="n">
        <v>6981.14</v>
      </c>
      <c r="BN86" t="n">
        <v>7281.56</v>
      </c>
      <c r="BO86" t="inlineStr">
        <is>
          <t>NORWEGIAN KRONER</t>
        </is>
      </c>
      <c r="BQ86" t="n">
        <v>2660.88</v>
      </c>
      <c r="BR86" t="n">
        <v>2773.7</v>
      </c>
      <c r="BS86" t="inlineStr">
        <is>
          <t>SWEDISH KRONA</t>
        </is>
      </c>
      <c r="BU86" t="n">
        <v>2757.3</v>
      </c>
      <c r="BV86" t="n">
        <v>2874.2</v>
      </c>
      <c r="BW86" t="inlineStr">
        <is>
          <t>DANISH KRONE</t>
        </is>
      </c>
      <c r="BY86" t="n">
        <v>3999.6</v>
      </c>
      <c r="BZ86" t="n">
        <v>4152.53</v>
      </c>
      <c r="CA86" t="inlineStr">
        <is>
          <t>RUSSIAN RUBLE</t>
        </is>
      </c>
      <c r="CC86" t="n">
        <v>309.48</v>
      </c>
      <c r="CD86" t="n">
        <v>342.58</v>
      </c>
    </row>
    <row r="87">
      <c r="A87" t="inlineStr">
        <is>
          <t>27/03/2026</t>
        </is>
      </c>
      <c r="B87">
        <f>IF(ISNUMBER(A87), A87, DATE(RIGHT(A87,4), MID(A87,4,2), LEFT(A87,2)))</f>
        <v/>
      </c>
      <c r="C87" t="inlineStr">
        <is>
          <t>US DOLLAR</t>
        </is>
      </c>
      <c r="D87" t="n">
        <v>26105</v>
      </c>
      <c r="E87" t="n">
        <v>26135</v>
      </c>
      <c r="F87" t="n">
        <v>26355</v>
      </c>
      <c r="G87" t="inlineStr">
        <is>
          <t>EURO</t>
        </is>
      </c>
      <c r="H87" t="n">
        <v>29563.64</v>
      </c>
      <c r="I87" t="n">
        <v>29862.26</v>
      </c>
      <c r="J87" t="n">
        <v>31122.18</v>
      </c>
      <c r="K87" t="inlineStr">
        <is>
          <t>POUND STERLING</t>
        </is>
      </c>
      <c r="L87" t="n">
        <v>34161.23</v>
      </c>
      <c r="M87" t="n">
        <v>34506.29</v>
      </c>
      <c r="N87" t="n">
        <v>35611.3</v>
      </c>
      <c r="O87" t="inlineStr">
        <is>
          <t>YEN</t>
        </is>
      </c>
      <c r="P87" t="n">
        <v>159</v>
      </c>
      <c r="Q87" t="n">
        <v>160.61</v>
      </c>
      <c r="R87" t="n">
        <v>169.1</v>
      </c>
      <c r="S87" t="inlineStr">
        <is>
          <t>AUSTRALIAN DOLLAR</t>
        </is>
      </c>
      <c r="T87" t="n">
        <v>17695.08</v>
      </c>
      <c r="U87" t="n">
        <v>17873.82</v>
      </c>
      <c r="V87" t="n">
        <v>18446.2</v>
      </c>
      <c r="W87" t="inlineStr">
        <is>
          <t>CANADIAN DOLLAR</t>
        </is>
      </c>
      <c r="X87" t="n">
        <v>18533.85</v>
      </c>
      <c r="Y87" t="n">
        <v>18721.06</v>
      </c>
      <c r="Z87" t="n">
        <v>19320.58</v>
      </c>
      <c r="AA87" t="inlineStr">
        <is>
          <t>SWISS FRANC</t>
        </is>
      </c>
      <c r="AB87" t="n">
        <v>32230.56</v>
      </c>
      <c r="AC87" t="n">
        <v>32556.12</v>
      </c>
      <c r="AD87" t="n">
        <v>33598.68</v>
      </c>
      <c r="AE87" t="inlineStr">
        <is>
          <t>SINGAPORE DOLLAR</t>
        </is>
      </c>
      <c r="AF87" t="n">
        <v>19929.04</v>
      </c>
      <c r="AG87" t="n">
        <v>20130.34</v>
      </c>
      <c r="AH87" t="n">
        <v>20816.59</v>
      </c>
      <c r="AI87" t="inlineStr">
        <is>
          <t>YUAN RENMINBI</t>
        </is>
      </c>
      <c r="AJ87" t="n">
        <v>3713.37</v>
      </c>
      <c r="AK87" t="n">
        <v>3750.88</v>
      </c>
      <c r="AL87" t="n">
        <v>3870.99</v>
      </c>
      <c r="AM87" t="inlineStr">
        <is>
          <t>HONGKONG DOLLAR</t>
        </is>
      </c>
      <c r="AN87" t="n">
        <v>3266.73</v>
      </c>
      <c r="AO87" t="n">
        <v>3299.73</v>
      </c>
      <c r="AP87" t="n">
        <v>3425.9</v>
      </c>
      <c r="AQ87" t="inlineStr">
        <is>
          <t>THAILAND BAHT</t>
        </is>
      </c>
      <c r="AR87" t="n">
        <v>706.26</v>
      </c>
      <c r="AS87" t="n">
        <v>784.73</v>
      </c>
      <c r="AT87" t="n">
        <v>818</v>
      </c>
      <c r="AU87" t="inlineStr">
        <is>
          <t>KOREAN WON</t>
        </is>
      </c>
      <c r="AV87" t="n">
        <v>15.11</v>
      </c>
      <c r="AW87" t="n">
        <v>16.79</v>
      </c>
      <c r="AX87" t="n">
        <v>18.21</v>
      </c>
      <c r="AY87" t="inlineStr">
        <is>
          <t>MALAYSIAN RINGGIT</t>
        </is>
      </c>
      <c r="BA87" t="n">
        <v>6499.38</v>
      </c>
      <c r="BB87" t="n">
        <v>6640.76</v>
      </c>
      <c r="BC87" t="inlineStr">
        <is>
          <t>INDIAN RUPEE</t>
        </is>
      </c>
      <c r="BE87" t="n">
        <v>276.46</v>
      </c>
      <c r="BF87" t="n">
        <v>288.36</v>
      </c>
      <c r="BG87" t="inlineStr">
        <is>
          <t>KUWAITI DINAR</t>
        </is>
      </c>
      <c r="BI87" t="n">
        <v>85385.21000000001</v>
      </c>
      <c r="BJ87" t="n">
        <v>89523.53999999999</v>
      </c>
      <c r="BK87" t="inlineStr">
        <is>
          <t>SAUDI RIAL</t>
        </is>
      </c>
      <c r="BM87" t="n">
        <v>6978.49</v>
      </c>
      <c r="BN87" t="n">
        <v>7278.8</v>
      </c>
      <c r="BO87" t="inlineStr">
        <is>
          <t>NORWEGIAN KRONER</t>
        </is>
      </c>
      <c r="BQ87" t="n">
        <v>2666.14</v>
      </c>
      <c r="BR87" t="n">
        <v>2779.18</v>
      </c>
      <c r="BS87" t="inlineStr">
        <is>
          <t>SWEDISH KRONA</t>
        </is>
      </c>
      <c r="BU87" t="n">
        <v>2736.98</v>
      </c>
      <c r="BV87" t="n">
        <v>2853.02</v>
      </c>
      <c r="BW87" t="inlineStr">
        <is>
          <t>DANISH KRONE</t>
        </is>
      </c>
      <c r="BY87" t="n">
        <v>3986.49</v>
      </c>
      <c r="BZ87" t="n">
        <v>4138.91</v>
      </c>
      <c r="CA87" t="inlineStr">
        <is>
          <t>RUSSIAN RUBLE</t>
        </is>
      </c>
      <c r="CC87" t="n">
        <v>309.54</v>
      </c>
      <c r="CD87" t="n">
        <v>342.64</v>
      </c>
    </row>
    <row r="88">
      <c r="A88" t="inlineStr">
        <is>
          <t>28/03/2026</t>
        </is>
      </c>
      <c r="B88">
        <f>IF(ISNUMBER(A88), A88, DATE(RIGHT(A88,4), MID(A88,4,2), LEFT(A88,2)))</f>
        <v/>
      </c>
      <c r="C88" t="inlineStr">
        <is>
          <t>US DOLLAR</t>
        </is>
      </c>
      <c r="D88" t="n">
        <v>26105</v>
      </c>
      <c r="E88" t="n">
        <v>26135</v>
      </c>
      <c r="F88" t="n">
        <v>26355</v>
      </c>
      <c r="G88" t="inlineStr">
        <is>
          <t>EURO</t>
        </is>
      </c>
      <c r="H88" t="n">
        <v>29563.64</v>
      </c>
      <c r="I88" t="n">
        <v>29862.26</v>
      </c>
      <c r="J88" t="n">
        <v>31122.18</v>
      </c>
      <c r="K88" t="inlineStr">
        <is>
          <t>POUND STERLING</t>
        </is>
      </c>
      <c r="L88" t="n">
        <v>34161.23</v>
      </c>
      <c r="M88" t="n">
        <v>34506.29</v>
      </c>
      <c r="N88" t="n">
        <v>35611.3</v>
      </c>
      <c r="O88" t="inlineStr">
        <is>
          <t>YEN</t>
        </is>
      </c>
      <c r="P88" t="n">
        <v>159</v>
      </c>
      <c r="Q88" t="n">
        <v>160.61</v>
      </c>
      <c r="R88" t="n">
        <v>169.1</v>
      </c>
      <c r="S88" t="inlineStr">
        <is>
          <t>AUSTRALIAN DOLLAR</t>
        </is>
      </c>
      <c r="T88" t="n">
        <v>17695.08</v>
      </c>
      <c r="U88" t="n">
        <v>17873.82</v>
      </c>
      <c r="V88" t="n">
        <v>18446.2</v>
      </c>
      <c r="W88" t="inlineStr">
        <is>
          <t>CANADIAN DOLLAR</t>
        </is>
      </c>
      <c r="X88" t="n">
        <v>18533.85</v>
      </c>
      <c r="Y88" t="n">
        <v>18721.06</v>
      </c>
      <c r="Z88" t="n">
        <v>19320.58</v>
      </c>
      <c r="AA88" t="inlineStr">
        <is>
          <t>SWISS FRANC</t>
        </is>
      </c>
      <c r="AB88" t="n">
        <v>32230.56</v>
      </c>
      <c r="AC88" t="n">
        <v>32556.12</v>
      </c>
      <c r="AD88" t="n">
        <v>33598.68</v>
      </c>
      <c r="AE88" t="inlineStr">
        <is>
          <t>SINGAPORE DOLLAR</t>
        </is>
      </c>
      <c r="AF88" t="n">
        <v>19929.04</v>
      </c>
      <c r="AG88" t="n">
        <v>20130.34</v>
      </c>
      <c r="AH88" t="n">
        <v>20816.59</v>
      </c>
      <c r="AI88" t="inlineStr">
        <is>
          <t>YUAN RENMINBI</t>
        </is>
      </c>
      <c r="AJ88" t="n">
        <v>3713.37</v>
      </c>
      <c r="AK88" t="n">
        <v>3750.88</v>
      </c>
      <c r="AL88" t="n">
        <v>3870.99</v>
      </c>
      <c r="AM88" t="inlineStr">
        <is>
          <t>HONGKONG DOLLAR</t>
        </is>
      </c>
      <c r="AN88" t="n">
        <v>3266.73</v>
      </c>
      <c r="AO88" t="n">
        <v>3299.73</v>
      </c>
      <c r="AP88" t="n">
        <v>3425.9</v>
      </c>
      <c r="AQ88" t="inlineStr">
        <is>
          <t>THAILAND BAHT</t>
        </is>
      </c>
      <c r="AR88" t="n">
        <v>706.26</v>
      </c>
      <c r="AS88" t="n">
        <v>784.73</v>
      </c>
      <c r="AT88" t="n">
        <v>818</v>
      </c>
      <c r="AU88" t="inlineStr">
        <is>
          <t>KOREAN WON</t>
        </is>
      </c>
      <c r="AV88" t="n">
        <v>15.11</v>
      </c>
      <c r="AW88" t="n">
        <v>16.79</v>
      </c>
      <c r="AX88" t="n">
        <v>18.21</v>
      </c>
      <c r="AY88" t="inlineStr">
        <is>
          <t>MALAYSIAN RINGGIT</t>
        </is>
      </c>
      <c r="BA88" t="n">
        <v>6499.38</v>
      </c>
      <c r="BB88" t="n">
        <v>6640.76</v>
      </c>
      <c r="BC88" t="inlineStr">
        <is>
          <t>INDIAN RUPEE</t>
        </is>
      </c>
      <c r="BE88" t="n">
        <v>276.46</v>
      </c>
      <c r="BF88" t="n">
        <v>288.36</v>
      </c>
      <c r="BG88" t="inlineStr">
        <is>
          <t>KUWAITI DINAR</t>
        </is>
      </c>
      <c r="BI88" t="n">
        <v>85385.21000000001</v>
      </c>
      <c r="BJ88" t="n">
        <v>89523.53999999999</v>
      </c>
      <c r="BK88" t="inlineStr">
        <is>
          <t>SAUDI RIAL</t>
        </is>
      </c>
      <c r="BM88" t="n">
        <v>6978.49</v>
      </c>
      <c r="BN88" t="n">
        <v>7278.8</v>
      </c>
      <c r="BO88" t="inlineStr">
        <is>
          <t>NORWEGIAN KRONER</t>
        </is>
      </c>
      <c r="BQ88" t="n">
        <v>2666.14</v>
      </c>
      <c r="BR88" t="n">
        <v>2779.18</v>
      </c>
      <c r="BS88" t="inlineStr">
        <is>
          <t>SWEDISH KRONA</t>
        </is>
      </c>
      <c r="BU88" t="n">
        <v>2736.98</v>
      </c>
      <c r="BV88" t="n">
        <v>2853.02</v>
      </c>
      <c r="BW88" t="inlineStr">
        <is>
          <t>DANISH KRONE</t>
        </is>
      </c>
      <c r="BY88" t="n">
        <v>3986.49</v>
      </c>
      <c r="BZ88" t="n">
        <v>4138.91</v>
      </c>
      <c r="CA88" t="inlineStr">
        <is>
          <t>RUSSIAN RUBLE</t>
        </is>
      </c>
      <c r="CC88" t="n">
        <v>309.54</v>
      </c>
      <c r="CD88" t="n">
        <v>342.64</v>
      </c>
    </row>
    <row r="89">
      <c r="A89" t="inlineStr">
        <is>
          <t>29/03/2026</t>
        </is>
      </c>
      <c r="B89">
        <f>IF(ISNUMBER(A89), A89, DATE(RIGHT(A89,4), MID(A89,4,2), LEFT(A89,2)))</f>
        <v/>
      </c>
      <c r="C89" t="inlineStr">
        <is>
          <t>US DOLLAR</t>
        </is>
      </c>
      <c r="D89" t="n">
        <v>26105</v>
      </c>
      <c r="E89" t="n">
        <v>26135</v>
      </c>
      <c r="F89" t="n">
        <v>26355</v>
      </c>
      <c r="G89" t="inlineStr">
        <is>
          <t>EURO</t>
        </is>
      </c>
      <c r="H89" t="n">
        <v>29563.64</v>
      </c>
      <c r="I89" t="n">
        <v>29862.26</v>
      </c>
      <c r="J89" t="n">
        <v>31122.18</v>
      </c>
      <c r="K89" t="inlineStr">
        <is>
          <t>POUND STERLING</t>
        </is>
      </c>
      <c r="L89" t="n">
        <v>34161.23</v>
      </c>
      <c r="M89" t="n">
        <v>34506.29</v>
      </c>
      <c r="N89" t="n">
        <v>35611.3</v>
      </c>
      <c r="O89" t="inlineStr">
        <is>
          <t>YEN</t>
        </is>
      </c>
      <c r="P89" t="n">
        <v>159</v>
      </c>
      <c r="Q89" t="n">
        <v>160.61</v>
      </c>
      <c r="R89" t="n">
        <v>169.1</v>
      </c>
      <c r="S89" t="inlineStr">
        <is>
          <t>AUSTRALIAN DOLLAR</t>
        </is>
      </c>
      <c r="T89" t="n">
        <v>17695.08</v>
      </c>
      <c r="U89" t="n">
        <v>17873.82</v>
      </c>
      <c r="V89" t="n">
        <v>18446.2</v>
      </c>
      <c r="W89" t="inlineStr">
        <is>
          <t>CANADIAN DOLLAR</t>
        </is>
      </c>
      <c r="X89" t="n">
        <v>18533.85</v>
      </c>
      <c r="Y89" t="n">
        <v>18721.06</v>
      </c>
      <c r="Z89" t="n">
        <v>19320.58</v>
      </c>
      <c r="AA89" t="inlineStr">
        <is>
          <t>SWISS FRANC</t>
        </is>
      </c>
      <c r="AB89" t="n">
        <v>32230.56</v>
      </c>
      <c r="AC89" t="n">
        <v>32556.12</v>
      </c>
      <c r="AD89" t="n">
        <v>33598.68</v>
      </c>
      <c r="AE89" t="inlineStr">
        <is>
          <t>SINGAPORE DOLLAR</t>
        </is>
      </c>
      <c r="AF89" t="n">
        <v>19929.04</v>
      </c>
      <c r="AG89" t="n">
        <v>20130.34</v>
      </c>
      <c r="AH89" t="n">
        <v>20816.59</v>
      </c>
      <c r="AI89" t="inlineStr">
        <is>
          <t>YUAN RENMINBI</t>
        </is>
      </c>
      <c r="AJ89" t="n">
        <v>3713.37</v>
      </c>
      <c r="AK89" t="n">
        <v>3750.88</v>
      </c>
      <c r="AL89" t="n">
        <v>3870.99</v>
      </c>
      <c r="AM89" t="inlineStr">
        <is>
          <t>HONGKONG DOLLAR</t>
        </is>
      </c>
      <c r="AN89" t="n">
        <v>3266.73</v>
      </c>
      <c r="AO89" t="n">
        <v>3299.73</v>
      </c>
      <c r="AP89" t="n">
        <v>3425.9</v>
      </c>
      <c r="AQ89" t="inlineStr">
        <is>
          <t>THAILAND BAHT</t>
        </is>
      </c>
      <c r="AR89" t="n">
        <v>706.26</v>
      </c>
      <c r="AS89" t="n">
        <v>784.73</v>
      </c>
      <c r="AT89" t="n">
        <v>818</v>
      </c>
      <c r="AU89" t="inlineStr">
        <is>
          <t>KOREAN WON</t>
        </is>
      </c>
      <c r="AV89" t="n">
        <v>15.11</v>
      </c>
      <c r="AW89" t="n">
        <v>16.79</v>
      </c>
      <c r="AX89" t="n">
        <v>18.21</v>
      </c>
      <c r="AY89" t="inlineStr">
        <is>
          <t>MALAYSIAN RINGGIT</t>
        </is>
      </c>
      <c r="BA89" t="n">
        <v>6499.38</v>
      </c>
      <c r="BB89" t="n">
        <v>6640.76</v>
      </c>
      <c r="BC89" t="inlineStr">
        <is>
          <t>INDIAN RUPEE</t>
        </is>
      </c>
      <c r="BE89" t="n">
        <v>276.46</v>
      </c>
      <c r="BF89" t="n">
        <v>288.36</v>
      </c>
      <c r="BG89" t="inlineStr">
        <is>
          <t>KUWAITI DINAR</t>
        </is>
      </c>
      <c r="BI89" t="n">
        <v>85385.21000000001</v>
      </c>
      <c r="BJ89" t="n">
        <v>89523.53999999999</v>
      </c>
      <c r="BK89" t="inlineStr">
        <is>
          <t>SAUDI RIAL</t>
        </is>
      </c>
      <c r="BM89" t="n">
        <v>6978.49</v>
      </c>
      <c r="BN89" t="n">
        <v>7278.8</v>
      </c>
      <c r="BO89" t="inlineStr">
        <is>
          <t>NORWEGIAN KRONER</t>
        </is>
      </c>
      <c r="BQ89" t="n">
        <v>2666.14</v>
      </c>
      <c r="BR89" t="n">
        <v>2779.18</v>
      </c>
      <c r="BS89" t="inlineStr">
        <is>
          <t>SWEDISH KRONA</t>
        </is>
      </c>
      <c r="BU89" t="n">
        <v>2736.98</v>
      </c>
      <c r="BV89" t="n">
        <v>2853.02</v>
      </c>
      <c r="BW89" t="inlineStr">
        <is>
          <t>DANISH KRONE</t>
        </is>
      </c>
      <c r="BY89" t="n">
        <v>3986.49</v>
      </c>
      <c r="BZ89" t="n">
        <v>4138.91</v>
      </c>
      <c r="CA89" t="inlineStr">
        <is>
          <t>RUSSIAN RUBLE</t>
        </is>
      </c>
      <c r="CC89" t="n">
        <v>309.54</v>
      </c>
      <c r="CD89" t="n">
        <v>342.64</v>
      </c>
    </row>
    <row r="90">
      <c r="A90" t="inlineStr">
        <is>
          <t>30/03/2026</t>
        </is>
      </c>
      <c r="B90">
        <f>IF(ISNUMBER(A90), A90, DATE(RIGHT(A90,4), MID(A90,4,2), LEFT(A90,2)))</f>
        <v/>
      </c>
      <c r="C90" t="inlineStr">
        <is>
          <t>US DOLLAR</t>
        </is>
      </c>
      <c r="D90" t="n">
        <v>26105</v>
      </c>
      <c r="E90" t="n">
        <v>26135</v>
      </c>
      <c r="F90" t="n">
        <v>26355</v>
      </c>
      <c r="G90" t="inlineStr">
        <is>
          <t>EURO</t>
        </is>
      </c>
      <c r="H90" t="n">
        <v>29535.41</v>
      </c>
      <c r="I90" t="n">
        <v>29833.75</v>
      </c>
      <c r="J90" t="n">
        <v>31092.47</v>
      </c>
      <c r="K90" t="inlineStr">
        <is>
          <t>POUND STERLING</t>
        </is>
      </c>
      <c r="L90" t="n">
        <v>34012.42</v>
      </c>
      <c r="M90" t="n">
        <v>34355.98</v>
      </c>
      <c r="N90" t="n">
        <v>35456.18</v>
      </c>
      <c r="O90" t="inlineStr">
        <is>
          <t>YEN</t>
        </is>
      </c>
      <c r="P90" t="n">
        <v>159.42</v>
      </c>
      <c r="Q90" t="n">
        <v>161.03</v>
      </c>
      <c r="R90" t="n">
        <v>169.55</v>
      </c>
      <c r="S90" t="inlineStr">
        <is>
          <t>AUSTRALIAN DOLLAR</t>
        </is>
      </c>
      <c r="T90" t="n">
        <v>17602.72</v>
      </c>
      <c r="U90" t="n">
        <v>17780.52</v>
      </c>
      <c r="V90" t="n">
        <v>18349.92</v>
      </c>
      <c r="W90" t="inlineStr">
        <is>
          <t>CANADIAN DOLLAR</t>
        </is>
      </c>
      <c r="X90" t="n">
        <v>18476.47</v>
      </c>
      <c r="Y90" t="n">
        <v>18663.1</v>
      </c>
      <c r="Z90" t="n">
        <v>19260.76</v>
      </c>
      <c r="AA90" t="inlineStr">
        <is>
          <t>SWISS FRANC</t>
        </is>
      </c>
      <c r="AB90" t="n">
        <v>32141.75</v>
      </c>
      <c r="AC90" t="n">
        <v>32466.41</v>
      </c>
      <c r="AD90" t="n">
        <v>33506.1</v>
      </c>
      <c r="AE90" t="inlineStr">
        <is>
          <t>SINGAPORE DOLLAR</t>
        </is>
      </c>
      <c r="AF90" t="n">
        <v>19907.37</v>
      </c>
      <c r="AG90" t="n">
        <v>20108.46</v>
      </c>
      <c r="AH90" t="n">
        <v>20793.96</v>
      </c>
      <c r="AI90" t="inlineStr">
        <is>
          <t>YUAN RENMINBI</t>
        </is>
      </c>
      <c r="AJ90" t="n">
        <v>3709.4</v>
      </c>
      <c r="AK90" t="n">
        <v>3746.86</v>
      </c>
      <c r="AL90" t="n">
        <v>3866.85</v>
      </c>
      <c r="AM90" t="inlineStr">
        <is>
          <t>HONGKONG DOLLAR</t>
        </is>
      </c>
      <c r="AN90" t="n">
        <v>3266.77</v>
      </c>
      <c r="AO90" t="n">
        <v>3299.77</v>
      </c>
      <c r="AP90" t="n">
        <v>3425.94</v>
      </c>
      <c r="AQ90" t="inlineStr">
        <is>
          <t>THAILAND BAHT</t>
        </is>
      </c>
      <c r="AR90" t="n">
        <v>706.9</v>
      </c>
      <c r="AS90" t="n">
        <v>785.45</v>
      </c>
      <c r="AT90" t="n">
        <v>818.75</v>
      </c>
      <c r="AU90" t="inlineStr">
        <is>
          <t>KOREAN WON</t>
        </is>
      </c>
      <c r="AV90" t="n">
        <v>15.06</v>
      </c>
      <c r="AW90" t="n">
        <v>16.74</v>
      </c>
      <c r="AX90" t="n">
        <v>18.16</v>
      </c>
      <c r="AY90" t="inlineStr">
        <is>
          <t>MALAYSIAN RINGGIT</t>
        </is>
      </c>
      <c r="BA90" t="n">
        <v>6479.98</v>
      </c>
      <c r="BB90" t="n">
        <v>6620.94</v>
      </c>
      <c r="BC90" t="inlineStr">
        <is>
          <t>INDIAN RUPEE</t>
        </is>
      </c>
      <c r="BE90" t="n">
        <v>280.71</v>
      </c>
      <c r="BF90" t="n">
        <v>292.79</v>
      </c>
      <c r="BG90" t="inlineStr">
        <is>
          <t>KUWAITI DINAR</t>
        </is>
      </c>
      <c r="BI90" t="n">
        <v>85301.74000000001</v>
      </c>
      <c r="BJ90" t="n">
        <v>89436.03</v>
      </c>
      <c r="BK90" t="inlineStr">
        <is>
          <t>SAUDI RIAL</t>
        </is>
      </c>
      <c r="BM90" t="n">
        <v>6977</v>
      </c>
      <c r="BN90" t="n">
        <v>7277.25</v>
      </c>
      <c r="BO90" t="inlineStr">
        <is>
          <t>NORWEGIAN KRONER</t>
        </is>
      </c>
      <c r="BQ90" t="n">
        <v>2647.75</v>
      </c>
      <c r="BR90" t="n">
        <v>2760.01</v>
      </c>
      <c r="BS90" t="inlineStr">
        <is>
          <t>SWEDISH KRONA</t>
        </is>
      </c>
      <c r="BU90" t="n">
        <v>2725.15</v>
      </c>
      <c r="BV90" t="n">
        <v>2840.7</v>
      </c>
      <c r="BW90" t="inlineStr">
        <is>
          <t>DANISH KRONE</t>
        </is>
      </c>
      <c r="BY90" t="n">
        <v>3982.31</v>
      </c>
      <c r="BZ90" t="n">
        <v>4134.58</v>
      </c>
      <c r="CA90" t="inlineStr">
        <is>
          <t>RUSSIAN RUBLE</t>
        </is>
      </c>
      <c r="CC90" t="n">
        <v>307.47</v>
      </c>
      <c r="CD90" t="n">
        <v>340.35</v>
      </c>
    </row>
    <row r="91">
      <c r="A91" t="inlineStr">
        <is>
          <t>31/03/2026</t>
        </is>
      </c>
      <c r="B91">
        <f>IF(ISNUMBER(A91), A91, DATE(RIGHT(A91,4), MID(A91,4,2), LEFT(A91,2)))</f>
        <v/>
      </c>
      <c r="C91" t="inlineStr">
        <is>
          <t>US DOLLAR</t>
        </is>
      </c>
      <c r="D91" t="n">
        <v>26107</v>
      </c>
      <c r="E91" t="n">
        <v>26137</v>
      </c>
      <c r="F91" t="n">
        <v>26357</v>
      </c>
      <c r="G91" t="inlineStr">
        <is>
          <t>EURO</t>
        </is>
      </c>
      <c r="H91" t="n">
        <v>29436.28</v>
      </c>
      <c r="I91" t="n">
        <v>29733.61</v>
      </c>
      <c r="J91" t="n">
        <v>30988.09</v>
      </c>
      <c r="K91" t="inlineStr">
        <is>
          <t>POUND STERLING</t>
        </is>
      </c>
      <c r="L91" t="n">
        <v>33876.48</v>
      </c>
      <c r="M91" t="n">
        <v>34218.67</v>
      </c>
      <c r="N91" t="n">
        <v>35314.45</v>
      </c>
      <c r="O91" t="inlineStr">
        <is>
          <t>YEN</t>
        </is>
      </c>
      <c r="P91" t="n">
        <v>159.19</v>
      </c>
      <c r="Q91" t="n">
        <v>160.8</v>
      </c>
      <c r="R91" t="n">
        <v>169.3</v>
      </c>
      <c r="S91" t="inlineStr">
        <is>
          <t>AUSTRALIAN DOLLAR</t>
        </is>
      </c>
      <c r="T91" t="n">
        <v>17581.17</v>
      </c>
      <c r="U91" t="n">
        <v>17758.76</v>
      </c>
      <c r="V91" t="n">
        <v>18327.45</v>
      </c>
      <c r="W91" t="inlineStr">
        <is>
          <t>CANADIAN DOLLAR</t>
        </is>
      </c>
      <c r="X91" t="n">
        <v>18431.74</v>
      </c>
      <c r="Y91" t="n">
        <v>18617.92</v>
      </c>
      <c r="Z91" t="n">
        <v>19214.12</v>
      </c>
      <c r="AA91" t="inlineStr">
        <is>
          <t>SWISS FRANC</t>
        </is>
      </c>
      <c r="AB91" t="n">
        <v>32149.94</v>
      </c>
      <c r="AC91" t="n">
        <v>32474.68</v>
      </c>
      <c r="AD91" t="n">
        <v>33514.62</v>
      </c>
      <c r="AE91" t="inlineStr">
        <is>
          <t>SINGAPORE DOLLAR</t>
        </is>
      </c>
      <c r="AF91" t="n">
        <v>19868.65</v>
      </c>
      <c r="AG91" t="n">
        <v>20069.35</v>
      </c>
      <c r="AH91" t="n">
        <v>20753.5</v>
      </c>
      <c r="AI91" t="inlineStr">
        <is>
          <t>YUAN RENMINBI</t>
        </is>
      </c>
      <c r="AJ91" t="n">
        <v>3715.8</v>
      </c>
      <c r="AK91" t="n">
        <v>3753.33</v>
      </c>
      <c r="AL91" t="n">
        <v>3873.53</v>
      </c>
      <c r="AM91" t="inlineStr">
        <is>
          <t>HONGKONG DOLLAR</t>
        </is>
      </c>
      <c r="AN91" t="n">
        <v>3266.01</v>
      </c>
      <c r="AO91" t="n">
        <v>3299</v>
      </c>
      <c r="AP91" t="n">
        <v>3425.14</v>
      </c>
      <c r="AQ91" t="inlineStr">
        <is>
          <t>THAILAND BAHT</t>
        </is>
      </c>
      <c r="AR91" t="n">
        <v>705.88</v>
      </c>
      <c r="AS91" t="n">
        <v>784.3099999999999</v>
      </c>
      <c r="AT91" t="n">
        <v>817.5700000000001</v>
      </c>
      <c r="AU91" t="inlineStr">
        <is>
          <t>KOREAN WON</t>
        </is>
      </c>
      <c r="AV91" t="n">
        <v>14.85</v>
      </c>
      <c r="AW91" t="n">
        <v>16.5</v>
      </c>
      <c r="AX91" t="n">
        <v>17.9</v>
      </c>
      <c r="AY91" t="inlineStr">
        <is>
          <t>MALAYSIAN RINGGIT</t>
        </is>
      </c>
      <c r="BA91" t="n">
        <v>6458.34</v>
      </c>
      <c r="BB91" t="n">
        <v>6598.83</v>
      </c>
      <c r="BC91" t="inlineStr">
        <is>
          <t>INDIAN RUPEE</t>
        </is>
      </c>
      <c r="BE91" t="n">
        <v>277.87</v>
      </c>
      <c r="BF91" t="n">
        <v>289.82</v>
      </c>
      <c r="BG91" t="inlineStr">
        <is>
          <t>KUWAITI DINAR</t>
        </is>
      </c>
      <c r="BI91" t="n">
        <v>85334.16</v>
      </c>
      <c r="BJ91" t="n">
        <v>89469.97</v>
      </c>
      <c r="BK91" t="inlineStr">
        <is>
          <t>SAUDI RIAL</t>
        </is>
      </c>
      <c r="BM91" t="n">
        <v>6979.1</v>
      </c>
      <c r="BN91" t="n">
        <v>7279.43</v>
      </c>
      <c r="BO91" t="inlineStr">
        <is>
          <t>NORWEGIAN KRONER</t>
        </is>
      </c>
      <c r="BQ91" t="n">
        <v>2649.63</v>
      </c>
      <c r="BR91" t="n">
        <v>2761.97</v>
      </c>
      <c r="BS91" t="inlineStr">
        <is>
          <t>SWEDISH KRONA</t>
        </is>
      </c>
      <c r="BU91" t="n">
        <v>2704.25</v>
      </c>
      <c r="BV91" t="n">
        <v>2818.9</v>
      </c>
      <c r="BW91" t="inlineStr">
        <is>
          <t>DANISH KRONE</t>
        </is>
      </c>
      <c r="BY91" t="n">
        <v>3969.88</v>
      </c>
      <c r="BZ91" t="n">
        <v>4121.67</v>
      </c>
      <c r="CA91" t="inlineStr">
        <is>
          <t>RUSSIAN RUBLE</t>
        </is>
      </c>
      <c r="CC91" t="n">
        <v>308.34</v>
      </c>
      <c r="CD91" t="n">
        <v>341.31</v>
      </c>
    </row>
    <row r="92">
      <c r="A92" t="inlineStr">
        <is>
          <t>01/04/2026</t>
        </is>
      </c>
      <c r="B92">
        <f>IF(ISNUMBER(A92), A92, DATE(RIGHT(A92,4), MID(A92,4,2), LEFT(A92,2)))</f>
        <v/>
      </c>
      <c r="C92" t="inlineStr">
        <is>
          <t>US DOLLAR</t>
        </is>
      </c>
      <c r="D92" t="n">
        <v>26110</v>
      </c>
      <c r="E92" t="n">
        <v>26140</v>
      </c>
      <c r="F92" t="n">
        <v>26360</v>
      </c>
      <c r="G92" t="inlineStr">
        <is>
          <t>EURO</t>
        </is>
      </c>
      <c r="H92" t="n">
        <v>29710.9</v>
      </c>
      <c r="I92" t="n">
        <v>30011.01</v>
      </c>
      <c r="J92" t="n">
        <v>31277.19</v>
      </c>
      <c r="K92" t="inlineStr">
        <is>
          <t>POUND STERLING</t>
        </is>
      </c>
      <c r="L92" t="n">
        <v>34004.81</v>
      </c>
      <c r="M92" t="n">
        <v>34348.3</v>
      </c>
      <c r="N92" t="n">
        <v>35448.23</v>
      </c>
      <c r="O92" t="inlineStr">
        <is>
          <t>YEN</t>
        </is>
      </c>
      <c r="P92" t="n">
        <v>160.31</v>
      </c>
      <c r="Q92" t="n">
        <v>161.92</v>
      </c>
      <c r="R92" t="n">
        <v>170.49</v>
      </c>
      <c r="S92" t="inlineStr">
        <is>
          <t>AUSTRALIAN DOLLAR</t>
        </is>
      </c>
      <c r="T92" t="n">
        <v>17778.8</v>
      </c>
      <c r="U92" t="n">
        <v>17958.39</v>
      </c>
      <c r="V92" t="n">
        <v>18533.47</v>
      </c>
      <c r="W92" t="inlineStr">
        <is>
          <t>CANADIAN DOLLAR</t>
        </is>
      </c>
      <c r="X92" t="n">
        <v>18474.18</v>
      </c>
      <c r="Y92" t="n">
        <v>18660.79</v>
      </c>
      <c r="Z92" t="n">
        <v>19258.36</v>
      </c>
      <c r="AA92" t="inlineStr">
        <is>
          <t>SWISS FRANC</t>
        </is>
      </c>
      <c r="AB92" t="n">
        <v>32218.53</v>
      </c>
      <c r="AC92" t="n">
        <v>32543.97</v>
      </c>
      <c r="AD92" t="n">
        <v>33586.12</v>
      </c>
      <c r="AE92" t="inlineStr">
        <is>
          <t>SINGAPORE DOLLAR</t>
        </is>
      </c>
      <c r="AF92" t="n">
        <v>19976.99</v>
      </c>
      <c r="AG92" t="n">
        <v>20178.78</v>
      </c>
      <c r="AH92" t="n">
        <v>20866.66</v>
      </c>
      <c r="AI92" t="inlineStr">
        <is>
          <t>YUAN RENMINBI</t>
        </is>
      </c>
      <c r="AJ92" t="n">
        <v>3721.62</v>
      </c>
      <c r="AK92" t="n">
        <v>3759.21</v>
      </c>
      <c r="AL92" t="n">
        <v>3879.59</v>
      </c>
      <c r="AM92" t="inlineStr">
        <is>
          <t>HONGKONG DOLLAR</t>
        </is>
      </c>
      <c r="AN92" t="n">
        <v>3265.8</v>
      </c>
      <c r="AO92" t="n">
        <v>3298.79</v>
      </c>
      <c r="AP92" t="n">
        <v>3424.92</v>
      </c>
      <c r="AQ92" t="inlineStr">
        <is>
          <t>THAILAND BAHT</t>
        </is>
      </c>
      <c r="AR92" t="n">
        <v>715.01</v>
      </c>
      <c r="AS92" t="n">
        <v>794.46</v>
      </c>
      <c r="AT92" t="n">
        <v>828.14</v>
      </c>
      <c r="AU92" t="inlineStr">
        <is>
          <t>KOREAN WON</t>
        </is>
      </c>
      <c r="AV92" t="n">
        <v>15.13</v>
      </c>
      <c r="AW92" t="n">
        <v>16.81</v>
      </c>
      <c r="AX92" t="n">
        <v>18.24</v>
      </c>
      <c r="AY92" t="inlineStr">
        <is>
          <t>MALAYSIAN RINGGIT</t>
        </is>
      </c>
      <c r="BA92" t="n">
        <v>6482.44</v>
      </c>
      <c r="BB92" t="n">
        <v>6623.45</v>
      </c>
      <c r="BC92" t="inlineStr">
        <is>
          <t>INDIAN RUPEE</t>
        </is>
      </c>
      <c r="BE92" t="n">
        <v>280.23</v>
      </c>
      <c r="BF92" t="n">
        <v>292.28</v>
      </c>
      <c r="BG92" t="inlineStr">
        <is>
          <t>KUWAITI DINAR</t>
        </is>
      </c>
      <c r="BI92" t="n">
        <v>85334.16</v>
      </c>
      <c r="BJ92" t="n">
        <v>89469.97</v>
      </c>
      <c r="BK92" t="inlineStr">
        <is>
          <t>SAUDI RIAL</t>
        </is>
      </c>
      <c r="BM92" t="n">
        <v>6979.28</v>
      </c>
      <c r="BN92" t="n">
        <v>7279.62</v>
      </c>
      <c r="BO92" t="inlineStr">
        <is>
          <t>NORWEGIAN KRONER</t>
        </is>
      </c>
      <c r="BQ92" t="n">
        <v>2669.64</v>
      </c>
      <c r="BR92" t="n">
        <v>2782.83</v>
      </c>
      <c r="BS92" t="inlineStr">
        <is>
          <t>SWEDISH KRONA</t>
        </is>
      </c>
      <c r="BU92" t="n">
        <v>2733.44</v>
      </c>
      <c r="BV92" t="n">
        <v>2849.33</v>
      </c>
      <c r="BW92" t="inlineStr">
        <is>
          <t>DANISH KRONE</t>
        </is>
      </c>
      <c r="BY92" t="n">
        <v>4005.92</v>
      </c>
      <c r="BZ92" t="n">
        <v>4159.09</v>
      </c>
      <c r="CA92" t="inlineStr">
        <is>
          <t>RUSSIAN RUBLE</t>
        </is>
      </c>
      <c r="CC92" t="n">
        <v>308.34</v>
      </c>
      <c r="CD92" t="n">
        <v>341.31</v>
      </c>
    </row>
    <row r="93">
      <c r="A93" t="inlineStr">
        <is>
          <t>02/04/2026</t>
        </is>
      </c>
      <c r="B93">
        <f>IF(ISNUMBER(A93), A93, DATE(RIGHT(A93,4), MID(A93,4,2), LEFT(A93,2)))</f>
        <v/>
      </c>
      <c r="C93" t="inlineStr">
        <is>
          <t>US DOLLAR</t>
        </is>
      </c>
      <c r="D93" t="n">
        <v>26112</v>
      </c>
      <c r="E93" t="n">
        <v>26142</v>
      </c>
      <c r="F93" t="n">
        <v>26362</v>
      </c>
      <c r="G93" t="inlineStr">
        <is>
          <t>EURO</t>
        </is>
      </c>
      <c r="H93" t="n">
        <v>29757.1</v>
      </c>
      <c r="I93" t="n">
        <v>30057.68</v>
      </c>
      <c r="J93" t="n">
        <v>31325.83</v>
      </c>
      <c r="K93" t="inlineStr">
        <is>
          <t>POUND STERLING</t>
        </is>
      </c>
      <c r="L93" t="n">
        <v>34163.94</v>
      </c>
      <c r="M93" t="n">
        <v>34509.03</v>
      </c>
      <c r="N93" t="n">
        <v>35614.11</v>
      </c>
      <c r="O93" t="inlineStr">
        <is>
          <t>YEN</t>
        </is>
      </c>
      <c r="P93" t="n">
        <v>160.26</v>
      </c>
      <c r="Q93" t="n">
        <v>161.87</v>
      </c>
      <c r="R93" t="n">
        <v>170.43</v>
      </c>
      <c r="S93" t="inlineStr">
        <is>
          <t>AUSTRALIAN DOLLAR</t>
        </is>
      </c>
      <c r="T93" t="n">
        <v>17789.07</v>
      </c>
      <c r="U93" t="n">
        <v>17968.76</v>
      </c>
      <c r="V93" t="n">
        <v>18544.17</v>
      </c>
      <c r="W93" t="inlineStr">
        <is>
          <t>CANADIAN DOLLAR</t>
        </is>
      </c>
      <c r="X93" t="n">
        <v>18507.48</v>
      </c>
      <c r="Y93" t="n">
        <v>18694.42</v>
      </c>
      <c r="Z93" t="n">
        <v>19293.07</v>
      </c>
      <c r="AA93" t="inlineStr">
        <is>
          <t>SWISS FRANC</t>
        </is>
      </c>
      <c r="AB93" t="n">
        <v>32372.92</v>
      </c>
      <c r="AC93" t="n">
        <v>32699.92</v>
      </c>
      <c r="AD93" t="n">
        <v>33747.06</v>
      </c>
      <c r="AE93" t="inlineStr">
        <is>
          <t>SINGAPORE DOLLAR</t>
        </is>
      </c>
      <c r="AF93" t="n">
        <v>20008.16</v>
      </c>
      <c r="AG93" t="n">
        <v>20210.26</v>
      </c>
      <c r="AH93" t="n">
        <v>20899.22</v>
      </c>
      <c r="AI93" t="inlineStr">
        <is>
          <t>YUAN RENMINBI</t>
        </is>
      </c>
      <c r="AJ93" t="n">
        <v>3735.7</v>
      </c>
      <c r="AK93" t="n">
        <v>3773.43</v>
      </c>
      <c r="AL93" t="n">
        <v>3894.27</v>
      </c>
      <c r="AM93" t="inlineStr">
        <is>
          <t>HONGKONG DOLLAR</t>
        </is>
      </c>
      <c r="AN93" t="n">
        <v>3266.01</v>
      </c>
      <c r="AO93" t="n">
        <v>3299</v>
      </c>
      <c r="AP93" t="n">
        <v>3425.14</v>
      </c>
      <c r="AQ93" t="inlineStr">
        <is>
          <t>THAILAND BAHT</t>
        </is>
      </c>
      <c r="AR93" t="n">
        <v>714.13</v>
      </c>
      <c r="AS93" t="n">
        <v>793.48</v>
      </c>
      <c r="AT93" t="n">
        <v>827.12</v>
      </c>
      <c r="AU93" t="inlineStr">
        <is>
          <t>KOREAN WON</t>
        </is>
      </c>
      <c r="AV93" t="n">
        <v>15.1</v>
      </c>
      <c r="AW93" t="n">
        <v>16.78</v>
      </c>
      <c r="AX93" t="n">
        <v>18.2</v>
      </c>
      <c r="AY93" t="inlineStr">
        <is>
          <t>MALAYSIAN RINGGIT</t>
        </is>
      </c>
      <c r="BA93" t="n">
        <v>6498.6</v>
      </c>
      <c r="BB93" t="n">
        <v>6639.97</v>
      </c>
      <c r="BC93" t="inlineStr">
        <is>
          <t>INDIAN RUPEE</t>
        </is>
      </c>
      <c r="BE93" t="n">
        <v>280.98</v>
      </c>
      <c r="BF93" t="n">
        <v>293.07</v>
      </c>
      <c r="BG93" t="inlineStr">
        <is>
          <t>KUWAITI DINAR</t>
        </is>
      </c>
      <c r="BI93" t="n">
        <v>85389.81</v>
      </c>
      <c r="BJ93" t="n">
        <v>89528.31</v>
      </c>
      <c r="BK93" t="inlineStr">
        <is>
          <t>SAUDI RIAL</t>
        </is>
      </c>
      <c r="BM93" t="n">
        <v>6978.72</v>
      </c>
      <c r="BN93" t="n">
        <v>7279.04</v>
      </c>
      <c r="BO93" t="inlineStr">
        <is>
          <t>NORWEGIAN KRONER</t>
        </is>
      </c>
      <c r="BQ93" t="n">
        <v>2656.91</v>
      </c>
      <c r="BR93" t="n">
        <v>2769.56</v>
      </c>
      <c r="BS93" t="inlineStr">
        <is>
          <t>SWEDISH KRONA</t>
        </is>
      </c>
      <c r="BU93" t="n">
        <v>2746.5</v>
      </c>
      <c r="BV93" t="n">
        <v>2862.95</v>
      </c>
      <c r="BW93" t="inlineStr">
        <is>
          <t>DANISH KRONE</t>
        </is>
      </c>
      <c r="BY93" t="n">
        <v>4012.08</v>
      </c>
      <c r="BZ93" t="n">
        <v>4165.48</v>
      </c>
      <c r="CA93" t="inlineStr">
        <is>
          <t>RUSSIAN RUBLE</t>
        </is>
      </c>
      <c r="CC93" t="n">
        <v>312.18</v>
      </c>
      <c r="CD93" t="n">
        <v>345.57</v>
      </c>
    </row>
    <row r="94">
      <c r="A94" t="inlineStr">
        <is>
          <t>03/04/2026</t>
        </is>
      </c>
      <c r="B94">
        <f>IF(ISNUMBER(A94), A94, DATE(RIGHT(A94,4), MID(A94,4,2), LEFT(A94,2)))</f>
        <v/>
      </c>
      <c r="C94" t="inlineStr">
        <is>
          <t>US DOLLAR</t>
        </is>
      </c>
      <c r="D94" t="n">
        <v>26112</v>
      </c>
      <c r="E94" t="n">
        <v>26142</v>
      </c>
      <c r="F94" t="n">
        <v>26362</v>
      </c>
      <c r="G94" t="inlineStr">
        <is>
          <t>EURO</t>
        </is>
      </c>
      <c r="H94" t="n">
        <v>29605.67</v>
      </c>
      <c r="I94" t="n">
        <v>29904.72</v>
      </c>
      <c r="J94" t="n">
        <v>31166.42</v>
      </c>
      <c r="K94" t="inlineStr">
        <is>
          <t>POUND STERLING</t>
        </is>
      </c>
      <c r="L94" t="n">
        <v>33945.78</v>
      </c>
      <c r="M94" t="n">
        <v>34288.67</v>
      </c>
      <c r="N94" t="n">
        <v>35386.69</v>
      </c>
      <c r="O94" t="inlineStr">
        <is>
          <t>YEN</t>
        </is>
      </c>
      <c r="P94" t="n">
        <v>159.83</v>
      </c>
      <c r="Q94" t="n">
        <v>161.45</v>
      </c>
      <c r="R94" t="n">
        <v>169.98</v>
      </c>
      <c r="S94" t="inlineStr">
        <is>
          <t>AUSTRALIAN DOLLAR</t>
        </is>
      </c>
      <c r="T94" t="n">
        <v>17727.47</v>
      </c>
      <c r="U94" t="n">
        <v>17906.54</v>
      </c>
      <c r="V94" t="n">
        <v>18479.95</v>
      </c>
      <c r="W94" t="inlineStr">
        <is>
          <t>CANADIAN DOLLAR</t>
        </is>
      </c>
      <c r="X94" t="n">
        <v>18441.01</v>
      </c>
      <c r="Y94" t="n">
        <v>18627.28</v>
      </c>
      <c r="Z94" t="n">
        <v>19223.78</v>
      </c>
      <c r="AA94" t="inlineStr">
        <is>
          <t>SWISS FRANC</t>
        </is>
      </c>
      <c r="AB94" t="n">
        <v>32149.94</v>
      </c>
      <c r="AC94" t="n">
        <v>32474.68</v>
      </c>
      <c r="AD94" t="n">
        <v>33514.62</v>
      </c>
      <c r="AE94" t="inlineStr">
        <is>
          <t>SINGAPORE DOLLAR</t>
        </is>
      </c>
      <c r="AF94" t="n">
        <v>19953.67</v>
      </c>
      <c r="AG94" t="n">
        <v>20155.23</v>
      </c>
      <c r="AH94" t="n">
        <v>20842.31</v>
      </c>
      <c r="AI94" t="inlineStr">
        <is>
          <t>YUAN RENMINBI</t>
        </is>
      </c>
      <c r="AJ94" t="n">
        <v>3731.63</v>
      </c>
      <c r="AK94" t="n">
        <v>3769.32</v>
      </c>
      <c r="AL94" t="n">
        <v>3890.02</v>
      </c>
      <c r="AM94" t="inlineStr">
        <is>
          <t>HONGKONG DOLLAR</t>
        </is>
      </c>
      <c r="AN94" t="n">
        <v>3265.76</v>
      </c>
      <c r="AO94" t="n">
        <v>3298.75</v>
      </c>
      <c r="AP94" t="n">
        <v>3424.88</v>
      </c>
      <c r="AQ94" t="inlineStr">
        <is>
          <t>THAILAND BAHT</t>
        </is>
      </c>
      <c r="AR94" t="n">
        <v>711.29</v>
      </c>
      <c r="AS94" t="n">
        <v>790.3200000000001</v>
      </c>
      <c r="AT94" t="n">
        <v>823.83</v>
      </c>
      <c r="AU94" t="inlineStr">
        <is>
          <t>KOREAN WON</t>
        </is>
      </c>
      <c r="AV94" t="n">
        <v>15.09</v>
      </c>
      <c r="AW94" t="n">
        <v>16.77</v>
      </c>
      <c r="AX94" t="n">
        <v>18.19</v>
      </c>
      <c r="AY94" t="inlineStr">
        <is>
          <t>MALAYSIAN RINGGIT</t>
        </is>
      </c>
      <c r="BA94" t="n">
        <v>6461.54</v>
      </c>
      <c r="BB94" t="n">
        <v>6602.1</v>
      </c>
      <c r="BC94" t="inlineStr">
        <is>
          <t>INDIAN RUPEE</t>
        </is>
      </c>
      <c r="BE94" t="n">
        <v>281.75</v>
      </c>
      <c r="BF94" t="n">
        <v>293.87</v>
      </c>
      <c r="BG94" t="inlineStr">
        <is>
          <t>KUWAITI DINAR</t>
        </is>
      </c>
      <c r="BI94" t="n">
        <v>85361.98</v>
      </c>
      <c r="BJ94" t="n">
        <v>89499.13</v>
      </c>
      <c r="BK94" t="inlineStr">
        <is>
          <t>SAUDI RIAL</t>
        </is>
      </c>
      <c r="BM94" t="n">
        <v>6977.24</v>
      </c>
      <c r="BN94" t="n">
        <v>7277.49</v>
      </c>
      <c r="BO94" t="inlineStr">
        <is>
          <t>NORWEGIAN KRONER</t>
        </is>
      </c>
      <c r="BQ94" t="n">
        <v>2652.46</v>
      </c>
      <c r="BR94" t="n">
        <v>2764.92</v>
      </c>
      <c r="BS94" t="inlineStr">
        <is>
          <t>SWEDISH KRONA</t>
        </is>
      </c>
      <c r="BU94" t="n">
        <v>2736.22</v>
      </c>
      <c r="BV94" t="n">
        <v>2852.23</v>
      </c>
      <c r="BW94" t="inlineStr">
        <is>
          <t>DANISH KRONE</t>
        </is>
      </c>
      <c r="BY94" t="n">
        <v>3991.88</v>
      </c>
      <c r="BZ94" t="n">
        <v>4144.51</v>
      </c>
      <c r="CA94" t="inlineStr">
        <is>
          <t>RUSSIAN RUBLE</t>
        </is>
      </c>
      <c r="CC94" t="n">
        <v>312.57</v>
      </c>
      <c r="CD94" t="n">
        <v>346</v>
      </c>
    </row>
    <row r="95">
      <c r="A95" t="inlineStr">
        <is>
          <t>04/04/2026</t>
        </is>
      </c>
      <c r="B95">
        <f>IF(ISNUMBER(A95), A95, DATE(RIGHT(A95,4), MID(A95,4,2), LEFT(A95,2)))</f>
        <v/>
      </c>
      <c r="C95" t="inlineStr">
        <is>
          <t>US DOLLAR</t>
        </is>
      </c>
      <c r="D95" t="n">
        <v>26112</v>
      </c>
      <c r="E95" t="n">
        <v>26142</v>
      </c>
      <c r="F95" t="n">
        <v>26362</v>
      </c>
      <c r="G95" t="inlineStr">
        <is>
          <t>EURO</t>
        </is>
      </c>
      <c r="H95" t="n">
        <v>29605.67</v>
      </c>
      <c r="I95" t="n">
        <v>29904.72</v>
      </c>
      <c r="J95" t="n">
        <v>31166.42</v>
      </c>
      <c r="K95" t="inlineStr">
        <is>
          <t>POUND STERLING</t>
        </is>
      </c>
      <c r="L95" t="n">
        <v>33945.78</v>
      </c>
      <c r="M95" t="n">
        <v>34288.67</v>
      </c>
      <c r="N95" t="n">
        <v>35386.69</v>
      </c>
      <c r="O95" t="inlineStr">
        <is>
          <t>YEN</t>
        </is>
      </c>
      <c r="P95" t="n">
        <v>159.83</v>
      </c>
      <c r="Q95" t="n">
        <v>161.45</v>
      </c>
      <c r="R95" t="n">
        <v>169.98</v>
      </c>
      <c r="S95" t="inlineStr">
        <is>
          <t>AUSTRALIAN DOLLAR</t>
        </is>
      </c>
      <c r="T95" t="n">
        <v>17727.47</v>
      </c>
      <c r="U95" t="n">
        <v>17906.54</v>
      </c>
      <c r="V95" t="n">
        <v>18479.95</v>
      </c>
      <c r="W95" t="inlineStr">
        <is>
          <t>CANADIAN DOLLAR</t>
        </is>
      </c>
      <c r="X95" t="n">
        <v>18441.01</v>
      </c>
      <c r="Y95" t="n">
        <v>18627.28</v>
      </c>
      <c r="Z95" t="n">
        <v>19223.78</v>
      </c>
      <c r="AA95" t="inlineStr">
        <is>
          <t>SWISS FRANC</t>
        </is>
      </c>
      <c r="AB95" t="n">
        <v>32149.94</v>
      </c>
      <c r="AC95" t="n">
        <v>32474.68</v>
      </c>
      <c r="AD95" t="n">
        <v>33514.62</v>
      </c>
      <c r="AE95" t="inlineStr">
        <is>
          <t>SINGAPORE DOLLAR</t>
        </is>
      </c>
      <c r="AF95" t="n">
        <v>19953.67</v>
      </c>
      <c r="AG95" t="n">
        <v>20155.23</v>
      </c>
      <c r="AH95" t="n">
        <v>20842.31</v>
      </c>
      <c r="AI95" t="inlineStr">
        <is>
          <t>YUAN RENMINBI</t>
        </is>
      </c>
      <c r="AJ95" t="n">
        <v>3731.63</v>
      </c>
      <c r="AK95" t="n">
        <v>3769.32</v>
      </c>
      <c r="AL95" t="n">
        <v>3890.02</v>
      </c>
      <c r="AM95" t="inlineStr">
        <is>
          <t>HONGKONG DOLLAR</t>
        </is>
      </c>
      <c r="AN95" t="n">
        <v>3265.76</v>
      </c>
      <c r="AO95" t="n">
        <v>3298.75</v>
      </c>
      <c r="AP95" t="n">
        <v>3424.88</v>
      </c>
      <c r="AQ95" t="inlineStr">
        <is>
          <t>THAILAND BAHT</t>
        </is>
      </c>
      <c r="AR95" t="n">
        <v>711.29</v>
      </c>
      <c r="AS95" t="n">
        <v>790.3200000000001</v>
      </c>
      <c r="AT95" t="n">
        <v>823.83</v>
      </c>
      <c r="AU95" t="inlineStr">
        <is>
          <t>KOREAN WON</t>
        </is>
      </c>
      <c r="AV95" t="n">
        <v>15.09</v>
      </c>
      <c r="AW95" t="n">
        <v>16.77</v>
      </c>
      <c r="AX95" t="n">
        <v>18.19</v>
      </c>
      <c r="AY95" t="inlineStr">
        <is>
          <t>MALAYSIAN RINGGIT</t>
        </is>
      </c>
      <c r="BA95" t="n">
        <v>6461.54</v>
      </c>
      <c r="BB95" t="n">
        <v>6602.1</v>
      </c>
      <c r="BC95" t="inlineStr">
        <is>
          <t>INDIAN RUPEE</t>
        </is>
      </c>
      <c r="BE95" t="n">
        <v>281.75</v>
      </c>
      <c r="BF95" t="n">
        <v>293.87</v>
      </c>
      <c r="BG95" t="inlineStr">
        <is>
          <t>KUWAITI DINAR</t>
        </is>
      </c>
      <c r="BI95" t="n">
        <v>85361.98</v>
      </c>
      <c r="BJ95" t="n">
        <v>89499.13</v>
      </c>
      <c r="BK95" t="inlineStr">
        <is>
          <t>SAUDI RIAL</t>
        </is>
      </c>
      <c r="BM95" t="n">
        <v>6977.24</v>
      </c>
      <c r="BN95" t="n">
        <v>7277.49</v>
      </c>
      <c r="BO95" t="inlineStr">
        <is>
          <t>NORWEGIAN KRONER</t>
        </is>
      </c>
      <c r="BQ95" t="n">
        <v>2652.46</v>
      </c>
      <c r="BR95" t="n">
        <v>2764.92</v>
      </c>
      <c r="BS95" t="inlineStr">
        <is>
          <t>SWEDISH KRONA</t>
        </is>
      </c>
      <c r="BU95" t="n">
        <v>2736.22</v>
      </c>
      <c r="BV95" t="n">
        <v>2852.23</v>
      </c>
      <c r="BW95" t="inlineStr">
        <is>
          <t>DANISH KRONE</t>
        </is>
      </c>
      <c r="BY95" t="n">
        <v>3991.88</v>
      </c>
      <c r="BZ95" t="n">
        <v>4144.51</v>
      </c>
      <c r="CA95" t="inlineStr">
        <is>
          <t>RUSSIAN RUBLE</t>
        </is>
      </c>
      <c r="CC95" t="n">
        <v>312.57</v>
      </c>
      <c r="CD95" t="n">
        <v>346</v>
      </c>
    </row>
    <row r="96">
      <c r="A96" t="inlineStr">
        <is>
          <t>05/04/2026</t>
        </is>
      </c>
      <c r="B96">
        <f>IF(ISNUMBER(A96), A96, DATE(RIGHT(A96,4), MID(A96,4,2), LEFT(A96,2)))</f>
        <v/>
      </c>
      <c r="C96" t="inlineStr">
        <is>
          <t>US DOLLAR</t>
        </is>
      </c>
      <c r="D96" t="n">
        <v>26112</v>
      </c>
      <c r="E96" t="n">
        <v>26142</v>
      </c>
      <c r="F96" t="n">
        <v>26362</v>
      </c>
      <c r="G96" t="inlineStr">
        <is>
          <t>EURO</t>
        </is>
      </c>
      <c r="H96" t="n">
        <v>29605.67</v>
      </c>
      <c r="I96" t="n">
        <v>29904.72</v>
      </c>
      <c r="J96" t="n">
        <v>31166.42</v>
      </c>
      <c r="K96" t="inlineStr">
        <is>
          <t>POUND STERLING</t>
        </is>
      </c>
      <c r="L96" t="n">
        <v>33945.78</v>
      </c>
      <c r="M96" t="n">
        <v>34288.67</v>
      </c>
      <c r="N96" t="n">
        <v>35386.69</v>
      </c>
      <c r="O96" t="inlineStr">
        <is>
          <t>YEN</t>
        </is>
      </c>
      <c r="P96" t="n">
        <v>159.83</v>
      </c>
      <c r="Q96" t="n">
        <v>161.45</v>
      </c>
      <c r="R96" t="n">
        <v>169.98</v>
      </c>
      <c r="S96" t="inlineStr">
        <is>
          <t>AUSTRALIAN DOLLAR</t>
        </is>
      </c>
      <c r="T96" t="n">
        <v>17727.47</v>
      </c>
      <c r="U96" t="n">
        <v>17906.54</v>
      </c>
      <c r="V96" t="n">
        <v>18479.95</v>
      </c>
      <c r="W96" t="inlineStr">
        <is>
          <t>CANADIAN DOLLAR</t>
        </is>
      </c>
      <c r="X96" t="n">
        <v>18441.01</v>
      </c>
      <c r="Y96" t="n">
        <v>18627.28</v>
      </c>
      <c r="Z96" t="n">
        <v>19223.78</v>
      </c>
      <c r="AA96" t="inlineStr">
        <is>
          <t>SWISS FRANC</t>
        </is>
      </c>
      <c r="AB96" t="n">
        <v>32149.94</v>
      </c>
      <c r="AC96" t="n">
        <v>32474.68</v>
      </c>
      <c r="AD96" t="n">
        <v>33514.62</v>
      </c>
      <c r="AE96" t="inlineStr">
        <is>
          <t>SINGAPORE DOLLAR</t>
        </is>
      </c>
      <c r="AF96" t="n">
        <v>19953.67</v>
      </c>
      <c r="AG96" t="n">
        <v>20155.23</v>
      </c>
      <c r="AH96" t="n">
        <v>20842.31</v>
      </c>
      <c r="AI96" t="inlineStr">
        <is>
          <t>YUAN RENMINBI</t>
        </is>
      </c>
      <c r="AJ96" t="n">
        <v>3731.63</v>
      </c>
      <c r="AK96" t="n">
        <v>3769.32</v>
      </c>
      <c r="AL96" t="n">
        <v>3890.02</v>
      </c>
      <c r="AM96" t="inlineStr">
        <is>
          <t>HONGKONG DOLLAR</t>
        </is>
      </c>
      <c r="AN96" t="n">
        <v>3265.76</v>
      </c>
      <c r="AO96" t="n">
        <v>3298.75</v>
      </c>
      <c r="AP96" t="n">
        <v>3424.88</v>
      </c>
      <c r="AQ96" t="inlineStr">
        <is>
          <t>THAILAND BAHT</t>
        </is>
      </c>
      <c r="AR96" t="n">
        <v>711.29</v>
      </c>
      <c r="AS96" t="n">
        <v>790.3200000000001</v>
      </c>
      <c r="AT96" t="n">
        <v>823.83</v>
      </c>
      <c r="AU96" t="inlineStr">
        <is>
          <t>KOREAN WON</t>
        </is>
      </c>
      <c r="AV96" t="n">
        <v>15.09</v>
      </c>
      <c r="AW96" t="n">
        <v>16.77</v>
      </c>
      <c r="AX96" t="n">
        <v>18.19</v>
      </c>
      <c r="AY96" t="inlineStr">
        <is>
          <t>MALAYSIAN RINGGIT</t>
        </is>
      </c>
      <c r="BA96" t="n">
        <v>6461.54</v>
      </c>
      <c r="BB96" t="n">
        <v>6602.1</v>
      </c>
      <c r="BC96" t="inlineStr">
        <is>
          <t>INDIAN RUPEE</t>
        </is>
      </c>
      <c r="BE96" t="n">
        <v>281.75</v>
      </c>
      <c r="BF96" t="n">
        <v>293.87</v>
      </c>
      <c r="BG96" t="inlineStr">
        <is>
          <t>KUWAITI DINAR</t>
        </is>
      </c>
      <c r="BI96" t="n">
        <v>85361.98</v>
      </c>
      <c r="BJ96" t="n">
        <v>89499.13</v>
      </c>
      <c r="BK96" t="inlineStr">
        <is>
          <t>SAUDI RIAL</t>
        </is>
      </c>
      <c r="BM96" t="n">
        <v>6977.24</v>
      </c>
      <c r="BN96" t="n">
        <v>7277.49</v>
      </c>
      <c r="BO96" t="inlineStr">
        <is>
          <t>NORWEGIAN KRONER</t>
        </is>
      </c>
      <c r="BQ96" t="n">
        <v>2652.46</v>
      </c>
      <c r="BR96" t="n">
        <v>2764.92</v>
      </c>
      <c r="BS96" t="inlineStr">
        <is>
          <t>SWEDISH KRONA</t>
        </is>
      </c>
      <c r="BU96" t="n">
        <v>2736.22</v>
      </c>
      <c r="BV96" t="n">
        <v>2852.23</v>
      </c>
      <c r="BW96" t="inlineStr">
        <is>
          <t>DANISH KRONE</t>
        </is>
      </c>
      <c r="BY96" t="n">
        <v>3991.88</v>
      </c>
      <c r="BZ96" t="n">
        <v>4144.51</v>
      </c>
      <c r="CA96" t="inlineStr">
        <is>
          <t>RUSSIAN RUBLE</t>
        </is>
      </c>
      <c r="CC96" t="n">
        <v>312.57</v>
      </c>
      <c r="CD96" t="n">
        <v>346</v>
      </c>
    </row>
    <row r="97">
      <c r="A97" t="inlineStr">
        <is>
          <t>06/04/2026</t>
        </is>
      </c>
      <c r="B97">
        <f>IF(ISNUMBER(A97), A97, DATE(RIGHT(A97,4), MID(A97,4,2), LEFT(A97,2)))</f>
        <v/>
      </c>
      <c r="C97" t="inlineStr">
        <is>
          <t>US DOLLAR</t>
        </is>
      </c>
      <c r="D97" t="n">
        <v>26111</v>
      </c>
      <c r="E97" t="n">
        <v>26141</v>
      </c>
      <c r="F97" t="n">
        <v>26361</v>
      </c>
      <c r="G97" t="inlineStr">
        <is>
          <t>EURO</t>
        </is>
      </c>
      <c r="H97" t="n">
        <v>29549.21</v>
      </c>
      <c r="I97" t="n">
        <v>29847.68</v>
      </c>
      <c r="J97" t="n">
        <v>31106.97</v>
      </c>
      <c r="K97" t="inlineStr">
        <is>
          <t>POUND STERLING</t>
        </is>
      </c>
      <c r="L97" t="n">
        <v>33868.78</v>
      </c>
      <c r="M97" t="n">
        <v>34210.89</v>
      </c>
      <c r="N97" t="n">
        <v>35306.43</v>
      </c>
      <c r="O97" t="inlineStr">
        <is>
          <t>YEN</t>
        </is>
      </c>
      <c r="P97" t="n">
        <v>159.22</v>
      </c>
      <c r="Q97" t="n">
        <v>160.83</v>
      </c>
      <c r="R97" t="n">
        <v>169.33</v>
      </c>
      <c r="S97" t="inlineStr">
        <is>
          <t>AUSTRALIAN DOLLAR</t>
        </is>
      </c>
      <c r="T97" t="n">
        <v>17694.1</v>
      </c>
      <c r="U97" t="n">
        <v>17872.83</v>
      </c>
      <c r="V97" t="n">
        <v>18445.17</v>
      </c>
      <c r="W97" t="inlineStr">
        <is>
          <t>CANADIAN DOLLAR</t>
        </is>
      </c>
      <c r="X97" t="n">
        <v>18414.55</v>
      </c>
      <c r="Y97" t="n">
        <v>18600.56</v>
      </c>
      <c r="Z97" t="n">
        <v>19196.2</v>
      </c>
      <c r="AA97" t="inlineStr">
        <is>
          <t>SWISS FRANC</t>
        </is>
      </c>
      <c r="AB97" t="n">
        <v>32053.59</v>
      </c>
      <c r="AC97" t="n">
        <v>32377.37</v>
      </c>
      <c r="AD97" t="n">
        <v>33414.19</v>
      </c>
      <c r="AE97" t="inlineStr">
        <is>
          <t>SINGAPORE DOLLAR</t>
        </is>
      </c>
      <c r="AF97" t="n">
        <v>19925.77</v>
      </c>
      <c r="AG97" t="n">
        <v>20127.04</v>
      </c>
      <c r="AH97" t="n">
        <v>20813.16</v>
      </c>
      <c r="AI97" t="inlineStr">
        <is>
          <t>YUAN RENMINBI</t>
        </is>
      </c>
      <c r="AJ97" t="n">
        <v>3730.05</v>
      </c>
      <c r="AK97" t="n">
        <v>3767.73</v>
      </c>
      <c r="AL97" t="n">
        <v>3888.39</v>
      </c>
      <c r="AM97" t="inlineStr">
        <is>
          <t>HONGKONG DOLLAR</t>
        </is>
      </c>
      <c r="AN97" t="n">
        <v>3265.85</v>
      </c>
      <c r="AO97" t="n">
        <v>3298.83</v>
      </c>
      <c r="AP97" t="n">
        <v>3424.97</v>
      </c>
      <c r="AQ97" t="inlineStr">
        <is>
          <t>THAILAND BAHT</t>
        </is>
      </c>
      <c r="AR97" t="n">
        <v>710.63</v>
      </c>
      <c r="AS97" t="n">
        <v>789.59</v>
      </c>
      <c r="AT97" t="n">
        <v>823.0700000000001</v>
      </c>
      <c r="AU97" t="inlineStr">
        <is>
          <t>KOREAN WON</t>
        </is>
      </c>
      <c r="AV97" t="n">
        <v>15.09</v>
      </c>
      <c r="AW97" t="n">
        <v>16.77</v>
      </c>
      <c r="AX97" t="n">
        <v>18.2</v>
      </c>
      <c r="AY97" t="inlineStr">
        <is>
          <t>MALAYSIAN RINGGIT</t>
        </is>
      </c>
      <c r="BA97" t="n">
        <v>6469.56</v>
      </c>
      <c r="BB97" t="n">
        <v>6610.29</v>
      </c>
      <c r="BC97" t="inlineStr">
        <is>
          <t>INDIAN RUPEE</t>
        </is>
      </c>
      <c r="BE97" t="n">
        <v>282.54</v>
      </c>
      <c r="BF97" t="n">
        <v>294.7</v>
      </c>
      <c r="BG97" t="inlineStr">
        <is>
          <t>KUWAITI DINAR</t>
        </is>
      </c>
      <c r="BI97" t="n">
        <v>85334.16</v>
      </c>
      <c r="BJ97" t="n">
        <v>89469.97</v>
      </c>
      <c r="BK97" t="inlineStr">
        <is>
          <t>SAUDI RIAL</t>
        </is>
      </c>
      <c r="BM97" t="n">
        <v>6975.38</v>
      </c>
      <c r="BN97" t="n">
        <v>7275.55</v>
      </c>
      <c r="BO97" t="inlineStr">
        <is>
          <t>NORWEGIAN KRONER</t>
        </is>
      </c>
      <c r="BQ97" t="n">
        <v>2639.11</v>
      </c>
      <c r="BR97" t="n">
        <v>2751.01</v>
      </c>
      <c r="BS97" t="inlineStr">
        <is>
          <t>SWEDISH KRONA</t>
        </is>
      </c>
      <c r="BU97" t="n">
        <v>2721.99</v>
      </c>
      <c r="BV97" t="n">
        <v>2837.4</v>
      </c>
      <c r="BW97" t="inlineStr">
        <is>
          <t>DANISH KRONE</t>
        </is>
      </c>
      <c r="BY97" t="n">
        <v>3983.76</v>
      </c>
      <c r="BZ97" t="n">
        <v>4136.08</v>
      </c>
      <c r="CA97" t="inlineStr">
        <is>
          <t>RUSSIAN RUBLE</t>
        </is>
      </c>
      <c r="CC97" t="n">
        <v>313.33</v>
      </c>
      <c r="CD97" t="n">
        <v>346.84</v>
      </c>
    </row>
    <row r="98">
      <c r="A98" t="inlineStr">
        <is>
          <t>07/04/2026</t>
        </is>
      </c>
      <c r="B98">
        <f>IF(ISNUMBER(A98), A98, DATE(RIGHT(A98,4), MID(A98,4,2), LEFT(A98,2)))</f>
        <v/>
      </c>
      <c r="C98" t="inlineStr">
        <is>
          <t>US DOLLAR</t>
        </is>
      </c>
      <c r="D98" t="n">
        <v>26113</v>
      </c>
      <c r="E98" t="n">
        <v>26143</v>
      </c>
      <c r="F98" t="n">
        <v>26363</v>
      </c>
      <c r="G98" t="inlineStr">
        <is>
          <t>EURO</t>
        </is>
      </c>
      <c r="H98" t="n">
        <v>29703.51</v>
      </c>
      <c r="I98" t="n">
        <v>30003.55</v>
      </c>
      <c r="J98" t="n">
        <v>31269.42</v>
      </c>
      <c r="K98" t="inlineStr">
        <is>
          <t>POUND STERLING</t>
        </is>
      </c>
      <c r="L98" t="n">
        <v>34086.92</v>
      </c>
      <c r="M98" t="n">
        <v>34431.23</v>
      </c>
      <c r="N98" t="n">
        <v>35533.83</v>
      </c>
      <c r="O98" t="inlineStr">
        <is>
          <t>YEN</t>
        </is>
      </c>
      <c r="P98" t="n">
        <v>159.41</v>
      </c>
      <c r="Q98" t="n">
        <v>161.02</v>
      </c>
      <c r="R98" t="n">
        <v>169.53</v>
      </c>
      <c r="S98" t="inlineStr">
        <is>
          <t>AUSTRALIAN DOLLAR</t>
        </is>
      </c>
      <c r="T98" t="n">
        <v>17823.65</v>
      </c>
      <c r="U98" t="n">
        <v>18003.68</v>
      </c>
      <c r="V98" t="n">
        <v>18580.22</v>
      </c>
      <c r="W98" t="inlineStr">
        <is>
          <t>CANADIAN DOLLAR</t>
        </is>
      </c>
      <c r="X98" t="n">
        <v>18456.84</v>
      </c>
      <c r="Y98" t="n">
        <v>18643.27</v>
      </c>
      <c r="Z98" t="n">
        <v>19240.29</v>
      </c>
      <c r="AA98" t="inlineStr">
        <is>
          <t>SWISS FRANC</t>
        </is>
      </c>
      <c r="AB98" t="n">
        <v>32171.67</v>
      </c>
      <c r="AC98" t="n">
        <v>32496.63</v>
      </c>
      <c r="AD98" t="n">
        <v>33537.27</v>
      </c>
      <c r="AE98" t="inlineStr">
        <is>
          <t>SINGAPORE DOLLAR</t>
        </is>
      </c>
      <c r="AF98" t="n">
        <v>19998.84</v>
      </c>
      <c r="AG98" t="n">
        <v>20200.84</v>
      </c>
      <c r="AH98" t="n">
        <v>20889.48</v>
      </c>
      <c r="AI98" t="inlineStr">
        <is>
          <t>YUAN RENMINBI</t>
        </is>
      </c>
      <c r="AJ98" t="n">
        <v>3744.3</v>
      </c>
      <c r="AK98" t="n">
        <v>3782.12</v>
      </c>
      <c r="AL98" t="n">
        <v>3903.23</v>
      </c>
      <c r="AM98" t="inlineStr">
        <is>
          <t>HONGKONG DOLLAR</t>
        </is>
      </c>
      <c r="AN98" t="n">
        <v>3266.43</v>
      </c>
      <c r="AO98" t="n">
        <v>3299.43</v>
      </c>
      <c r="AP98" t="n">
        <v>3425.58</v>
      </c>
      <c r="AQ98" t="inlineStr">
        <is>
          <t>THAILAND BAHT</t>
        </is>
      </c>
      <c r="AR98" t="n">
        <v>715.4</v>
      </c>
      <c r="AS98" t="n">
        <v>794.88</v>
      </c>
      <c r="AT98" t="n">
        <v>828.59</v>
      </c>
      <c r="AU98" t="inlineStr">
        <is>
          <t>KOREAN WON</t>
        </is>
      </c>
      <c r="AV98" t="n">
        <v>15.23</v>
      </c>
      <c r="AW98" t="n">
        <v>16.92</v>
      </c>
      <c r="AX98" t="n">
        <v>18.36</v>
      </c>
      <c r="AY98" t="inlineStr">
        <is>
          <t>MALAYSIAN RINGGIT</t>
        </is>
      </c>
      <c r="BA98" t="n">
        <v>6470.68</v>
      </c>
      <c r="BB98" t="n">
        <v>6611.43</v>
      </c>
      <c r="BC98" t="inlineStr">
        <is>
          <t>INDIAN RUPEE</t>
        </is>
      </c>
      <c r="BE98" t="n">
        <v>281.87</v>
      </c>
      <c r="BF98" t="n">
        <v>294</v>
      </c>
      <c r="BG98" t="inlineStr">
        <is>
          <t>KUWAITI DINAR</t>
        </is>
      </c>
      <c r="BI98" t="n">
        <v>85327.67999999999</v>
      </c>
      <c r="BJ98" t="n">
        <v>89463.17999999999</v>
      </c>
      <c r="BK98" t="inlineStr">
        <is>
          <t>SAUDI RIAL</t>
        </is>
      </c>
      <c r="BM98" t="n">
        <v>6974.48</v>
      </c>
      <c r="BN98" t="n">
        <v>7274.61</v>
      </c>
      <c r="BO98" t="inlineStr">
        <is>
          <t>NORWEGIAN KRONER</t>
        </is>
      </c>
      <c r="BQ98" t="n">
        <v>2670.29</v>
      </c>
      <c r="BR98" t="n">
        <v>2783.51</v>
      </c>
      <c r="BS98" t="inlineStr">
        <is>
          <t>SWEDISH KRONA</t>
        </is>
      </c>
      <c r="BU98" t="n">
        <v>2730.45</v>
      </c>
      <c r="BV98" t="n">
        <v>2846.22</v>
      </c>
      <c r="BW98" t="inlineStr">
        <is>
          <t>DANISH KRONE</t>
        </is>
      </c>
      <c r="BY98" t="n">
        <v>4005.06</v>
      </c>
      <c r="BZ98" t="n">
        <v>4158.19</v>
      </c>
      <c r="CA98" t="inlineStr">
        <is>
          <t>RUSSIAN RUBLE</t>
        </is>
      </c>
      <c r="CC98" t="n">
        <v>318.69</v>
      </c>
      <c r="CD98" t="n">
        <v>352.77</v>
      </c>
    </row>
    <row r="99">
      <c r="A99" t="inlineStr">
        <is>
          <t>08/04/2026</t>
        </is>
      </c>
      <c r="B99">
        <f>IF(ISNUMBER(A99), A99, DATE(RIGHT(A99,4), MID(A99,4,2), LEFT(A99,2)))</f>
        <v/>
      </c>
      <c r="C99" t="inlineStr">
        <is>
          <t>US DOLLAR</t>
        </is>
      </c>
      <c r="D99" t="n">
        <v>26111</v>
      </c>
      <c r="E99" t="n">
        <v>26141</v>
      </c>
      <c r="F99" t="n">
        <v>26361</v>
      </c>
      <c r="G99" t="inlineStr">
        <is>
          <t>EURO</t>
        </is>
      </c>
      <c r="H99" t="n">
        <v>29939.33</v>
      </c>
      <c r="I99" t="n">
        <v>30241.75</v>
      </c>
      <c r="J99" t="n">
        <v>31517.66</v>
      </c>
      <c r="K99" t="inlineStr">
        <is>
          <t>POUND STERLING</t>
        </is>
      </c>
      <c r="L99" t="n">
        <v>34341.04</v>
      </c>
      <c r="M99" t="n">
        <v>34687.92</v>
      </c>
      <c r="N99" t="n">
        <v>35798.73</v>
      </c>
      <c r="O99" t="inlineStr">
        <is>
          <t>YEN</t>
        </is>
      </c>
      <c r="P99" t="n">
        <v>160.22</v>
      </c>
      <c r="Q99" t="n">
        <v>161.84</v>
      </c>
      <c r="R99" t="n">
        <v>170.4</v>
      </c>
      <c r="S99" t="inlineStr">
        <is>
          <t>AUSTRALIAN DOLLAR</t>
        </is>
      </c>
      <c r="T99" t="n">
        <v>18107.33</v>
      </c>
      <c r="U99" t="n">
        <v>18290.23</v>
      </c>
      <c r="V99" t="n">
        <v>18875.93</v>
      </c>
      <c r="W99" t="inlineStr">
        <is>
          <t>CANADIAN DOLLAR</t>
        </is>
      </c>
      <c r="X99" t="n">
        <v>18535.54</v>
      </c>
      <c r="Y99" t="n">
        <v>18722.77</v>
      </c>
      <c r="Z99" t="n">
        <v>19322.33</v>
      </c>
      <c r="AA99" t="inlineStr">
        <is>
          <t>SWISS FRANC</t>
        </is>
      </c>
      <c r="AB99" t="n">
        <v>32438.37</v>
      </c>
      <c r="AC99" t="n">
        <v>32766.03</v>
      </c>
      <c r="AD99" t="n">
        <v>33815.29</v>
      </c>
      <c r="AE99" t="inlineStr">
        <is>
          <t>SINGAPORE DOLLAR</t>
        </is>
      </c>
      <c r="AF99" t="n">
        <v>20094.38</v>
      </c>
      <c r="AG99" t="n">
        <v>20297.35</v>
      </c>
      <c r="AH99" t="n">
        <v>20989.28</v>
      </c>
      <c r="AI99" t="inlineStr">
        <is>
          <t>YUAN RENMINBI</t>
        </is>
      </c>
      <c r="AJ99" t="n">
        <v>3744.03</v>
      </c>
      <c r="AK99" t="n">
        <v>3781.85</v>
      </c>
      <c r="AL99" t="n">
        <v>3902.96</v>
      </c>
      <c r="AM99" t="inlineStr">
        <is>
          <t>HONGKONG DOLLAR</t>
        </is>
      </c>
      <c r="AN99" t="n">
        <v>3267.01</v>
      </c>
      <c r="AO99" t="n">
        <v>3300.01</v>
      </c>
      <c r="AP99" t="n">
        <v>3426.19</v>
      </c>
      <c r="AQ99" t="inlineStr">
        <is>
          <t>THAILAND BAHT</t>
        </is>
      </c>
      <c r="AR99" t="n">
        <v>722.5700000000001</v>
      </c>
      <c r="AS99" t="n">
        <v>802.86</v>
      </c>
      <c r="AT99" t="n">
        <v>836.9</v>
      </c>
      <c r="AU99" t="inlineStr">
        <is>
          <t>KOREAN WON</t>
        </is>
      </c>
      <c r="AV99" t="n">
        <v>15.4</v>
      </c>
      <c r="AW99" t="n">
        <v>17.11</v>
      </c>
      <c r="AX99" t="n">
        <v>18.56</v>
      </c>
      <c r="AY99" t="inlineStr">
        <is>
          <t>MALAYSIAN RINGGIT</t>
        </is>
      </c>
      <c r="BA99" t="n">
        <v>6519.74</v>
      </c>
      <c r="BB99" t="n">
        <v>6661.56</v>
      </c>
      <c r="BC99" t="inlineStr">
        <is>
          <t>INDIAN RUPEE</t>
        </is>
      </c>
      <c r="BE99" t="n">
        <v>282.06</v>
      </c>
      <c r="BF99" t="n">
        <v>294.2</v>
      </c>
      <c r="BG99" t="inlineStr">
        <is>
          <t>KUWAITI DINAR</t>
        </is>
      </c>
      <c r="BI99" t="n">
        <v>85334.16</v>
      </c>
      <c r="BJ99" t="n">
        <v>89469.97</v>
      </c>
      <c r="BK99" t="inlineStr">
        <is>
          <t>SAUDI RIAL</t>
        </is>
      </c>
      <c r="BM99" t="n">
        <v>6974.63</v>
      </c>
      <c r="BN99" t="n">
        <v>7274.78</v>
      </c>
      <c r="BO99" t="inlineStr">
        <is>
          <t>NORWEGIAN KRONER</t>
        </is>
      </c>
      <c r="BQ99" t="n">
        <v>2695.49</v>
      </c>
      <c r="BR99" t="n">
        <v>2809.77</v>
      </c>
      <c r="BS99" t="inlineStr">
        <is>
          <t>SWEDISH KRONA</t>
        </is>
      </c>
      <c r="BU99" t="n">
        <v>2761.55</v>
      </c>
      <c r="BV99" t="n">
        <v>2878.63</v>
      </c>
      <c r="BW99" t="inlineStr">
        <is>
          <t>DANISH KRONE</t>
        </is>
      </c>
      <c r="BY99" t="n">
        <v>4036.88</v>
      </c>
      <c r="BZ99" t="n">
        <v>4191.23</v>
      </c>
      <c r="CA99" t="inlineStr">
        <is>
          <t>RUSSIAN RUBLE</t>
        </is>
      </c>
      <c r="CC99" t="n">
        <v>319.64</v>
      </c>
      <c r="CD99" t="n">
        <v>353.83</v>
      </c>
    </row>
    <row r="100">
      <c r="A100" t="inlineStr">
        <is>
          <t>09/04/2026</t>
        </is>
      </c>
      <c r="B100">
        <f>IF(ISNUMBER(A100), A100, DATE(RIGHT(A100,4), MID(A100,4,2), LEFT(A100,2)))</f>
        <v/>
      </c>
      <c r="C100" t="inlineStr">
        <is>
          <t>US DOLLAR</t>
        </is>
      </c>
      <c r="D100" t="n">
        <v>26087</v>
      </c>
      <c r="E100" t="n">
        <v>26117</v>
      </c>
      <c r="F100" t="n">
        <v>26357</v>
      </c>
      <c r="G100" t="inlineStr">
        <is>
          <t>EURO</t>
        </is>
      </c>
      <c r="H100" t="n">
        <v>29903.75</v>
      </c>
      <c r="I100" t="n">
        <v>30205.81</v>
      </c>
      <c r="J100" t="n">
        <v>31480.25</v>
      </c>
      <c r="K100" t="inlineStr">
        <is>
          <t>POUND STERLING</t>
        </is>
      </c>
      <c r="L100" t="n">
        <v>34327.77</v>
      </c>
      <c r="M100" t="n">
        <v>34674.51</v>
      </c>
      <c r="N100" t="n">
        <v>35784.93</v>
      </c>
      <c r="O100" t="inlineStr">
        <is>
          <t>YEN</t>
        </is>
      </c>
      <c r="P100" t="n">
        <v>159.86</v>
      </c>
      <c r="Q100" t="n">
        <v>161.48</v>
      </c>
      <c r="R100" t="n">
        <v>170.02</v>
      </c>
      <c r="S100" t="inlineStr">
        <is>
          <t>AUSTRALIAN DOLLAR</t>
        </is>
      </c>
      <c r="T100" t="n">
        <v>18032.02</v>
      </c>
      <c r="U100" t="n">
        <v>18214.16</v>
      </c>
      <c r="V100" t="n">
        <v>18797.45</v>
      </c>
      <c r="W100" t="inlineStr">
        <is>
          <t>CANADIAN DOLLAR</t>
        </is>
      </c>
      <c r="X100" t="n">
        <v>18512.1</v>
      </c>
      <c r="Y100" t="n">
        <v>18699.09</v>
      </c>
      <c r="Z100" t="n">
        <v>19297.91</v>
      </c>
      <c r="AA100" t="inlineStr">
        <is>
          <t>SWISS FRANC</t>
        </is>
      </c>
      <c r="AB100" t="n">
        <v>32434.21</v>
      </c>
      <c r="AC100" t="n">
        <v>32761.83</v>
      </c>
      <c r="AD100" t="n">
        <v>33811</v>
      </c>
      <c r="AE100" t="inlineStr">
        <is>
          <t>SINGAPORE DOLLAR</t>
        </is>
      </c>
      <c r="AF100" t="n">
        <v>20102.74</v>
      </c>
      <c r="AG100" t="n">
        <v>20305.79</v>
      </c>
      <c r="AH100" t="n">
        <v>20998.03</v>
      </c>
      <c r="AI100" t="inlineStr">
        <is>
          <t>YUAN RENMINBI</t>
        </is>
      </c>
      <c r="AJ100" t="n">
        <v>3752.52</v>
      </c>
      <c r="AK100" t="n">
        <v>3790.42</v>
      </c>
      <c r="AL100" t="n">
        <v>3911.81</v>
      </c>
      <c r="AM100" t="inlineStr">
        <is>
          <t>HONGKONG DOLLAR</t>
        </is>
      </c>
      <c r="AN100" t="n">
        <v>3264.99</v>
      </c>
      <c r="AO100" t="n">
        <v>3297.97</v>
      </c>
      <c r="AP100" t="n">
        <v>3424.07</v>
      </c>
      <c r="AQ100" t="inlineStr">
        <is>
          <t>THAILAND BAHT</t>
        </is>
      </c>
      <c r="AR100" t="n">
        <v>724.28</v>
      </c>
      <c r="AS100" t="n">
        <v>804.75</v>
      </c>
      <c r="AT100" t="n">
        <v>838.87</v>
      </c>
      <c r="AU100" t="inlineStr">
        <is>
          <t>KOREAN WON</t>
        </is>
      </c>
      <c r="AV100" t="n">
        <v>15.37</v>
      </c>
      <c r="AW100" t="n">
        <v>17.07</v>
      </c>
      <c r="AX100" t="n">
        <v>18.52</v>
      </c>
      <c r="AY100" t="inlineStr">
        <is>
          <t>MALAYSIAN RINGGIT</t>
        </is>
      </c>
      <c r="BA100" t="n">
        <v>6537.69</v>
      </c>
      <c r="BB100" t="n">
        <v>6679.9</v>
      </c>
      <c r="BC100" t="inlineStr">
        <is>
          <t>INDIAN RUPEE</t>
        </is>
      </c>
      <c r="BE100" t="n">
        <v>282.31</v>
      </c>
      <c r="BF100" t="n">
        <v>294.46</v>
      </c>
      <c r="BG100" t="inlineStr">
        <is>
          <t>KUWAITI DINAR</t>
        </is>
      </c>
      <c r="BI100" t="n">
        <v>85408.47</v>
      </c>
      <c r="BJ100" t="n">
        <v>89547.98</v>
      </c>
      <c r="BK100" t="inlineStr">
        <is>
          <t>SAUDI RIAL</t>
        </is>
      </c>
      <c r="BM100" t="n">
        <v>6973.79</v>
      </c>
      <c r="BN100" t="n">
        <v>7273.91</v>
      </c>
      <c r="BO100" t="inlineStr">
        <is>
          <t>NORWEGIAN KRONER</t>
        </is>
      </c>
      <c r="BQ100" t="n">
        <v>2699.36</v>
      </c>
      <c r="BR100" t="n">
        <v>2813.81</v>
      </c>
      <c r="BS100" t="inlineStr">
        <is>
          <t>SWEDISH KRONA</t>
        </is>
      </c>
      <c r="BU100" t="n">
        <v>2768.07</v>
      </c>
      <c r="BV100" t="n">
        <v>2885.44</v>
      </c>
      <c r="BW100" t="inlineStr">
        <is>
          <t>DANISH KRONE</t>
        </is>
      </c>
      <c r="BY100" t="n">
        <v>4031.61</v>
      </c>
      <c r="BZ100" t="n">
        <v>4185.77</v>
      </c>
      <c r="CA100" t="inlineStr">
        <is>
          <t>RUSSIAN RUBLE</t>
        </is>
      </c>
      <c r="CC100" t="n">
        <v>320.51</v>
      </c>
      <c r="CD100" t="n">
        <v>354.78</v>
      </c>
    </row>
    <row r="101">
      <c r="A101" t="inlineStr">
        <is>
          <t>10/04/2026</t>
        </is>
      </c>
      <c r="B101">
        <f>IF(ISNUMBER(A101), A101, DATE(RIGHT(A101,4), MID(A101,4,2), LEFT(A101,2)))</f>
        <v/>
      </c>
      <c r="C101" t="inlineStr">
        <is>
          <t>US DOLLAR</t>
        </is>
      </c>
      <c r="D101" t="n">
        <v>26100</v>
      </c>
      <c r="E101" t="n">
        <v>26130</v>
      </c>
      <c r="F101" t="n">
        <v>26360</v>
      </c>
      <c r="G101" t="inlineStr">
        <is>
          <t>EURO</t>
        </is>
      </c>
      <c r="H101" t="n">
        <v>29984.4</v>
      </c>
      <c r="I101" t="n">
        <v>30287.27</v>
      </c>
      <c r="J101" t="n">
        <v>31565.13</v>
      </c>
      <c r="K101" t="inlineStr">
        <is>
          <t>POUND STERLING</t>
        </is>
      </c>
      <c r="L101" t="n">
        <v>34435.75</v>
      </c>
      <c r="M101" t="n">
        <v>34783.58</v>
      </c>
      <c r="N101" t="n">
        <v>35897.47</v>
      </c>
      <c r="O101" t="inlineStr">
        <is>
          <t>YEN</t>
        </is>
      </c>
      <c r="P101" t="n">
        <v>159.6</v>
      </c>
      <c r="Q101" t="n">
        <v>161.21</v>
      </c>
      <c r="R101" t="n">
        <v>169.74</v>
      </c>
      <c r="S101" t="inlineStr">
        <is>
          <t>AUSTRALIAN DOLLAR</t>
        </is>
      </c>
      <c r="T101" t="n">
        <v>18141.5</v>
      </c>
      <c r="U101" t="n">
        <v>18324.74</v>
      </c>
      <c r="V101" t="n">
        <v>18911.57</v>
      </c>
      <c r="W101" t="inlineStr">
        <is>
          <t>CANADIAN DOLLAR</t>
        </is>
      </c>
      <c r="X101" t="n">
        <v>18564.69</v>
      </c>
      <c r="Y101" t="n">
        <v>18752.21</v>
      </c>
      <c r="Z101" t="n">
        <v>19352.72</v>
      </c>
      <c r="AA101" t="inlineStr">
        <is>
          <t>SWISS FRANC</t>
        </is>
      </c>
      <c r="AB101" t="n">
        <v>32442.44</v>
      </c>
      <c r="AC101" t="n">
        <v>32770.14</v>
      </c>
      <c r="AD101" t="n">
        <v>33819.56</v>
      </c>
      <c r="AE101" t="inlineStr">
        <is>
          <t>SINGAPORE DOLLAR</t>
        </is>
      </c>
      <c r="AF101" t="n">
        <v>20137.23</v>
      </c>
      <c r="AG101" t="n">
        <v>20340.64</v>
      </c>
      <c r="AH101" t="n">
        <v>21034.05</v>
      </c>
      <c r="AI101" t="inlineStr">
        <is>
          <t>YUAN RENMINBI</t>
        </is>
      </c>
      <c r="AJ101" t="n">
        <v>3756.47</v>
      </c>
      <c r="AK101" t="n">
        <v>3794.42</v>
      </c>
      <c r="AL101" t="n">
        <v>3915.93</v>
      </c>
      <c r="AM101" t="inlineStr">
        <is>
          <t>HONGKONG DOLLAR</t>
        </is>
      </c>
      <c r="AN101" t="n">
        <v>3266.27</v>
      </c>
      <c r="AO101" t="n">
        <v>3299.27</v>
      </c>
      <c r="AP101" t="n">
        <v>3425.42</v>
      </c>
      <c r="AQ101" t="inlineStr">
        <is>
          <t>THAILAND BAHT</t>
        </is>
      </c>
      <c r="AR101" t="n">
        <v>723.65</v>
      </c>
      <c r="AS101" t="n">
        <v>804.0599999999999</v>
      </c>
      <c r="AT101" t="n">
        <v>838.15</v>
      </c>
      <c r="AU101" t="inlineStr">
        <is>
          <t>KOREAN WON</t>
        </is>
      </c>
      <c r="AV101" t="n">
        <v>15.41</v>
      </c>
      <c r="AW101" t="n">
        <v>17.12</v>
      </c>
      <c r="AX101" t="n">
        <v>18.57</v>
      </c>
      <c r="AY101" t="inlineStr">
        <is>
          <t>MALAYSIAN RINGGIT</t>
        </is>
      </c>
      <c r="BA101" t="n">
        <v>6561.59</v>
      </c>
      <c r="BB101" t="n">
        <v>6704.32</v>
      </c>
      <c r="BC101" t="inlineStr">
        <is>
          <t>INDIAN RUPEE</t>
        </is>
      </c>
      <c r="BE101" t="n">
        <v>283.17</v>
      </c>
      <c r="BF101" t="n">
        <v>295.36</v>
      </c>
      <c r="BG101" t="inlineStr">
        <is>
          <t>KUWAITI DINAR</t>
        </is>
      </c>
      <c r="BI101" t="n">
        <v>85440.94</v>
      </c>
      <c r="BJ101" t="n">
        <v>89581.97</v>
      </c>
      <c r="BK101" t="inlineStr">
        <is>
          <t>SAUDI RIAL</t>
        </is>
      </c>
      <c r="BM101" t="n">
        <v>6976.26</v>
      </c>
      <c r="BN101" t="n">
        <v>7276.47</v>
      </c>
      <c r="BO101" t="inlineStr">
        <is>
          <t>NORWEGIAN KRONER</t>
        </is>
      </c>
      <c r="BQ101" t="n">
        <v>2715.68</v>
      </c>
      <c r="BR101" t="n">
        <v>2830.83</v>
      </c>
      <c r="BS101" t="inlineStr">
        <is>
          <t>SWEDISH KRONA</t>
        </is>
      </c>
      <c r="BU101" t="n">
        <v>2773.68</v>
      </c>
      <c r="BV101" t="n">
        <v>2891.28</v>
      </c>
      <c r="BW101" t="inlineStr">
        <is>
          <t>DANISH KRONE</t>
        </is>
      </c>
      <c r="BY101" t="n">
        <v>4042.8</v>
      </c>
      <c r="BZ101" t="n">
        <v>4197.38</v>
      </c>
      <c r="CA101" t="inlineStr">
        <is>
          <t>RUSSIAN RUBLE</t>
        </is>
      </c>
      <c r="CC101" t="n">
        <v>322.82</v>
      </c>
      <c r="CD101" t="n">
        <v>357.34</v>
      </c>
    </row>
    <row r="102">
      <c r="A102" t="inlineStr">
        <is>
          <t>11/04/2026</t>
        </is>
      </c>
      <c r="B102">
        <f>IF(ISNUMBER(A102), A102, DATE(RIGHT(A102,4), MID(A102,4,2), LEFT(A102,2)))</f>
        <v/>
      </c>
      <c r="C102" t="inlineStr">
        <is>
          <t>US DOLLAR</t>
        </is>
      </c>
      <c r="D102" t="n">
        <v>26100</v>
      </c>
      <c r="E102" t="n">
        <v>26130</v>
      </c>
      <c r="F102" t="n">
        <v>26360</v>
      </c>
      <c r="G102" t="inlineStr">
        <is>
          <t>EURO</t>
        </is>
      </c>
      <c r="H102" t="n">
        <v>29984.4</v>
      </c>
      <c r="I102" t="n">
        <v>30287.27</v>
      </c>
      <c r="J102" t="n">
        <v>31565.13</v>
      </c>
      <c r="K102" t="inlineStr">
        <is>
          <t>POUND STERLING</t>
        </is>
      </c>
      <c r="L102" t="n">
        <v>34435.75</v>
      </c>
      <c r="M102" t="n">
        <v>34783.58</v>
      </c>
      <c r="N102" t="n">
        <v>35897.47</v>
      </c>
      <c r="O102" t="inlineStr">
        <is>
          <t>YEN</t>
        </is>
      </c>
      <c r="P102" t="n">
        <v>159.6</v>
      </c>
      <c r="Q102" t="n">
        <v>161.21</v>
      </c>
      <c r="R102" t="n">
        <v>169.74</v>
      </c>
      <c r="S102" t="inlineStr">
        <is>
          <t>AUSTRALIAN DOLLAR</t>
        </is>
      </c>
      <c r="T102" t="n">
        <v>18141.5</v>
      </c>
      <c r="U102" t="n">
        <v>18324.74</v>
      </c>
      <c r="V102" t="n">
        <v>18911.57</v>
      </c>
      <c r="W102" t="inlineStr">
        <is>
          <t>CANADIAN DOLLAR</t>
        </is>
      </c>
      <c r="X102" t="n">
        <v>18564.69</v>
      </c>
      <c r="Y102" t="n">
        <v>18752.21</v>
      </c>
      <c r="Z102" t="n">
        <v>19352.72</v>
      </c>
      <c r="AA102" t="inlineStr">
        <is>
          <t>SWISS FRANC</t>
        </is>
      </c>
      <c r="AB102" t="n">
        <v>32442.44</v>
      </c>
      <c r="AC102" t="n">
        <v>32770.14</v>
      </c>
      <c r="AD102" t="n">
        <v>33819.56</v>
      </c>
      <c r="AE102" t="inlineStr">
        <is>
          <t>SINGAPORE DOLLAR</t>
        </is>
      </c>
      <c r="AF102" t="n">
        <v>20137.23</v>
      </c>
      <c r="AG102" t="n">
        <v>20340.64</v>
      </c>
      <c r="AH102" t="n">
        <v>21034.05</v>
      </c>
      <c r="AI102" t="inlineStr">
        <is>
          <t>YUAN RENMINBI</t>
        </is>
      </c>
      <c r="AJ102" t="n">
        <v>3756.47</v>
      </c>
      <c r="AK102" t="n">
        <v>3794.42</v>
      </c>
      <c r="AL102" t="n">
        <v>3915.93</v>
      </c>
      <c r="AM102" t="inlineStr">
        <is>
          <t>HONGKONG DOLLAR</t>
        </is>
      </c>
      <c r="AN102" t="n">
        <v>3266.27</v>
      </c>
      <c r="AO102" t="n">
        <v>3299.27</v>
      </c>
      <c r="AP102" t="n">
        <v>3425.42</v>
      </c>
      <c r="AQ102" t="inlineStr">
        <is>
          <t>THAILAND BAHT</t>
        </is>
      </c>
      <c r="AR102" t="n">
        <v>723.65</v>
      </c>
      <c r="AS102" t="n">
        <v>804.0599999999999</v>
      </c>
      <c r="AT102" t="n">
        <v>838.15</v>
      </c>
      <c r="AU102" t="inlineStr">
        <is>
          <t>KOREAN WON</t>
        </is>
      </c>
      <c r="AV102" t="n">
        <v>15.41</v>
      </c>
      <c r="AW102" t="n">
        <v>17.12</v>
      </c>
      <c r="AX102" t="n">
        <v>18.57</v>
      </c>
      <c r="AY102" t="inlineStr">
        <is>
          <t>MALAYSIAN RINGGIT</t>
        </is>
      </c>
      <c r="BA102" t="n">
        <v>6561.59</v>
      </c>
      <c r="BB102" t="n">
        <v>6704.32</v>
      </c>
      <c r="BC102" t="inlineStr">
        <is>
          <t>INDIAN RUPEE</t>
        </is>
      </c>
      <c r="BE102" t="n">
        <v>283.17</v>
      </c>
      <c r="BF102" t="n">
        <v>295.36</v>
      </c>
      <c r="BG102" t="inlineStr">
        <is>
          <t>KUWAITI DINAR</t>
        </is>
      </c>
      <c r="BI102" t="n">
        <v>85440.94</v>
      </c>
      <c r="BJ102" t="n">
        <v>89581.97</v>
      </c>
      <c r="BK102" t="inlineStr">
        <is>
          <t>SAUDI RIAL</t>
        </is>
      </c>
      <c r="BM102" t="n">
        <v>6976.26</v>
      </c>
      <c r="BN102" t="n">
        <v>7276.47</v>
      </c>
      <c r="BO102" t="inlineStr">
        <is>
          <t>NORWEGIAN KRONER</t>
        </is>
      </c>
      <c r="BQ102" t="n">
        <v>2715.68</v>
      </c>
      <c r="BR102" t="n">
        <v>2830.83</v>
      </c>
      <c r="BS102" t="inlineStr">
        <is>
          <t>SWEDISH KRONA</t>
        </is>
      </c>
      <c r="BU102" t="n">
        <v>2773.68</v>
      </c>
      <c r="BV102" t="n">
        <v>2891.28</v>
      </c>
      <c r="BW102" t="inlineStr">
        <is>
          <t>DANISH KRONE</t>
        </is>
      </c>
      <c r="BY102" t="n">
        <v>4042.8</v>
      </c>
      <c r="BZ102" t="n">
        <v>4197.38</v>
      </c>
      <c r="CA102" t="inlineStr">
        <is>
          <t>RUSSIAN RUBLE</t>
        </is>
      </c>
      <c r="CC102" t="n">
        <v>322.82</v>
      </c>
      <c r="CD102" t="n">
        <v>357.34</v>
      </c>
    </row>
    <row r="103">
      <c r="A103" t="inlineStr">
        <is>
          <t>12/04/2026</t>
        </is>
      </c>
      <c r="B103">
        <f>IF(ISNUMBER(A103), A103, DATE(RIGHT(A103,4), MID(A103,4,2), LEFT(A103,2)))</f>
        <v/>
      </c>
      <c r="C103" t="inlineStr">
        <is>
          <t>US DOLLAR</t>
        </is>
      </c>
      <c r="D103" t="n">
        <v>26100</v>
      </c>
      <c r="E103" t="n">
        <v>26130</v>
      </c>
      <c r="F103" t="n">
        <v>26360</v>
      </c>
      <c r="G103" t="inlineStr">
        <is>
          <t>EURO</t>
        </is>
      </c>
      <c r="H103" t="n">
        <v>29984.4</v>
      </c>
      <c r="I103" t="n">
        <v>30287.27</v>
      </c>
      <c r="J103" t="n">
        <v>31565.13</v>
      </c>
      <c r="K103" t="inlineStr">
        <is>
          <t>POUND STERLING</t>
        </is>
      </c>
      <c r="L103" t="n">
        <v>34435.75</v>
      </c>
      <c r="M103" t="n">
        <v>34783.58</v>
      </c>
      <c r="N103" t="n">
        <v>35897.47</v>
      </c>
      <c r="O103" t="inlineStr">
        <is>
          <t>YEN</t>
        </is>
      </c>
      <c r="P103" t="n">
        <v>159.6</v>
      </c>
      <c r="Q103" t="n">
        <v>161.21</v>
      </c>
      <c r="R103" t="n">
        <v>169.74</v>
      </c>
      <c r="S103" t="inlineStr">
        <is>
          <t>AUSTRALIAN DOLLAR</t>
        </is>
      </c>
      <c r="T103" t="n">
        <v>18141.5</v>
      </c>
      <c r="U103" t="n">
        <v>18324.74</v>
      </c>
      <c r="V103" t="n">
        <v>18911.57</v>
      </c>
      <c r="W103" t="inlineStr">
        <is>
          <t>CANADIAN DOLLAR</t>
        </is>
      </c>
      <c r="X103" t="n">
        <v>18564.69</v>
      </c>
      <c r="Y103" t="n">
        <v>18752.21</v>
      </c>
      <c r="Z103" t="n">
        <v>19352.72</v>
      </c>
      <c r="AA103" t="inlineStr">
        <is>
          <t>SWISS FRANC</t>
        </is>
      </c>
      <c r="AB103" t="n">
        <v>32442.44</v>
      </c>
      <c r="AC103" t="n">
        <v>32770.14</v>
      </c>
      <c r="AD103" t="n">
        <v>33819.56</v>
      </c>
      <c r="AE103" t="inlineStr">
        <is>
          <t>SINGAPORE DOLLAR</t>
        </is>
      </c>
      <c r="AF103" t="n">
        <v>20137.23</v>
      </c>
      <c r="AG103" t="n">
        <v>20340.64</v>
      </c>
      <c r="AH103" t="n">
        <v>21034.05</v>
      </c>
      <c r="AI103" t="inlineStr">
        <is>
          <t>YUAN RENMINBI</t>
        </is>
      </c>
      <c r="AJ103" t="n">
        <v>3756.47</v>
      </c>
      <c r="AK103" t="n">
        <v>3794.42</v>
      </c>
      <c r="AL103" t="n">
        <v>3915.93</v>
      </c>
      <c r="AM103" t="inlineStr">
        <is>
          <t>HONGKONG DOLLAR</t>
        </is>
      </c>
      <c r="AN103" t="n">
        <v>3266.27</v>
      </c>
      <c r="AO103" t="n">
        <v>3299.27</v>
      </c>
      <c r="AP103" t="n">
        <v>3425.42</v>
      </c>
      <c r="AQ103" t="inlineStr">
        <is>
          <t>THAILAND BAHT</t>
        </is>
      </c>
      <c r="AR103" t="n">
        <v>723.65</v>
      </c>
      <c r="AS103" t="n">
        <v>804.0599999999999</v>
      </c>
      <c r="AT103" t="n">
        <v>838.15</v>
      </c>
      <c r="AU103" t="inlineStr">
        <is>
          <t>KOREAN WON</t>
        </is>
      </c>
      <c r="AV103" t="n">
        <v>15.41</v>
      </c>
      <c r="AW103" t="n">
        <v>17.12</v>
      </c>
      <c r="AX103" t="n">
        <v>18.57</v>
      </c>
      <c r="AY103" t="inlineStr">
        <is>
          <t>MALAYSIAN RINGGIT</t>
        </is>
      </c>
      <c r="BA103" t="n">
        <v>6561.59</v>
      </c>
      <c r="BB103" t="n">
        <v>6704.32</v>
      </c>
      <c r="BC103" t="inlineStr">
        <is>
          <t>INDIAN RUPEE</t>
        </is>
      </c>
      <c r="BE103" t="n">
        <v>283.17</v>
      </c>
      <c r="BF103" t="n">
        <v>295.36</v>
      </c>
      <c r="BG103" t="inlineStr">
        <is>
          <t>KUWAITI DINAR</t>
        </is>
      </c>
      <c r="BI103" t="n">
        <v>85440.94</v>
      </c>
      <c r="BJ103" t="n">
        <v>89581.97</v>
      </c>
      <c r="BK103" t="inlineStr">
        <is>
          <t>SAUDI RIAL</t>
        </is>
      </c>
      <c r="BM103" t="n">
        <v>6976.26</v>
      </c>
      <c r="BN103" t="n">
        <v>7276.47</v>
      </c>
      <c r="BO103" t="inlineStr">
        <is>
          <t>NORWEGIAN KRONER</t>
        </is>
      </c>
      <c r="BQ103" t="n">
        <v>2715.68</v>
      </c>
      <c r="BR103" t="n">
        <v>2830.83</v>
      </c>
      <c r="BS103" t="inlineStr">
        <is>
          <t>SWEDISH KRONA</t>
        </is>
      </c>
      <c r="BU103" t="n">
        <v>2773.68</v>
      </c>
      <c r="BV103" t="n">
        <v>2891.28</v>
      </c>
      <c r="BW103" t="inlineStr">
        <is>
          <t>DANISH KRONE</t>
        </is>
      </c>
      <c r="BY103" t="n">
        <v>4042.8</v>
      </c>
      <c r="BZ103" t="n">
        <v>4197.38</v>
      </c>
      <c r="CA103" t="inlineStr">
        <is>
          <t>RUSSIAN RUBLE</t>
        </is>
      </c>
      <c r="CC103" t="n">
        <v>322.82</v>
      </c>
      <c r="CD103" t="n">
        <v>357.34</v>
      </c>
    </row>
    <row r="104">
      <c r="A104" t="inlineStr">
        <is>
          <t>13/04/2026</t>
        </is>
      </c>
      <c r="B104">
        <f>IF(ISNUMBER(A104), A104, DATE(RIGHT(A104,4), MID(A104,4,2), LEFT(A104,2)))</f>
        <v/>
      </c>
      <c r="C104" t="inlineStr">
        <is>
          <t>US DOLLAR</t>
        </is>
      </c>
      <c r="D104" t="n">
        <v>26111</v>
      </c>
      <c r="E104" t="n">
        <v>26141</v>
      </c>
      <c r="F104" t="n">
        <v>26361</v>
      </c>
      <c r="G104" t="inlineStr">
        <is>
          <t>EURO</t>
        </is>
      </c>
      <c r="H104" t="n">
        <v>30018.89</v>
      </c>
      <c r="I104" t="n">
        <v>30322.11</v>
      </c>
      <c r="J104" t="n">
        <v>31601.42</v>
      </c>
      <c r="K104" t="inlineStr">
        <is>
          <t>POUND STERLING</t>
        </is>
      </c>
      <c r="L104" t="n">
        <v>34448.84</v>
      </c>
      <c r="M104" t="n">
        <v>34796.8</v>
      </c>
      <c r="N104" t="n">
        <v>35911.1</v>
      </c>
      <c r="O104" t="inlineStr">
        <is>
          <t>YEN</t>
        </is>
      </c>
      <c r="P104" t="n">
        <v>159.22</v>
      </c>
      <c r="Q104" t="n">
        <v>160.83</v>
      </c>
      <c r="R104" t="n">
        <v>169.33</v>
      </c>
      <c r="S104" t="inlineStr">
        <is>
          <t>AUSTRALIAN DOLLAR</t>
        </is>
      </c>
      <c r="T104" t="n">
        <v>18099.63</v>
      </c>
      <c r="U104" t="n">
        <v>18282.45</v>
      </c>
      <c r="V104" t="n">
        <v>18867.91</v>
      </c>
      <c r="W104" t="inlineStr">
        <is>
          <t>CANADIAN DOLLAR</t>
        </is>
      </c>
      <c r="X104" t="n">
        <v>18538.22</v>
      </c>
      <c r="Y104" t="n">
        <v>18725.47</v>
      </c>
      <c r="Z104" t="n">
        <v>19325.12</v>
      </c>
      <c r="AA104" t="inlineStr">
        <is>
          <t>SWISS FRANC</t>
        </is>
      </c>
      <c r="AB104" t="n">
        <v>32499.97</v>
      </c>
      <c r="AC104" t="n">
        <v>32828.25</v>
      </c>
      <c r="AD104" t="n">
        <v>33879.51</v>
      </c>
      <c r="AE104" t="inlineStr">
        <is>
          <t>SINGAPORE DOLLAR</t>
        </is>
      </c>
      <c r="AF104" t="n">
        <v>20114.87</v>
      </c>
      <c r="AG104" t="n">
        <v>20318.05</v>
      </c>
      <c r="AH104" t="n">
        <v>21010.68</v>
      </c>
      <c r="AI104" t="inlineStr">
        <is>
          <t>YUAN RENMINBI</t>
        </is>
      </c>
      <c r="AJ104" t="n">
        <v>3756.91</v>
      </c>
      <c r="AK104" t="n">
        <v>3794.86</v>
      </c>
      <c r="AL104" t="n">
        <v>3916.38</v>
      </c>
      <c r="AM104" t="inlineStr">
        <is>
          <t>HONGKONG DOLLAR</t>
        </is>
      </c>
      <c r="AN104" t="n">
        <v>3268.77</v>
      </c>
      <c r="AO104" t="n">
        <v>3301.78</v>
      </c>
      <c r="AP104" t="n">
        <v>3428.03</v>
      </c>
      <c r="AQ104" t="inlineStr">
        <is>
          <t>THAILAND BAHT</t>
        </is>
      </c>
      <c r="AR104" t="n">
        <v>721.6799999999999</v>
      </c>
      <c r="AS104" t="n">
        <v>801.86</v>
      </c>
      <c r="AT104" t="n">
        <v>835.86</v>
      </c>
      <c r="AU104" t="inlineStr">
        <is>
          <t>KOREAN WON</t>
        </is>
      </c>
      <c r="AV104" t="n">
        <v>15.3</v>
      </c>
      <c r="AW104" t="n">
        <v>17</v>
      </c>
      <c r="AX104" t="n">
        <v>18.45</v>
      </c>
      <c r="AY104" t="inlineStr">
        <is>
          <t>MALAYSIAN RINGGIT</t>
        </is>
      </c>
      <c r="BA104" t="n">
        <v>6564.08</v>
      </c>
      <c r="BB104" t="n">
        <v>6706.87</v>
      </c>
      <c r="BC104" t="inlineStr">
        <is>
          <t>INDIAN RUPEE</t>
        </is>
      </c>
      <c r="BE104" t="n">
        <v>280.7</v>
      </c>
      <c r="BF104" t="n">
        <v>292.78</v>
      </c>
      <c r="BG104" t="inlineStr">
        <is>
          <t>KUWAITI DINAR</t>
        </is>
      </c>
      <c r="BI104" t="n">
        <v>85445.53</v>
      </c>
      <c r="BJ104" t="n">
        <v>89586.73</v>
      </c>
      <c r="BK104" t="inlineStr">
        <is>
          <t>SAUDI RIAL</t>
        </is>
      </c>
      <c r="BM104" t="n">
        <v>6978.91</v>
      </c>
      <c r="BN104" t="n">
        <v>7279.24</v>
      </c>
      <c r="BO104" t="inlineStr">
        <is>
          <t>NORWEGIAN KRONER</t>
        </is>
      </c>
      <c r="BQ104" t="n">
        <v>2719.27</v>
      </c>
      <c r="BR104" t="n">
        <v>2834.56</v>
      </c>
      <c r="BS104" t="inlineStr">
        <is>
          <t>SWEDISH KRONA</t>
        </is>
      </c>
      <c r="BU104" t="n">
        <v>2774.14</v>
      </c>
      <c r="BV104" t="n">
        <v>2891.76</v>
      </c>
      <c r="BW104" t="inlineStr">
        <is>
          <t>DANISH KRONE</t>
        </is>
      </c>
      <c r="BY104" t="n">
        <v>4047.18</v>
      </c>
      <c r="BZ104" t="n">
        <v>4201.93</v>
      </c>
      <c r="CA104" t="inlineStr">
        <is>
          <t>RUSSIAN RUBLE</t>
        </is>
      </c>
      <c r="CC104" t="n">
        <v>327.67</v>
      </c>
      <c r="CD104" t="n">
        <v>362.71</v>
      </c>
    </row>
    <row r="105">
      <c r="A105" t="inlineStr">
        <is>
          <t>14/04/2026</t>
        </is>
      </c>
      <c r="B105">
        <f>IF(ISNUMBER(A105), A105, DATE(RIGHT(A105,4), MID(A105,4,2), LEFT(A105,2)))</f>
        <v/>
      </c>
      <c r="C105" t="inlineStr">
        <is>
          <t>US DOLLAR</t>
        </is>
      </c>
      <c r="D105" t="n">
        <v>26111</v>
      </c>
      <c r="E105" t="n">
        <v>26141</v>
      </c>
      <c r="F105" t="n">
        <v>26361</v>
      </c>
      <c r="G105" t="inlineStr">
        <is>
          <t>EURO</t>
        </is>
      </c>
      <c r="H105" t="n">
        <v>30192.82</v>
      </c>
      <c r="I105" t="n">
        <v>30497.8</v>
      </c>
      <c r="J105" t="n">
        <v>31784.53</v>
      </c>
      <c r="K105" t="inlineStr">
        <is>
          <t>POUND STERLING</t>
        </is>
      </c>
      <c r="L105" t="n">
        <v>34680.94</v>
      </c>
      <c r="M105" t="n">
        <v>35031.25</v>
      </c>
      <c r="N105" t="n">
        <v>36153.06</v>
      </c>
      <c r="O105" t="inlineStr">
        <is>
          <t>YEN</t>
        </is>
      </c>
      <c r="P105" t="n">
        <v>159.74</v>
      </c>
      <c r="Q105" t="n">
        <v>161.35</v>
      </c>
      <c r="R105" t="n">
        <v>169.89</v>
      </c>
      <c r="S105" t="inlineStr">
        <is>
          <t>AUSTRALIAN DOLLAR</t>
        </is>
      </c>
      <c r="T105" t="n">
        <v>18180.87</v>
      </c>
      <c r="U105" t="n">
        <v>18364.51</v>
      </c>
      <c r="V105" t="n">
        <v>18952.61</v>
      </c>
      <c r="W105" t="inlineStr">
        <is>
          <t>CANADIAN DOLLAR</t>
        </is>
      </c>
      <c r="X105" t="n">
        <v>18624.81</v>
      </c>
      <c r="Y105" t="n">
        <v>18812.94</v>
      </c>
      <c r="Z105" t="n">
        <v>19415.39</v>
      </c>
      <c r="AA105" t="inlineStr">
        <is>
          <t>SWISS FRANC</t>
        </is>
      </c>
      <c r="AB105" t="n">
        <v>32784.32</v>
      </c>
      <c r="AC105" t="n">
        <v>33115.48</v>
      </c>
      <c r="AD105" t="n">
        <v>34175.94</v>
      </c>
      <c r="AE105" t="inlineStr">
        <is>
          <t>SINGAPORE DOLLAR</t>
        </is>
      </c>
      <c r="AF105" t="n">
        <v>20145.81</v>
      </c>
      <c r="AG105" t="n">
        <v>20349.3</v>
      </c>
      <c r="AH105" t="n">
        <v>21043</v>
      </c>
      <c r="AI105" t="inlineStr">
        <is>
          <t>YUAN RENMINBI</t>
        </is>
      </c>
      <c r="AJ105" t="n">
        <v>3765.07</v>
      </c>
      <c r="AK105" t="n">
        <v>3803.1</v>
      </c>
      <c r="AL105" t="n">
        <v>3924.89</v>
      </c>
      <c r="AM105" t="inlineStr">
        <is>
          <t>HONGKONG DOLLAR</t>
        </is>
      </c>
      <c r="AN105" t="n">
        <v>3267.52</v>
      </c>
      <c r="AO105" t="n">
        <v>3300.52</v>
      </c>
      <c r="AP105" t="n">
        <v>3426.72</v>
      </c>
      <c r="AQ105" t="inlineStr">
        <is>
          <t>THAILAND BAHT</t>
        </is>
      </c>
      <c r="AR105" t="n">
        <v>725.14</v>
      </c>
      <c r="AS105" t="n">
        <v>805.72</v>
      </c>
      <c r="AT105" t="n">
        <v>839.88</v>
      </c>
      <c r="AU105" t="inlineStr">
        <is>
          <t>KOREAN WON</t>
        </is>
      </c>
      <c r="AV105" t="n">
        <v>15.36</v>
      </c>
      <c r="AW105" t="n">
        <v>17.07</v>
      </c>
      <c r="AX105" t="n">
        <v>18.52</v>
      </c>
      <c r="AY105" t="inlineStr">
        <is>
          <t>MALAYSIAN RINGGIT</t>
        </is>
      </c>
      <c r="BA105" t="n">
        <v>6589.39</v>
      </c>
      <c r="BB105" t="n">
        <v>6732.73</v>
      </c>
      <c r="BC105" t="inlineStr">
        <is>
          <t>INDIAN RUPEE</t>
        </is>
      </c>
      <c r="BE105" t="n">
        <v>280.69</v>
      </c>
      <c r="BF105" t="n">
        <v>292.77</v>
      </c>
      <c r="BG105" t="inlineStr">
        <is>
          <t>KUWAITI DINAR</t>
        </is>
      </c>
      <c r="BI105" t="n">
        <v>85429.3</v>
      </c>
      <c r="BJ105" t="n">
        <v>89569.74000000001</v>
      </c>
      <c r="BK105" t="inlineStr">
        <is>
          <t>SAUDI RIAL</t>
        </is>
      </c>
      <c r="BM105" t="n">
        <v>6977.58</v>
      </c>
      <c r="BN105" t="n">
        <v>7277.86</v>
      </c>
      <c r="BO105" t="inlineStr">
        <is>
          <t>NORWEGIAN KRONER</t>
        </is>
      </c>
      <c r="BQ105" t="n">
        <v>2732.51</v>
      </c>
      <c r="BR105" t="n">
        <v>2848.37</v>
      </c>
      <c r="BS105" t="inlineStr">
        <is>
          <t>SWEDISH KRONA</t>
        </is>
      </c>
      <c r="BU105" t="n">
        <v>2809.4</v>
      </c>
      <c r="BV105" t="n">
        <v>2928.52</v>
      </c>
      <c r="BW105" t="inlineStr">
        <is>
          <t>DANISH KRONE</t>
        </is>
      </c>
      <c r="BY105" t="n">
        <v>4071.14</v>
      </c>
      <c r="BZ105" t="n">
        <v>4226.8</v>
      </c>
      <c r="CA105" t="inlineStr">
        <is>
          <t>RUSSIAN RUBLE</t>
        </is>
      </c>
      <c r="CC105" t="n">
        <v>328.47</v>
      </c>
      <c r="CD105" t="n">
        <v>363.59</v>
      </c>
    </row>
    <row r="106">
      <c r="A106" t="inlineStr">
        <is>
          <t>15/04/2026</t>
        </is>
      </c>
      <c r="B106">
        <f>IF(ISNUMBER(A106), A106, DATE(RIGHT(A106,4), MID(A106,4,2), LEFT(A106,2)))</f>
        <v/>
      </c>
      <c r="C106" t="inlineStr">
        <is>
          <t>US DOLLAR</t>
        </is>
      </c>
      <c r="D106" t="n">
        <v>26108</v>
      </c>
      <c r="E106" t="n">
        <v>26138</v>
      </c>
      <c r="F106" t="n">
        <v>26358</v>
      </c>
      <c r="G106" t="inlineStr">
        <is>
          <t>EURO</t>
        </is>
      </c>
      <c r="H106" t="n">
        <v>30256.97</v>
      </c>
      <c r="I106" t="n">
        <v>30562.6</v>
      </c>
      <c r="J106" t="n">
        <v>31852.06</v>
      </c>
      <c r="K106" t="inlineStr">
        <is>
          <t>POUND STERLING</t>
        </is>
      </c>
      <c r="L106" t="n">
        <v>34822.08</v>
      </c>
      <c r="M106" t="n">
        <v>35173.81</v>
      </c>
      <c r="N106" t="n">
        <v>36300.19</v>
      </c>
      <c r="O106" t="inlineStr">
        <is>
          <t>YEN</t>
        </is>
      </c>
      <c r="P106" t="n">
        <v>160.07</v>
      </c>
      <c r="Q106" t="n">
        <v>161.69</v>
      </c>
      <c r="R106" t="n">
        <v>170.24</v>
      </c>
      <c r="S106" t="inlineStr">
        <is>
          <t>AUSTRALIAN DOLLAR</t>
        </is>
      </c>
      <c r="T106" t="n">
        <v>18280.95</v>
      </c>
      <c r="U106" t="n">
        <v>18465.6</v>
      </c>
      <c r="V106" t="n">
        <v>19056.93</v>
      </c>
      <c r="W106" t="inlineStr">
        <is>
          <t>CANADIAN DOLLAR</t>
        </is>
      </c>
      <c r="X106" t="n">
        <v>18645.1</v>
      </c>
      <c r="Y106" t="n">
        <v>18833.44</v>
      </c>
      <c r="Z106" t="n">
        <v>19436.54</v>
      </c>
      <c r="AA106" t="inlineStr">
        <is>
          <t>SWISS FRANC</t>
        </is>
      </c>
      <c r="AB106" t="n">
        <v>32859.87</v>
      </c>
      <c r="AC106" t="n">
        <v>33191.79</v>
      </c>
      <c r="AD106" t="n">
        <v>34254.7</v>
      </c>
      <c r="AE106" t="inlineStr">
        <is>
          <t>SINGAPORE DOLLAR</t>
        </is>
      </c>
      <c r="AF106" t="n">
        <v>20177.51</v>
      </c>
      <c r="AG106" t="n">
        <v>20381.33</v>
      </c>
      <c r="AH106" t="n">
        <v>21076.12</v>
      </c>
      <c r="AI106" t="inlineStr">
        <is>
          <t>YUAN RENMINBI</t>
        </is>
      </c>
      <c r="AJ106" t="n">
        <v>3765.9</v>
      </c>
      <c r="AK106" t="n">
        <v>3803.94</v>
      </c>
      <c r="AL106" t="n">
        <v>3925.75</v>
      </c>
      <c r="AM106" t="inlineStr">
        <is>
          <t>HONGKONG DOLLAR</t>
        </is>
      </c>
      <c r="AN106" t="n">
        <v>3266.64</v>
      </c>
      <c r="AO106" t="n">
        <v>3299.64</v>
      </c>
      <c r="AP106" t="n">
        <v>3425.8</v>
      </c>
      <c r="AQ106" t="inlineStr">
        <is>
          <t>THAILAND BAHT</t>
        </is>
      </c>
      <c r="AR106" t="n">
        <v>726.05</v>
      </c>
      <c r="AS106" t="n">
        <v>806.72</v>
      </c>
      <c r="AT106" t="n">
        <v>840.9299999999999</v>
      </c>
      <c r="AU106" t="inlineStr">
        <is>
          <t>KOREAN WON</t>
        </is>
      </c>
      <c r="AV106" t="n">
        <v>15.48</v>
      </c>
      <c r="AW106" t="n">
        <v>17.2</v>
      </c>
      <c r="AX106" t="n">
        <v>18.66</v>
      </c>
      <c r="AY106" t="inlineStr">
        <is>
          <t>MALAYSIAN RINGGIT</t>
        </is>
      </c>
      <c r="BA106" t="n">
        <v>6604.42</v>
      </c>
      <c r="BB106" t="n">
        <v>6748.09</v>
      </c>
      <c r="BC106" t="inlineStr">
        <is>
          <t>INDIAN RUPEE</t>
        </is>
      </c>
      <c r="BE106" t="n">
        <v>281.11</v>
      </c>
      <c r="BF106" t="n">
        <v>293.21</v>
      </c>
      <c r="BG106" t="inlineStr">
        <is>
          <t>KUWAITI DINAR</t>
        </is>
      </c>
      <c r="BI106" t="n">
        <v>85485.08</v>
      </c>
      <c r="BJ106" t="n">
        <v>89628.22</v>
      </c>
      <c r="BK106" t="inlineStr">
        <is>
          <t>SAUDI RIAL</t>
        </is>
      </c>
      <c r="BM106" t="n">
        <v>6978.33</v>
      </c>
      <c r="BN106" t="n">
        <v>7278.63</v>
      </c>
      <c r="BO106" t="inlineStr">
        <is>
          <t>NORWEGIAN KRONER</t>
        </is>
      </c>
      <c r="BQ106" t="n">
        <v>2728.96</v>
      </c>
      <c r="BR106" t="n">
        <v>2844.66</v>
      </c>
      <c r="BS106" t="inlineStr">
        <is>
          <t>SWEDISH KRONA</t>
        </is>
      </c>
      <c r="BU106" t="n">
        <v>2810.26</v>
      </c>
      <c r="BV106" t="n">
        <v>2929.41</v>
      </c>
      <c r="BW106" t="inlineStr">
        <is>
          <t>DANISH KRONE</t>
        </is>
      </c>
      <c r="BY106" t="n">
        <v>4079.17</v>
      </c>
      <c r="BZ106" t="n">
        <v>4235.14</v>
      </c>
      <c r="CA106" t="inlineStr">
        <is>
          <t>RUSSIAN RUBLE</t>
        </is>
      </c>
      <c r="CC106" t="n">
        <v>332.52</v>
      </c>
      <c r="CD106" t="n">
        <v>368.08</v>
      </c>
    </row>
    <row r="107">
      <c r="A107" t="inlineStr">
        <is>
          <t>16/04/2026</t>
        </is>
      </c>
      <c r="B107">
        <f>IF(ISNUMBER(A107), A107, DATE(RIGHT(A107,4), MID(A107,4,2), LEFT(A107,2)))</f>
        <v/>
      </c>
      <c r="C107" t="inlineStr">
        <is>
          <t>US DOLLAR</t>
        </is>
      </c>
      <c r="D107" t="n">
        <v>26097</v>
      </c>
      <c r="E107" t="n">
        <v>26127</v>
      </c>
      <c r="F107" t="n">
        <v>26357</v>
      </c>
      <c r="G107" t="inlineStr">
        <is>
          <t>EURO</t>
        </is>
      </c>
      <c r="H107" t="n">
        <v>30287.14</v>
      </c>
      <c r="I107" t="n">
        <v>30593.07</v>
      </c>
      <c r="J107" t="n">
        <v>31883.83</v>
      </c>
      <c r="K107" t="inlineStr">
        <is>
          <t>POUND STERLING</t>
        </is>
      </c>
      <c r="L107" t="n">
        <v>34818.02</v>
      </c>
      <c r="M107" t="n">
        <v>35169.72</v>
      </c>
      <c r="N107" t="n">
        <v>36295.98</v>
      </c>
      <c r="O107" t="inlineStr">
        <is>
          <t>YEN</t>
        </is>
      </c>
      <c r="P107" t="n">
        <v>160.06</v>
      </c>
      <c r="Q107" t="n">
        <v>161.68</v>
      </c>
      <c r="R107" t="n">
        <v>170.23</v>
      </c>
      <c r="S107" t="inlineStr">
        <is>
          <t>AUSTRALIAN DOLLAR</t>
        </is>
      </c>
      <c r="T107" t="n">
        <v>18410.89</v>
      </c>
      <c r="U107" t="n">
        <v>18596.86</v>
      </c>
      <c r="V107" t="n">
        <v>19192.39</v>
      </c>
      <c r="W107" t="inlineStr">
        <is>
          <t>CANADIAN DOLLAR</t>
        </is>
      </c>
      <c r="X107" t="n">
        <v>18691.8</v>
      </c>
      <c r="Y107" t="n">
        <v>18880.6</v>
      </c>
      <c r="Z107" t="n">
        <v>19485.23</v>
      </c>
      <c r="AA107" t="inlineStr">
        <is>
          <t>SWISS FRANC</t>
        </is>
      </c>
      <c r="AB107" t="n">
        <v>32857.84</v>
      </c>
      <c r="AC107" t="n">
        <v>33189.73</v>
      </c>
      <c r="AD107" t="n">
        <v>34252.59</v>
      </c>
      <c r="AE107" t="inlineStr">
        <is>
          <t>SINGAPORE DOLLAR</t>
        </is>
      </c>
      <c r="AF107" t="n">
        <v>20187.98</v>
      </c>
      <c r="AG107" t="n">
        <v>20391.9</v>
      </c>
      <c r="AH107" t="n">
        <v>21087.06</v>
      </c>
      <c r="AI107" t="inlineStr">
        <is>
          <t>YUAN RENMINBI</t>
        </is>
      </c>
      <c r="AJ107" t="n">
        <v>3763.86</v>
      </c>
      <c r="AK107" t="n">
        <v>3801.87</v>
      </c>
      <c r="AL107" t="n">
        <v>3923.62</v>
      </c>
      <c r="AM107" t="inlineStr">
        <is>
          <t>HONGKONG DOLLAR</t>
        </is>
      </c>
      <c r="AN107" t="n">
        <v>3267.9</v>
      </c>
      <c r="AO107" t="n">
        <v>3300.91</v>
      </c>
      <c r="AP107" t="n">
        <v>3427.12</v>
      </c>
      <c r="AQ107" t="inlineStr">
        <is>
          <t>THAILAND BAHT</t>
        </is>
      </c>
      <c r="AR107" t="n">
        <v>726.37</v>
      </c>
      <c r="AS107" t="n">
        <v>807.08</v>
      </c>
      <c r="AT107" t="n">
        <v>841.29</v>
      </c>
      <c r="AU107" t="inlineStr">
        <is>
          <t>KOREAN WON</t>
        </is>
      </c>
      <c r="AV107" t="n">
        <v>15.44</v>
      </c>
      <c r="AW107" t="n">
        <v>17.15</v>
      </c>
      <c r="AX107" t="n">
        <v>18.61</v>
      </c>
      <c r="AY107" t="inlineStr">
        <is>
          <t>MALAYSIAN RINGGIT</t>
        </is>
      </c>
      <c r="BA107" t="n">
        <v>6599.82</v>
      </c>
      <c r="BB107" t="n">
        <v>6743.39</v>
      </c>
      <c r="BC107" t="inlineStr">
        <is>
          <t>INDIAN RUPEE</t>
        </is>
      </c>
      <c r="BE107" t="n">
        <v>280.43</v>
      </c>
      <c r="BF107" t="n">
        <v>292.49</v>
      </c>
      <c r="BG107" t="inlineStr">
        <is>
          <t>KUWAITI DINAR</t>
        </is>
      </c>
      <c r="BI107" t="n">
        <v>85468.84</v>
      </c>
      <c r="BJ107" t="n">
        <v>89611.22</v>
      </c>
      <c r="BK107" t="inlineStr">
        <is>
          <t>SAUDI RIAL</t>
        </is>
      </c>
      <c r="BM107" t="n">
        <v>6978.3</v>
      </c>
      <c r="BN107" t="n">
        <v>7278.61</v>
      </c>
      <c r="BO107" t="inlineStr">
        <is>
          <t>NORWEGIAN KRONER</t>
        </is>
      </c>
      <c r="BQ107" t="n">
        <v>2749.55</v>
      </c>
      <c r="BR107" t="n">
        <v>2866.13</v>
      </c>
      <c r="BS107" t="inlineStr">
        <is>
          <t>SWEDISH KRONA</t>
        </is>
      </c>
      <c r="BU107" t="n">
        <v>2820.14</v>
      </c>
      <c r="BV107" t="n">
        <v>2939.71</v>
      </c>
      <c r="BW107" t="inlineStr">
        <is>
          <t>DANISH KRONE</t>
        </is>
      </c>
      <c r="BY107" t="n">
        <v>4083.29</v>
      </c>
      <c r="BZ107" t="n">
        <v>4239.42</v>
      </c>
      <c r="CA107" t="inlineStr">
        <is>
          <t>RUSSIAN RUBLE</t>
        </is>
      </c>
      <c r="CC107" t="n">
        <v>329.7</v>
      </c>
      <c r="CD107" t="n">
        <v>364.96</v>
      </c>
    </row>
    <row r="108">
      <c r="A108" t="inlineStr">
        <is>
          <t>17/04/2026</t>
        </is>
      </c>
      <c r="B108">
        <f>IF(ISNUMBER(A108), A108, DATE(RIGHT(A108,4), MID(A108,4,2), LEFT(A108,2)))</f>
        <v/>
      </c>
      <c r="C108" t="inlineStr">
        <is>
          <t>US DOLLAR</t>
        </is>
      </c>
      <c r="D108" t="n">
        <v>26097</v>
      </c>
      <c r="E108" t="n">
        <v>26127</v>
      </c>
      <c r="F108" t="n">
        <v>26357</v>
      </c>
      <c r="G108" t="inlineStr">
        <is>
          <t>EURO</t>
        </is>
      </c>
      <c r="H108" t="n">
        <v>30213.35</v>
      </c>
      <c r="I108" t="n">
        <v>30518.53</v>
      </c>
      <c r="J108" t="n">
        <v>31806.14</v>
      </c>
      <c r="K108" t="inlineStr">
        <is>
          <t>POUND STERLING</t>
        </is>
      </c>
      <c r="L108" t="n">
        <v>34680.94</v>
      </c>
      <c r="M108" t="n">
        <v>35031.25</v>
      </c>
      <c r="N108" t="n">
        <v>36153.06</v>
      </c>
      <c r="O108" t="inlineStr">
        <is>
          <t>YEN</t>
        </is>
      </c>
      <c r="P108" t="n">
        <v>160.07</v>
      </c>
      <c r="Q108" t="n">
        <v>161.69</v>
      </c>
      <c r="R108" t="n">
        <v>170.24</v>
      </c>
      <c r="S108" t="inlineStr">
        <is>
          <t>AUSTRALIAN DOLLAR</t>
        </is>
      </c>
      <c r="T108" t="n">
        <v>18375.89</v>
      </c>
      <c r="U108" t="n">
        <v>18561.51</v>
      </c>
      <c r="V108" t="n">
        <v>19155.91</v>
      </c>
      <c r="W108" t="inlineStr">
        <is>
          <t>CANADIAN DOLLAR</t>
        </is>
      </c>
      <c r="X108" t="n">
        <v>18736.29</v>
      </c>
      <c r="Y108" t="n">
        <v>18925.55</v>
      </c>
      <c r="Z108" t="n">
        <v>19531.6</v>
      </c>
      <c r="AA108" t="inlineStr">
        <is>
          <t>SWISS FRANC</t>
        </is>
      </c>
      <c r="AB108" t="n">
        <v>32755.04</v>
      </c>
      <c r="AC108" t="n">
        <v>33085.9</v>
      </c>
      <c r="AD108" t="n">
        <v>34145.41</v>
      </c>
      <c r="AE108" t="inlineStr">
        <is>
          <t>SINGAPORE DOLLAR</t>
        </is>
      </c>
      <c r="AF108" t="n">
        <v>20145.81</v>
      </c>
      <c r="AG108" t="n">
        <v>20349.3</v>
      </c>
      <c r="AH108" t="n">
        <v>21043</v>
      </c>
      <c r="AI108" t="inlineStr">
        <is>
          <t>YUAN RENMINBI</t>
        </is>
      </c>
      <c r="AJ108" t="n">
        <v>3760.82</v>
      </c>
      <c r="AK108" t="n">
        <v>3798.81</v>
      </c>
      <c r="AL108" t="n">
        <v>3920.46</v>
      </c>
      <c r="AM108" t="inlineStr">
        <is>
          <t>HONGKONG DOLLAR</t>
        </is>
      </c>
      <c r="AN108" t="n">
        <v>3269.73</v>
      </c>
      <c r="AO108" t="n">
        <v>3302.76</v>
      </c>
      <c r="AP108" t="n">
        <v>3429.04</v>
      </c>
      <c r="AQ108" t="inlineStr">
        <is>
          <t>THAILAND BAHT</t>
        </is>
      </c>
      <c r="AR108" t="n">
        <v>724.47</v>
      </c>
      <c r="AS108" t="n">
        <v>804.96</v>
      </c>
      <c r="AT108" t="n">
        <v>839.09</v>
      </c>
      <c r="AU108" t="inlineStr">
        <is>
          <t>KOREAN WON</t>
        </is>
      </c>
      <c r="AV108" t="n">
        <v>15.54</v>
      </c>
      <c r="AW108" t="n">
        <v>17.27</v>
      </c>
      <c r="AX108" t="n">
        <v>18.74</v>
      </c>
      <c r="AY108" t="inlineStr">
        <is>
          <t>MALAYSIAN RINGGIT</t>
        </is>
      </c>
      <c r="BA108" t="n">
        <v>6586.06</v>
      </c>
      <c r="BB108" t="n">
        <v>6729.33</v>
      </c>
      <c r="BC108" t="inlineStr">
        <is>
          <t>INDIAN RUPEE</t>
        </is>
      </c>
      <c r="BE108" t="n">
        <v>281.87</v>
      </c>
      <c r="BF108" t="n">
        <v>294</v>
      </c>
      <c r="BG108" t="inlineStr">
        <is>
          <t>KUWAITI DINAR</t>
        </is>
      </c>
      <c r="BI108" t="n">
        <v>85513</v>
      </c>
      <c r="BJ108" t="n">
        <v>89657.5</v>
      </c>
      <c r="BK108" t="inlineStr">
        <is>
          <t>SAUDI RIAL</t>
        </is>
      </c>
      <c r="BM108" t="n">
        <v>6982.24</v>
      </c>
      <c r="BN108" t="n">
        <v>7282.71</v>
      </c>
      <c r="BO108" t="inlineStr">
        <is>
          <t>NORWEGIAN KRONER</t>
        </is>
      </c>
      <c r="BQ108" t="n">
        <v>2756.04</v>
      </c>
      <c r="BR108" t="n">
        <v>2872.89</v>
      </c>
      <c r="BS108" t="inlineStr">
        <is>
          <t>SWEDISH KRONA</t>
        </is>
      </c>
      <c r="BU108" t="n">
        <v>2807.54</v>
      </c>
      <c r="BV108" t="n">
        <v>2926.57</v>
      </c>
      <c r="BW108" t="inlineStr">
        <is>
          <t>DANISH KRONE</t>
        </is>
      </c>
      <c r="BY108" t="n">
        <v>4073.19</v>
      </c>
      <c r="BZ108" t="n">
        <v>4228.93</v>
      </c>
      <c r="CA108" t="inlineStr">
        <is>
          <t>RUSSIAN RUBLE</t>
        </is>
      </c>
      <c r="CC108" t="n">
        <v>328.25</v>
      </c>
      <c r="CD108" t="n">
        <v>363.35</v>
      </c>
    </row>
    <row r="109">
      <c r="A109" t="inlineStr">
        <is>
          <t>18/04/2026</t>
        </is>
      </c>
      <c r="B109">
        <f>IF(ISNUMBER(A109), A109, DATE(RIGHT(A109,4), MID(A109,4,2), LEFT(A109,2)))</f>
        <v/>
      </c>
      <c r="C109" t="inlineStr">
        <is>
          <t>US DOLLAR</t>
        </is>
      </c>
      <c r="D109" t="n">
        <v>26097</v>
      </c>
      <c r="E109" t="n">
        <v>26127</v>
      </c>
      <c r="F109" t="n">
        <v>26357</v>
      </c>
      <c r="G109" t="inlineStr">
        <is>
          <t>EURO</t>
        </is>
      </c>
      <c r="H109" t="n">
        <v>30213.35</v>
      </c>
      <c r="I109" t="n">
        <v>30518.53</v>
      </c>
      <c r="J109" t="n">
        <v>31806.14</v>
      </c>
      <c r="K109" t="inlineStr">
        <is>
          <t>POUND STERLING</t>
        </is>
      </c>
      <c r="L109" t="n">
        <v>34680.94</v>
      </c>
      <c r="M109" t="n">
        <v>35031.25</v>
      </c>
      <c r="N109" t="n">
        <v>36153.06</v>
      </c>
      <c r="O109" t="inlineStr">
        <is>
          <t>YEN</t>
        </is>
      </c>
      <c r="P109" t="n">
        <v>160.07</v>
      </c>
      <c r="Q109" t="n">
        <v>161.69</v>
      </c>
      <c r="R109" t="n">
        <v>170.24</v>
      </c>
      <c r="S109" t="inlineStr">
        <is>
          <t>AUSTRALIAN DOLLAR</t>
        </is>
      </c>
      <c r="T109" t="n">
        <v>18375.89</v>
      </c>
      <c r="U109" t="n">
        <v>18561.51</v>
      </c>
      <c r="V109" t="n">
        <v>19155.91</v>
      </c>
      <c r="W109" t="inlineStr">
        <is>
          <t>CANADIAN DOLLAR</t>
        </is>
      </c>
      <c r="X109" t="n">
        <v>18736.29</v>
      </c>
      <c r="Y109" t="n">
        <v>18925.55</v>
      </c>
      <c r="Z109" t="n">
        <v>19531.6</v>
      </c>
      <c r="AA109" t="inlineStr">
        <is>
          <t>SWISS FRANC</t>
        </is>
      </c>
      <c r="AB109" t="n">
        <v>32755.04</v>
      </c>
      <c r="AC109" t="n">
        <v>33085.9</v>
      </c>
      <c r="AD109" t="n">
        <v>34145.41</v>
      </c>
      <c r="AE109" t="inlineStr">
        <is>
          <t>SINGAPORE DOLLAR</t>
        </is>
      </c>
      <c r="AF109" t="n">
        <v>20145.81</v>
      </c>
      <c r="AG109" t="n">
        <v>20349.3</v>
      </c>
      <c r="AH109" t="n">
        <v>21043</v>
      </c>
      <c r="AI109" t="inlineStr">
        <is>
          <t>YUAN RENMINBI</t>
        </is>
      </c>
      <c r="AJ109" t="n">
        <v>3760.82</v>
      </c>
      <c r="AK109" t="n">
        <v>3798.81</v>
      </c>
      <c r="AL109" t="n">
        <v>3920.46</v>
      </c>
      <c r="AM109" t="inlineStr">
        <is>
          <t>HONGKONG DOLLAR</t>
        </is>
      </c>
      <c r="AN109" t="n">
        <v>3269.73</v>
      </c>
      <c r="AO109" t="n">
        <v>3302.76</v>
      </c>
      <c r="AP109" t="n">
        <v>3429.04</v>
      </c>
      <c r="AQ109" t="inlineStr">
        <is>
          <t>THAILAND BAHT</t>
        </is>
      </c>
      <c r="AR109" t="n">
        <v>724.47</v>
      </c>
      <c r="AS109" t="n">
        <v>804.96</v>
      </c>
      <c r="AT109" t="n">
        <v>839.09</v>
      </c>
      <c r="AU109" t="inlineStr">
        <is>
          <t>KOREAN WON</t>
        </is>
      </c>
      <c r="AV109" t="n">
        <v>15.54</v>
      </c>
      <c r="AW109" t="n">
        <v>17.27</v>
      </c>
      <c r="AX109" t="n">
        <v>18.74</v>
      </c>
      <c r="AY109" t="inlineStr">
        <is>
          <t>MALAYSIAN RINGGIT</t>
        </is>
      </c>
      <c r="BA109" t="n">
        <v>6586.06</v>
      </c>
      <c r="BB109" t="n">
        <v>6729.33</v>
      </c>
      <c r="BC109" t="inlineStr">
        <is>
          <t>INDIAN RUPEE</t>
        </is>
      </c>
      <c r="BE109" t="n">
        <v>281.87</v>
      </c>
      <c r="BF109" t="n">
        <v>294</v>
      </c>
      <c r="BG109" t="inlineStr">
        <is>
          <t>KUWAITI DINAR</t>
        </is>
      </c>
      <c r="BI109" t="n">
        <v>85513</v>
      </c>
      <c r="BJ109" t="n">
        <v>89657.5</v>
      </c>
      <c r="BK109" t="inlineStr">
        <is>
          <t>SAUDI RIAL</t>
        </is>
      </c>
      <c r="BM109" t="n">
        <v>6982.24</v>
      </c>
      <c r="BN109" t="n">
        <v>7282.71</v>
      </c>
      <c r="BO109" t="inlineStr">
        <is>
          <t>NORWEGIAN KRONER</t>
        </is>
      </c>
      <c r="BQ109" t="n">
        <v>2756.04</v>
      </c>
      <c r="BR109" t="n">
        <v>2872.89</v>
      </c>
      <c r="BS109" t="inlineStr">
        <is>
          <t>SWEDISH KRONA</t>
        </is>
      </c>
      <c r="BU109" t="n">
        <v>2807.54</v>
      </c>
      <c r="BV109" t="n">
        <v>2926.57</v>
      </c>
      <c r="BW109" t="inlineStr">
        <is>
          <t>DANISH KRONE</t>
        </is>
      </c>
      <c r="BY109" t="n">
        <v>4073.19</v>
      </c>
      <c r="BZ109" t="n">
        <v>4228.93</v>
      </c>
      <c r="CA109" t="inlineStr">
        <is>
          <t>RUSSIAN RUBLE</t>
        </is>
      </c>
      <c r="CC109" t="n">
        <v>328.25</v>
      </c>
      <c r="CD109" t="n">
        <v>363.35</v>
      </c>
    </row>
    <row r="110">
      <c r="A110" t="inlineStr">
        <is>
          <t>19/04/2026</t>
        </is>
      </c>
      <c r="B110">
        <f>IF(ISNUMBER(A110), A110, DATE(RIGHT(A110,4), MID(A110,4,2), LEFT(A110,2)))</f>
        <v/>
      </c>
      <c r="C110" t="inlineStr">
        <is>
          <t>US DOLLAR</t>
        </is>
      </c>
      <c r="D110" t="n">
        <v>26097</v>
      </c>
      <c r="E110" t="n">
        <v>26127</v>
      </c>
      <c r="F110" t="n">
        <v>26357</v>
      </c>
      <c r="G110" t="inlineStr">
        <is>
          <t>EURO</t>
        </is>
      </c>
      <c r="H110" t="n">
        <v>30213.35</v>
      </c>
      <c r="I110" t="n">
        <v>30518.53</v>
      </c>
      <c r="J110" t="n">
        <v>31806.14</v>
      </c>
      <c r="K110" t="inlineStr">
        <is>
          <t>POUND STERLING</t>
        </is>
      </c>
      <c r="L110" t="n">
        <v>34680.94</v>
      </c>
      <c r="M110" t="n">
        <v>35031.25</v>
      </c>
      <c r="N110" t="n">
        <v>36153.06</v>
      </c>
      <c r="O110" t="inlineStr">
        <is>
          <t>YEN</t>
        </is>
      </c>
      <c r="P110" t="n">
        <v>160.07</v>
      </c>
      <c r="Q110" t="n">
        <v>161.69</v>
      </c>
      <c r="R110" t="n">
        <v>170.24</v>
      </c>
      <c r="S110" t="inlineStr">
        <is>
          <t>AUSTRALIAN DOLLAR</t>
        </is>
      </c>
      <c r="T110" t="n">
        <v>18375.89</v>
      </c>
      <c r="U110" t="n">
        <v>18561.51</v>
      </c>
      <c r="V110" t="n">
        <v>19155.91</v>
      </c>
      <c r="W110" t="inlineStr">
        <is>
          <t>CANADIAN DOLLAR</t>
        </is>
      </c>
      <c r="X110" t="n">
        <v>18736.29</v>
      </c>
      <c r="Y110" t="n">
        <v>18925.55</v>
      </c>
      <c r="Z110" t="n">
        <v>19531.6</v>
      </c>
      <c r="AA110" t="inlineStr">
        <is>
          <t>SWISS FRANC</t>
        </is>
      </c>
      <c r="AB110" t="n">
        <v>32755.04</v>
      </c>
      <c r="AC110" t="n">
        <v>33085.9</v>
      </c>
      <c r="AD110" t="n">
        <v>34145.41</v>
      </c>
      <c r="AE110" t="inlineStr">
        <is>
          <t>SINGAPORE DOLLAR</t>
        </is>
      </c>
      <c r="AF110" t="n">
        <v>20145.81</v>
      </c>
      <c r="AG110" t="n">
        <v>20349.3</v>
      </c>
      <c r="AH110" t="n">
        <v>21043</v>
      </c>
      <c r="AI110" t="inlineStr">
        <is>
          <t>YUAN RENMINBI</t>
        </is>
      </c>
      <c r="AJ110" t="n">
        <v>3760.82</v>
      </c>
      <c r="AK110" t="n">
        <v>3798.81</v>
      </c>
      <c r="AL110" t="n">
        <v>3920.46</v>
      </c>
      <c r="AM110" t="inlineStr">
        <is>
          <t>HONGKONG DOLLAR</t>
        </is>
      </c>
      <c r="AN110" t="n">
        <v>3269.73</v>
      </c>
      <c r="AO110" t="n">
        <v>3302.76</v>
      </c>
      <c r="AP110" t="n">
        <v>3429.04</v>
      </c>
      <c r="AQ110" t="inlineStr">
        <is>
          <t>THAILAND BAHT</t>
        </is>
      </c>
      <c r="AR110" t="n">
        <v>724.47</v>
      </c>
      <c r="AS110" t="n">
        <v>804.96</v>
      </c>
      <c r="AT110" t="n">
        <v>839.09</v>
      </c>
      <c r="AU110" t="inlineStr">
        <is>
          <t>KOREAN WON</t>
        </is>
      </c>
      <c r="AV110" t="n">
        <v>15.54</v>
      </c>
      <c r="AW110" t="n">
        <v>17.27</v>
      </c>
      <c r="AX110" t="n">
        <v>18.74</v>
      </c>
      <c r="AY110" t="inlineStr">
        <is>
          <t>MALAYSIAN RINGGIT</t>
        </is>
      </c>
      <c r="BA110" t="n">
        <v>6586.06</v>
      </c>
      <c r="BB110" t="n">
        <v>6729.33</v>
      </c>
      <c r="BC110" t="inlineStr">
        <is>
          <t>INDIAN RUPEE</t>
        </is>
      </c>
      <c r="BE110" t="n">
        <v>281.87</v>
      </c>
      <c r="BF110" t="n">
        <v>294</v>
      </c>
      <c r="BG110" t="inlineStr">
        <is>
          <t>KUWAITI DINAR</t>
        </is>
      </c>
      <c r="BI110" t="n">
        <v>85513</v>
      </c>
      <c r="BJ110" t="n">
        <v>89657.5</v>
      </c>
      <c r="BK110" t="inlineStr">
        <is>
          <t>SAUDI RIAL</t>
        </is>
      </c>
      <c r="BM110" t="n">
        <v>6982.24</v>
      </c>
      <c r="BN110" t="n">
        <v>7282.71</v>
      </c>
      <c r="BO110" t="inlineStr">
        <is>
          <t>NORWEGIAN KRONER</t>
        </is>
      </c>
      <c r="BQ110" t="n">
        <v>2756.04</v>
      </c>
      <c r="BR110" t="n">
        <v>2872.89</v>
      </c>
      <c r="BS110" t="inlineStr">
        <is>
          <t>SWEDISH KRONA</t>
        </is>
      </c>
      <c r="BU110" t="n">
        <v>2807.54</v>
      </c>
      <c r="BV110" t="n">
        <v>2926.57</v>
      </c>
      <c r="BW110" t="inlineStr">
        <is>
          <t>DANISH KRONE</t>
        </is>
      </c>
      <c r="BY110" t="n">
        <v>4073.19</v>
      </c>
      <c r="BZ110" t="n">
        <v>4228.93</v>
      </c>
      <c r="CA110" t="inlineStr">
        <is>
          <t>RUSSIAN RUBLE</t>
        </is>
      </c>
      <c r="CC110" t="n">
        <v>328.25</v>
      </c>
      <c r="CD110" t="n">
        <v>363.35</v>
      </c>
    </row>
    <row r="111">
      <c r="A111" t="inlineStr">
        <is>
          <t>20/04/2026</t>
        </is>
      </c>
      <c r="B111">
        <f>IF(ISNUMBER(A111), A111, DATE(RIGHT(A111,4), MID(A111,4,2), LEFT(A111,2)))</f>
        <v/>
      </c>
      <c r="C111" t="inlineStr">
        <is>
          <t>US DOLLAR</t>
        </is>
      </c>
      <c r="D111" t="n">
        <v>26098</v>
      </c>
      <c r="E111" t="n">
        <v>26128</v>
      </c>
      <c r="F111" t="n">
        <v>26358</v>
      </c>
      <c r="G111" t="inlineStr">
        <is>
          <t>EURO</t>
        </is>
      </c>
      <c r="H111" t="n">
        <v>30174.85</v>
      </c>
      <c r="I111" t="n">
        <v>30479.65</v>
      </c>
      <c r="J111" t="n">
        <v>31765.62</v>
      </c>
      <c r="K111" t="inlineStr">
        <is>
          <t>POUND STERLING</t>
        </is>
      </c>
      <c r="L111" t="n">
        <v>34639.88</v>
      </c>
      <c r="M111" t="n">
        <v>34989.78</v>
      </c>
      <c r="N111" t="n">
        <v>36110.26</v>
      </c>
      <c r="O111" t="inlineStr">
        <is>
          <t>YEN</t>
        </is>
      </c>
      <c r="P111" t="n">
        <v>160.25</v>
      </c>
      <c r="Q111" t="n">
        <v>161.87</v>
      </c>
      <c r="R111" t="n">
        <v>170.43</v>
      </c>
      <c r="S111" t="inlineStr">
        <is>
          <t>AUSTRALIAN DOLLAR</t>
        </is>
      </c>
      <c r="T111" t="n">
        <v>18355.36</v>
      </c>
      <c r="U111" t="n">
        <v>18540.77</v>
      </c>
      <c r="V111" t="n">
        <v>19134.51</v>
      </c>
      <c r="W111" t="inlineStr">
        <is>
          <t>CANADIAN DOLLAR</t>
        </is>
      </c>
      <c r="X111" t="n">
        <v>18741.77</v>
      </c>
      <c r="Y111" t="n">
        <v>18931.08</v>
      </c>
      <c r="Z111" t="n">
        <v>19537.31</v>
      </c>
      <c r="AA111" t="inlineStr">
        <is>
          <t>SWISS FRANC</t>
        </is>
      </c>
      <c r="AB111" t="n">
        <v>32822.06</v>
      </c>
      <c r="AC111" t="n">
        <v>33153.59</v>
      </c>
      <c r="AD111" t="n">
        <v>34215.28</v>
      </c>
      <c r="AE111" t="inlineStr">
        <is>
          <t>SINGAPORE DOLLAR</t>
        </is>
      </c>
      <c r="AF111" t="n">
        <v>20163.23</v>
      </c>
      <c r="AG111" t="n">
        <v>20366.9</v>
      </c>
      <c r="AH111" t="n">
        <v>21061.21</v>
      </c>
      <c r="AI111" t="inlineStr">
        <is>
          <t>YUAN RENMINBI</t>
        </is>
      </c>
      <c r="AJ111" t="n">
        <v>3763.96</v>
      </c>
      <c r="AK111" t="n">
        <v>3801.98</v>
      </c>
      <c r="AL111" t="n">
        <v>3923.74</v>
      </c>
      <c r="AM111" t="inlineStr">
        <is>
          <t>HONGKONG DOLLAR</t>
        </is>
      </c>
      <c r="AN111" t="n">
        <v>3267.02</v>
      </c>
      <c r="AO111" t="n">
        <v>3300.02</v>
      </c>
      <c r="AP111" t="n">
        <v>3426.2</v>
      </c>
      <c r="AQ111" t="inlineStr">
        <is>
          <t>THAILAND BAHT</t>
        </is>
      </c>
      <c r="AR111" t="n">
        <v>724.6900000000001</v>
      </c>
      <c r="AS111" t="n">
        <v>805.21</v>
      </c>
      <c r="AT111" t="n">
        <v>839.35</v>
      </c>
      <c r="AU111" t="inlineStr">
        <is>
          <t>KOREAN WON</t>
        </is>
      </c>
      <c r="AV111" t="n">
        <v>15.46</v>
      </c>
      <c r="AW111" t="n">
        <v>17.18</v>
      </c>
      <c r="AX111" t="n">
        <v>18.64</v>
      </c>
      <c r="AY111" t="inlineStr">
        <is>
          <t>MALAYSIAN RINGGIT</t>
        </is>
      </c>
      <c r="BA111" t="n">
        <v>6596.06</v>
      </c>
      <c r="BB111" t="n">
        <v>6739.55</v>
      </c>
      <c r="BC111" t="inlineStr">
        <is>
          <t>INDIAN RUPEE</t>
        </is>
      </c>
      <c r="BE111" t="n">
        <v>282.83</v>
      </c>
      <c r="BF111" t="n">
        <v>295</v>
      </c>
      <c r="BG111" t="inlineStr">
        <is>
          <t>KUWAITI DINAR</t>
        </is>
      </c>
      <c r="BI111" t="n">
        <v>85485.08</v>
      </c>
      <c r="BJ111" t="n">
        <v>89628.22</v>
      </c>
      <c r="BK111" t="inlineStr">
        <is>
          <t>SAUDI RIAL</t>
        </is>
      </c>
      <c r="BM111" t="n">
        <v>6980.56</v>
      </c>
      <c r="BN111" t="n">
        <v>7280.96</v>
      </c>
      <c r="BO111" t="inlineStr">
        <is>
          <t>NORWEGIAN KRONER</t>
        </is>
      </c>
      <c r="BQ111" t="n">
        <v>2750.46</v>
      </c>
      <c r="BR111" t="n">
        <v>2867.07</v>
      </c>
      <c r="BS111" t="inlineStr">
        <is>
          <t>SWEDISH KRONA</t>
        </is>
      </c>
      <c r="BU111" t="n">
        <v>2812.5</v>
      </c>
      <c r="BV111" t="n">
        <v>2931.74</v>
      </c>
      <c r="BW111" t="inlineStr">
        <is>
          <t>DANISH KRONE</t>
        </is>
      </c>
      <c r="BY111" t="n">
        <v>4067.94</v>
      </c>
      <c r="BZ111" t="n">
        <v>4223.48</v>
      </c>
      <c r="CA111" t="inlineStr">
        <is>
          <t>RUSSIAN RUBLE</t>
        </is>
      </c>
      <c r="CC111" t="n">
        <v>329.78</v>
      </c>
      <c r="CD111" t="n">
        <v>365.05</v>
      </c>
    </row>
    <row r="112">
      <c r="A112" t="inlineStr">
        <is>
          <t>21/04/2026</t>
        </is>
      </c>
      <c r="B112">
        <f>IF(ISNUMBER(A112), A112, DATE(RIGHT(A112,4), MID(A112,4,2), LEFT(A112,2)))</f>
        <v/>
      </c>
      <c r="C112" t="inlineStr">
        <is>
          <t>US DOLLAR</t>
        </is>
      </c>
      <c r="D112" t="n">
        <v>26097</v>
      </c>
      <c r="E112" t="n">
        <v>26127</v>
      </c>
      <c r="F112" t="n">
        <v>26357</v>
      </c>
      <c r="G112" t="inlineStr">
        <is>
          <t>EURO</t>
        </is>
      </c>
      <c r="H112" t="n">
        <v>30231.58</v>
      </c>
      <c r="I112" t="n">
        <v>30536.95</v>
      </c>
      <c r="J112" t="n">
        <v>31825.33</v>
      </c>
      <c r="K112" t="inlineStr">
        <is>
          <t>POUND STERLING</t>
        </is>
      </c>
      <c r="L112" t="n">
        <v>34696.26</v>
      </c>
      <c r="M112" t="n">
        <v>35046.73</v>
      </c>
      <c r="N112" t="n">
        <v>36169.04</v>
      </c>
      <c r="O112" t="inlineStr">
        <is>
          <t>YEN</t>
        </is>
      </c>
      <c r="P112" t="n">
        <v>159.88</v>
      </c>
      <c r="Q112" t="n">
        <v>161.49</v>
      </c>
      <c r="R112" t="n">
        <v>170.03</v>
      </c>
      <c r="S112" t="inlineStr">
        <is>
          <t>AUSTRALIAN DOLLAR</t>
        </is>
      </c>
      <c r="T112" t="n">
        <v>18405.29</v>
      </c>
      <c r="U112" t="n">
        <v>18591.2</v>
      </c>
      <c r="V112" t="n">
        <v>19186.55</v>
      </c>
      <c r="W112" t="inlineStr">
        <is>
          <t>CANADIAN DOLLAR</t>
        </is>
      </c>
      <c r="X112" t="n">
        <v>18813.15</v>
      </c>
      <c r="Y112" t="n">
        <v>19003.18</v>
      </c>
      <c r="Z112" t="n">
        <v>19611.72</v>
      </c>
      <c r="AA112" t="inlineStr">
        <is>
          <t>SWISS FRANC</t>
        </is>
      </c>
      <c r="AB112" t="n">
        <v>32967.11</v>
      </c>
      <c r="AC112" t="n">
        <v>33300.11</v>
      </c>
      <c r="AD112" t="n">
        <v>34366.49</v>
      </c>
      <c r="AE112" t="inlineStr">
        <is>
          <t>SINGAPORE DOLLAR</t>
        </is>
      </c>
      <c r="AF112" t="n">
        <v>20188.69</v>
      </c>
      <c r="AG112" t="n">
        <v>20392.62</v>
      </c>
      <c r="AH112" t="n">
        <v>21087.8</v>
      </c>
      <c r="AI112" t="inlineStr">
        <is>
          <t>YUAN RENMINBI</t>
        </is>
      </c>
      <c r="AJ112" t="n">
        <v>3764.73</v>
      </c>
      <c r="AK112" t="n">
        <v>3802.75</v>
      </c>
      <c r="AL112" t="n">
        <v>3924.53</v>
      </c>
      <c r="AM112" t="inlineStr">
        <is>
          <t>HONGKONG DOLLAR</t>
        </is>
      </c>
      <c r="AN112" t="n">
        <v>3267.65</v>
      </c>
      <c r="AO112" t="n">
        <v>3300.65</v>
      </c>
      <c r="AP112" t="n">
        <v>3426.86</v>
      </c>
      <c r="AQ112" t="inlineStr">
        <is>
          <t>THAILAND BAHT</t>
        </is>
      </c>
      <c r="AR112" t="n">
        <v>725.54</v>
      </c>
      <c r="AS112" t="n">
        <v>806.16</v>
      </c>
      <c r="AT112" t="n">
        <v>840.34</v>
      </c>
      <c r="AU112" t="inlineStr">
        <is>
          <t>KOREAN WON</t>
        </is>
      </c>
      <c r="AV112" t="n">
        <v>15.47</v>
      </c>
      <c r="AW112" t="n">
        <v>17.19</v>
      </c>
      <c r="AX112" t="n">
        <v>18.65</v>
      </c>
      <c r="AY112" t="inlineStr">
        <is>
          <t>MALAYSIAN RINGGIT</t>
        </is>
      </c>
      <c r="BA112" t="n">
        <v>6600.58</v>
      </c>
      <c r="BB112" t="n">
        <v>6744.16</v>
      </c>
      <c r="BC112" t="inlineStr">
        <is>
          <t>INDIAN RUPEE</t>
        </is>
      </c>
      <c r="BE112" t="n">
        <v>281.2</v>
      </c>
      <c r="BF112" t="n">
        <v>293.3</v>
      </c>
      <c r="BG112" t="inlineStr">
        <is>
          <t>KUWAITI DINAR</t>
        </is>
      </c>
      <c r="BI112" t="n">
        <v>85478.58</v>
      </c>
      <c r="BJ112" t="n">
        <v>89621.42</v>
      </c>
      <c r="BK112" t="inlineStr">
        <is>
          <t>SAUDI RIAL</t>
        </is>
      </c>
      <c r="BM112" t="n">
        <v>6980.4</v>
      </c>
      <c r="BN112" t="n">
        <v>7280.8</v>
      </c>
      <c r="BO112" t="inlineStr">
        <is>
          <t>NORWEGIAN KRONER</t>
        </is>
      </c>
      <c r="BQ112" t="n">
        <v>2771.34</v>
      </c>
      <c r="BR112" t="n">
        <v>2888.85</v>
      </c>
      <c r="BS112" t="inlineStr">
        <is>
          <t>SWEDISH KRONA</t>
        </is>
      </c>
      <c r="BU112" t="n">
        <v>2826.46</v>
      </c>
      <c r="BV112" t="n">
        <v>2946.29</v>
      </c>
      <c r="BW112" t="inlineStr">
        <is>
          <t>DANISH KRONE</t>
        </is>
      </c>
      <c r="BY112" t="n">
        <v>4075.32</v>
      </c>
      <c r="BZ112" t="n">
        <v>4231.15</v>
      </c>
      <c r="CA112" t="inlineStr">
        <is>
          <t>RUSSIAN RUBLE</t>
        </is>
      </c>
      <c r="CC112" t="n">
        <v>334.38</v>
      </c>
      <c r="CD112" t="n">
        <v>370.14</v>
      </c>
    </row>
    <row r="113">
      <c r="A113" t="inlineStr">
        <is>
          <t>22/04/2026</t>
        </is>
      </c>
      <c r="B113">
        <f>IF(ISNUMBER(A113), A113, DATE(RIGHT(A113,4), MID(A113,4,2), LEFT(A113,2)))</f>
        <v/>
      </c>
      <c r="C113" t="inlineStr">
        <is>
          <t>US DOLLAR</t>
        </is>
      </c>
      <c r="D113" t="n">
        <v>26095</v>
      </c>
      <c r="E113" t="n">
        <v>26125</v>
      </c>
      <c r="F113" t="n">
        <v>26355</v>
      </c>
      <c r="G113" t="inlineStr">
        <is>
          <t>EURO</t>
        </is>
      </c>
      <c r="H113" t="n">
        <v>30111.49</v>
      </c>
      <c r="I113" t="n">
        <v>30415.65</v>
      </c>
      <c r="J113" t="n">
        <v>31697.74</v>
      </c>
      <c r="K113" t="inlineStr">
        <is>
          <t>POUND STERLING</t>
        </is>
      </c>
      <c r="L113" t="n">
        <v>34640.65</v>
      </c>
      <c r="M113" t="n">
        <v>34990.56</v>
      </c>
      <c r="N113" t="n">
        <v>36109.73</v>
      </c>
      <c r="O113" t="inlineStr">
        <is>
          <t>YEN</t>
        </is>
      </c>
      <c r="P113" t="n">
        <v>160.33</v>
      </c>
      <c r="Q113" t="n">
        <v>161.94</v>
      </c>
      <c r="R113" t="n">
        <v>170.5</v>
      </c>
      <c r="S113" t="inlineStr">
        <is>
          <t>AUSTRALIAN DOLLAR</t>
        </is>
      </c>
      <c r="T113" t="n">
        <v>18355.16</v>
      </c>
      <c r="U113" t="n">
        <v>18540.57</v>
      </c>
      <c r="V113" t="n">
        <v>19133.58</v>
      </c>
      <c r="W113" t="inlineStr">
        <is>
          <t>CANADIAN DOLLAR</t>
        </is>
      </c>
      <c r="X113" t="n">
        <v>18783.2</v>
      </c>
      <c r="Y113" t="n">
        <v>18972.93</v>
      </c>
      <c r="Z113" t="n">
        <v>19579.78</v>
      </c>
      <c r="AA113" t="inlineStr">
        <is>
          <t>SWISS FRANC</t>
        </is>
      </c>
      <c r="AB113" t="n">
        <v>32862.18</v>
      </c>
      <c r="AC113" t="n">
        <v>33194.12</v>
      </c>
      <c r="AD113" t="n">
        <v>34255.83</v>
      </c>
      <c r="AE113" t="inlineStr">
        <is>
          <t>SINGAPORE DOLLAR</t>
        </is>
      </c>
      <c r="AF113" t="n">
        <v>20120.1</v>
      </c>
      <c r="AG113" t="n">
        <v>20323.33</v>
      </c>
      <c r="AH113" t="n">
        <v>21015.37</v>
      </c>
      <c r="AI113" t="inlineStr">
        <is>
          <t>YUAN RENMINBI</t>
        </is>
      </c>
      <c r="AJ113" t="n">
        <v>3760</v>
      </c>
      <c r="AK113" t="n">
        <v>3797.98</v>
      </c>
      <c r="AL113" t="n">
        <v>3919.46</v>
      </c>
      <c r="AM113" t="inlineStr">
        <is>
          <t>HONGKONG DOLLAR</t>
        </is>
      </c>
      <c r="AN113" t="n">
        <v>3266.74</v>
      </c>
      <c r="AO113" t="n">
        <v>3299.74</v>
      </c>
      <c r="AP113" t="n">
        <v>3425.78</v>
      </c>
      <c r="AQ113" t="inlineStr">
        <is>
          <t>THAILAND BAHT</t>
        </is>
      </c>
      <c r="AR113" t="n">
        <v>721.58</v>
      </c>
      <c r="AS113" t="n">
        <v>801.75</v>
      </c>
      <c r="AT113" t="n">
        <v>835.71</v>
      </c>
      <c r="AU113" t="inlineStr">
        <is>
          <t>KOREAN WON</t>
        </is>
      </c>
      <c r="AV113" t="n">
        <v>15.39</v>
      </c>
      <c r="AW113" t="n">
        <v>17.1</v>
      </c>
      <c r="AX113" t="n">
        <v>18.55</v>
      </c>
      <c r="AY113" t="inlineStr">
        <is>
          <t>MALAYSIAN RINGGIT</t>
        </is>
      </c>
      <c r="BA113" t="n">
        <v>6587.3</v>
      </c>
      <c r="BB113" t="n">
        <v>6730.34</v>
      </c>
      <c r="BC113" t="inlineStr">
        <is>
          <t>INDIAN RUPEE</t>
        </is>
      </c>
      <c r="BE113" t="n">
        <v>279.92</v>
      </c>
      <c r="BF113" t="n">
        <v>291.96</v>
      </c>
      <c r="BG113" t="inlineStr">
        <is>
          <t>KUWAITI DINAR</t>
        </is>
      </c>
      <c r="BI113" t="n">
        <v>85436.35000000001</v>
      </c>
      <c r="BJ113" t="n">
        <v>89573.81</v>
      </c>
      <c r="BK113" t="inlineStr">
        <is>
          <t>SAUDI RIAL</t>
        </is>
      </c>
      <c r="BM113" t="n">
        <v>6977.7</v>
      </c>
      <c r="BN113" t="n">
        <v>7277.7</v>
      </c>
      <c r="BO113" t="inlineStr">
        <is>
          <t>NORWEGIAN KRONER</t>
        </is>
      </c>
      <c r="BQ113" t="n">
        <v>2762.35</v>
      </c>
      <c r="BR113" t="n">
        <v>2879.36</v>
      </c>
      <c r="BS113" t="inlineStr">
        <is>
          <t>SWEDISH KRONA</t>
        </is>
      </c>
      <c r="BU113" t="n">
        <v>2811.14</v>
      </c>
      <c r="BV113" t="n">
        <v>2930.22</v>
      </c>
      <c r="BW113" t="inlineStr">
        <is>
          <t>DANISH KRONE</t>
        </is>
      </c>
      <c r="BY113" t="n">
        <v>4059.36</v>
      </c>
      <c r="BZ113" t="n">
        <v>4214.41</v>
      </c>
      <c r="CA113" t="inlineStr">
        <is>
          <t>RUSSIAN RUBLE</t>
        </is>
      </c>
      <c r="CC113" t="n">
        <v>333.75</v>
      </c>
      <c r="CD113" t="n">
        <v>369.42</v>
      </c>
    </row>
    <row r="114">
      <c r="A114" t="inlineStr">
        <is>
          <t>23/04/2026</t>
        </is>
      </c>
      <c r="B114">
        <f>IF(ISNUMBER(A114), A114, DATE(RIGHT(A114,4), MID(A114,4,2), LEFT(A114,2)))</f>
        <v/>
      </c>
      <c r="C114" t="inlineStr">
        <is>
          <t>US DOLLAR</t>
        </is>
      </c>
      <c r="D114" t="n">
        <v>26100</v>
      </c>
      <c r="E114" t="n">
        <v>26130</v>
      </c>
      <c r="F114" t="n">
        <v>26360</v>
      </c>
      <c r="G114" t="inlineStr">
        <is>
          <t>EURO</t>
        </is>
      </c>
      <c r="H114" t="n">
        <v>30037.12</v>
      </c>
      <c r="I114" t="n">
        <v>30340.52</v>
      </c>
      <c r="J114" t="n">
        <v>31620.64</v>
      </c>
      <c r="K114" t="inlineStr">
        <is>
          <t>POUND STERLING</t>
        </is>
      </c>
      <c r="L114" t="n">
        <v>34643.22</v>
      </c>
      <c r="M114" t="n">
        <v>34993.15</v>
      </c>
      <c r="N114" t="n">
        <v>36113.77</v>
      </c>
      <c r="O114" t="inlineStr">
        <is>
          <t>YEN</t>
        </is>
      </c>
      <c r="P114" t="n">
        <v>159.45</v>
      </c>
      <c r="Q114" t="n">
        <v>161.06</v>
      </c>
      <c r="R114" t="n">
        <v>169.58</v>
      </c>
      <c r="S114" t="inlineStr">
        <is>
          <t>AUSTRALIAN DOLLAR</t>
        </is>
      </c>
      <c r="T114" t="n">
        <v>18370.55</v>
      </c>
      <c r="U114" t="n">
        <v>18556.11</v>
      </c>
      <c r="V114" t="n">
        <v>19150.35</v>
      </c>
      <c r="W114" t="inlineStr">
        <is>
          <t>CANADIAN DOLLAR</t>
        </is>
      </c>
      <c r="X114" t="n">
        <v>18773.58</v>
      </c>
      <c r="Y114" t="n">
        <v>18963.21</v>
      </c>
      <c r="Z114" t="n">
        <v>19570.49</v>
      </c>
      <c r="AA114" t="inlineStr">
        <is>
          <t>SWISS FRANC</t>
        </is>
      </c>
      <c r="AB114" t="n">
        <v>32715.49</v>
      </c>
      <c r="AC114" t="n">
        <v>33045.95</v>
      </c>
      <c r="AD114" t="n">
        <v>34104.22</v>
      </c>
      <c r="AE114" t="inlineStr">
        <is>
          <t>SINGAPORE DOLLAR</t>
        </is>
      </c>
      <c r="AF114" t="n">
        <v>20102.74</v>
      </c>
      <c r="AG114" t="n">
        <v>20305.79</v>
      </c>
      <c r="AH114" t="n">
        <v>20998.03</v>
      </c>
      <c r="AI114" t="inlineStr">
        <is>
          <t>YUAN RENMINBI</t>
        </is>
      </c>
      <c r="AJ114" t="n">
        <v>3757.19</v>
      </c>
      <c r="AK114" t="n">
        <v>3795.14</v>
      </c>
      <c r="AL114" t="n">
        <v>3916.68</v>
      </c>
      <c r="AM114" t="inlineStr">
        <is>
          <t>HONGKONG DOLLAR</t>
        </is>
      </c>
      <c r="AN114" t="n">
        <v>3265.49</v>
      </c>
      <c r="AO114" t="n">
        <v>3298.47</v>
      </c>
      <c r="AP114" t="n">
        <v>3424.6</v>
      </c>
      <c r="AQ114" t="inlineStr">
        <is>
          <t>THAILAND BAHT</t>
        </is>
      </c>
      <c r="AR114" t="n">
        <v>719.5599999999999</v>
      </c>
      <c r="AS114" t="n">
        <v>799.51</v>
      </c>
      <c r="AT114" t="n">
        <v>833.41</v>
      </c>
      <c r="AU114" t="inlineStr">
        <is>
          <t>KOREAN WON</t>
        </is>
      </c>
      <c r="AV114" t="n">
        <v>15.4</v>
      </c>
      <c r="AW114" t="n">
        <v>17.11</v>
      </c>
      <c r="AX114" t="n">
        <v>18.57</v>
      </c>
      <c r="AY114" t="inlineStr">
        <is>
          <t>MALAYSIAN RINGGIT</t>
        </is>
      </c>
      <c r="BA114" t="n">
        <v>6585.64</v>
      </c>
      <c r="BB114" t="n">
        <v>6728.9</v>
      </c>
      <c r="BC114" t="inlineStr">
        <is>
          <t>INDIAN RUPEE</t>
        </is>
      </c>
      <c r="BE114" t="n">
        <v>279.02</v>
      </c>
      <c r="BF114" t="n">
        <v>291.03</v>
      </c>
      <c r="BG114" t="inlineStr">
        <is>
          <t>KUWAITI DINAR</t>
        </is>
      </c>
      <c r="BI114" t="n">
        <v>85408.47</v>
      </c>
      <c r="BJ114" t="n">
        <v>89547.98</v>
      </c>
      <c r="BK114" t="inlineStr">
        <is>
          <t>SAUDI RIAL</t>
        </is>
      </c>
      <c r="BM114" t="n">
        <v>6977.7</v>
      </c>
      <c r="BN114" t="n">
        <v>7277.98</v>
      </c>
      <c r="BO114" t="inlineStr">
        <is>
          <t>NORWEGIAN KRONER</t>
        </is>
      </c>
      <c r="BQ114" t="n">
        <v>2774.06</v>
      </c>
      <c r="BR114" t="n">
        <v>2891.68</v>
      </c>
      <c r="BS114" t="inlineStr">
        <is>
          <t>SWEDISH KRONA</t>
        </is>
      </c>
      <c r="BU114" t="n">
        <v>2798.87</v>
      </c>
      <c r="BV114" t="n">
        <v>2917.54</v>
      </c>
      <c r="BW114" t="inlineStr">
        <is>
          <t>DANISH KRONE</t>
        </is>
      </c>
      <c r="BY114" t="n">
        <v>4049.43</v>
      </c>
      <c r="BZ114" t="n">
        <v>4204.27</v>
      </c>
      <c r="CA114" t="inlineStr">
        <is>
          <t>RUSSIAN RUBLE</t>
        </is>
      </c>
      <c r="CC114" t="n">
        <v>333.54</v>
      </c>
      <c r="CD114" t="n">
        <v>369.21</v>
      </c>
    </row>
    <row r="115">
      <c r="A115" t="inlineStr">
        <is>
          <t>24/04/2026</t>
        </is>
      </c>
      <c r="B115">
        <f>IF(ISNUMBER(A115), A115, DATE(RIGHT(A115,4), MID(A115,4,2), LEFT(A115,2)))</f>
        <v/>
      </c>
      <c r="C115" t="inlineStr">
        <is>
          <t>US DOLLAR</t>
        </is>
      </c>
      <c r="D115" t="n">
        <v>26108</v>
      </c>
      <c r="E115" t="n">
        <v>26138</v>
      </c>
      <c r="F115" t="n">
        <v>26368</v>
      </c>
      <c r="G115" t="inlineStr">
        <is>
          <t>EURO</t>
        </is>
      </c>
      <c r="H115" t="n">
        <v>30017.75</v>
      </c>
      <c r="I115" t="n">
        <v>30320.96</v>
      </c>
      <c r="J115" t="n">
        <v>31600.24</v>
      </c>
      <c r="K115" t="inlineStr">
        <is>
          <t>POUND STERLING</t>
        </is>
      </c>
      <c r="L115" t="n">
        <v>34607.64</v>
      </c>
      <c r="M115" t="n">
        <v>34957.22</v>
      </c>
      <c r="N115" t="n">
        <v>36076.67</v>
      </c>
      <c r="O115" t="inlineStr">
        <is>
          <t>YEN</t>
        </is>
      </c>
      <c r="P115" t="n">
        <v>159.34</v>
      </c>
      <c r="Q115" t="n">
        <v>160.95</v>
      </c>
      <c r="R115" t="n">
        <v>169.46</v>
      </c>
      <c r="S115" t="inlineStr">
        <is>
          <t>AUSTRALIAN DOLLAR</t>
        </is>
      </c>
      <c r="T115" t="n">
        <v>18336.48</v>
      </c>
      <c r="U115" t="n">
        <v>18521.7</v>
      </c>
      <c r="V115" t="n">
        <v>19114.83</v>
      </c>
      <c r="W115" t="inlineStr">
        <is>
          <t>CANADIAN DOLLAR</t>
        </is>
      </c>
      <c r="X115" t="n">
        <v>18771.1</v>
      </c>
      <c r="Y115" t="n">
        <v>18960.71</v>
      </c>
      <c r="Z115" t="n">
        <v>19567.89</v>
      </c>
      <c r="AA115" t="inlineStr">
        <is>
          <t>SWISS FRANC</t>
        </is>
      </c>
      <c r="AB115" t="n">
        <v>32682.08</v>
      </c>
      <c r="AC115" t="n">
        <v>33012.2</v>
      </c>
      <c r="AD115" t="n">
        <v>34069.37</v>
      </c>
      <c r="AE115" t="inlineStr">
        <is>
          <t>SINGAPORE DOLLAR</t>
        </is>
      </c>
      <c r="AF115" t="n">
        <v>20083.6</v>
      </c>
      <c r="AG115" t="n">
        <v>20286.46</v>
      </c>
      <c r="AH115" t="n">
        <v>20978.03</v>
      </c>
      <c r="AI115" t="inlineStr">
        <is>
          <t>YUAN RENMINBI</t>
        </is>
      </c>
      <c r="AJ115" t="n">
        <v>3755.59</v>
      </c>
      <c r="AK115" t="n">
        <v>3793.53</v>
      </c>
      <c r="AL115" t="n">
        <v>3915.01</v>
      </c>
      <c r="AM115" t="inlineStr">
        <is>
          <t>HONGKONG DOLLAR</t>
        </is>
      </c>
      <c r="AN115" t="n">
        <v>3267.15</v>
      </c>
      <c r="AO115" t="n">
        <v>3300.15</v>
      </c>
      <c r="AP115" t="n">
        <v>3426.33</v>
      </c>
      <c r="AQ115" t="inlineStr">
        <is>
          <t>THAILAND BAHT</t>
        </is>
      </c>
      <c r="AR115" t="n">
        <v>717.61</v>
      </c>
      <c r="AS115" t="n">
        <v>797.35</v>
      </c>
      <c r="AT115" t="n">
        <v>831.15</v>
      </c>
      <c r="AU115" t="inlineStr">
        <is>
          <t>KOREAN WON</t>
        </is>
      </c>
      <c r="AV115" t="n">
        <v>15.36</v>
      </c>
      <c r="AW115" t="n">
        <v>17.06</v>
      </c>
      <c r="AX115" t="n">
        <v>18.51</v>
      </c>
      <c r="AY115" t="inlineStr">
        <is>
          <t>MALAYSIAN RINGGIT</t>
        </is>
      </c>
      <c r="BA115" t="n">
        <v>6573.18</v>
      </c>
      <c r="BB115" t="n">
        <v>6716.16</v>
      </c>
      <c r="BC115" t="inlineStr">
        <is>
          <t>INDIAN RUPEE</t>
        </is>
      </c>
      <c r="BE115" t="n">
        <v>279.12</v>
      </c>
      <c r="BF115" t="n">
        <v>291.14</v>
      </c>
      <c r="BG115" t="inlineStr">
        <is>
          <t>KUWAITI DINAR</t>
        </is>
      </c>
      <c r="BI115" t="n">
        <v>85440.94</v>
      </c>
      <c r="BJ115" t="n">
        <v>89581.97</v>
      </c>
      <c r="BK115" t="inlineStr">
        <is>
          <t>SAUDI RIAL</t>
        </is>
      </c>
      <c r="BM115" t="n">
        <v>6980.54</v>
      </c>
      <c r="BN115" t="n">
        <v>7280.94</v>
      </c>
      <c r="BO115" t="inlineStr">
        <is>
          <t>NORWEGIAN KRONER</t>
        </is>
      </c>
      <c r="BQ115" t="n">
        <v>2771.42</v>
      </c>
      <c r="BR115" t="n">
        <v>2888.92</v>
      </c>
      <c r="BS115" t="inlineStr">
        <is>
          <t>SWEDISH KRONA</t>
        </is>
      </c>
      <c r="BU115" t="n">
        <v>2792.39</v>
      </c>
      <c r="BV115" t="n">
        <v>2910.78</v>
      </c>
      <c r="BW115" t="inlineStr">
        <is>
          <t>DANISH KRONE</t>
        </is>
      </c>
      <c r="BY115" t="n">
        <v>4046.79</v>
      </c>
      <c r="BZ115" t="n">
        <v>4201.52</v>
      </c>
      <c r="CA115" t="inlineStr">
        <is>
          <t>RUSSIAN RUBLE</t>
        </is>
      </c>
      <c r="CC115" t="n">
        <v>333.67</v>
      </c>
      <c r="CD115" t="n">
        <v>369.35</v>
      </c>
    </row>
    <row r="116">
      <c r="A116" t="inlineStr">
        <is>
          <t>25/04/2026</t>
        </is>
      </c>
      <c r="B116">
        <f>IF(ISNUMBER(A116), A116, DATE(RIGHT(A116,4), MID(A116,4,2), LEFT(A116,2)))</f>
        <v/>
      </c>
      <c r="C116" t="inlineStr">
        <is>
          <t>US DOLLAR</t>
        </is>
      </c>
      <c r="D116" t="n">
        <v>26108</v>
      </c>
      <c r="E116" t="n">
        <v>26138</v>
      </c>
      <c r="F116" t="n">
        <v>26368</v>
      </c>
      <c r="G116" t="inlineStr">
        <is>
          <t>EURO</t>
        </is>
      </c>
      <c r="H116" t="n">
        <v>30017.75</v>
      </c>
      <c r="I116" t="n">
        <v>30320.96</v>
      </c>
      <c r="J116" t="n">
        <v>31600.24</v>
      </c>
      <c r="K116" t="inlineStr">
        <is>
          <t>POUND STERLING</t>
        </is>
      </c>
      <c r="L116" t="n">
        <v>34607.64</v>
      </c>
      <c r="M116" t="n">
        <v>34957.22</v>
      </c>
      <c r="N116" t="n">
        <v>36076.67</v>
      </c>
      <c r="O116" t="inlineStr">
        <is>
          <t>YEN</t>
        </is>
      </c>
      <c r="P116" t="n">
        <v>159.34</v>
      </c>
      <c r="Q116" t="n">
        <v>160.95</v>
      </c>
      <c r="R116" t="n">
        <v>169.46</v>
      </c>
      <c r="S116" t="inlineStr">
        <is>
          <t>AUSTRALIAN DOLLAR</t>
        </is>
      </c>
      <c r="T116" t="n">
        <v>18336.48</v>
      </c>
      <c r="U116" t="n">
        <v>18521.7</v>
      </c>
      <c r="V116" t="n">
        <v>19114.83</v>
      </c>
      <c r="W116" t="inlineStr">
        <is>
          <t>CANADIAN DOLLAR</t>
        </is>
      </c>
      <c r="X116" t="n">
        <v>18771.1</v>
      </c>
      <c r="Y116" t="n">
        <v>18960.71</v>
      </c>
      <c r="Z116" t="n">
        <v>19567.89</v>
      </c>
      <c r="AA116" t="inlineStr">
        <is>
          <t>SWISS FRANC</t>
        </is>
      </c>
      <c r="AB116" t="n">
        <v>32682.08</v>
      </c>
      <c r="AC116" t="n">
        <v>33012.2</v>
      </c>
      <c r="AD116" t="n">
        <v>34069.37</v>
      </c>
      <c r="AE116" t="inlineStr">
        <is>
          <t>SINGAPORE DOLLAR</t>
        </is>
      </c>
      <c r="AF116" t="n">
        <v>20083.6</v>
      </c>
      <c r="AG116" t="n">
        <v>20286.46</v>
      </c>
      <c r="AH116" t="n">
        <v>20978.03</v>
      </c>
      <c r="AI116" t="inlineStr">
        <is>
          <t>YUAN RENMINBI</t>
        </is>
      </c>
      <c r="AJ116" t="n">
        <v>3755.59</v>
      </c>
      <c r="AK116" t="n">
        <v>3793.53</v>
      </c>
      <c r="AL116" t="n">
        <v>3915.01</v>
      </c>
      <c r="AM116" t="inlineStr">
        <is>
          <t>HONGKONG DOLLAR</t>
        </is>
      </c>
      <c r="AN116" t="n">
        <v>3267.15</v>
      </c>
      <c r="AO116" t="n">
        <v>3300.15</v>
      </c>
      <c r="AP116" t="n">
        <v>3426.33</v>
      </c>
      <c r="AQ116" t="inlineStr">
        <is>
          <t>THAILAND BAHT</t>
        </is>
      </c>
      <c r="AR116" t="n">
        <v>717.61</v>
      </c>
      <c r="AS116" t="n">
        <v>797.35</v>
      </c>
      <c r="AT116" t="n">
        <v>831.15</v>
      </c>
      <c r="AU116" t="inlineStr">
        <is>
          <t>KOREAN WON</t>
        </is>
      </c>
      <c r="AV116" t="n">
        <v>15.36</v>
      </c>
      <c r="AW116" t="n">
        <v>17.06</v>
      </c>
      <c r="AX116" t="n">
        <v>18.51</v>
      </c>
      <c r="AY116" t="inlineStr">
        <is>
          <t>MALAYSIAN RINGGIT</t>
        </is>
      </c>
      <c r="BA116" t="n">
        <v>6573.18</v>
      </c>
      <c r="BB116" t="n">
        <v>6716.16</v>
      </c>
      <c r="BC116" t="inlineStr">
        <is>
          <t>INDIAN RUPEE</t>
        </is>
      </c>
      <c r="BE116" t="n">
        <v>279.12</v>
      </c>
      <c r="BF116" t="n">
        <v>291.14</v>
      </c>
      <c r="BG116" t="inlineStr">
        <is>
          <t>KUWAITI DINAR</t>
        </is>
      </c>
      <c r="BI116" t="n">
        <v>85440.94</v>
      </c>
      <c r="BJ116" t="n">
        <v>89581.97</v>
      </c>
      <c r="BK116" t="inlineStr">
        <is>
          <t>SAUDI RIAL</t>
        </is>
      </c>
      <c r="BM116" t="n">
        <v>6980.54</v>
      </c>
      <c r="BN116" t="n">
        <v>7280.94</v>
      </c>
      <c r="BO116" t="inlineStr">
        <is>
          <t>NORWEGIAN KRONER</t>
        </is>
      </c>
      <c r="BQ116" t="n">
        <v>2771.42</v>
      </c>
      <c r="BR116" t="n">
        <v>2888.92</v>
      </c>
      <c r="BS116" t="inlineStr">
        <is>
          <t>SWEDISH KRONA</t>
        </is>
      </c>
      <c r="BU116" t="n">
        <v>2792.39</v>
      </c>
      <c r="BV116" t="n">
        <v>2910.78</v>
      </c>
      <c r="BW116" t="inlineStr">
        <is>
          <t>DANISH KRONE</t>
        </is>
      </c>
      <c r="BY116" t="n">
        <v>4046.79</v>
      </c>
      <c r="BZ116" t="n">
        <v>4201.52</v>
      </c>
      <c r="CA116" t="inlineStr">
        <is>
          <t>RUSSIAN RUBLE</t>
        </is>
      </c>
      <c r="CC116" t="n">
        <v>333.67</v>
      </c>
      <c r="CD116" t="n">
        <v>369.35</v>
      </c>
    </row>
    <row r="117">
      <c r="A117" t="inlineStr">
        <is>
          <t>26/04/2026</t>
        </is>
      </c>
      <c r="B117">
        <f>IF(ISNUMBER(A117), A117, DATE(RIGHT(A117,4), MID(A117,4,2), LEFT(A117,2)))</f>
        <v/>
      </c>
      <c r="C117" t="inlineStr">
        <is>
          <t>US DOLLAR</t>
        </is>
      </c>
      <c r="D117" t="n">
        <v>26108</v>
      </c>
      <c r="E117" t="n">
        <v>26138</v>
      </c>
      <c r="F117" t="n">
        <v>26368</v>
      </c>
      <c r="G117" t="inlineStr">
        <is>
          <t>EURO</t>
        </is>
      </c>
      <c r="H117" t="n">
        <v>30017.75</v>
      </c>
      <c r="I117" t="n">
        <v>30320.96</v>
      </c>
      <c r="J117" t="n">
        <v>31600.24</v>
      </c>
      <c r="K117" t="inlineStr">
        <is>
          <t>POUND STERLING</t>
        </is>
      </c>
      <c r="L117" t="n">
        <v>34607.64</v>
      </c>
      <c r="M117" t="n">
        <v>34957.22</v>
      </c>
      <c r="N117" t="n">
        <v>36076.67</v>
      </c>
      <c r="O117" t="inlineStr">
        <is>
          <t>YEN</t>
        </is>
      </c>
      <c r="P117" t="n">
        <v>159.34</v>
      </c>
      <c r="Q117" t="n">
        <v>160.95</v>
      </c>
      <c r="R117" t="n">
        <v>169.46</v>
      </c>
      <c r="S117" t="inlineStr">
        <is>
          <t>AUSTRALIAN DOLLAR</t>
        </is>
      </c>
      <c r="T117" t="n">
        <v>18336.48</v>
      </c>
      <c r="U117" t="n">
        <v>18521.7</v>
      </c>
      <c r="V117" t="n">
        <v>19114.83</v>
      </c>
      <c r="W117" t="inlineStr">
        <is>
          <t>CANADIAN DOLLAR</t>
        </is>
      </c>
      <c r="X117" t="n">
        <v>18771.1</v>
      </c>
      <c r="Y117" t="n">
        <v>18960.71</v>
      </c>
      <c r="Z117" t="n">
        <v>19567.89</v>
      </c>
      <c r="AA117" t="inlineStr">
        <is>
          <t>SWISS FRANC</t>
        </is>
      </c>
      <c r="AB117" t="n">
        <v>32682.08</v>
      </c>
      <c r="AC117" t="n">
        <v>33012.2</v>
      </c>
      <c r="AD117" t="n">
        <v>34069.37</v>
      </c>
      <c r="AE117" t="inlineStr">
        <is>
          <t>SINGAPORE DOLLAR</t>
        </is>
      </c>
      <c r="AF117" t="n">
        <v>20083.6</v>
      </c>
      <c r="AG117" t="n">
        <v>20286.46</v>
      </c>
      <c r="AH117" t="n">
        <v>20978.03</v>
      </c>
      <c r="AI117" t="inlineStr">
        <is>
          <t>YUAN RENMINBI</t>
        </is>
      </c>
      <c r="AJ117" t="n">
        <v>3755.59</v>
      </c>
      <c r="AK117" t="n">
        <v>3793.53</v>
      </c>
      <c r="AL117" t="n">
        <v>3915.01</v>
      </c>
      <c r="AM117" t="inlineStr">
        <is>
          <t>HONGKONG DOLLAR</t>
        </is>
      </c>
      <c r="AN117" t="n">
        <v>3267.15</v>
      </c>
      <c r="AO117" t="n">
        <v>3300.15</v>
      </c>
      <c r="AP117" t="n">
        <v>3426.33</v>
      </c>
      <c r="AQ117" t="inlineStr">
        <is>
          <t>THAILAND BAHT</t>
        </is>
      </c>
      <c r="AR117" t="n">
        <v>717.61</v>
      </c>
      <c r="AS117" t="n">
        <v>797.35</v>
      </c>
      <c r="AT117" t="n">
        <v>831.15</v>
      </c>
      <c r="AU117" t="inlineStr">
        <is>
          <t>KOREAN WON</t>
        </is>
      </c>
      <c r="AV117" t="n">
        <v>15.36</v>
      </c>
      <c r="AW117" t="n">
        <v>17.06</v>
      </c>
      <c r="AX117" t="n">
        <v>18.51</v>
      </c>
      <c r="AY117" t="inlineStr">
        <is>
          <t>MALAYSIAN RINGGIT</t>
        </is>
      </c>
      <c r="BA117" t="n">
        <v>6573.18</v>
      </c>
      <c r="BB117" t="n">
        <v>6716.16</v>
      </c>
      <c r="BC117" t="inlineStr">
        <is>
          <t>INDIAN RUPEE</t>
        </is>
      </c>
      <c r="BE117" t="n">
        <v>279.12</v>
      </c>
      <c r="BF117" t="n">
        <v>291.14</v>
      </c>
      <c r="BG117" t="inlineStr">
        <is>
          <t>KUWAITI DINAR</t>
        </is>
      </c>
      <c r="BI117" t="n">
        <v>85440.94</v>
      </c>
      <c r="BJ117" t="n">
        <v>89581.97</v>
      </c>
      <c r="BK117" t="inlineStr">
        <is>
          <t>SAUDI RIAL</t>
        </is>
      </c>
      <c r="BM117" t="n">
        <v>6980.54</v>
      </c>
      <c r="BN117" t="n">
        <v>7280.94</v>
      </c>
      <c r="BO117" t="inlineStr">
        <is>
          <t>NORWEGIAN KRONER</t>
        </is>
      </c>
      <c r="BQ117" t="n">
        <v>2771.42</v>
      </c>
      <c r="BR117" t="n">
        <v>2888.92</v>
      </c>
      <c r="BS117" t="inlineStr">
        <is>
          <t>SWEDISH KRONA</t>
        </is>
      </c>
      <c r="BU117" t="n">
        <v>2792.39</v>
      </c>
      <c r="BV117" t="n">
        <v>2910.78</v>
      </c>
      <c r="BW117" t="inlineStr">
        <is>
          <t>DANISH KRONE</t>
        </is>
      </c>
      <c r="BY117" t="n">
        <v>4046.79</v>
      </c>
      <c r="BZ117" t="n">
        <v>4201.52</v>
      </c>
      <c r="CA117" t="inlineStr">
        <is>
          <t>RUSSIAN RUBLE</t>
        </is>
      </c>
      <c r="CC117" t="n">
        <v>333.67</v>
      </c>
      <c r="CD117" t="n">
        <v>369.35</v>
      </c>
    </row>
    <row r="118">
      <c r="A118" t="inlineStr">
        <is>
          <t>27/04/2026</t>
        </is>
      </c>
      <c r="B118">
        <f>IF(ISNUMBER(A118), A118, DATE(RIGHT(A118,4), MID(A118,4,2), LEFT(A118,2)))</f>
        <v/>
      </c>
      <c r="C118" t="inlineStr">
        <is>
          <t>US DOLLAR</t>
        </is>
      </c>
      <c r="D118" t="n">
        <v>26108</v>
      </c>
      <c r="E118" t="n">
        <v>26138</v>
      </c>
      <c r="F118" t="n">
        <v>26368</v>
      </c>
      <c r="G118" t="inlineStr">
        <is>
          <t>EURO</t>
        </is>
      </c>
      <c r="H118" t="n">
        <v>30017.75</v>
      </c>
      <c r="I118" t="n">
        <v>30320.96</v>
      </c>
      <c r="J118" t="n">
        <v>31600.24</v>
      </c>
      <c r="K118" t="inlineStr">
        <is>
          <t>POUND STERLING</t>
        </is>
      </c>
      <c r="L118" t="n">
        <v>34607.64</v>
      </c>
      <c r="M118" t="n">
        <v>34957.22</v>
      </c>
      <c r="N118" t="n">
        <v>36076.67</v>
      </c>
      <c r="O118" t="inlineStr">
        <is>
          <t>YEN</t>
        </is>
      </c>
      <c r="P118" t="n">
        <v>159.34</v>
      </c>
      <c r="Q118" t="n">
        <v>160.95</v>
      </c>
      <c r="R118" t="n">
        <v>169.46</v>
      </c>
      <c r="S118" t="inlineStr">
        <is>
          <t>AUSTRALIAN DOLLAR</t>
        </is>
      </c>
      <c r="T118" t="n">
        <v>18336.48</v>
      </c>
      <c r="U118" t="n">
        <v>18521.7</v>
      </c>
      <c r="V118" t="n">
        <v>19114.83</v>
      </c>
      <c r="W118" t="inlineStr">
        <is>
          <t>CANADIAN DOLLAR</t>
        </is>
      </c>
      <c r="X118" t="n">
        <v>18771.1</v>
      </c>
      <c r="Y118" t="n">
        <v>18960.71</v>
      </c>
      <c r="Z118" t="n">
        <v>19567.89</v>
      </c>
      <c r="AA118" t="inlineStr">
        <is>
          <t>SWISS FRANC</t>
        </is>
      </c>
      <c r="AB118" t="n">
        <v>32682.08</v>
      </c>
      <c r="AC118" t="n">
        <v>33012.2</v>
      </c>
      <c r="AD118" t="n">
        <v>34069.37</v>
      </c>
      <c r="AE118" t="inlineStr">
        <is>
          <t>SINGAPORE DOLLAR</t>
        </is>
      </c>
      <c r="AF118" t="n">
        <v>20083.6</v>
      </c>
      <c r="AG118" t="n">
        <v>20286.46</v>
      </c>
      <c r="AH118" t="n">
        <v>20978.03</v>
      </c>
      <c r="AI118" t="inlineStr">
        <is>
          <t>YUAN RENMINBI</t>
        </is>
      </c>
      <c r="AJ118" t="n">
        <v>3755.59</v>
      </c>
      <c r="AK118" t="n">
        <v>3793.53</v>
      </c>
      <c r="AL118" t="n">
        <v>3915.01</v>
      </c>
      <c r="AM118" t="inlineStr">
        <is>
          <t>HONGKONG DOLLAR</t>
        </is>
      </c>
      <c r="AN118" t="n">
        <v>3267.15</v>
      </c>
      <c r="AO118" t="n">
        <v>3300.15</v>
      </c>
      <c r="AP118" t="n">
        <v>3426.33</v>
      </c>
      <c r="AQ118" t="inlineStr">
        <is>
          <t>THAILAND BAHT</t>
        </is>
      </c>
      <c r="AR118" t="n">
        <v>717.61</v>
      </c>
      <c r="AS118" t="n">
        <v>797.35</v>
      </c>
      <c r="AT118" t="n">
        <v>831.15</v>
      </c>
      <c r="AU118" t="inlineStr">
        <is>
          <t>KOREAN WON</t>
        </is>
      </c>
      <c r="AV118" t="n">
        <v>15.36</v>
      </c>
      <c r="AW118" t="n">
        <v>17.06</v>
      </c>
      <c r="AX118" t="n">
        <v>18.51</v>
      </c>
      <c r="AY118" t="inlineStr">
        <is>
          <t>MALAYSIAN RINGGIT</t>
        </is>
      </c>
      <c r="BA118" t="n">
        <v>6573.18</v>
      </c>
      <c r="BB118" t="n">
        <v>6716.16</v>
      </c>
      <c r="BC118" t="inlineStr">
        <is>
          <t>INDIAN RUPEE</t>
        </is>
      </c>
      <c r="BE118" t="n">
        <v>279.12</v>
      </c>
      <c r="BF118" t="n">
        <v>291.14</v>
      </c>
      <c r="BG118" t="inlineStr">
        <is>
          <t>KUWAITI DINAR</t>
        </is>
      </c>
      <c r="BI118" t="n">
        <v>85440.94</v>
      </c>
      <c r="BJ118" t="n">
        <v>89581.97</v>
      </c>
      <c r="BK118" t="inlineStr">
        <is>
          <t>SAUDI RIAL</t>
        </is>
      </c>
      <c r="BM118" t="n">
        <v>6980.54</v>
      </c>
      <c r="BN118" t="n">
        <v>7280.94</v>
      </c>
      <c r="BO118" t="inlineStr">
        <is>
          <t>NORWEGIAN KRONER</t>
        </is>
      </c>
      <c r="BQ118" t="n">
        <v>2771.42</v>
      </c>
      <c r="BR118" t="n">
        <v>2888.92</v>
      </c>
      <c r="BS118" t="inlineStr">
        <is>
          <t>SWEDISH KRONA</t>
        </is>
      </c>
      <c r="BU118" t="n">
        <v>2792.39</v>
      </c>
      <c r="BV118" t="n">
        <v>2910.78</v>
      </c>
      <c r="BW118" t="inlineStr">
        <is>
          <t>DANISH KRONE</t>
        </is>
      </c>
      <c r="BY118" t="n">
        <v>4046.79</v>
      </c>
      <c r="BZ118" t="n">
        <v>4201.52</v>
      </c>
      <c r="CA118" t="inlineStr">
        <is>
          <t>RUSSIAN RUBLE</t>
        </is>
      </c>
      <c r="CC118" t="n">
        <v>333.67</v>
      </c>
      <c r="CD118" t="n">
        <v>369.35</v>
      </c>
    </row>
    <row r="119">
      <c r="A119" t="inlineStr">
        <is>
          <t>28/04/2026</t>
        </is>
      </c>
      <c r="B119">
        <f>IF(ISNUMBER(A119), A119, DATE(RIGHT(A119,4), MID(A119,4,2), LEFT(A119,2)))</f>
        <v/>
      </c>
      <c r="C119" t="inlineStr">
        <is>
          <t>US DOLLAR</t>
        </is>
      </c>
      <c r="D119" t="n">
        <v>26106</v>
      </c>
      <c r="E119" t="n">
        <v>26136</v>
      </c>
      <c r="F119" t="n">
        <v>26366</v>
      </c>
      <c r="G119" t="inlineStr">
        <is>
          <t>EURO</t>
        </is>
      </c>
      <c r="H119" t="n">
        <v>30059.96</v>
      </c>
      <c r="I119" t="n">
        <v>30363.59</v>
      </c>
      <c r="J119" t="n">
        <v>31644.65</v>
      </c>
      <c r="K119" t="inlineStr">
        <is>
          <t>POUND STERLING</t>
        </is>
      </c>
      <c r="L119" t="n">
        <v>34702.93</v>
      </c>
      <c r="M119" t="n">
        <v>35053.46</v>
      </c>
      <c r="N119" t="n">
        <v>36175.98</v>
      </c>
      <c r="O119" t="inlineStr">
        <is>
          <t>YEN</t>
        </is>
      </c>
      <c r="P119" t="n">
        <v>159.98</v>
      </c>
      <c r="Q119" t="n">
        <v>161.6</v>
      </c>
      <c r="R119" t="n">
        <v>170.14</v>
      </c>
      <c r="S119" t="inlineStr">
        <is>
          <t>AUSTRALIAN DOLLAR</t>
        </is>
      </c>
      <c r="T119" t="n">
        <v>18423.02</v>
      </c>
      <c r="U119" t="n">
        <v>18609.11</v>
      </c>
      <c r="V119" t="n">
        <v>19205.03</v>
      </c>
      <c r="W119" t="inlineStr">
        <is>
          <t>CANADIAN DOLLAR</t>
        </is>
      </c>
      <c r="X119" t="n">
        <v>18826.43</v>
      </c>
      <c r="Y119" t="n">
        <v>19016.6</v>
      </c>
      <c r="Z119" t="n">
        <v>19625.57</v>
      </c>
      <c r="AA119" t="inlineStr">
        <is>
          <t>SWISS FRANC</t>
        </is>
      </c>
      <c r="AB119" t="n">
        <v>32648.77</v>
      </c>
      <c r="AC119" t="n">
        <v>32978.55</v>
      </c>
      <c r="AD119" t="n">
        <v>34034.62</v>
      </c>
      <c r="AE119" t="inlineStr">
        <is>
          <t>SINGAPORE DOLLAR</t>
        </is>
      </c>
      <c r="AF119" t="n">
        <v>20121.18</v>
      </c>
      <c r="AG119" t="n">
        <v>20324.42</v>
      </c>
      <c r="AH119" t="n">
        <v>21017.27</v>
      </c>
      <c r="AI119" t="inlineStr">
        <is>
          <t>YUAN RENMINBI</t>
        </is>
      </c>
      <c r="AJ119" t="n">
        <v>3758.89</v>
      </c>
      <c r="AK119" t="n">
        <v>3796.86</v>
      </c>
      <c r="AL119" t="n">
        <v>3918.45</v>
      </c>
      <c r="AM119" t="inlineStr">
        <is>
          <t>HONGKONG DOLLAR</t>
        </is>
      </c>
      <c r="AN119" t="n">
        <v>3266.72</v>
      </c>
      <c r="AO119" t="n">
        <v>3299.72</v>
      </c>
      <c r="AP119" t="n">
        <v>3425.88</v>
      </c>
      <c r="AQ119" t="inlineStr">
        <is>
          <t>THAILAND BAHT</t>
        </is>
      </c>
      <c r="AR119" t="n">
        <v>716.55</v>
      </c>
      <c r="AS119" t="n">
        <v>796.17</v>
      </c>
      <c r="AT119" t="n">
        <v>829.9299999999999</v>
      </c>
      <c r="AU119" t="inlineStr">
        <is>
          <t>KOREAN WON</t>
        </is>
      </c>
      <c r="AV119" t="n">
        <v>15.45</v>
      </c>
      <c r="AW119" t="n">
        <v>17.16</v>
      </c>
      <c r="AX119" t="n">
        <v>18.62</v>
      </c>
      <c r="AY119" t="inlineStr">
        <is>
          <t>MALAYSIAN RINGGIT</t>
        </is>
      </c>
      <c r="BA119" t="n">
        <v>6600.66</v>
      </c>
      <c r="BB119" t="n">
        <v>6744.24</v>
      </c>
      <c r="BC119" t="inlineStr">
        <is>
          <t>INDIAN RUPEE</t>
        </is>
      </c>
      <c r="BE119" t="n">
        <v>278.04</v>
      </c>
      <c r="BF119" t="n">
        <v>290.01</v>
      </c>
      <c r="BG119" t="inlineStr">
        <is>
          <t>KUWAITI DINAR</t>
        </is>
      </c>
      <c r="BI119" t="n">
        <v>85473.42</v>
      </c>
      <c r="BJ119" t="n">
        <v>89615.97</v>
      </c>
      <c r="BK119" t="inlineStr">
        <is>
          <t>SAUDI RIAL</t>
        </is>
      </c>
      <c r="BM119" t="n">
        <v>6982.63</v>
      </c>
      <c r="BN119" t="n">
        <v>7283.12</v>
      </c>
      <c r="BO119" t="inlineStr">
        <is>
          <t>NORWEGIAN KRONER</t>
        </is>
      </c>
      <c r="BQ119" t="n">
        <v>2773.81</v>
      </c>
      <c r="BR119" t="n">
        <v>2891.41</v>
      </c>
      <c r="BS119" t="inlineStr">
        <is>
          <t>SWEDISH KRONA</t>
        </is>
      </c>
      <c r="BU119" t="n">
        <v>2792.33</v>
      </c>
      <c r="BV119" t="n">
        <v>2910.72</v>
      </c>
      <c r="BW119" t="inlineStr">
        <is>
          <t>DANISH KRONE</t>
        </is>
      </c>
      <c r="BY119" t="n">
        <v>4052.77</v>
      </c>
      <c r="BZ119" t="n">
        <v>4207.72</v>
      </c>
      <c r="CA119" t="inlineStr">
        <is>
          <t>RUSSIAN RUBLE</t>
        </is>
      </c>
      <c r="CC119" t="n">
        <v>334.8</v>
      </c>
      <c r="CD119" t="n">
        <v>370.6</v>
      </c>
    </row>
    <row r="120">
      <c r="A120" t="inlineStr">
        <is>
          <t>29/04/2026</t>
        </is>
      </c>
      <c r="B120">
        <f>IF(ISNUMBER(A120), A120, DATE(RIGHT(A120,4), MID(A120,4,2), LEFT(A120,2)))</f>
        <v/>
      </c>
      <c r="C120" t="inlineStr">
        <is>
          <t>US DOLLAR</t>
        </is>
      </c>
      <c r="D120" t="n">
        <v>26108</v>
      </c>
      <c r="E120" t="n">
        <v>26138</v>
      </c>
      <c r="F120" t="n">
        <v>26368</v>
      </c>
      <c r="G120" t="inlineStr">
        <is>
          <t>EURO</t>
        </is>
      </c>
      <c r="H120" t="n">
        <v>30026.59</v>
      </c>
      <c r="I120" t="n">
        <v>30329.89</v>
      </c>
      <c r="J120" t="n">
        <v>31633.51</v>
      </c>
      <c r="K120" t="inlineStr">
        <is>
          <t>POUND STERLING</t>
        </is>
      </c>
      <c r="L120" t="n">
        <v>34646.46</v>
      </c>
      <c r="M120" t="n">
        <v>34996.43</v>
      </c>
      <c r="N120" t="n">
        <v>36144.52</v>
      </c>
      <c r="O120" t="inlineStr">
        <is>
          <t>YEN</t>
        </is>
      </c>
      <c r="P120" t="n">
        <v>159.07</v>
      </c>
      <c r="Q120" t="n">
        <v>160.68</v>
      </c>
      <c r="R120" t="n">
        <v>169.3</v>
      </c>
      <c r="S120" t="inlineStr">
        <is>
          <t>AUSTRALIAN DOLLAR</t>
        </is>
      </c>
      <c r="T120" t="n">
        <v>18353.72</v>
      </c>
      <c r="U120" t="n">
        <v>18539.11</v>
      </c>
      <c r="V120" t="n">
        <v>19147.3</v>
      </c>
      <c r="W120" t="inlineStr">
        <is>
          <t>CANADIAN DOLLAR</t>
        </is>
      </c>
      <c r="X120" t="n">
        <v>18756.28</v>
      </c>
      <c r="Y120" t="n">
        <v>18945.74</v>
      </c>
      <c r="Z120" t="n">
        <v>19567.27</v>
      </c>
      <c r="AA120" t="inlineStr">
        <is>
          <t>SWISS FRANC</t>
        </is>
      </c>
      <c r="AB120" t="n">
        <v>32504.08</v>
      </c>
      <c r="AC120" t="n">
        <v>32832.41</v>
      </c>
      <c r="AD120" t="n">
        <v>33909.5</v>
      </c>
      <c r="AE120" t="inlineStr">
        <is>
          <t>SINGAPORE DOLLAR</t>
        </is>
      </c>
      <c r="AF120" t="n">
        <v>20069.22</v>
      </c>
      <c r="AG120" t="n">
        <v>20271.94</v>
      </c>
      <c r="AH120" t="n">
        <v>20978.91</v>
      </c>
      <c r="AI120" t="inlineStr">
        <is>
          <t>YUAN RENMINBI</t>
        </is>
      </c>
      <c r="AJ120" t="n">
        <v>3756.64</v>
      </c>
      <c r="AK120" t="n">
        <v>3794.58</v>
      </c>
      <c r="AL120" t="n">
        <v>3919.07</v>
      </c>
      <c r="AM120" t="inlineStr">
        <is>
          <t>HONGKONG DOLLAR</t>
        </is>
      </c>
      <c r="AN120" t="n">
        <v>3266.14</v>
      </c>
      <c r="AO120" t="n">
        <v>3299.13</v>
      </c>
      <c r="AP120" t="n">
        <v>3427.87</v>
      </c>
      <c r="AQ120" t="inlineStr">
        <is>
          <t>THAILAND BAHT</t>
        </is>
      </c>
      <c r="AR120" t="n">
        <v>711.0700000000001</v>
      </c>
      <c r="AS120" t="n">
        <v>790.08</v>
      </c>
      <c r="AT120" t="n">
        <v>824.2</v>
      </c>
      <c r="AU120" t="inlineStr">
        <is>
          <t>KOREAN WON</t>
        </is>
      </c>
      <c r="AV120" t="n">
        <v>15.39</v>
      </c>
      <c r="AW120" t="n">
        <v>17.1</v>
      </c>
      <c r="AX120" t="n">
        <v>18.56</v>
      </c>
      <c r="AY120" t="inlineStr">
        <is>
          <t>MALAYSIAN RINGGIT</t>
        </is>
      </c>
      <c r="BA120" t="n">
        <v>6597.32</v>
      </c>
      <c r="BB120" t="n">
        <v>6745.94</v>
      </c>
      <c r="BC120" t="inlineStr">
        <is>
          <t>INDIAN RUPEE</t>
        </is>
      </c>
      <c r="BE120" t="n">
        <v>276.14</v>
      </c>
      <c r="BF120" t="n">
        <v>288.24</v>
      </c>
      <c r="BG120" t="inlineStr">
        <is>
          <t>KUWAITI DINAR</t>
        </is>
      </c>
      <c r="BI120" t="n">
        <v>85445.53</v>
      </c>
      <c r="BJ120" t="n">
        <v>89654.7</v>
      </c>
      <c r="BK120" t="inlineStr">
        <is>
          <t>SAUDI RIAL</t>
        </is>
      </c>
      <c r="BM120" t="n">
        <v>6983</v>
      </c>
      <c r="BN120" t="n">
        <v>7289.03</v>
      </c>
      <c r="BO120" t="inlineStr">
        <is>
          <t>NORWEGIAN KRONER</t>
        </is>
      </c>
      <c r="BQ120" t="n">
        <v>2770.3</v>
      </c>
      <c r="BR120" t="n">
        <v>2889.94</v>
      </c>
      <c r="BS120" t="inlineStr">
        <is>
          <t>SWEDISH KRONA</t>
        </is>
      </c>
      <c r="BU120" t="n">
        <v>2780</v>
      </c>
      <c r="BV120" t="n">
        <v>2900.06</v>
      </c>
      <c r="BW120" t="inlineStr">
        <is>
          <t>DANISH KRONE</t>
        </is>
      </c>
      <c r="BY120" t="n">
        <v>4047.37</v>
      </c>
      <c r="BZ120" t="n">
        <v>4205.31</v>
      </c>
      <c r="CA120" t="inlineStr">
        <is>
          <t>RUSSIAN RUBLE</t>
        </is>
      </c>
      <c r="CC120" t="n">
        <v>334</v>
      </c>
      <c r="CD120" t="n">
        <v>370</v>
      </c>
    </row>
    <row r="121">
      <c r="A121" t="inlineStr">
        <is>
          <t>30/04/2026</t>
        </is>
      </c>
      <c r="B121">
        <f>IF(ISNUMBER(A121), A121, DATE(RIGHT(A121,4), MID(A121,4,2), LEFT(A121,2)))</f>
        <v/>
      </c>
      <c r="C121" t="inlineStr">
        <is>
          <t>US DOLLAR</t>
        </is>
      </c>
      <c r="D121" t="n">
        <v>26108</v>
      </c>
      <c r="E121" t="n">
        <v>26138</v>
      </c>
      <c r="F121" t="n">
        <v>26368</v>
      </c>
      <c r="G121" t="inlineStr">
        <is>
          <t>EURO</t>
        </is>
      </c>
      <c r="H121" t="n">
        <v>30026.59</v>
      </c>
      <c r="I121" t="n">
        <v>30329.89</v>
      </c>
      <c r="J121" t="n">
        <v>31633.51</v>
      </c>
      <c r="K121" t="inlineStr">
        <is>
          <t>POUND STERLING</t>
        </is>
      </c>
      <c r="L121" t="n">
        <v>34646.46</v>
      </c>
      <c r="M121" t="n">
        <v>34996.43</v>
      </c>
      <c r="N121" t="n">
        <v>36144.52</v>
      </c>
      <c r="O121" t="inlineStr">
        <is>
          <t>YEN</t>
        </is>
      </c>
      <c r="P121" t="n">
        <v>159.07</v>
      </c>
      <c r="Q121" t="n">
        <v>160.68</v>
      </c>
      <c r="R121" t="n">
        <v>169.3</v>
      </c>
      <c r="S121" t="inlineStr">
        <is>
          <t>AUSTRALIAN DOLLAR</t>
        </is>
      </c>
      <c r="T121" t="n">
        <v>18353.72</v>
      </c>
      <c r="U121" t="n">
        <v>18539.11</v>
      </c>
      <c r="V121" t="n">
        <v>19147.3</v>
      </c>
      <c r="W121" t="inlineStr">
        <is>
          <t>CANADIAN DOLLAR</t>
        </is>
      </c>
      <c r="X121" t="n">
        <v>18756.28</v>
      </c>
      <c r="Y121" t="n">
        <v>18945.74</v>
      </c>
      <c r="Z121" t="n">
        <v>19567.27</v>
      </c>
      <c r="AA121" t="inlineStr">
        <is>
          <t>SWISS FRANC</t>
        </is>
      </c>
      <c r="AB121" t="n">
        <v>32504.08</v>
      </c>
      <c r="AC121" t="n">
        <v>32832.41</v>
      </c>
      <c r="AD121" t="n">
        <v>33909.5</v>
      </c>
      <c r="AE121" t="inlineStr">
        <is>
          <t>SINGAPORE DOLLAR</t>
        </is>
      </c>
      <c r="AF121" t="n">
        <v>20069.22</v>
      </c>
      <c r="AG121" t="n">
        <v>20271.94</v>
      </c>
      <c r="AH121" t="n">
        <v>20978.91</v>
      </c>
      <c r="AI121" t="inlineStr">
        <is>
          <t>YUAN RENMINBI</t>
        </is>
      </c>
      <c r="AJ121" t="n">
        <v>3756.64</v>
      </c>
      <c r="AK121" t="n">
        <v>3794.58</v>
      </c>
      <c r="AL121" t="n">
        <v>3919.07</v>
      </c>
      <c r="AM121" t="inlineStr">
        <is>
          <t>HONGKONG DOLLAR</t>
        </is>
      </c>
      <c r="AN121" t="n">
        <v>3266.14</v>
      </c>
      <c r="AO121" t="n">
        <v>3299.13</v>
      </c>
      <c r="AP121" t="n">
        <v>3427.87</v>
      </c>
      <c r="AQ121" t="inlineStr">
        <is>
          <t>THAILAND BAHT</t>
        </is>
      </c>
      <c r="AR121" t="n">
        <v>711.0700000000001</v>
      </c>
      <c r="AS121" t="n">
        <v>790.08</v>
      </c>
      <c r="AT121" t="n">
        <v>824.2</v>
      </c>
      <c r="AU121" t="inlineStr">
        <is>
          <t>KOREAN WON</t>
        </is>
      </c>
      <c r="AV121" t="n">
        <v>15.39</v>
      </c>
      <c r="AW121" t="n">
        <v>17.1</v>
      </c>
      <c r="AX121" t="n">
        <v>18.56</v>
      </c>
      <c r="AY121" t="inlineStr">
        <is>
          <t>MALAYSIAN RINGGIT</t>
        </is>
      </c>
      <c r="BA121" t="n">
        <v>6597.32</v>
      </c>
      <c r="BB121" t="n">
        <v>6745.94</v>
      </c>
      <c r="BC121" t="inlineStr">
        <is>
          <t>INDIAN RUPEE</t>
        </is>
      </c>
      <c r="BE121" t="n">
        <v>276.14</v>
      </c>
      <c r="BF121" t="n">
        <v>288.24</v>
      </c>
      <c r="BG121" t="inlineStr">
        <is>
          <t>KUWAITI DINAR</t>
        </is>
      </c>
      <c r="BI121" t="n">
        <v>85445.53</v>
      </c>
      <c r="BJ121" t="n">
        <v>89654.7</v>
      </c>
      <c r="BK121" t="inlineStr">
        <is>
          <t>SAUDI RIAL</t>
        </is>
      </c>
      <c r="BM121" t="n">
        <v>6983</v>
      </c>
      <c r="BN121" t="n">
        <v>7289.03</v>
      </c>
      <c r="BO121" t="inlineStr">
        <is>
          <t>NORWEGIAN KRONER</t>
        </is>
      </c>
      <c r="BQ121" t="n">
        <v>2770.3</v>
      </c>
      <c r="BR121" t="n">
        <v>2889.94</v>
      </c>
      <c r="BS121" t="inlineStr">
        <is>
          <t>SWEDISH KRONA</t>
        </is>
      </c>
      <c r="BU121" t="n">
        <v>2780</v>
      </c>
      <c r="BV121" t="n">
        <v>2900.06</v>
      </c>
      <c r="BW121" t="inlineStr">
        <is>
          <t>DANISH KRONE</t>
        </is>
      </c>
      <c r="BY121" t="n">
        <v>4047.37</v>
      </c>
      <c r="BZ121" t="n">
        <v>4205.31</v>
      </c>
      <c r="CA121" t="inlineStr">
        <is>
          <t>RUSSIAN RUBLE</t>
        </is>
      </c>
      <c r="CC121" t="n">
        <v>334</v>
      </c>
      <c r="CD121" t="n">
        <v>370</v>
      </c>
    </row>
    <row r="122">
      <c r="A122" t="inlineStr">
        <is>
          <t>01/05/2026</t>
        </is>
      </c>
      <c r="B122">
        <f>IF(ISNUMBER(A122), A122, DATE(RIGHT(A122,4), MID(A122,4,2), LEFT(A122,2)))</f>
        <v/>
      </c>
      <c r="C122" t="inlineStr">
        <is>
          <t>US DOLLAR</t>
        </is>
      </c>
      <c r="D122" t="n">
        <v>26108</v>
      </c>
      <c r="E122" t="n">
        <v>26138</v>
      </c>
      <c r="F122" t="n">
        <v>26368</v>
      </c>
      <c r="G122" t="inlineStr">
        <is>
          <t>EURO</t>
        </is>
      </c>
      <c r="H122" t="n">
        <v>30026.59</v>
      </c>
      <c r="I122" t="n">
        <v>30329.89</v>
      </c>
      <c r="J122" t="n">
        <v>31633.51</v>
      </c>
      <c r="K122" t="inlineStr">
        <is>
          <t>POUND STERLING</t>
        </is>
      </c>
      <c r="L122" t="n">
        <v>34646.46</v>
      </c>
      <c r="M122" t="n">
        <v>34996.43</v>
      </c>
      <c r="N122" t="n">
        <v>36144.52</v>
      </c>
      <c r="O122" t="inlineStr">
        <is>
          <t>YEN</t>
        </is>
      </c>
      <c r="P122" t="n">
        <v>159.07</v>
      </c>
      <c r="Q122" t="n">
        <v>160.68</v>
      </c>
      <c r="R122" t="n">
        <v>169.3</v>
      </c>
      <c r="S122" t="inlineStr">
        <is>
          <t>AUSTRALIAN DOLLAR</t>
        </is>
      </c>
      <c r="T122" t="n">
        <v>18353.72</v>
      </c>
      <c r="U122" t="n">
        <v>18539.11</v>
      </c>
      <c r="V122" t="n">
        <v>19147.3</v>
      </c>
      <c r="W122" t="inlineStr">
        <is>
          <t>CANADIAN DOLLAR</t>
        </is>
      </c>
      <c r="X122" t="n">
        <v>18756.28</v>
      </c>
      <c r="Y122" t="n">
        <v>18945.74</v>
      </c>
      <c r="Z122" t="n">
        <v>19567.27</v>
      </c>
      <c r="AA122" t="inlineStr">
        <is>
          <t>SWISS FRANC</t>
        </is>
      </c>
      <c r="AB122" t="n">
        <v>32504.08</v>
      </c>
      <c r="AC122" t="n">
        <v>32832.41</v>
      </c>
      <c r="AD122" t="n">
        <v>33909.5</v>
      </c>
      <c r="AE122" t="inlineStr">
        <is>
          <t>SINGAPORE DOLLAR</t>
        </is>
      </c>
      <c r="AF122" t="n">
        <v>20069.22</v>
      </c>
      <c r="AG122" t="n">
        <v>20271.94</v>
      </c>
      <c r="AH122" t="n">
        <v>20978.91</v>
      </c>
      <c r="AI122" t="inlineStr">
        <is>
          <t>YUAN RENMINBI</t>
        </is>
      </c>
      <c r="AJ122" t="n">
        <v>3756.64</v>
      </c>
      <c r="AK122" t="n">
        <v>3794.58</v>
      </c>
      <c r="AL122" t="n">
        <v>3919.07</v>
      </c>
      <c r="AM122" t="inlineStr">
        <is>
          <t>HONGKONG DOLLAR</t>
        </is>
      </c>
      <c r="AN122" t="n">
        <v>3266.14</v>
      </c>
      <c r="AO122" t="n">
        <v>3299.13</v>
      </c>
      <c r="AP122" t="n">
        <v>3427.87</v>
      </c>
      <c r="AQ122" t="inlineStr">
        <is>
          <t>THAILAND BAHT</t>
        </is>
      </c>
      <c r="AR122" t="n">
        <v>711.0700000000001</v>
      </c>
      <c r="AS122" t="n">
        <v>790.08</v>
      </c>
      <c r="AT122" t="n">
        <v>824.2</v>
      </c>
      <c r="AU122" t="inlineStr">
        <is>
          <t>KOREAN WON</t>
        </is>
      </c>
      <c r="AV122" t="n">
        <v>15.39</v>
      </c>
      <c r="AW122" t="n">
        <v>17.1</v>
      </c>
      <c r="AX122" t="n">
        <v>18.56</v>
      </c>
      <c r="AY122" t="inlineStr">
        <is>
          <t>MALAYSIAN RINGGIT</t>
        </is>
      </c>
      <c r="BA122" t="n">
        <v>6597.32</v>
      </c>
      <c r="BB122" t="n">
        <v>6745.94</v>
      </c>
      <c r="BC122" t="inlineStr">
        <is>
          <t>INDIAN RUPEE</t>
        </is>
      </c>
      <c r="BE122" t="n">
        <v>276.14</v>
      </c>
      <c r="BF122" t="n">
        <v>288.24</v>
      </c>
      <c r="BG122" t="inlineStr">
        <is>
          <t>KUWAITI DINAR</t>
        </is>
      </c>
      <c r="BI122" t="n">
        <v>85445.53</v>
      </c>
      <c r="BJ122" t="n">
        <v>89654.7</v>
      </c>
      <c r="BK122" t="inlineStr">
        <is>
          <t>SAUDI RIAL</t>
        </is>
      </c>
      <c r="BM122" t="n">
        <v>6983</v>
      </c>
      <c r="BN122" t="n">
        <v>7289.03</v>
      </c>
      <c r="BO122" t="inlineStr">
        <is>
          <t>NORWEGIAN KRONER</t>
        </is>
      </c>
      <c r="BQ122" t="n">
        <v>2770.3</v>
      </c>
      <c r="BR122" t="n">
        <v>2889.94</v>
      </c>
      <c r="BS122" t="inlineStr">
        <is>
          <t>SWEDISH KRONA</t>
        </is>
      </c>
      <c r="BU122" t="n">
        <v>2780</v>
      </c>
      <c r="BV122" t="n">
        <v>2900.06</v>
      </c>
      <c r="BW122" t="inlineStr">
        <is>
          <t>DANISH KRONE</t>
        </is>
      </c>
      <c r="BY122" t="n">
        <v>4047.37</v>
      </c>
      <c r="BZ122" t="n">
        <v>4205.31</v>
      </c>
      <c r="CA122" t="inlineStr">
        <is>
          <t>RUSSIAN RUBLE</t>
        </is>
      </c>
      <c r="CC122" t="n">
        <v>334</v>
      </c>
      <c r="CD122" t="n">
        <v>370</v>
      </c>
    </row>
    <row r="123">
      <c r="A123" t="inlineStr">
        <is>
          <t>02/05/2026</t>
        </is>
      </c>
      <c r="B123">
        <f>IF(ISNUMBER(A123), A123, DATE(RIGHT(A123,4), MID(A123,4,2), LEFT(A123,2)))</f>
        <v/>
      </c>
      <c r="C123" t="inlineStr">
        <is>
          <t>US DOLLAR</t>
        </is>
      </c>
      <c r="D123" t="n">
        <v>26108</v>
      </c>
      <c r="E123" t="n">
        <v>26138</v>
      </c>
      <c r="F123" t="n">
        <v>26368</v>
      </c>
      <c r="G123" t="inlineStr">
        <is>
          <t>EURO</t>
        </is>
      </c>
      <c r="H123" t="n">
        <v>30026.59</v>
      </c>
      <c r="I123" t="n">
        <v>30329.89</v>
      </c>
      <c r="J123" t="n">
        <v>31633.51</v>
      </c>
      <c r="K123" t="inlineStr">
        <is>
          <t>POUND STERLING</t>
        </is>
      </c>
      <c r="L123" t="n">
        <v>34646.46</v>
      </c>
      <c r="M123" t="n">
        <v>34996.43</v>
      </c>
      <c r="N123" t="n">
        <v>36144.52</v>
      </c>
      <c r="O123" t="inlineStr">
        <is>
          <t>YEN</t>
        </is>
      </c>
      <c r="P123" t="n">
        <v>159.07</v>
      </c>
      <c r="Q123" t="n">
        <v>160.68</v>
      </c>
      <c r="R123" t="n">
        <v>169.3</v>
      </c>
      <c r="S123" t="inlineStr">
        <is>
          <t>AUSTRALIAN DOLLAR</t>
        </is>
      </c>
      <c r="T123" t="n">
        <v>18353.72</v>
      </c>
      <c r="U123" t="n">
        <v>18539.11</v>
      </c>
      <c r="V123" t="n">
        <v>19147.3</v>
      </c>
      <c r="W123" t="inlineStr">
        <is>
          <t>CANADIAN DOLLAR</t>
        </is>
      </c>
      <c r="X123" t="n">
        <v>18756.28</v>
      </c>
      <c r="Y123" t="n">
        <v>18945.74</v>
      </c>
      <c r="Z123" t="n">
        <v>19567.27</v>
      </c>
      <c r="AA123" t="inlineStr">
        <is>
          <t>SWISS FRANC</t>
        </is>
      </c>
      <c r="AB123" t="n">
        <v>32504.08</v>
      </c>
      <c r="AC123" t="n">
        <v>32832.41</v>
      </c>
      <c r="AD123" t="n">
        <v>33909.5</v>
      </c>
      <c r="AE123" t="inlineStr">
        <is>
          <t>SINGAPORE DOLLAR</t>
        </is>
      </c>
      <c r="AF123" t="n">
        <v>20069.22</v>
      </c>
      <c r="AG123" t="n">
        <v>20271.94</v>
      </c>
      <c r="AH123" t="n">
        <v>20978.91</v>
      </c>
      <c r="AI123" t="inlineStr">
        <is>
          <t>YUAN RENMINBI</t>
        </is>
      </c>
      <c r="AJ123" t="n">
        <v>3756.64</v>
      </c>
      <c r="AK123" t="n">
        <v>3794.58</v>
      </c>
      <c r="AL123" t="n">
        <v>3919.07</v>
      </c>
      <c r="AM123" t="inlineStr">
        <is>
          <t>HONGKONG DOLLAR</t>
        </is>
      </c>
      <c r="AN123" t="n">
        <v>3266.14</v>
      </c>
      <c r="AO123" t="n">
        <v>3299.13</v>
      </c>
      <c r="AP123" t="n">
        <v>3427.87</v>
      </c>
      <c r="AQ123" t="inlineStr">
        <is>
          <t>THAILAND BAHT</t>
        </is>
      </c>
      <c r="AR123" t="n">
        <v>711.0700000000001</v>
      </c>
      <c r="AS123" t="n">
        <v>790.08</v>
      </c>
      <c r="AT123" t="n">
        <v>824.2</v>
      </c>
      <c r="AU123" t="inlineStr">
        <is>
          <t>KOREAN WON</t>
        </is>
      </c>
      <c r="AV123" t="n">
        <v>15.39</v>
      </c>
      <c r="AW123" t="n">
        <v>17.1</v>
      </c>
      <c r="AX123" t="n">
        <v>18.56</v>
      </c>
      <c r="AY123" t="inlineStr">
        <is>
          <t>MALAYSIAN RINGGIT</t>
        </is>
      </c>
      <c r="BA123" t="n">
        <v>6597.32</v>
      </c>
      <c r="BB123" t="n">
        <v>6745.94</v>
      </c>
      <c r="BC123" t="inlineStr">
        <is>
          <t>INDIAN RUPEE</t>
        </is>
      </c>
      <c r="BE123" t="n">
        <v>276.14</v>
      </c>
      <c r="BF123" t="n">
        <v>288.24</v>
      </c>
      <c r="BG123" t="inlineStr">
        <is>
          <t>KUWAITI DINAR</t>
        </is>
      </c>
      <c r="BI123" t="n">
        <v>85445.53</v>
      </c>
      <c r="BJ123" t="n">
        <v>89654.7</v>
      </c>
      <c r="BK123" t="inlineStr">
        <is>
          <t>SAUDI RIAL</t>
        </is>
      </c>
      <c r="BM123" t="n">
        <v>6983</v>
      </c>
      <c r="BN123" t="n">
        <v>7289.03</v>
      </c>
      <c r="BO123" t="inlineStr">
        <is>
          <t>NORWEGIAN KRONER</t>
        </is>
      </c>
      <c r="BQ123" t="n">
        <v>2770.3</v>
      </c>
      <c r="BR123" t="n">
        <v>2889.94</v>
      </c>
      <c r="BS123" t="inlineStr">
        <is>
          <t>SWEDISH KRONA</t>
        </is>
      </c>
      <c r="BU123" t="n">
        <v>2780</v>
      </c>
      <c r="BV123" t="n">
        <v>2900.06</v>
      </c>
      <c r="BW123" t="inlineStr">
        <is>
          <t>DANISH KRONE</t>
        </is>
      </c>
      <c r="BY123" t="n">
        <v>4047.37</v>
      </c>
      <c r="BZ123" t="n">
        <v>4205.31</v>
      </c>
      <c r="CA123" t="inlineStr">
        <is>
          <t>RUSSIAN RUBLE</t>
        </is>
      </c>
      <c r="CC123" t="n">
        <v>334</v>
      </c>
      <c r="CD123" t="n">
        <v>370</v>
      </c>
    </row>
    <row r="124">
      <c r="A124" t="inlineStr">
        <is>
          <t>03/05/2026</t>
        </is>
      </c>
      <c r="B124">
        <f>IF(ISNUMBER(A124), A124, DATE(RIGHT(A124,4), MID(A124,4,2), LEFT(A124,2)))</f>
        <v/>
      </c>
      <c r="C124" t="inlineStr">
        <is>
          <t>US DOLLAR</t>
        </is>
      </c>
      <c r="D124" t="n">
        <v>26108</v>
      </c>
      <c r="E124" t="n">
        <v>26138</v>
      </c>
      <c r="F124" t="n">
        <v>26368</v>
      </c>
      <c r="G124" t="inlineStr">
        <is>
          <t>EURO</t>
        </is>
      </c>
      <c r="H124" t="n">
        <v>30026.59</v>
      </c>
      <c r="I124" t="n">
        <v>30329.89</v>
      </c>
      <c r="J124" t="n">
        <v>31633.51</v>
      </c>
      <c r="K124" t="inlineStr">
        <is>
          <t>POUND STERLING</t>
        </is>
      </c>
      <c r="L124" t="n">
        <v>34646.46</v>
      </c>
      <c r="M124" t="n">
        <v>34996.43</v>
      </c>
      <c r="N124" t="n">
        <v>36144.52</v>
      </c>
      <c r="O124" t="inlineStr">
        <is>
          <t>YEN</t>
        </is>
      </c>
      <c r="P124" t="n">
        <v>159.07</v>
      </c>
      <c r="Q124" t="n">
        <v>160.68</v>
      </c>
      <c r="R124" t="n">
        <v>169.3</v>
      </c>
      <c r="S124" t="inlineStr">
        <is>
          <t>AUSTRALIAN DOLLAR</t>
        </is>
      </c>
      <c r="T124" t="n">
        <v>18353.72</v>
      </c>
      <c r="U124" t="n">
        <v>18539.11</v>
      </c>
      <c r="V124" t="n">
        <v>19147.3</v>
      </c>
      <c r="W124" t="inlineStr">
        <is>
          <t>CANADIAN DOLLAR</t>
        </is>
      </c>
      <c r="X124" t="n">
        <v>18756.28</v>
      </c>
      <c r="Y124" t="n">
        <v>18945.74</v>
      </c>
      <c r="Z124" t="n">
        <v>19567.27</v>
      </c>
      <c r="AA124" t="inlineStr">
        <is>
          <t>SWISS FRANC</t>
        </is>
      </c>
      <c r="AB124" t="n">
        <v>32504.08</v>
      </c>
      <c r="AC124" t="n">
        <v>32832.41</v>
      </c>
      <c r="AD124" t="n">
        <v>33909.5</v>
      </c>
      <c r="AE124" t="inlineStr">
        <is>
          <t>SINGAPORE DOLLAR</t>
        </is>
      </c>
      <c r="AF124" t="n">
        <v>20069.22</v>
      </c>
      <c r="AG124" t="n">
        <v>20271.94</v>
      </c>
      <c r="AH124" t="n">
        <v>20978.91</v>
      </c>
      <c r="AI124" t="inlineStr">
        <is>
          <t>YUAN RENMINBI</t>
        </is>
      </c>
      <c r="AJ124" t="n">
        <v>3756.64</v>
      </c>
      <c r="AK124" t="n">
        <v>3794.58</v>
      </c>
      <c r="AL124" t="n">
        <v>3919.07</v>
      </c>
      <c r="AM124" t="inlineStr">
        <is>
          <t>HONGKONG DOLLAR</t>
        </is>
      </c>
      <c r="AN124" t="n">
        <v>3266.14</v>
      </c>
      <c r="AO124" t="n">
        <v>3299.13</v>
      </c>
      <c r="AP124" t="n">
        <v>3427.87</v>
      </c>
      <c r="AQ124" t="inlineStr">
        <is>
          <t>THAILAND BAHT</t>
        </is>
      </c>
      <c r="AR124" t="n">
        <v>711.0700000000001</v>
      </c>
      <c r="AS124" t="n">
        <v>790.08</v>
      </c>
      <c r="AT124" t="n">
        <v>824.2</v>
      </c>
      <c r="AU124" t="inlineStr">
        <is>
          <t>KOREAN WON</t>
        </is>
      </c>
      <c r="AV124" t="n">
        <v>15.39</v>
      </c>
      <c r="AW124" t="n">
        <v>17.1</v>
      </c>
      <c r="AX124" t="n">
        <v>18.56</v>
      </c>
      <c r="AY124" t="inlineStr">
        <is>
          <t>MALAYSIAN RINGGIT</t>
        </is>
      </c>
      <c r="BA124" t="n">
        <v>6597.32</v>
      </c>
      <c r="BB124" t="n">
        <v>6745.94</v>
      </c>
      <c r="BC124" t="inlineStr">
        <is>
          <t>INDIAN RUPEE</t>
        </is>
      </c>
      <c r="BE124" t="n">
        <v>276.14</v>
      </c>
      <c r="BF124" t="n">
        <v>288.24</v>
      </c>
      <c r="BG124" t="inlineStr">
        <is>
          <t>KUWAITI DINAR</t>
        </is>
      </c>
      <c r="BI124" t="n">
        <v>85445.53</v>
      </c>
      <c r="BJ124" t="n">
        <v>89654.7</v>
      </c>
      <c r="BK124" t="inlineStr">
        <is>
          <t>SAUDI RIAL</t>
        </is>
      </c>
      <c r="BM124" t="n">
        <v>6983</v>
      </c>
      <c r="BN124" t="n">
        <v>7289.03</v>
      </c>
      <c r="BO124" t="inlineStr">
        <is>
          <t>NORWEGIAN KRONER</t>
        </is>
      </c>
      <c r="BQ124" t="n">
        <v>2770.3</v>
      </c>
      <c r="BR124" t="n">
        <v>2889.94</v>
      </c>
      <c r="BS124" t="inlineStr">
        <is>
          <t>SWEDISH KRONA</t>
        </is>
      </c>
      <c r="BU124" t="n">
        <v>2780</v>
      </c>
      <c r="BV124" t="n">
        <v>2900.06</v>
      </c>
      <c r="BW124" t="inlineStr">
        <is>
          <t>DANISH KRONE</t>
        </is>
      </c>
      <c r="BY124" t="n">
        <v>4047.37</v>
      </c>
      <c r="BZ124" t="n">
        <v>4205.31</v>
      </c>
      <c r="CA124" t="inlineStr">
        <is>
          <t>RUSSIAN RUBLE</t>
        </is>
      </c>
      <c r="CC124" t="n">
        <v>334</v>
      </c>
      <c r="CD124" t="n">
        <v>370</v>
      </c>
    </row>
    <row r="125">
      <c r="A125" t="inlineStr">
        <is>
          <t>04/05/2026</t>
        </is>
      </c>
      <c r="B125">
        <f>IF(ISNUMBER(A125), A125, DATE(RIGHT(A125,4), MID(A125,4,2), LEFT(A125,2)))</f>
        <v/>
      </c>
      <c r="C125" t="inlineStr">
        <is>
          <t>US DOLLAR</t>
        </is>
      </c>
      <c r="D125" t="n">
        <v>26107</v>
      </c>
      <c r="E125" t="n">
        <v>26137</v>
      </c>
      <c r="F125" t="n">
        <v>26367</v>
      </c>
      <c r="G125" t="inlineStr">
        <is>
          <t>EURO</t>
        </is>
      </c>
      <c r="H125" t="n">
        <v>30088.49</v>
      </c>
      <c r="I125" t="n">
        <v>30392.42</v>
      </c>
      <c r="J125" t="n">
        <v>31674.68</v>
      </c>
      <c r="K125" t="inlineStr">
        <is>
          <t>POUND STERLING</t>
        </is>
      </c>
      <c r="L125" t="n">
        <v>34850.79</v>
      </c>
      <c r="M125" t="n">
        <v>35202.82</v>
      </c>
      <c r="N125" t="n">
        <v>36330.1</v>
      </c>
      <c r="O125" t="inlineStr">
        <is>
          <t>YEN</t>
        </is>
      </c>
      <c r="P125" t="n">
        <v>161.94</v>
      </c>
      <c r="Q125" t="n">
        <v>163.58</v>
      </c>
      <c r="R125" t="n">
        <v>172.23</v>
      </c>
      <c r="S125" t="inlineStr">
        <is>
          <t>AUSTRALIAN DOLLAR</t>
        </is>
      </c>
      <c r="T125" t="n">
        <v>18486.96</v>
      </c>
      <c r="U125" t="n">
        <v>18673.7</v>
      </c>
      <c r="V125" t="n">
        <v>19271.68</v>
      </c>
      <c r="W125" t="inlineStr">
        <is>
          <t>CANADIAN DOLLAR</t>
        </is>
      </c>
      <c r="X125" t="n">
        <v>18892.4</v>
      </c>
      <c r="Y125" t="n">
        <v>19083.23</v>
      </c>
      <c r="Z125" t="n">
        <v>19694.33</v>
      </c>
      <c r="AA125" t="inlineStr">
        <is>
          <t>SWISS FRANC</t>
        </is>
      </c>
      <c r="AB125" t="n">
        <v>32853.83</v>
      </c>
      <c r="AC125" t="n">
        <v>33185.68</v>
      </c>
      <c r="AD125" t="n">
        <v>34248.37</v>
      </c>
      <c r="AE125" t="inlineStr">
        <is>
          <t>SINGAPORE DOLLAR</t>
        </is>
      </c>
      <c r="AF125" t="n">
        <v>20148.66</v>
      </c>
      <c r="AG125" t="n">
        <v>20352.18</v>
      </c>
      <c r="AH125" t="n">
        <v>21045.97</v>
      </c>
      <c r="AI125" t="inlineStr">
        <is>
          <t>YUAN RENMINBI</t>
        </is>
      </c>
      <c r="AJ125" t="n">
        <v>3761.16</v>
      </c>
      <c r="AK125" t="n">
        <v>3799.15</v>
      </c>
      <c r="AL125" t="n">
        <v>3920.81</v>
      </c>
      <c r="AM125" t="inlineStr">
        <is>
          <t>HONGKONG DOLLAR</t>
        </is>
      </c>
      <c r="AN125" t="n">
        <v>3268.13</v>
      </c>
      <c r="AO125" t="n">
        <v>3301.14</v>
      </c>
      <c r="AP125" t="n">
        <v>3427.36</v>
      </c>
      <c r="AQ125" t="inlineStr">
        <is>
          <t>THAILAND BAHT</t>
        </is>
      </c>
      <c r="AR125" t="n">
        <v>714.3200000000001</v>
      </c>
      <c r="AS125" t="n">
        <v>793.6900000000001</v>
      </c>
      <c r="AT125" t="n">
        <v>827.34</v>
      </c>
      <c r="AU125" t="inlineStr">
        <is>
          <t>KOREAN WON</t>
        </is>
      </c>
      <c r="AV125" t="n">
        <v>15.48</v>
      </c>
      <c r="AW125" t="n">
        <v>17.2</v>
      </c>
      <c r="AX125" t="n">
        <v>18.67</v>
      </c>
      <c r="AY125" t="inlineStr">
        <is>
          <t>MALAYSIAN RINGGIT</t>
        </is>
      </c>
      <c r="BA125" t="n">
        <v>6589.06</v>
      </c>
      <c r="BB125" t="n">
        <v>6732.39</v>
      </c>
      <c r="BC125" t="inlineStr">
        <is>
          <t>INDIAN RUPEE</t>
        </is>
      </c>
      <c r="BE125" t="n">
        <v>276.07</v>
      </c>
      <c r="BF125" t="n">
        <v>287.95</v>
      </c>
      <c r="BG125" t="inlineStr">
        <is>
          <t>KUWAITI DINAR</t>
        </is>
      </c>
      <c r="BI125" t="n">
        <v>85551.99000000001</v>
      </c>
      <c r="BJ125" t="n">
        <v>89698.32000000001</v>
      </c>
      <c r="BK125" t="inlineStr">
        <is>
          <t>SAUDI RIAL</t>
        </is>
      </c>
      <c r="BM125" t="n">
        <v>6985.05</v>
      </c>
      <c r="BN125" t="n">
        <v>7285.63</v>
      </c>
      <c r="BO125" t="inlineStr">
        <is>
          <t>NORWEGIAN KRONER</t>
        </is>
      </c>
      <c r="BQ125" t="n">
        <v>2781.45</v>
      </c>
      <c r="BR125" t="n">
        <v>2899.38</v>
      </c>
      <c r="BS125" t="inlineStr">
        <is>
          <t>SWEDISH KRONA</t>
        </is>
      </c>
      <c r="BU125" t="n">
        <v>2798.07</v>
      </c>
      <c r="BV125" t="n">
        <v>2916.7</v>
      </c>
      <c r="BW125" t="inlineStr">
        <is>
          <t>DANISH KRONE</t>
        </is>
      </c>
      <c r="BY125" t="n">
        <v>4057.09</v>
      </c>
      <c r="BZ125" t="n">
        <v>4212.21</v>
      </c>
      <c r="CA125" t="inlineStr">
        <is>
          <t>RUSSIAN RUBLE</t>
        </is>
      </c>
      <c r="CC125" t="n">
        <v>334.55</v>
      </c>
      <c r="CD125" t="n">
        <v>370.33</v>
      </c>
    </row>
    <row r="126">
      <c r="A126" t="inlineStr">
        <is>
          <t>05/05/2026</t>
        </is>
      </c>
      <c r="B126">
        <f>IF(ISNUMBER(A126), A126, DATE(RIGHT(A126,4), MID(A126,4,2), LEFT(A126,2)))</f>
        <v/>
      </c>
      <c r="C126" t="inlineStr">
        <is>
          <t>US DOLLAR</t>
        </is>
      </c>
      <c r="D126" t="n">
        <v>26096</v>
      </c>
      <c r="E126" t="n">
        <v>26126</v>
      </c>
      <c r="F126" t="n">
        <v>26366</v>
      </c>
      <c r="G126" t="inlineStr">
        <is>
          <t>EURO</t>
        </is>
      </c>
      <c r="H126" t="n">
        <v>29985.82</v>
      </c>
      <c r="I126" t="n">
        <v>30288.71</v>
      </c>
      <c r="J126" t="n">
        <v>31566.65</v>
      </c>
      <c r="K126" t="inlineStr">
        <is>
          <t>POUND STERLING</t>
        </is>
      </c>
      <c r="L126" t="n">
        <v>34732.98</v>
      </c>
      <c r="M126" t="n">
        <v>35083.82</v>
      </c>
      <c r="N126" t="n">
        <v>36207.35</v>
      </c>
      <c r="O126" t="inlineStr">
        <is>
          <t>YEN</t>
        </is>
      </c>
      <c r="P126" t="n">
        <v>161.65</v>
      </c>
      <c r="Q126" t="n">
        <v>163.28</v>
      </c>
      <c r="R126" t="n">
        <v>171.92</v>
      </c>
      <c r="S126" t="inlineStr">
        <is>
          <t>AUSTRALIAN DOLLAR</t>
        </is>
      </c>
      <c r="T126" t="n">
        <v>18344.9</v>
      </c>
      <c r="U126" t="n">
        <v>18530.2</v>
      </c>
      <c r="V126" t="n">
        <v>19123.62</v>
      </c>
      <c r="W126" t="inlineStr">
        <is>
          <t>CANADIAN DOLLAR</t>
        </is>
      </c>
      <c r="X126" t="n">
        <v>18842.53</v>
      </c>
      <c r="Y126" t="n">
        <v>19032.86</v>
      </c>
      <c r="Z126" t="n">
        <v>19642.37</v>
      </c>
      <c r="AA126" t="inlineStr">
        <is>
          <t>SWISS FRANC</t>
        </is>
      </c>
      <c r="AB126" t="n">
        <v>32753.09</v>
      </c>
      <c r="AC126" t="n">
        <v>33083.92</v>
      </c>
      <c r="AD126" t="n">
        <v>34143.41</v>
      </c>
      <c r="AE126" t="inlineStr">
        <is>
          <t>SINGAPORE DOLLAR</t>
        </is>
      </c>
      <c r="AF126" t="n">
        <v>20075.96</v>
      </c>
      <c r="AG126" t="n">
        <v>20278.75</v>
      </c>
      <c r="AH126" t="n">
        <v>20970.07</v>
      </c>
      <c r="AI126" t="inlineStr">
        <is>
          <t>YUAN RENMINBI</t>
        </is>
      </c>
      <c r="AJ126" t="n">
        <v>3755.82</v>
      </c>
      <c r="AK126" t="n">
        <v>3793.75</v>
      </c>
      <c r="AL126" t="n">
        <v>3915.24</v>
      </c>
      <c r="AM126" t="inlineStr">
        <is>
          <t>HONGKONG DOLLAR</t>
        </is>
      </c>
      <c r="AN126" t="n">
        <v>3264.07</v>
      </c>
      <c r="AO126" t="n">
        <v>3297.04</v>
      </c>
      <c r="AP126" t="n">
        <v>3423.11</v>
      </c>
      <c r="AQ126" t="inlineStr">
        <is>
          <t>THAILAND BAHT</t>
        </is>
      </c>
      <c r="AR126" t="n">
        <v>709.88</v>
      </c>
      <c r="AS126" t="n">
        <v>788.75</v>
      </c>
      <c r="AT126" t="n">
        <v>822.1900000000001</v>
      </c>
      <c r="AU126" t="inlineStr">
        <is>
          <t>KOREAN WON</t>
        </is>
      </c>
      <c r="AV126" t="n">
        <v>15.45</v>
      </c>
      <c r="AW126" t="n">
        <v>17.17</v>
      </c>
      <c r="AX126" t="n">
        <v>18.62</v>
      </c>
      <c r="AY126" t="inlineStr">
        <is>
          <t>MALAYSIAN RINGGIT</t>
        </is>
      </c>
      <c r="BA126" t="n">
        <v>6574</v>
      </c>
      <c r="BB126" t="n">
        <v>6717.01</v>
      </c>
      <c r="BC126" t="inlineStr">
        <is>
          <t>INDIAN RUPEE</t>
        </is>
      </c>
      <c r="BE126" t="n">
        <v>274.42</v>
      </c>
      <c r="BF126" t="n">
        <v>286.23</v>
      </c>
      <c r="BG126" t="inlineStr">
        <is>
          <t>KUWAITI DINAR</t>
        </is>
      </c>
      <c r="BI126" t="n">
        <v>85408.47</v>
      </c>
      <c r="BJ126" t="n">
        <v>89547.98</v>
      </c>
      <c r="BK126" t="inlineStr">
        <is>
          <t>SAUDI RIAL</t>
        </is>
      </c>
      <c r="BM126" t="n">
        <v>6975.46</v>
      </c>
      <c r="BN126" t="n">
        <v>7275.65</v>
      </c>
      <c r="BO126" t="inlineStr">
        <is>
          <t>NORWEGIAN KRONER</t>
        </is>
      </c>
      <c r="BQ126" t="n">
        <v>2782.41</v>
      </c>
      <c r="BR126" t="n">
        <v>2900.38</v>
      </c>
      <c r="BS126" t="inlineStr">
        <is>
          <t>SWEDISH KRONA</t>
        </is>
      </c>
      <c r="BU126" t="n">
        <v>2781.15</v>
      </c>
      <c r="BV126" t="n">
        <v>2899.07</v>
      </c>
      <c r="BW126" t="inlineStr">
        <is>
          <t>DANISH KRONE</t>
        </is>
      </c>
      <c r="BY126" t="n">
        <v>4043.03</v>
      </c>
      <c r="BZ126" t="n">
        <v>4197.62</v>
      </c>
      <c r="CA126" t="inlineStr">
        <is>
          <t>RUSSIAN RUBLE</t>
        </is>
      </c>
      <c r="CC126" t="n">
        <v>331.54</v>
      </c>
      <c r="CD126" t="n">
        <v>366.99</v>
      </c>
    </row>
    <row r="127">
      <c r="A127" t="inlineStr">
        <is>
          <t>06/05/2026</t>
        </is>
      </c>
      <c r="B127">
        <f>IF(ISNUMBER(A127), A127, DATE(RIGHT(A127,4), MID(A127,4,2), LEFT(A127,2)))</f>
        <v/>
      </c>
      <c r="C127" t="inlineStr">
        <is>
          <t>US DOLLAR</t>
        </is>
      </c>
      <c r="D127" t="n">
        <v>26098</v>
      </c>
      <c r="E127" t="n">
        <v>26128</v>
      </c>
      <c r="F127" t="n">
        <v>26368</v>
      </c>
      <c r="G127" t="inlineStr">
        <is>
          <t>EURO</t>
        </is>
      </c>
      <c r="H127" t="n">
        <v>30191</v>
      </c>
      <c r="I127" t="n">
        <v>30495.95</v>
      </c>
      <c r="J127" t="n">
        <v>31782.63</v>
      </c>
      <c r="K127" t="inlineStr">
        <is>
          <t>POUND STERLING</t>
        </is>
      </c>
      <c r="L127" t="n">
        <v>34933.02</v>
      </c>
      <c r="M127" t="n">
        <v>35285.88</v>
      </c>
      <c r="N127" t="n">
        <v>36415.88</v>
      </c>
      <c r="O127" t="inlineStr">
        <is>
          <t>YEN</t>
        </is>
      </c>
      <c r="P127" t="n">
        <v>162.92</v>
      </c>
      <c r="Q127" t="n">
        <v>164.56</v>
      </c>
      <c r="R127" t="n">
        <v>173.26</v>
      </c>
      <c r="S127" t="inlineStr">
        <is>
          <t>AUSTRALIAN DOLLAR</t>
        </is>
      </c>
      <c r="T127" t="n">
        <v>18614.19</v>
      </c>
      <c r="U127" t="n">
        <v>18802.21</v>
      </c>
      <c r="V127" t="n">
        <v>19404.34</v>
      </c>
      <c r="W127" t="inlineStr">
        <is>
          <t>CANADIAN DOLLAR</t>
        </is>
      </c>
      <c r="X127" t="n">
        <v>18874.41</v>
      </c>
      <c r="Y127" t="n">
        <v>19065.07</v>
      </c>
      <c r="Z127" t="n">
        <v>19675.61</v>
      </c>
      <c r="AA127" t="inlineStr">
        <is>
          <t>SWISS FRANC</t>
        </is>
      </c>
      <c r="AB127" t="n">
        <v>32950.82</v>
      </c>
      <c r="AC127" t="n">
        <v>33283.66</v>
      </c>
      <c r="AD127" t="n">
        <v>34349.54</v>
      </c>
      <c r="AE127" t="inlineStr">
        <is>
          <t>SINGAPORE DOLLAR</t>
        </is>
      </c>
      <c r="AF127" t="n">
        <v>20221.71</v>
      </c>
      <c r="AG127" t="n">
        <v>20425.97</v>
      </c>
      <c r="AH127" t="n">
        <v>21122.3</v>
      </c>
      <c r="AI127" t="inlineStr">
        <is>
          <t>YUAN RENMINBI</t>
        </is>
      </c>
      <c r="AJ127" t="n">
        <v>3766.29</v>
      </c>
      <c r="AK127" t="n">
        <v>3804.34</v>
      </c>
      <c r="AL127" t="n">
        <v>3926.17</v>
      </c>
      <c r="AM127" t="inlineStr">
        <is>
          <t>HONGKONG DOLLAR</t>
        </is>
      </c>
      <c r="AN127" t="n">
        <v>3264.28</v>
      </c>
      <c r="AO127" t="n">
        <v>3297.25</v>
      </c>
      <c r="AP127" t="n">
        <v>3423.33</v>
      </c>
      <c r="AQ127" t="inlineStr">
        <is>
          <t>THAILAND BAHT</t>
        </is>
      </c>
      <c r="AR127" t="n">
        <v>721.35</v>
      </c>
      <c r="AS127" t="n">
        <v>801.5</v>
      </c>
      <c r="AT127" t="n">
        <v>835.48</v>
      </c>
      <c r="AU127" t="inlineStr">
        <is>
          <t>KOREAN WON</t>
        </is>
      </c>
      <c r="AV127" t="n">
        <v>15.73</v>
      </c>
      <c r="AW127" t="n">
        <v>17.48</v>
      </c>
      <c r="AX127" t="n">
        <v>18.96</v>
      </c>
      <c r="AY127" t="inlineStr">
        <is>
          <t>MALAYSIAN RINGGIT</t>
        </is>
      </c>
      <c r="BA127" t="n">
        <v>6642.76</v>
      </c>
      <c r="BB127" t="n">
        <v>6787.26</v>
      </c>
      <c r="BC127" t="inlineStr">
        <is>
          <t>INDIAN RUPEE</t>
        </is>
      </c>
      <c r="BE127" t="n">
        <v>276.6</v>
      </c>
      <c r="BF127" t="n">
        <v>288.5</v>
      </c>
      <c r="BG127" t="inlineStr">
        <is>
          <t>KUWAITI DINAR</t>
        </is>
      </c>
      <c r="BI127" t="n">
        <v>85464.25</v>
      </c>
      <c r="BJ127" t="n">
        <v>89606.47</v>
      </c>
      <c r="BK127" t="inlineStr">
        <is>
          <t>SAUDI RIAL</t>
        </is>
      </c>
      <c r="BM127" t="n">
        <v>6974.54</v>
      </c>
      <c r="BN127" t="n">
        <v>7274.68</v>
      </c>
      <c r="BO127" t="inlineStr">
        <is>
          <t>NORWEGIAN KRONER</t>
        </is>
      </c>
      <c r="BQ127" t="n">
        <v>2780.04</v>
      </c>
      <c r="BR127" t="n">
        <v>2897.91</v>
      </c>
      <c r="BS127" t="inlineStr">
        <is>
          <t>SWEDISH KRONA</t>
        </is>
      </c>
      <c r="BU127" t="n">
        <v>2802.28</v>
      </c>
      <c r="BV127" t="n">
        <v>2921.09</v>
      </c>
      <c r="BW127" t="inlineStr">
        <is>
          <t>DANISH KRONE</t>
        </is>
      </c>
      <c r="BY127" t="n">
        <v>4071.19</v>
      </c>
      <c r="BZ127" t="n">
        <v>4226.86</v>
      </c>
      <c r="CA127" t="inlineStr">
        <is>
          <t>RUSSIAN RUBLE</t>
        </is>
      </c>
      <c r="CC127" t="n">
        <v>334.86</v>
      </c>
      <c r="CD127" t="n">
        <v>370.67</v>
      </c>
    </row>
    <row r="128">
      <c r="A128" t="inlineStr">
        <is>
          <t>07/05/2026</t>
        </is>
      </c>
      <c r="B128">
        <f>IF(ISNUMBER(A128), A128, DATE(RIGHT(A128,4), MID(A128,4,2), LEFT(A128,2)))</f>
        <v/>
      </c>
      <c r="C128" t="inlineStr">
        <is>
          <t>US DOLLAR</t>
        </is>
      </c>
      <c r="D128" t="n">
        <v>26088</v>
      </c>
      <c r="E128" t="n">
        <v>26118</v>
      </c>
      <c r="F128" t="n">
        <v>26368</v>
      </c>
      <c r="G128" t="inlineStr">
        <is>
          <t>EURO</t>
        </is>
      </c>
      <c r="H128" t="n">
        <v>30153.88</v>
      </c>
      <c r="I128" t="n">
        <v>30458.46</v>
      </c>
      <c r="J128" t="n">
        <v>31743.58</v>
      </c>
      <c r="K128" t="inlineStr">
        <is>
          <t>POUND STERLING</t>
        </is>
      </c>
      <c r="L128" t="n">
        <v>34881.29</v>
      </c>
      <c r="M128" t="n">
        <v>35233.62</v>
      </c>
      <c r="N128" t="n">
        <v>36361.97</v>
      </c>
      <c r="O128" t="inlineStr">
        <is>
          <t>YEN</t>
        </is>
      </c>
      <c r="P128" t="n">
        <v>162.67</v>
      </c>
      <c r="Q128" t="n">
        <v>164.31</v>
      </c>
      <c r="R128" t="n">
        <v>173</v>
      </c>
      <c r="S128" t="inlineStr">
        <is>
          <t>AUSTRALIAN DOLLAR</t>
        </is>
      </c>
      <c r="T128" t="n">
        <v>18581.48</v>
      </c>
      <c r="U128" t="n">
        <v>18769.17</v>
      </c>
      <c r="V128" t="n">
        <v>19370.24</v>
      </c>
      <c r="W128" t="inlineStr">
        <is>
          <t>CANADIAN DOLLAR</t>
        </is>
      </c>
      <c r="X128" t="n">
        <v>18816.01</v>
      </c>
      <c r="Y128" t="n">
        <v>19006.07</v>
      </c>
      <c r="Z128" t="n">
        <v>19614.74</v>
      </c>
      <c r="AA128" t="inlineStr">
        <is>
          <t>SWISS FRANC</t>
        </is>
      </c>
      <c r="AB128" t="n">
        <v>32963.7</v>
      </c>
      <c r="AC128" t="n">
        <v>33296.67</v>
      </c>
      <c r="AD128" t="n">
        <v>34362.98</v>
      </c>
      <c r="AE128" t="inlineStr">
        <is>
          <t>SINGAPORE DOLLAR</t>
        </is>
      </c>
      <c r="AF128" t="n">
        <v>20228.38</v>
      </c>
      <c r="AG128" t="n">
        <v>20432.71</v>
      </c>
      <c r="AH128" t="n">
        <v>21129.29</v>
      </c>
      <c r="AI128" t="inlineStr">
        <is>
          <t>YUAN RENMINBI</t>
        </is>
      </c>
      <c r="AJ128" t="n">
        <v>3768.84</v>
      </c>
      <c r="AK128" t="n">
        <v>3806.91</v>
      </c>
      <c r="AL128" t="n">
        <v>3928.83</v>
      </c>
      <c r="AM128" t="inlineStr">
        <is>
          <t>HONGKONG DOLLAR</t>
        </is>
      </c>
      <c r="AN128" t="n">
        <v>3264</v>
      </c>
      <c r="AO128" t="n">
        <v>3296.97</v>
      </c>
      <c r="AP128" t="n">
        <v>3423.03</v>
      </c>
      <c r="AQ128" t="inlineStr">
        <is>
          <t>THAILAND BAHT</t>
        </is>
      </c>
      <c r="AR128" t="n">
        <v>719.96</v>
      </c>
      <c r="AS128" t="n">
        <v>799.95</v>
      </c>
      <c r="AT128" t="n">
        <v>833.87</v>
      </c>
      <c r="AU128" t="inlineStr">
        <is>
          <t>KOREAN WON</t>
        </is>
      </c>
      <c r="AV128" t="n">
        <v>15.71</v>
      </c>
      <c r="AW128" t="n">
        <v>17.46</v>
      </c>
      <c r="AX128" t="n">
        <v>18.94</v>
      </c>
      <c r="AY128" t="inlineStr">
        <is>
          <t>MALAYSIAN RINGGIT</t>
        </is>
      </c>
      <c r="BA128" t="n">
        <v>6662.32</v>
      </c>
      <c r="BB128" t="n">
        <v>6807.26</v>
      </c>
      <c r="BC128" t="inlineStr">
        <is>
          <t>INDIAN RUPEE</t>
        </is>
      </c>
      <c r="BE128" t="n">
        <v>276.5</v>
      </c>
      <c r="BF128" t="n">
        <v>288.39</v>
      </c>
      <c r="BG128" t="inlineStr">
        <is>
          <t>KUWAITI DINAR</t>
        </is>
      </c>
      <c r="BI128" t="n">
        <v>84575.50999999999</v>
      </c>
      <c r="BJ128" t="n">
        <v>88674.7</v>
      </c>
      <c r="BK128" t="inlineStr">
        <is>
          <t>SAUDI RIAL</t>
        </is>
      </c>
      <c r="BM128" t="n">
        <v>6973.37</v>
      </c>
      <c r="BN128" t="n">
        <v>7273.47</v>
      </c>
      <c r="BO128" t="inlineStr">
        <is>
          <t>NORWEGIAN KRONER</t>
        </is>
      </c>
      <c r="BQ128" t="n">
        <v>2773</v>
      </c>
      <c r="BR128" t="n">
        <v>2890.58</v>
      </c>
      <c r="BS128" t="inlineStr">
        <is>
          <t>SWEDISH KRONA</t>
        </is>
      </c>
      <c r="BU128" t="n">
        <v>2793.26</v>
      </c>
      <c r="BV128" t="n">
        <v>2911.69</v>
      </c>
      <c r="BW128" t="inlineStr">
        <is>
          <t>DANISH KRONE</t>
        </is>
      </c>
      <c r="BY128" t="n">
        <v>4065.22</v>
      </c>
      <c r="BZ128" t="n">
        <v>4220.67</v>
      </c>
      <c r="CA128" t="inlineStr">
        <is>
          <t>RUSSIAN RUBLE</t>
        </is>
      </c>
      <c r="CC128" t="n">
        <v>334.98</v>
      </c>
      <c r="CD128" t="n">
        <v>370.8</v>
      </c>
    </row>
    <row r="129">
      <c r="A129" t="inlineStr">
        <is>
          <t>08/05/2026</t>
        </is>
      </c>
      <c r="B129">
        <f>IF(ISNUMBER(A129), A129, DATE(RIGHT(A129,4), MID(A129,4,2), LEFT(A129,2)))</f>
        <v/>
      </c>
      <c r="C129" t="inlineStr">
        <is>
          <t>US DOLLAR</t>
        </is>
      </c>
      <c r="D129" t="n">
        <v>26087</v>
      </c>
      <c r="E129" t="n">
        <v>26117</v>
      </c>
      <c r="F129" t="n">
        <v>26367</v>
      </c>
      <c r="G129" t="inlineStr">
        <is>
          <t>EURO</t>
        </is>
      </c>
      <c r="H129" t="n">
        <v>30074.41</v>
      </c>
      <c r="I129" t="n">
        <v>30378.19</v>
      </c>
      <c r="J129" t="n">
        <v>31659.92</v>
      </c>
      <c r="K129" t="inlineStr">
        <is>
          <t>POUND STERLING</t>
        </is>
      </c>
      <c r="L129" t="n">
        <v>34758.23</v>
      </c>
      <c r="M129" t="n">
        <v>35109.32</v>
      </c>
      <c r="N129" t="n">
        <v>36233.69</v>
      </c>
      <c r="O129" t="inlineStr">
        <is>
          <t>YEN</t>
        </is>
      </c>
      <c r="P129" t="n">
        <v>162.39</v>
      </c>
      <c r="Q129" t="n">
        <v>164.03</v>
      </c>
      <c r="R129" t="n">
        <v>172.7</v>
      </c>
      <c r="S129" t="inlineStr">
        <is>
          <t>AUSTRALIAN DOLLAR</t>
        </is>
      </c>
      <c r="T129" t="n">
        <v>18509.69</v>
      </c>
      <c r="U129" t="n">
        <v>18696.66</v>
      </c>
      <c r="V129" t="n">
        <v>19295.41</v>
      </c>
      <c r="W129" t="inlineStr">
        <is>
          <t>CANADIAN DOLLAR</t>
        </is>
      </c>
      <c r="X129" t="n">
        <v>18781.56</v>
      </c>
      <c r="Y129" t="n">
        <v>18971.27</v>
      </c>
      <c r="Z129" t="n">
        <v>19578.82</v>
      </c>
      <c r="AA129" t="inlineStr">
        <is>
          <t>SWISS FRANC</t>
        </is>
      </c>
      <c r="AB129" t="n">
        <v>32866.53</v>
      </c>
      <c r="AC129" t="n">
        <v>33198.51</v>
      </c>
      <c r="AD129" t="n">
        <v>34261.68</v>
      </c>
      <c r="AE129" t="inlineStr">
        <is>
          <t>SINGAPORE DOLLAR</t>
        </is>
      </c>
      <c r="AF129" t="n">
        <v>20201.27</v>
      </c>
      <c r="AG129" t="n">
        <v>20405.32</v>
      </c>
      <c r="AH129" t="n">
        <v>21100.96</v>
      </c>
      <c r="AI129" t="inlineStr">
        <is>
          <t>YUAN RENMINBI</t>
        </is>
      </c>
      <c r="AJ129" t="n">
        <v>3768.73</v>
      </c>
      <c r="AK129" t="n">
        <v>3806.8</v>
      </c>
      <c r="AL129" t="n">
        <v>3928.71</v>
      </c>
      <c r="AM129" t="inlineStr">
        <is>
          <t>HONGKONG DOLLAR</t>
        </is>
      </c>
      <c r="AN129" t="n">
        <v>3266.67</v>
      </c>
      <c r="AO129" t="n">
        <v>3299.66</v>
      </c>
      <c r="AP129" t="n">
        <v>3425.83</v>
      </c>
      <c r="AQ129" t="inlineStr">
        <is>
          <t>THAILAND BAHT</t>
        </is>
      </c>
      <c r="AR129" t="n">
        <v>720.41</v>
      </c>
      <c r="AS129" t="n">
        <v>800.45</v>
      </c>
      <c r="AT129" t="n">
        <v>834.39</v>
      </c>
      <c r="AU129" t="inlineStr">
        <is>
          <t>KOREAN WON</t>
        </is>
      </c>
      <c r="AV129" t="n">
        <v>15.54</v>
      </c>
      <c r="AW129" t="n">
        <v>17.26</v>
      </c>
      <c r="AX129" t="n">
        <v>18.73</v>
      </c>
      <c r="AY129" t="inlineStr">
        <is>
          <t>MALAYSIAN RINGGIT</t>
        </is>
      </c>
      <c r="BA129" t="n">
        <v>6645.32</v>
      </c>
      <c r="BB129" t="n">
        <v>6789.88</v>
      </c>
      <c r="BC129" t="inlineStr">
        <is>
          <t>INDIAN RUPEE</t>
        </is>
      </c>
      <c r="BE129" t="n">
        <v>276.67</v>
      </c>
      <c r="BF129" t="n">
        <v>288.58</v>
      </c>
      <c r="BG129" t="inlineStr">
        <is>
          <t>KUWAITI DINAR</t>
        </is>
      </c>
      <c r="BI129" t="n">
        <v>85431.75999999999</v>
      </c>
      <c r="BJ129" t="n">
        <v>89572.45</v>
      </c>
      <c r="BK129" t="inlineStr">
        <is>
          <t>SAUDI RIAL</t>
        </is>
      </c>
      <c r="BM129" t="n">
        <v>6974.3</v>
      </c>
      <c r="BN129" t="n">
        <v>7274.44</v>
      </c>
      <c r="BO129" t="inlineStr">
        <is>
          <t>NORWEGIAN KRONER</t>
        </is>
      </c>
      <c r="BQ129" t="n">
        <v>2768.92</v>
      </c>
      <c r="BR129" t="n">
        <v>2886.32</v>
      </c>
      <c r="BS129" t="inlineStr">
        <is>
          <t>SWEDISH KRONA</t>
        </is>
      </c>
      <c r="BU129" t="n">
        <v>2778.47</v>
      </c>
      <c r="BV129" t="n">
        <v>2896.28</v>
      </c>
      <c r="BW129" t="inlineStr">
        <is>
          <t>DANISH KRONE</t>
        </is>
      </c>
      <c r="BY129" t="n">
        <v>4054.82</v>
      </c>
      <c r="BZ129" t="n">
        <v>4209.86</v>
      </c>
      <c r="CA129" t="inlineStr">
        <is>
          <t>RUSSIAN RUBLE</t>
        </is>
      </c>
      <c r="CC129" t="n">
        <v>335.43</v>
      </c>
      <c r="CD129" t="n">
        <v>371.3</v>
      </c>
    </row>
    <row r="130">
      <c r="A130" t="inlineStr">
        <is>
          <t>09/05/2026</t>
        </is>
      </c>
      <c r="B130">
        <f>IF(ISNUMBER(A130), A130, DATE(RIGHT(A130,4), MID(A130,4,2), LEFT(A130,2)))</f>
        <v/>
      </c>
      <c r="C130" t="inlineStr">
        <is>
          <t>US DOLLAR</t>
        </is>
      </c>
      <c r="D130" t="n">
        <v>26087</v>
      </c>
      <c r="E130" t="n">
        <v>26117</v>
      </c>
      <c r="F130" t="n">
        <v>26367</v>
      </c>
      <c r="G130" t="inlineStr">
        <is>
          <t>EURO</t>
        </is>
      </c>
      <c r="H130" t="n">
        <v>30074.41</v>
      </c>
      <c r="I130" t="n">
        <v>30378.19</v>
      </c>
      <c r="J130" t="n">
        <v>31659.92</v>
      </c>
      <c r="K130" t="inlineStr">
        <is>
          <t>POUND STERLING</t>
        </is>
      </c>
      <c r="L130" t="n">
        <v>34758.23</v>
      </c>
      <c r="M130" t="n">
        <v>35109.32</v>
      </c>
      <c r="N130" t="n">
        <v>36233.69</v>
      </c>
      <c r="O130" t="inlineStr">
        <is>
          <t>YEN</t>
        </is>
      </c>
      <c r="P130" t="n">
        <v>162.39</v>
      </c>
      <c r="Q130" t="n">
        <v>164.03</v>
      </c>
      <c r="R130" t="n">
        <v>172.7</v>
      </c>
      <c r="S130" t="inlineStr">
        <is>
          <t>AUSTRALIAN DOLLAR</t>
        </is>
      </c>
      <c r="T130" t="n">
        <v>18509.69</v>
      </c>
      <c r="U130" t="n">
        <v>18696.66</v>
      </c>
      <c r="V130" t="n">
        <v>19295.41</v>
      </c>
      <c r="W130" t="inlineStr">
        <is>
          <t>CANADIAN DOLLAR</t>
        </is>
      </c>
      <c r="X130" t="n">
        <v>18781.56</v>
      </c>
      <c r="Y130" t="n">
        <v>18971.27</v>
      </c>
      <c r="Z130" t="n">
        <v>19578.82</v>
      </c>
      <c r="AA130" t="inlineStr">
        <is>
          <t>SWISS FRANC</t>
        </is>
      </c>
      <c r="AB130" t="n">
        <v>32866.53</v>
      </c>
      <c r="AC130" t="n">
        <v>33198.51</v>
      </c>
      <c r="AD130" t="n">
        <v>34261.68</v>
      </c>
      <c r="AE130" t="inlineStr">
        <is>
          <t>SINGAPORE DOLLAR</t>
        </is>
      </c>
      <c r="AF130" t="n">
        <v>20201.27</v>
      </c>
      <c r="AG130" t="n">
        <v>20405.32</v>
      </c>
      <c r="AH130" t="n">
        <v>21100.96</v>
      </c>
      <c r="AI130" t="inlineStr">
        <is>
          <t>YUAN RENMINBI</t>
        </is>
      </c>
      <c r="AJ130" t="n">
        <v>3768.73</v>
      </c>
      <c r="AK130" t="n">
        <v>3806.8</v>
      </c>
      <c r="AL130" t="n">
        <v>3928.71</v>
      </c>
      <c r="AM130" t="inlineStr">
        <is>
          <t>HONGKONG DOLLAR</t>
        </is>
      </c>
      <c r="AN130" t="n">
        <v>3266.67</v>
      </c>
      <c r="AO130" t="n">
        <v>3299.66</v>
      </c>
      <c r="AP130" t="n">
        <v>3425.83</v>
      </c>
      <c r="AQ130" t="inlineStr">
        <is>
          <t>THAILAND BAHT</t>
        </is>
      </c>
      <c r="AR130" t="n">
        <v>720.41</v>
      </c>
      <c r="AS130" t="n">
        <v>800.45</v>
      </c>
      <c r="AT130" t="n">
        <v>834.39</v>
      </c>
      <c r="AU130" t="inlineStr">
        <is>
          <t>KOREAN WON</t>
        </is>
      </c>
      <c r="AV130" t="n">
        <v>15.54</v>
      </c>
      <c r="AW130" t="n">
        <v>17.26</v>
      </c>
      <c r="AX130" t="n">
        <v>18.73</v>
      </c>
      <c r="AY130" t="inlineStr">
        <is>
          <t>MALAYSIAN RINGGIT</t>
        </is>
      </c>
      <c r="BA130" t="n">
        <v>6645.32</v>
      </c>
      <c r="BB130" t="n">
        <v>6789.88</v>
      </c>
      <c r="BC130" t="inlineStr">
        <is>
          <t>INDIAN RUPEE</t>
        </is>
      </c>
      <c r="BE130" t="n">
        <v>276.67</v>
      </c>
      <c r="BF130" t="n">
        <v>288.58</v>
      </c>
      <c r="BG130" t="inlineStr">
        <is>
          <t>KUWAITI DINAR</t>
        </is>
      </c>
      <c r="BI130" t="n">
        <v>85431.75999999999</v>
      </c>
      <c r="BJ130" t="n">
        <v>89572.45</v>
      </c>
      <c r="BK130" t="inlineStr">
        <is>
          <t>SAUDI RIAL</t>
        </is>
      </c>
      <c r="BM130" t="n">
        <v>6974.3</v>
      </c>
      <c r="BN130" t="n">
        <v>7274.44</v>
      </c>
      <c r="BO130" t="inlineStr">
        <is>
          <t>NORWEGIAN KRONER</t>
        </is>
      </c>
      <c r="BQ130" t="n">
        <v>2768.92</v>
      </c>
      <c r="BR130" t="n">
        <v>2886.32</v>
      </c>
      <c r="BS130" t="inlineStr">
        <is>
          <t>SWEDISH KRONA</t>
        </is>
      </c>
      <c r="BU130" t="n">
        <v>2778.47</v>
      </c>
      <c r="BV130" t="n">
        <v>2896.28</v>
      </c>
      <c r="BW130" t="inlineStr">
        <is>
          <t>DANISH KRONE</t>
        </is>
      </c>
      <c r="BY130" t="n">
        <v>4054.82</v>
      </c>
      <c r="BZ130" t="n">
        <v>4209.86</v>
      </c>
      <c r="CA130" t="inlineStr">
        <is>
          <t>RUSSIAN RUBLE</t>
        </is>
      </c>
      <c r="CC130" t="n">
        <v>335.43</v>
      </c>
      <c r="CD130" t="n">
        <v>371.3</v>
      </c>
    </row>
    <row r="131">
      <c r="A131" t="inlineStr">
        <is>
          <t>10/05/2026</t>
        </is>
      </c>
      <c r="B131">
        <f>IF(ISNUMBER(A131), A131, DATE(RIGHT(A131,4), MID(A131,4,2), LEFT(A131,2)))</f>
        <v/>
      </c>
      <c r="C131" t="inlineStr">
        <is>
          <t>US DOLLAR</t>
        </is>
      </c>
      <c r="D131" t="n">
        <v>26087</v>
      </c>
      <c r="E131" t="n">
        <v>26117</v>
      </c>
      <c r="F131" t="n">
        <v>26367</v>
      </c>
      <c r="G131" t="inlineStr">
        <is>
          <t>EURO</t>
        </is>
      </c>
      <c r="H131" t="n">
        <v>30074.41</v>
      </c>
      <c r="I131" t="n">
        <v>30378.19</v>
      </c>
      <c r="J131" t="n">
        <v>31659.92</v>
      </c>
      <c r="K131" t="inlineStr">
        <is>
          <t>POUND STERLING</t>
        </is>
      </c>
      <c r="L131" t="n">
        <v>34758.23</v>
      </c>
      <c r="M131" t="n">
        <v>35109.32</v>
      </c>
      <c r="N131" t="n">
        <v>36233.69</v>
      </c>
      <c r="O131" t="inlineStr">
        <is>
          <t>YEN</t>
        </is>
      </c>
      <c r="P131" t="n">
        <v>162.39</v>
      </c>
      <c r="Q131" t="n">
        <v>164.03</v>
      </c>
      <c r="R131" t="n">
        <v>172.7</v>
      </c>
      <c r="S131" t="inlineStr">
        <is>
          <t>AUSTRALIAN DOLLAR</t>
        </is>
      </c>
      <c r="T131" t="n">
        <v>18509.69</v>
      </c>
      <c r="U131" t="n">
        <v>18696.66</v>
      </c>
      <c r="V131" t="n">
        <v>19295.41</v>
      </c>
      <c r="W131" t="inlineStr">
        <is>
          <t>CANADIAN DOLLAR</t>
        </is>
      </c>
      <c r="X131" t="n">
        <v>18781.56</v>
      </c>
      <c r="Y131" t="n">
        <v>18971.27</v>
      </c>
      <c r="Z131" t="n">
        <v>19578.82</v>
      </c>
      <c r="AA131" t="inlineStr">
        <is>
          <t>SWISS FRANC</t>
        </is>
      </c>
      <c r="AB131" t="n">
        <v>32866.53</v>
      </c>
      <c r="AC131" t="n">
        <v>33198.51</v>
      </c>
      <c r="AD131" t="n">
        <v>34261.68</v>
      </c>
      <c r="AE131" t="inlineStr">
        <is>
          <t>SINGAPORE DOLLAR</t>
        </is>
      </c>
      <c r="AF131" t="n">
        <v>20201.27</v>
      </c>
      <c r="AG131" t="n">
        <v>20405.32</v>
      </c>
      <c r="AH131" t="n">
        <v>21100.96</v>
      </c>
      <c r="AI131" t="inlineStr">
        <is>
          <t>YUAN RENMINBI</t>
        </is>
      </c>
      <c r="AJ131" t="n">
        <v>3768.73</v>
      </c>
      <c r="AK131" t="n">
        <v>3806.8</v>
      </c>
      <c r="AL131" t="n">
        <v>3928.71</v>
      </c>
      <c r="AM131" t="inlineStr">
        <is>
          <t>HONGKONG DOLLAR</t>
        </is>
      </c>
      <c r="AN131" t="n">
        <v>3266.67</v>
      </c>
      <c r="AO131" t="n">
        <v>3299.66</v>
      </c>
      <c r="AP131" t="n">
        <v>3425.83</v>
      </c>
      <c r="AQ131" t="inlineStr">
        <is>
          <t>THAILAND BAHT</t>
        </is>
      </c>
      <c r="AR131" t="n">
        <v>720.41</v>
      </c>
      <c r="AS131" t="n">
        <v>800.45</v>
      </c>
      <c r="AT131" t="n">
        <v>834.39</v>
      </c>
      <c r="AU131" t="inlineStr">
        <is>
          <t>KOREAN WON</t>
        </is>
      </c>
      <c r="AV131" t="n">
        <v>15.54</v>
      </c>
      <c r="AW131" t="n">
        <v>17.26</v>
      </c>
      <c r="AX131" t="n">
        <v>18.73</v>
      </c>
      <c r="AY131" t="inlineStr">
        <is>
          <t>MALAYSIAN RINGGIT</t>
        </is>
      </c>
      <c r="BA131" t="n">
        <v>6645.32</v>
      </c>
      <c r="BB131" t="n">
        <v>6789.88</v>
      </c>
      <c r="BC131" t="inlineStr">
        <is>
          <t>INDIAN RUPEE</t>
        </is>
      </c>
      <c r="BE131" t="n">
        <v>276.67</v>
      </c>
      <c r="BF131" t="n">
        <v>288.58</v>
      </c>
      <c r="BG131" t="inlineStr">
        <is>
          <t>KUWAITI DINAR</t>
        </is>
      </c>
      <c r="BI131" t="n">
        <v>85431.75999999999</v>
      </c>
      <c r="BJ131" t="n">
        <v>89572.45</v>
      </c>
      <c r="BK131" t="inlineStr">
        <is>
          <t>SAUDI RIAL</t>
        </is>
      </c>
      <c r="BM131" t="n">
        <v>6974.3</v>
      </c>
      <c r="BN131" t="n">
        <v>7274.44</v>
      </c>
      <c r="BO131" t="inlineStr">
        <is>
          <t>NORWEGIAN KRONER</t>
        </is>
      </c>
      <c r="BQ131" t="n">
        <v>2768.92</v>
      </c>
      <c r="BR131" t="n">
        <v>2886.32</v>
      </c>
      <c r="BS131" t="inlineStr">
        <is>
          <t>SWEDISH KRONA</t>
        </is>
      </c>
      <c r="BU131" t="n">
        <v>2778.47</v>
      </c>
      <c r="BV131" t="n">
        <v>2896.28</v>
      </c>
      <c r="BW131" t="inlineStr">
        <is>
          <t>DANISH KRONE</t>
        </is>
      </c>
      <c r="BY131" t="n">
        <v>4054.82</v>
      </c>
      <c r="BZ131" t="n">
        <v>4209.86</v>
      </c>
      <c r="CA131" t="inlineStr">
        <is>
          <t>RUSSIAN RUBLE</t>
        </is>
      </c>
      <c r="CC131" t="n">
        <v>335.43</v>
      </c>
      <c r="CD131" t="n">
        <v>371.3</v>
      </c>
    </row>
    <row r="132">
      <c r="A132" t="inlineStr">
        <is>
          <t>11/05/2026</t>
        </is>
      </c>
      <c r="B132">
        <f>IF(ISNUMBER(A132), A132, DATE(RIGHT(A132,4), MID(A132,4,2), LEFT(A132,2)))</f>
        <v/>
      </c>
      <c r="C132" t="inlineStr">
        <is>
          <t>US DOLLAR</t>
        </is>
      </c>
      <c r="D132" t="n">
        <v>26093</v>
      </c>
      <c r="E132" t="n">
        <v>26123</v>
      </c>
      <c r="F132" t="n">
        <v>26373</v>
      </c>
      <c r="G132" t="inlineStr">
        <is>
          <t>EURO</t>
        </is>
      </c>
      <c r="H132" t="n">
        <v>30171.82</v>
      </c>
      <c r="I132" t="n">
        <v>30476.59</v>
      </c>
      <c r="J132" t="n">
        <v>31762.47</v>
      </c>
      <c r="K132" t="inlineStr">
        <is>
          <t>POUND STERLING</t>
        </is>
      </c>
      <c r="L132" t="n">
        <v>34853.08</v>
      </c>
      <c r="M132" t="n">
        <v>35205.14</v>
      </c>
      <c r="N132" t="n">
        <v>36332.57</v>
      </c>
      <c r="O132" t="inlineStr">
        <is>
          <t>YEN</t>
        </is>
      </c>
      <c r="P132" t="n">
        <v>161.79</v>
      </c>
      <c r="Q132" t="n">
        <v>163.42</v>
      </c>
      <c r="R132" t="n">
        <v>172.06</v>
      </c>
      <c r="S132" t="inlineStr">
        <is>
          <t>AUSTRALIAN DOLLAR</t>
        </is>
      </c>
      <c r="T132" t="n">
        <v>18553.28</v>
      </c>
      <c r="U132" t="n">
        <v>18740.68</v>
      </c>
      <c r="V132" t="n">
        <v>19340.85</v>
      </c>
      <c r="W132" t="inlineStr">
        <is>
          <t>CANADIAN DOLLAR</t>
        </is>
      </c>
      <c r="X132" t="n">
        <v>18741.75</v>
      </c>
      <c r="Y132" t="n">
        <v>18931.06</v>
      </c>
      <c r="Z132" t="n">
        <v>19537.32</v>
      </c>
      <c r="AA132" t="inlineStr">
        <is>
          <t>SWISS FRANC</t>
        </is>
      </c>
      <c r="AB132" t="n">
        <v>32972.18</v>
      </c>
      <c r="AC132" t="n">
        <v>33305.23</v>
      </c>
      <c r="AD132" t="n">
        <v>34371.82</v>
      </c>
      <c r="AE132" t="inlineStr">
        <is>
          <t>SINGAPORE DOLLAR</t>
        </is>
      </c>
      <c r="AF132" t="n">
        <v>20210.83</v>
      </c>
      <c r="AG132" t="n">
        <v>20414.98</v>
      </c>
      <c r="AH132" t="n">
        <v>21110.95</v>
      </c>
      <c r="AI132" t="inlineStr">
        <is>
          <t>YUAN RENMINBI</t>
        </is>
      </c>
      <c r="AJ132" t="n">
        <v>3770.67</v>
      </c>
      <c r="AK132" t="n">
        <v>3808.76</v>
      </c>
      <c r="AL132" t="n">
        <v>3930.74</v>
      </c>
      <c r="AM132" t="inlineStr">
        <is>
          <t>HONGKONG DOLLAR</t>
        </is>
      </c>
      <c r="AN132" t="n">
        <v>3266.33</v>
      </c>
      <c r="AO132" t="n">
        <v>3299.33</v>
      </c>
      <c r="AP132" t="n">
        <v>3425.48</v>
      </c>
      <c r="AQ132" t="inlineStr">
        <is>
          <t>THAILAND BAHT</t>
        </is>
      </c>
      <c r="AR132" t="n">
        <v>718.1799999999999</v>
      </c>
      <c r="AS132" t="n">
        <v>797.97</v>
      </c>
      <c r="AT132" t="n">
        <v>831.8099999999999</v>
      </c>
      <c r="AU132" t="inlineStr">
        <is>
          <t>KOREAN WON</t>
        </is>
      </c>
      <c r="AV132" t="n">
        <v>15.49</v>
      </c>
      <c r="AW132" t="n">
        <v>17.22</v>
      </c>
      <c r="AX132" t="n">
        <v>18.68</v>
      </c>
      <c r="AY132" t="inlineStr">
        <is>
          <t>MALAYSIAN RINGGIT</t>
        </is>
      </c>
      <c r="BA132" t="n">
        <v>6645.32</v>
      </c>
      <c r="BB132" t="n">
        <v>6789.88</v>
      </c>
      <c r="BC132" t="inlineStr">
        <is>
          <t>INDIAN RUPEE</t>
        </is>
      </c>
      <c r="BE132" t="n">
        <v>277.11</v>
      </c>
      <c r="BF132" t="n">
        <v>289.04</v>
      </c>
      <c r="BG132" t="inlineStr">
        <is>
          <t>KUWAITI DINAR</t>
        </is>
      </c>
      <c r="BI132" t="n">
        <v>85487.59</v>
      </c>
      <c r="BJ132" t="n">
        <v>89630.99000000001</v>
      </c>
      <c r="BK132" t="inlineStr">
        <is>
          <t>SAUDI RIAL</t>
        </is>
      </c>
      <c r="BM132" t="n">
        <v>6973.18</v>
      </c>
      <c r="BN132" t="n">
        <v>7273.28</v>
      </c>
      <c r="BO132" t="inlineStr">
        <is>
          <t>NORWEGIAN KRONER</t>
        </is>
      </c>
      <c r="BQ132" t="n">
        <v>2798.81</v>
      </c>
      <c r="BR132" t="n">
        <v>2917.48</v>
      </c>
      <c r="BS132" t="inlineStr">
        <is>
          <t>SWEDISH KRONA</t>
        </is>
      </c>
      <c r="BU132" t="n">
        <v>2790.9</v>
      </c>
      <c r="BV132" t="n">
        <v>2909.23</v>
      </c>
      <c r="BW132" t="inlineStr">
        <is>
          <t>DANISH KRONE</t>
        </is>
      </c>
      <c r="BY132" t="n">
        <v>4067.72</v>
      </c>
      <c r="BZ132" t="n">
        <v>4223.26</v>
      </c>
      <c r="CA132" t="inlineStr">
        <is>
          <t>RUSSIAN RUBLE</t>
        </is>
      </c>
      <c r="CC132" t="n">
        <v>337.46</v>
      </c>
      <c r="CD132" t="n">
        <v>373.55</v>
      </c>
    </row>
    <row r="133">
      <c r="A133" t="inlineStr">
        <is>
          <t>12/05/2026</t>
        </is>
      </c>
      <c r="B133">
        <f>IF(ISNUMBER(A133), A133, DATE(RIGHT(A133,4), MID(A133,4,2), LEFT(A133,2)))</f>
        <v/>
      </c>
      <c r="C133" t="inlineStr">
        <is>
          <t>US DOLLAR</t>
        </is>
      </c>
      <c r="D133" t="n">
        <v>26099</v>
      </c>
      <c r="E133" t="n">
        <v>26129</v>
      </c>
      <c r="F133" t="n">
        <v>26379</v>
      </c>
      <c r="G133" t="inlineStr">
        <is>
          <t>EURO</t>
        </is>
      </c>
      <c r="H133" t="n">
        <v>30138.93</v>
      </c>
      <c r="I133" t="n">
        <v>30443.36</v>
      </c>
      <c r="J133" t="n">
        <v>31727.8</v>
      </c>
      <c r="K133" t="inlineStr">
        <is>
          <t>POUND STERLING</t>
        </is>
      </c>
      <c r="L133" t="n">
        <v>34711.73</v>
      </c>
      <c r="M133" t="n">
        <v>35062.36</v>
      </c>
      <c r="N133" t="n">
        <v>36185.16</v>
      </c>
      <c r="O133" t="inlineStr">
        <is>
          <t>YEN</t>
        </is>
      </c>
      <c r="P133" t="n">
        <v>161.3</v>
      </c>
      <c r="Q133" t="n">
        <v>162.93</v>
      </c>
      <c r="R133" t="n">
        <v>171.55</v>
      </c>
      <c r="S133" t="inlineStr">
        <is>
          <t>AUSTRALIAN DOLLAR</t>
        </is>
      </c>
      <c r="T133" t="n">
        <v>18522.16</v>
      </c>
      <c r="U133" t="n">
        <v>18709.25</v>
      </c>
      <c r="V133" t="n">
        <v>19308.38</v>
      </c>
      <c r="W133" t="inlineStr">
        <is>
          <t>CANADIAN DOLLAR</t>
        </is>
      </c>
      <c r="X133" t="n">
        <v>18728.09</v>
      </c>
      <c r="Y133" t="n">
        <v>18917.26</v>
      </c>
      <c r="Z133" t="n">
        <v>19523.05</v>
      </c>
      <c r="AA133" t="inlineStr">
        <is>
          <t>SWISS FRANC</t>
        </is>
      </c>
      <c r="AB133" t="n">
        <v>32889.35</v>
      </c>
      <c r="AC133" t="n">
        <v>33221.56</v>
      </c>
      <c r="AD133" t="n">
        <v>34285.42</v>
      </c>
      <c r="AE133" t="inlineStr">
        <is>
          <t>SINGAPORE DOLLAR</t>
        </is>
      </c>
      <c r="AF133" t="n">
        <v>20148.97</v>
      </c>
      <c r="AG133" t="n">
        <v>20352.5</v>
      </c>
      <c r="AH133" t="n">
        <v>21046.31</v>
      </c>
      <c r="AI133" t="inlineStr">
        <is>
          <t>YUAN RENMINBI</t>
        </is>
      </c>
      <c r="AJ133" t="n">
        <v>3777.26</v>
      </c>
      <c r="AK133" t="n">
        <v>3815.41</v>
      </c>
      <c r="AL133" t="n">
        <v>3937.59</v>
      </c>
      <c r="AM133" t="inlineStr">
        <is>
          <t>HONGKONG DOLLAR</t>
        </is>
      </c>
      <c r="AN133" t="n">
        <v>3268.81</v>
      </c>
      <c r="AO133" t="n">
        <v>3301.83</v>
      </c>
      <c r="AP133" t="n">
        <v>3428.08</v>
      </c>
      <c r="AQ133" t="inlineStr">
        <is>
          <t>THAILAND BAHT</t>
        </is>
      </c>
      <c r="AR133" t="n">
        <v>716.86</v>
      </c>
      <c r="AS133" t="n">
        <v>796.51</v>
      </c>
      <c r="AT133" t="n">
        <v>830.28</v>
      </c>
      <c r="AU133" t="inlineStr">
        <is>
          <t>KOREAN WON</t>
        </is>
      </c>
      <c r="AV133" t="n">
        <v>15.28</v>
      </c>
      <c r="AW133" t="n">
        <v>16.98</v>
      </c>
      <c r="AX133" t="n">
        <v>18.42</v>
      </c>
      <c r="AY133" t="inlineStr">
        <is>
          <t>MALAYSIAN RINGGIT</t>
        </is>
      </c>
      <c r="BA133" t="n">
        <v>6627.95</v>
      </c>
      <c r="BB133" t="n">
        <v>6772.12</v>
      </c>
      <c r="BC133" t="inlineStr">
        <is>
          <t>INDIAN RUPEE</t>
        </is>
      </c>
      <c r="BE133" t="n">
        <v>273.76</v>
      </c>
      <c r="BF133" t="n">
        <v>285.54</v>
      </c>
      <c r="BG133" t="inlineStr">
        <is>
          <t>KUWAITI DINAR</t>
        </is>
      </c>
      <c r="BI133" t="n">
        <v>85513</v>
      </c>
      <c r="BJ133" t="n">
        <v>89657.5</v>
      </c>
      <c r="BK133" t="inlineStr">
        <is>
          <t>SAUDI RIAL</t>
        </is>
      </c>
      <c r="BM133" t="n">
        <v>6978.51</v>
      </c>
      <c r="BN133" t="n">
        <v>7278.83</v>
      </c>
      <c r="BO133" t="inlineStr">
        <is>
          <t>NORWEGIAN KRONER</t>
        </is>
      </c>
      <c r="BQ133" t="n">
        <v>2813.85</v>
      </c>
      <c r="BR133" t="n">
        <v>2933.15</v>
      </c>
      <c r="BS133" t="inlineStr">
        <is>
          <t>SWEDISH KRONA</t>
        </is>
      </c>
      <c r="BU133" t="n">
        <v>2783.49</v>
      </c>
      <c r="BV133" t="n">
        <v>2901.5</v>
      </c>
      <c r="BW133" t="inlineStr">
        <is>
          <t>DANISH KRONE</t>
        </is>
      </c>
      <c r="BY133" t="n">
        <v>4064.23</v>
      </c>
      <c r="BZ133" t="n">
        <v>4219.63</v>
      </c>
      <c r="CA133" t="inlineStr">
        <is>
          <t>RUSSIAN RUBLE</t>
        </is>
      </c>
      <c r="CC133" t="n">
        <v>338.67</v>
      </c>
      <c r="CD133" t="n">
        <v>374.89</v>
      </c>
    </row>
    <row r="134">
      <c r="A134" t="inlineStr">
        <is>
          <t>13/05/2026</t>
        </is>
      </c>
      <c r="B134">
        <f>IF(ISNUMBER(A134), A134, DATE(RIGHT(A134,4), MID(A134,4,2), LEFT(A134,2)))</f>
        <v/>
      </c>
      <c r="C134" t="inlineStr">
        <is>
          <t>US DOLLAR</t>
        </is>
      </c>
      <c r="D134" t="n">
        <v>26099</v>
      </c>
      <c r="E134" t="n">
        <v>26129</v>
      </c>
      <c r="F134" t="n">
        <v>26379</v>
      </c>
      <c r="G134" t="inlineStr">
        <is>
          <t>EURO</t>
        </is>
      </c>
      <c r="H134" t="n">
        <v>30113.86</v>
      </c>
      <c r="I134" t="n">
        <v>30418.04</v>
      </c>
      <c r="J134" t="n">
        <v>31701.39</v>
      </c>
      <c r="K134" t="inlineStr">
        <is>
          <t>POUND STERLING</t>
        </is>
      </c>
      <c r="L134" t="n">
        <v>34728.59</v>
      </c>
      <c r="M134" t="n">
        <v>35079.39</v>
      </c>
      <c r="N134" t="n">
        <v>36202.73</v>
      </c>
      <c r="O134" t="inlineStr">
        <is>
          <t>YEN</t>
        </is>
      </c>
      <c r="P134" t="n">
        <v>161.19</v>
      </c>
      <c r="Q134" t="n">
        <v>162.82</v>
      </c>
      <c r="R134" t="n">
        <v>171.43</v>
      </c>
      <c r="S134" t="inlineStr">
        <is>
          <t>AUSTRALIAN DOLLAR</t>
        </is>
      </c>
      <c r="T134" t="n">
        <v>18564.18</v>
      </c>
      <c r="U134" t="n">
        <v>18751.7</v>
      </c>
      <c r="V134" t="n">
        <v>19352.18</v>
      </c>
      <c r="W134" t="inlineStr">
        <is>
          <t>CANADIAN DOLLAR</t>
        </is>
      </c>
      <c r="X134" t="n">
        <v>18742.59</v>
      </c>
      <c r="Y134" t="n">
        <v>18931.91</v>
      </c>
      <c r="Z134" t="n">
        <v>19538.16</v>
      </c>
      <c r="AA134" t="inlineStr">
        <is>
          <t>SWISS FRANC</t>
        </is>
      </c>
      <c r="AB134" t="n">
        <v>32891.38</v>
      </c>
      <c r="AC134" t="n">
        <v>33223.62</v>
      </c>
      <c r="AD134" t="n">
        <v>34287.54</v>
      </c>
      <c r="AE134" t="inlineStr">
        <is>
          <t>SINGAPORE DOLLAR</t>
        </is>
      </c>
      <c r="AF134" t="n">
        <v>20165.48</v>
      </c>
      <c r="AG134" t="n">
        <v>20369.17</v>
      </c>
      <c r="AH134" t="n">
        <v>21063.55</v>
      </c>
      <c r="AI134" t="inlineStr">
        <is>
          <t>YUAN RENMINBI</t>
        </is>
      </c>
      <c r="AJ134" t="n">
        <v>3779.7</v>
      </c>
      <c r="AK134" t="n">
        <v>3817.88</v>
      </c>
      <c r="AL134" t="n">
        <v>3940.14</v>
      </c>
      <c r="AM134" t="inlineStr">
        <is>
          <t>HONGKONG DOLLAR</t>
        </is>
      </c>
      <c r="AN134" t="n">
        <v>3269.73</v>
      </c>
      <c r="AO134" t="n">
        <v>3302.75</v>
      </c>
      <c r="AP134" t="n">
        <v>3429.04</v>
      </c>
      <c r="AQ134" t="inlineStr">
        <is>
          <t>THAILAND BAHT</t>
        </is>
      </c>
      <c r="AR134" t="n">
        <v>717.4400000000001</v>
      </c>
      <c r="AS134" t="n">
        <v>797.16</v>
      </c>
      <c r="AT134" t="n">
        <v>830.95</v>
      </c>
      <c r="AU134" t="inlineStr">
        <is>
          <t>KOREAN WON</t>
        </is>
      </c>
      <c r="AV134" t="n">
        <v>15.24</v>
      </c>
      <c r="AW134" t="n">
        <v>16.93</v>
      </c>
      <c r="AX134" t="n">
        <v>18.37</v>
      </c>
      <c r="AY134" t="inlineStr">
        <is>
          <t>MALAYSIAN RINGGIT</t>
        </is>
      </c>
      <c r="BA134" t="n">
        <v>6630.89</v>
      </c>
      <c r="BB134" t="n">
        <v>6775.13</v>
      </c>
      <c r="BC134" t="inlineStr">
        <is>
          <t>INDIAN RUPEE</t>
        </is>
      </c>
      <c r="BE134" t="n">
        <v>273.86</v>
      </c>
      <c r="BF134" t="n">
        <v>285.64</v>
      </c>
      <c r="BG134" t="inlineStr">
        <is>
          <t>KUWAITI DINAR</t>
        </is>
      </c>
      <c r="BI134" t="n">
        <v>85529.24000000001</v>
      </c>
      <c r="BJ134" t="n">
        <v>89674.5</v>
      </c>
      <c r="BK134" t="inlineStr">
        <is>
          <t>SAUDI RIAL</t>
        </is>
      </c>
      <c r="BM134" t="n">
        <v>6979.84</v>
      </c>
      <c r="BN134" t="n">
        <v>7280.21</v>
      </c>
      <c r="BO134" t="inlineStr">
        <is>
          <t>NORWEGIAN KRONER</t>
        </is>
      </c>
      <c r="BQ134" t="n">
        <v>2809.35</v>
      </c>
      <c r="BR134" t="n">
        <v>2928.47</v>
      </c>
      <c r="BS134" t="inlineStr">
        <is>
          <t>SWEDISH KRONA</t>
        </is>
      </c>
      <c r="BU134" t="n">
        <v>2775.36</v>
      </c>
      <c r="BV134" t="n">
        <v>2893.03</v>
      </c>
      <c r="BW134" t="inlineStr">
        <is>
          <t>DANISH KRONE</t>
        </is>
      </c>
      <c r="BY134" t="n">
        <v>4061.04</v>
      </c>
      <c r="BZ134" t="n">
        <v>4216.32</v>
      </c>
      <c r="CA134" t="inlineStr">
        <is>
          <t>RUSSIAN RUBLE</t>
        </is>
      </c>
      <c r="CC134" t="n">
        <v>339.66</v>
      </c>
      <c r="CD134" t="n">
        <v>375.98</v>
      </c>
    </row>
    <row r="135">
      <c r="A135" t="inlineStr">
        <is>
          <t>14/05/2026</t>
        </is>
      </c>
      <c r="B135">
        <f>IF(ISNUMBER(A135), A135, DATE(RIGHT(A135,4), MID(A135,4,2), LEFT(A135,2)))</f>
        <v/>
      </c>
      <c r="C135" t="inlineStr">
        <is>
          <t>US DOLLAR</t>
        </is>
      </c>
      <c r="D135" t="n">
        <v>26102</v>
      </c>
      <c r="E135" t="n">
        <v>26132</v>
      </c>
      <c r="F135" t="n">
        <v>26382</v>
      </c>
      <c r="G135" t="inlineStr">
        <is>
          <t>EURO</t>
        </is>
      </c>
      <c r="H135" t="n">
        <v>30073.95</v>
      </c>
      <c r="I135" t="n">
        <v>30377.72</v>
      </c>
      <c r="J135" t="n">
        <v>31659.36</v>
      </c>
      <c r="K135" t="inlineStr">
        <is>
          <t>POUND STERLING</t>
        </is>
      </c>
      <c r="L135" t="n">
        <v>34718.68</v>
      </c>
      <c r="M135" t="n">
        <v>35069.37</v>
      </c>
      <c r="N135" t="n">
        <v>36192.38</v>
      </c>
      <c r="O135" t="inlineStr">
        <is>
          <t>YEN</t>
        </is>
      </c>
      <c r="P135" t="n">
        <v>161.57</v>
      </c>
      <c r="Q135" t="n">
        <v>163.2</v>
      </c>
      <c r="R135" t="n">
        <v>171.83</v>
      </c>
      <c r="S135" t="inlineStr">
        <is>
          <t>AUSTRALIAN DOLLAR</t>
        </is>
      </c>
      <c r="T135" t="n">
        <v>18614.88</v>
      </c>
      <c r="U135" t="n">
        <v>18802.91</v>
      </c>
      <c r="V135" t="n">
        <v>19405.02</v>
      </c>
      <c r="W135" t="inlineStr">
        <is>
          <t>CANADIAN DOLLAR</t>
        </is>
      </c>
      <c r="X135" t="n">
        <v>18737.4</v>
      </c>
      <c r="Y135" t="n">
        <v>18926.66</v>
      </c>
      <c r="Z135" t="n">
        <v>19532.74</v>
      </c>
      <c r="AA135" t="inlineStr">
        <is>
          <t>SWISS FRANC</t>
        </is>
      </c>
      <c r="AB135" t="n">
        <v>32865.98</v>
      </c>
      <c r="AC135" t="n">
        <v>33197.96</v>
      </c>
      <c r="AD135" t="n">
        <v>34261.04</v>
      </c>
      <c r="AE135" t="inlineStr">
        <is>
          <t>SINGAPORE DOLLAR</t>
        </is>
      </c>
      <c r="AF135" t="n">
        <v>20166.8</v>
      </c>
      <c r="AG135" t="n">
        <v>20370.5</v>
      </c>
      <c r="AH135" t="n">
        <v>21064.91</v>
      </c>
      <c r="AI135" t="inlineStr">
        <is>
          <t>YUAN RENMINBI</t>
        </is>
      </c>
      <c r="AJ135" t="n">
        <v>3784.14</v>
      </c>
      <c r="AK135" t="n">
        <v>3822.37</v>
      </c>
      <c r="AL135" t="n">
        <v>3944.77</v>
      </c>
      <c r="AM135" t="inlineStr">
        <is>
          <t>HONGKONG DOLLAR</t>
        </is>
      </c>
      <c r="AN135" t="n">
        <v>3270.05</v>
      </c>
      <c r="AO135" t="n">
        <v>3303.08</v>
      </c>
      <c r="AP135" t="n">
        <v>3429.37</v>
      </c>
      <c r="AQ135" t="inlineStr">
        <is>
          <t>THAILAND BAHT</t>
        </is>
      </c>
      <c r="AR135" t="n">
        <v>719.05</v>
      </c>
      <c r="AS135" t="n">
        <v>798.9400000000001</v>
      </c>
      <c r="AT135" t="n">
        <v>832.8099999999999</v>
      </c>
      <c r="AU135" t="inlineStr">
        <is>
          <t>KOREAN WON</t>
        </is>
      </c>
      <c r="AV135" t="n">
        <v>15.29</v>
      </c>
      <c r="AW135" t="n">
        <v>16.99</v>
      </c>
      <c r="AX135" t="n">
        <v>18.44</v>
      </c>
      <c r="AY135" t="inlineStr">
        <is>
          <t>MALAYSIAN RINGGIT</t>
        </is>
      </c>
      <c r="BA135" t="n">
        <v>6640.17</v>
      </c>
      <c r="BB135" t="n">
        <v>6784.61</v>
      </c>
      <c r="BC135" t="inlineStr">
        <is>
          <t>INDIAN RUPEE</t>
        </is>
      </c>
      <c r="BE135" t="n">
        <v>273.79</v>
      </c>
      <c r="BF135" t="n">
        <v>285.57</v>
      </c>
      <c r="BG135" t="inlineStr">
        <is>
          <t>KUWAITI DINAR</t>
        </is>
      </c>
      <c r="BI135" t="n">
        <v>85533.81</v>
      </c>
      <c r="BJ135" t="n">
        <v>89679.24000000001</v>
      </c>
      <c r="BK135" t="inlineStr">
        <is>
          <t>SAUDI RIAL</t>
        </is>
      </c>
      <c r="BM135" t="n">
        <v>6982.86</v>
      </c>
      <c r="BN135" t="n">
        <v>7283.36</v>
      </c>
      <c r="BO135" t="inlineStr">
        <is>
          <t>NORWEGIAN KRONER</t>
        </is>
      </c>
      <c r="BQ135" t="n">
        <v>2815.42</v>
      </c>
      <c r="BR135" t="n">
        <v>2934.79</v>
      </c>
      <c r="BS135" t="inlineStr">
        <is>
          <t>SWEDISH KRONA</t>
        </is>
      </c>
      <c r="BU135" t="n">
        <v>2769.21</v>
      </c>
      <c r="BV135" t="n">
        <v>2886.62</v>
      </c>
      <c r="BW135" t="inlineStr">
        <is>
          <t>DANISH KRONE</t>
        </is>
      </c>
      <c r="BY135" t="n">
        <v>4054.5</v>
      </c>
      <c r="BZ135" t="n">
        <v>4209.52</v>
      </c>
      <c r="CA135" t="inlineStr">
        <is>
          <t>RUSSIAN RUBLE</t>
        </is>
      </c>
      <c r="CC135" t="n">
        <v>340.71</v>
      </c>
      <c r="CD135" t="n">
        <v>377.15</v>
      </c>
    </row>
    <row r="136">
      <c r="A136" t="inlineStr">
        <is>
          <t>15/05/2026</t>
        </is>
      </c>
      <c r="B136">
        <f>IF(ISNUMBER(A136), A136, DATE(RIGHT(A136,4), MID(A136,4,2), LEFT(A136,2)))</f>
        <v/>
      </c>
      <c r="C136" t="inlineStr">
        <is>
          <t>US DOLLAR</t>
        </is>
      </c>
      <c r="D136" t="n">
        <v>26107</v>
      </c>
      <c r="E136" t="n">
        <v>26137</v>
      </c>
      <c r="F136" t="n">
        <v>26387</v>
      </c>
      <c r="G136" t="inlineStr">
        <is>
          <t>EURO</t>
        </is>
      </c>
      <c r="H136" t="n">
        <v>29882.45</v>
      </c>
      <c r="I136" t="n">
        <v>30184.3</v>
      </c>
      <c r="J136" t="n">
        <v>31457.75</v>
      </c>
      <c r="K136" t="inlineStr">
        <is>
          <t>POUND STERLING</t>
        </is>
      </c>
      <c r="L136" t="n">
        <v>34284.94</v>
      </c>
      <c r="M136" t="n">
        <v>34631.25</v>
      </c>
      <c r="N136" t="n">
        <v>35740.2</v>
      </c>
      <c r="O136" t="inlineStr">
        <is>
          <t>YEN</t>
        </is>
      </c>
      <c r="P136" t="n">
        <v>160.53</v>
      </c>
      <c r="Q136" t="n">
        <v>162.15</v>
      </c>
      <c r="R136" t="n">
        <v>170.72</v>
      </c>
      <c r="S136" t="inlineStr">
        <is>
          <t>AUSTRALIAN DOLLAR</t>
        </is>
      </c>
      <c r="T136" t="n">
        <v>18380.51</v>
      </c>
      <c r="U136" t="n">
        <v>18566.17</v>
      </c>
      <c r="V136" t="n">
        <v>19160.69</v>
      </c>
      <c r="W136" t="inlineStr">
        <is>
          <t>CANADIAN DOLLAR</t>
        </is>
      </c>
      <c r="X136" t="n">
        <v>18685.89</v>
      </c>
      <c r="Y136" t="n">
        <v>18874.64</v>
      </c>
      <c r="Z136" t="n">
        <v>19479.04</v>
      </c>
      <c r="AA136" t="inlineStr">
        <is>
          <t>SWISS FRANC</t>
        </is>
      </c>
      <c r="AB136" t="n">
        <v>32690.2</v>
      </c>
      <c r="AC136" t="n">
        <v>33020.41</v>
      </c>
      <c r="AD136" t="n">
        <v>34077.78</v>
      </c>
      <c r="AE136" t="inlineStr">
        <is>
          <t>SINGAPORE DOLLAR</t>
        </is>
      </c>
      <c r="AF136" t="n">
        <v>20070.34</v>
      </c>
      <c r="AG136" t="n">
        <v>20273.07</v>
      </c>
      <c r="AH136" t="n">
        <v>20964.14</v>
      </c>
      <c r="AI136" t="inlineStr">
        <is>
          <t>YUAN RENMINBI</t>
        </is>
      </c>
      <c r="AJ136" t="n">
        <v>3776.29</v>
      </c>
      <c r="AK136" t="n">
        <v>3814.43</v>
      </c>
      <c r="AL136" t="n">
        <v>3936.58</v>
      </c>
      <c r="AM136" t="inlineStr">
        <is>
          <t>HONGKONG DOLLAR</t>
        </is>
      </c>
      <c r="AN136" t="n">
        <v>3271.54</v>
      </c>
      <c r="AO136" t="n">
        <v>3304.59</v>
      </c>
      <c r="AP136" t="n">
        <v>3430.94</v>
      </c>
      <c r="AQ136" t="inlineStr">
        <is>
          <t>THAILAND BAHT</t>
        </is>
      </c>
      <c r="AR136" t="n">
        <v>713.58</v>
      </c>
      <c r="AS136" t="n">
        <v>792.86</v>
      </c>
      <c r="AT136" t="n">
        <v>826.48</v>
      </c>
      <c r="AU136" t="inlineStr">
        <is>
          <t>KOREAN WON</t>
        </is>
      </c>
      <c r="AV136" t="n">
        <v>15.18</v>
      </c>
      <c r="AW136" t="n">
        <v>16.87</v>
      </c>
      <c r="AX136" t="n">
        <v>18.3</v>
      </c>
      <c r="AY136" t="inlineStr">
        <is>
          <t>MALAYSIAN RINGGIT</t>
        </is>
      </c>
      <c r="BA136" t="n">
        <v>6607.35</v>
      </c>
      <c r="BB136" t="n">
        <v>6751.07</v>
      </c>
      <c r="BC136" t="inlineStr">
        <is>
          <t>INDIAN RUPEE</t>
        </is>
      </c>
      <c r="BE136" t="n">
        <v>273.25</v>
      </c>
      <c r="BF136" t="n">
        <v>285.01</v>
      </c>
      <c r="BG136" t="inlineStr">
        <is>
          <t>KUWAITI DINAR</t>
        </is>
      </c>
      <c r="BI136" t="n">
        <v>85566.28999999999</v>
      </c>
      <c r="BJ136" t="n">
        <v>89713.24000000001</v>
      </c>
      <c r="BK136" t="inlineStr">
        <is>
          <t>SAUDI RIAL</t>
        </is>
      </c>
      <c r="BM136" t="n">
        <v>6984.4</v>
      </c>
      <c r="BN136" t="n">
        <v>7284.95</v>
      </c>
      <c r="BO136" t="inlineStr">
        <is>
          <t>NORWEGIAN KRONER</t>
        </is>
      </c>
      <c r="BQ136" t="n">
        <v>2773.89</v>
      </c>
      <c r="BR136" t="n">
        <v>2891.49</v>
      </c>
      <c r="BS136" t="inlineStr">
        <is>
          <t>SWEDISH KRONA</t>
        </is>
      </c>
      <c r="BU136" t="n">
        <v>2738.88</v>
      </c>
      <c r="BV136" t="n">
        <v>2855</v>
      </c>
      <c r="BW136" t="inlineStr">
        <is>
          <t>DANISH KRONE</t>
        </is>
      </c>
      <c r="BY136" t="n">
        <v>4028.38</v>
      </c>
      <c r="BZ136" t="n">
        <v>4182.4</v>
      </c>
      <c r="CA136" t="inlineStr">
        <is>
          <t>RUSSIAN RUBLE</t>
        </is>
      </c>
      <c r="CC136" t="n">
        <v>341.3</v>
      </c>
      <c r="CD136" t="n">
        <v>377.8</v>
      </c>
    </row>
    <row r="137">
      <c r="A137" t="inlineStr">
        <is>
          <t>16/05/2026</t>
        </is>
      </c>
      <c r="B137">
        <f>IF(ISNUMBER(A137), A137, DATE(RIGHT(A137,4), MID(A137,4,2), LEFT(A137,2)))</f>
        <v/>
      </c>
      <c r="C137" t="inlineStr">
        <is>
          <t>US DOLLAR</t>
        </is>
      </c>
      <c r="D137" t="n">
        <v>26107</v>
      </c>
      <c r="E137" t="n">
        <v>26137</v>
      </c>
      <c r="F137" t="n">
        <v>26387</v>
      </c>
      <c r="G137" t="inlineStr">
        <is>
          <t>EURO</t>
        </is>
      </c>
      <c r="H137" t="n">
        <v>29882.45</v>
      </c>
      <c r="I137" t="n">
        <v>30184.3</v>
      </c>
      <c r="J137" t="n">
        <v>31457.75</v>
      </c>
      <c r="K137" t="inlineStr">
        <is>
          <t>POUND STERLING</t>
        </is>
      </c>
      <c r="L137" t="n">
        <v>34284.94</v>
      </c>
      <c r="M137" t="n">
        <v>34631.25</v>
      </c>
      <c r="N137" t="n">
        <v>35740.2</v>
      </c>
      <c r="O137" t="inlineStr">
        <is>
          <t>YEN</t>
        </is>
      </c>
      <c r="P137" t="n">
        <v>160.53</v>
      </c>
      <c r="Q137" t="n">
        <v>162.15</v>
      </c>
      <c r="R137" t="n">
        <v>170.72</v>
      </c>
      <c r="S137" t="inlineStr">
        <is>
          <t>AUSTRALIAN DOLLAR</t>
        </is>
      </c>
      <c r="T137" t="n">
        <v>18380.51</v>
      </c>
      <c r="U137" t="n">
        <v>18566.17</v>
      </c>
      <c r="V137" t="n">
        <v>19160.69</v>
      </c>
      <c r="W137" t="inlineStr">
        <is>
          <t>CANADIAN DOLLAR</t>
        </is>
      </c>
      <c r="X137" t="n">
        <v>18685.89</v>
      </c>
      <c r="Y137" t="n">
        <v>18874.64</v>
      </c>
      <c r="Z137" t="n">
        <v>19479.04</v>
      </c>
      <c r="AA137" t="inlineStr">
        <is>
          <t>SWISS FRANC</t>
        </is>
      </c>
      <c r="AB137" t="n">
        <v>32690.2</v>
      </c>
      <c r="AC137" t="n">
        <v>33020.41</v>
      </c>
      <c r="AD137" t="n">
        <v>34077.78</v>
      </c>
      <c r="AE137" t="inlineStr">
        <is>
          <t>SINGAPORE DOLLAR</t>
        </is>
      </c>
      <c r="AF137" t="n">
        <v>20070.34</v>
      </c>
      <c r="AG137" t="n">
        <v>20273.07</v>
      </c>
      <c r="AH137" t="n">
        <v>20964.14</v>
      </c>
      <c r="AI137" t="inlineStr">
        <is>
          <t>YUAN RENMINBI</t>
        </is>
      </c>
      <c r="AJ137" t="n">
        <v>3776.29</v>
      </c>
      <c r="AK137" t="n">
        <v>3814.43</v>
      </c>
      <c r="AL137" t="n">
        <v>3936.58</v>
      </c>
      <c r="AM137" t="inlineStr">
        <is>
          <t>HONGKONG DOLLAR</t>
        </is>
      </c>
      <c r="AN137" t="n">
        <v>3271.54</v>
      </c>
      <c r="AO137" t="n">
        <v>3304.59</v>
      </c>
      <c r="AP137" t="n">
        <v>3430.94</v>
      </c>
      <c r="AQ137" t="inlineStr">
        <is>
          <t>THAILAND BAHT</t>
        </is>
      </c>
      <c r="AR137" t="n">
        <v>713.58</v>
      </c>
      <c r="AS137" t="n">
        <v>792.86</v>
      </c>
      <c r="AT137" t="n">
        <v>826.48</v>
      </c>
      <c r="AU137" t="inlineStr">
        <is>
          <t>KOREAN WON</t>
        </is>
      </c>
      <c r="AV137" t="n">
        <v>15.18</v>
      </c>
      <c r="AW137" t="n">
        <v>16.87</v>
      </c>
      <c r="AX137" t="n">
        <v>18.3</v>
      </c>
      <c r="AY137" t="inlineStr">
        <is>
          <t>MALAYSIAN RINGGIT</t>
        </is>
      </c>
      <c r="BA137" t="n">
        <v>6607.35</v>
      </c>
      <c r="BB137" t="n">
        <v>6751.07</v>
      </c>
      <c r="BC137" t="inlineStr">
        <is>
          <t>INDIAN RUPEE</t>
        </is>
      </c>
      <c r="BE137" t="n">
        <v>273.25</v>
      </c>
      <c r="BF137" t="n">
        <v>285.01</v>
      </c>
      <c r="BG137" t="inlineStr">
        <is>
          <t>KUWAITI DINAR</t>
        </is>
      </c>
      <c r="BI137" t="n">
        <v>85566.28999999999</v>
      </c>
      <c r="BJ137" t="n">
        <v>89713.24000000001</v>
      </c>
      <c r="BK137" t="inlineStr">
        <is>
          <t>SAUDI RIAL</t>
        </is>
      </c>
      <c r="BM137" t="n">
        <v>6984.4</v>
      </c>
      <c r="BN137" t="n">
        <v>7284.95</v>
      </c>
      <c r="BO137" t="inlineStr">
        <is>
          <t>NORWEGIAN KRONER</t>
        </is>
      </c>
      <c r="BQ137" t="n">
        <v>2773.89</v>
      </c>
      <c r="BR137" t="n">
        <v>2891.49</v>
      </c>
      <c r="BS137" t="inlineStr">
        <is>
          <t>SWEDISH KRONA</t>
        </is>
      </c>
      <c r="BU137" t="n">
        <v>2738.88</v>
      </c>
      <c r="BV137" t="n">
        <v>2855</v>
      </c>
      <c r="BW137" t="inlineStr">
        <is>
          <t>DANISH KRONE</t>
        </is>
      </c>
      <c r="BY137" t="n">
        <v>4028.38</v>
      </c>
      <c r="BZ137" t="n">
        <v>4182.4</v>
      </c>
      <c r="CA137" t="inlineStr">
        <is>
          <t>RUSSIAN RUBLE</t>
        </is>
      </c>
      <c r="CC137" t="n">
        <v>341.3</v>
      </c>
      <c r="CD137" t="n">
        <v>377.8</v>
      </c>
    </row>
    <row r="138">
      <c r="A138" t="inlineStr">
        <is>
          <t>17/05/2026</t>
        </is>
      </c>
      <c r="B138">
        <f>IF(ISNUMBER(A138), A138, DATE(RIGHT(A138,4), MID(A138,4,2), LEFT(A138,2)))</f>
        <v/>
      </c>
      <c r="C138" t="inlineStr">
        <is>
          <t>US DOLLAR</t>
        </is>
      </c>
      <c r="D138" t="n">
        <v>26107</v>
      </c>
      <c r="E138" t="n">
        <v>26137</v>
      </c>
      <c r="F138" t="n">
        <v>26387</v>
      </c>
      <c r="G138" t="inlineStr">
        <is>
          <t>EURO</t>
        </is>
      </c>
      <c r="H138" t="n">
        <v>29882.45</v>
      </c>
      <c r="I138" t="n">
        <v>30184.3</v>
      </c>
      <c r="J138" t="n">
        <v>31457.75</v>
      </c>
      <c r="K138" t="inlineStr">
        <is>
          <t>POUND STERLING</t>
        </is>
      </c>
      <c r="L138" t="n">
        <v>34284.94</v>
      </c>
      <c r="M138" t="n">
        <v>34631.25</v>
      </c>
      <c r="N138" t="n">
        <v>35740.2</v>
      </c>
      <c r="O138" t="inlineStr">
        <is>
          <t>YEN</t>
        </is>
      </c>
      <c r="P138" t="n">
        <v>160.53</v>
      </c>
      <c r="Q138" t="n">
        <v>162.15</v>
      </c>
      <c r="R138" t="n">
        <v>170.72</v>
      </c>
      <c r="S138" t="inlineStr">
        <is>
          <t>AUSTRALIAN DOLLAR</t>
        </is>
      </c>
      <c r="T138" t="n">
        <v>18380.51</v>
      </c>
      <c r="U138" t="n">
        <v>18566.17</v>
      </c>
      <c r="V138" t="n">
        <v>19160.69</v>
      </c>
      <c r="W138" t="inlineStr">
        <is>
          <t>CANADIAN DOLLAR</t>
        </is>
      </c>
      <c r="X138" t="n">
        <v>18685.89</v>
      </c>
      <c r="Y138" t="n">
        <v>18874.64</v>
      </c>
      <c r="Z138" t="n">
        <v>19479.04</v>
      </c>
      <c r="AA138" t="inlineStr">
        <is>
          <t>SWISS FRANC</t>
        </is>
      </c>
      <c r="AB138" t="n">
        <v>32690.2</v>
      </c>
      <c r="AC138" t="n">
        <v>33020.41</v>
      </c>
      <c r="AD138" t="n">
        <v>34077.78</v>
      </c>
      <c r="AE138" t="inlineStr">
        <is>
          <t>SINGAPORE DOLLAR</t>
        </is>
      </c>
      <c r="AF138" t="n">
        <v>20070.34</v>
      </c>
      <c r="AG138" t="n">
        <v>20273.07</v>
      </c>
      <c r="AH138" t="n">
        <v>20964.14</v>
      </c>
      <c r="AI138" t="inlineStr">
        <is>
          <t>YUAN RENMINBI</t>
        </is>
      </c>
      <c r="AJ138" t="n">
        <v>3776.29</v>
      </c>
      <c r="AK138" t="n">
        <v>3814.43</v>
      </c>
      <c r="AL138" t="n">
        <v>3936.58</v>
      </c>
      <c r="AM138" t="inlineStr">
        <is>
          <t>HONGKONG DOLLAR</t>
        </is>
      </c>
      <c r="AN138" t="n">
        <v>3271.54</v>
      </c>
      <c r="AO138" t="n">
        <v>3304.59</v>
      </c>
      <c r="AP138" t="n">
        <v>3430.94</v>
      </c>
      <c r="AQ138" t="inlineStr">
        <is>
          <t>THAILAND BAHT</t>
        </is>
      </c>
      <c r="AR138" t="n">
        <v>713.58</v>
      </c>
      <c r="AS138" t="n">
        <v>792.86</v>
      </c>
      <c r="AT138" t="n">
        <v>826.48</v>
      </c>
      <c r="AU138" t="inlineStr">
        <is>
          <t>KOREAN WON</t>
        </is>
      </c>
      <c r="AV138" t="n">
        <v>15.18</v>
      </c>
      <c r="AW138" t="n">
        <v>16.87</v>
      </c>
      <c r="AX138" t="n">
        <v>18.3</v>
      </c>
      <c r="AY138" t="inlineStr">
        <is>
          <t>MALAYSIAN RINGGIT</t>
        </is>
      </c>
      <c r="BA138" t="n">
        <v>6607.35</v>
      </c>
      <c r="BB138" t="n">
        <v>6751.07</v>
      </c>
      <c r="BC138" t="inlineStr">
        <is>
          <t>INDIAN RUPEE</t>
        </is>
      </c>
      <c r="BE138" t="n">
        <v>273.25</v>
      </c>
      <c r="BF138" t="n">
        <v>285.01</v>
      </c>
      <c r="BG138" t="inlineStr">
        <is>
          <t>KUWAITI DINAR</t>
        </is>
      </c>
      <c r="BI138" t="n">
        <v>85566.28999999999</v>
      </c>
      <c r="BJ138" t="n">
        <v>89713.24000000001</v>
      </c>
      <c r="BK138" t="inlineStr">
        <is>
          <t>SAUDI RIAL</t>
        </is>
      </c>
      <c r="BM138" t="n">
        <v>6984.4</v>
      </c>
      <c r="BN138" t="n">
        <v>7284.95</v>
      </c>
      <c r="BO138" t="inlineStr">
        <is>
          <t>NORWEGIAN KRONER</t>
        </is>
      </c>
      <c r="BQ138" t="n">
        <v>2773.89</v>
      </c>
      <c r="BR138" t="n">
        <v>2891.49</v>
      </c>
      <c r="BS138" t="inlineStr">
        <is>
          <t>SWEDISH KRONA</t>
        </is>
      </c>
      <c r="BU138" t="n">
        <v>2738.88</v>
      </c>
      <c r="BV138" t="n">
        <v>2855</v>
      </c>
      <c r="BW138" t="inlineStr">
        <is>
          <t>DANISH KRONE</t>
        </is>
      </c>
      <c r="BY138" t="n">
        <v>4028.38</v>
      </c>
      <c r="BZ138" t="n">
        <v>4182.4</v>
      </c>
      <c r="CA138" t="inlineStr">
        <is>
          <t>RUSSIAN RUBLE</t>
        </is>
      </c>
      <c r="CC138" t="n">
        <v>341.3</v>
      </c>
      <c r="CD138" t="n">
        <v>377.8</v>
      </c>
    </row>
    <row r="139">
      <c r="A139" t="inlineStr">
        <is>
          <t>18/05/2026</t>
        </is>
      </c>
      <c r="B139">
        <f>IF(ISNUMBER(A139), A139, DATE(RIGHT(A139,4), MID(A139,4,2), LEFT(A139,2)))</f>
        <v/>
      </c>
      <c r="C139" t="inlineStr">
        <is>
          <t>US DOLLAR</t>
        </is>
      </c>
      <c r="D139" t="n">
        <v>26107</v>
      </c>
      <c r="E139" t="n">
        <v>26137</v>
      </c>
      <c r="F139" t="n">
        <v>26387</v>
      </c>
      <c r="G139" t="inlineStr">
        <is>
          <t>EURO</t>
        </is>
      </c>
      <c r="H139" t="n">
        <v>29833.65</v>
      </c>
      <c r="I139" t="n">
        <v>30135</v>
      </c>
      <c r="J139" t="n">
        <v>31406.38</v>
      </c>
      <c r="K139" t="inlineStr">
        <is>
          <t>POUND STERLING</t>
        </is>
      </c>
      <c r="L139" t="n">
        <v>34182.2</v>
      </c>
      <c r="M139" t="n">
        <v>34527.47</v>
      </c>
      <c r="N139" t="n">
        <v>35633.1</v>
      </c>
      <c r="O139" t="inlineStr">
        <is>
          <t>YEN</t>
        </is>
      </c>
      <c r="P139" t="n">
        <v>160.61</v>
      </c>
      <c r="Q139" t="n">
        <v>162.23</v>
      </c>
      <c r="R139" t="n">
        <v>170.81</v>
      </c>
      <c r="S139" t="inlineStr">
        <is>
          <t>AUSTRALIAN DOLLAR</t>
        </is>
      </c>
      <c r="T139" t="n">
        <v>18303.45</v>
      </c>
      <c r="U139" t="n">
        <v>18488.34</v>
      </c>
      <c r="V139" t="n">
        <v>19080.36</v>
      </c>
      <c r="W139" t="inlineStr">
        <is>
          <t>CANADIAN DOLLAR</t>
        </is>
      </c>
      <c r="X139" t="n">
        <v>18676.38</v>
      </c>
      <c r="Y139" t="n">
        <v>18865.03</v>
      </c>
      <c r="Z139" t="n">
        <v>19469.12</v>
      </c>
      <c r="AA139" t="inlineStr">
        <is>
          <t>SWISS FRANC</t>
        </is>
      </c>
      <c r="AB139" t="n">
        <v>32640.37</v>
      </c>
      <c r="AC139" t="n">
        <v>32970.07</v>
      </c>
      <c r="AD139" t="n">
        <v>34025.82</v>
      </c>
      <c r="AE139" t="inlineStr">
        <is>
          <t>SINGAPORE DOLLAR</t>
        </is>
      </c>
      <c r="AF139" t="n">
        <v>20032.74</v>
      </c>
      <c r="AG139" t="n">
        <v>20235.09</v>
      </c>
      <c r="AH139" t="n">
        <v>20924.87</v>
      </c>
      <c r="AI139" t="inlineStr">
        <is>
          <t>YUAN RENMINBI</t>
        </is>
      </c>
      <c r="AJ139" t="n">
        <v>3768.65</v>
      </c>
      <c r="AK139" t="n">
        <v>3806.71</v>
      </c>
      <c r="AL139" t="n">
        <v>3928.61</v>
      </c>
      <c r="AM139" t="inlineStr">
        <is>
          <t>HONGKONG DOLLAR</t>
        </is>
      </c>
      <c r="AN139" t="n">
        <v>3271.46</v>
      </c>
      <c r="AO139" t="n">
        <v>3304.5</v>
      </c>
      <c r="AP139" t="n">
        <v>3430.85</v>
      </c>
      <c r="AQ139" t="inlineStr">
        <is>
          <t>THAILAND BAHT</t>
        </is>
      </c>
      <c r="AR139" t="n">
        <v>710.52</v>
      </c>
      <c r="AS139" t="n">
        <v>789.47</v>
      </c>
      <c r="AT139" t="n">
        <v>822.9400000000001</v>
      </c>
      <c r="AU139" t="inlineStr">
        <is>
          <t>KOREAN WON</t>
        </is>
      </c>
      <c r="AV139" t="n">
        <v>15.33</v>
      </c>
      <c r="AW139" t="n">
        <v>17.03</v>
      </c>
      <c r="AX139" t="n">
        <v>18.48</v>
      </c>
      <c r="AY139" t="inlineStr">
        <is>
          <t>MALAYSIAN RINGGIT</t>
        </is>
      </c>
      <c r="BA139" t="n">
        <v>6560.81</v>
      </c>
      <c r="BB139" t="n">
        <v>6703.51</v>
      </c>
      <c r="BC139" t="inlineStr">
        <is>
          <t>INDIAN RUPEE</t>
        </is>
      </c>
      <c r="BE139" t="n">
        <v>273.12</v>
      </c>
      <c r="BF139" t="n">
        <v>284.88</v>
      </c>
      <c r="BG139" t="inlineStr">
        <is>
          <t>KUWAITI DINAR</t>
        </is>
      </c>
      <c r="BI139" t="n">
        <v>85426.84</v>
      </c>
      <c r="BJ139" t="n">
        <v>89567.03999999999</v>
      </c>
      <c r="BK139" t="inlineStr">
        <is>
          <t>SAUDI RIAL</t>
        </is>
      </c>
      <c r="BM139" t="n">
        <v>6984.58</v>
      </c>
      <c r="BN139" t="n">
        <v>7285.15</v>
      </c>
      <c r="BO139" t="inlineStr">
        <is>
          <t>NORWEGIAN KRONER</t>
        </is>
      </c>
      <c r="BQ139" t="n">
        <v>2771.57</v>
      </c>
      <c r="BR139" t="n">
        <v>2889.07</v>
      </c>
      <c r="BS139" t="inlineStr">
        <is>
          <t>SWEDISH KRONA</t>
        </is>
      </c>
      <c r="BU139" t="n">
        <v>2727.83</v>
      </c>
      <c r="BV139" t="n">
        <v>2843.48</v>
      </c>
      <c r="BW139" t="inlineStr">
        <is>
          <t>DANISH KRONE</t>
        </is>
      </c>
      <c r="BY139" t="n">
        <v>4021.93</v>
      </c>
      <c r="BZ139" t="n">
        <v>4175.7</v>
      </c>
      <c r="CA139" t="inlineStr">
        <is>
          <t>RUSSIAN RUBLE</t>
        </is>
      </c>
      <c r="CC139" t="n">
        <v>344.37</v>
      </c>
      <c r="CD139" t="n">
        <v>381.2</v>
      </c>
    </row>
    <row r="140">
      <c r="A140" t="inlineStr">
        <is>
          <t>19/05/2026</t>
        </is>
      </c>
      <c r="B140">
        <f>IF(ISNUMBER(A140), A140, DATE(RIGHT(A140,4), MID(A140,4,2), LEFT(A140,2)))</f>
        <v/>
      </c>
      <c r="C140" t="inlineStr">
        <is>
          <t>US DOLLAR</t>
        </is>
      </c>
      <c r="D140" t="n">
        <v>26119</v>
      </c>
      <c r="E140" t="n">
        <v>26149</v>
      </c>
      <c r="F140" t="n">
        <v>26389</v>
      </c>
      <c r="G140" t="inlineStr">
        <is>
          <t>EURO</t>
        </is>
      </c>
      <c r="H140" t="n">
        <v>29833.95</v>
      </c>
      <c r="I140" t="n">
        <v>30135.31</v>
      </c>
      <c r="J140" t="n">
        <v>31406.7</v>
      </c>
      <c r="K140" t="inlineStr">
        <is>
          <t>POUND STERLING</t>
        </is>
      </c>
      <c r="L140" t="n">
        <v>34410.75</v>
      </c>
      <c r="M140" t="n">
        <v>34758.34</v>
      </c>
      <c r="N140" t="n">
        <v>35871.36</v>
      </c>
      <c r="O140" t="inlineStr">
        <is>
          <t>YEN</t>
        </is>
      </c>
      <c r="P140" t="n">
        <v>159.86</v>
      </c>
      <c r="Q140" t="n">
        <v>161.48</v>
      </c>
      <c r="R140" t="n">
        <v>170.01</v>
      </c>
      <c r="S140" t="inlineStr">
        <is>
          <t>AUSTRALIAN DOLLAR</t>
        </is>
      </c>
      <c r="T140" t="n">
        <v>18266.11</v>
      </c>
      <c r="U140" t="n">
        <v>18450.61</v>
      </c>
      <c r="V140" t="n">
        <v>19041.43</v>
      </c>
      <c r="W140" t="inlineStr">
        <is>
          <t>CANADIAN DOLLAR</t>
        </is>
      </c>
      <c r="X140" t="n">
        <v>18666.82</v>
      </c>
      <c r="Y140" t="n">
        <v>18855.38</v>
      </c>
      <c r="Z140" t="n">
        <v>19459.16</v>
      </c>
      <c r="AA140" t="inlineStr">
        <is>
          <t>SWISS FRANC</t>
        </is>
      </c>
      <c r="AB140" t="n">
        <v>32637.89</v>
      </c>
      <c r="AC140" t="n">
        <v>32967.56</v>
      </c>
      <c r="AD140" t="n">
        <v>34023.24</v>
      </c>
      <c r="AE140" t="inlineStr">
        <is>
          <t>SINGAPORE DOLLAR</t>
        </is>
      </c>
      <c r="AF140" t="n">
        <v>20035.91</v>
      </c>
      <c r="AG140" t="n">
        <v>20238.29</v>
      </c>
      <c r="AH140" t="n">
        <v>20928.18</v>
      </c>
      <c r="AI140" t="inlineStr">
        <is>
          <t>YUAN RENMINBI</t>
        </is>
      </c>
      <c r="AJ140" t="n">
        <v>3774.23</v>
      </c>
      <c r="AK140" t="n">
        <v>3812.35</v>
      </c>
      <c r="AL140" t="n">
        <v>3934.43</v>
      </c>
      <c r="AM140" t="inlineStr">
        <is>
          <t>HONGKONG DOLLAR</t>
        </is>
      </c>
      <c r="AN140" t="n">
        <v>3270.46</v>
      </c>
      <c r="AO140" t="n">
        <v>3303.49</v>
      </c>
      <c r="AP140" t="n">
        <v>3429.8</v>
      </c>
      <c r="AQ140" t="inlineStr">
        <is>
          <t>THAILAND BAHT</t>
        </is>
      </c>
      <c r="AR140" t="n">
        <v>711.77</v>
      </c>
      <c r="AS140" t="n">
        <v>790.86</v>
      </c>
      <c r="AT140" t="n">
        <v>824.39</v>
      </c>
      <c r="AU140" t="inlineStr">
        <is>
          <t>KOREAN WON</t>
        </is>
      </c>
      <c r="AV140" t="n">
        <v>15.11</v>
      </c>
      <c r="AW140" t="n">
        <v>16.78</v>
      </c>
      <c r="AX140" t="n">
        <v>18.21</v>
      </c>
      <c r="AY140" t="inlineStr">
        <is>
          <t>MALAYSIAN RINGGIT</t>
        </is>
      </c>
      <c r="BA140" t="n">
        <v>6560.31</v>
      </c>
      <c r="BB140" t="n">
        <v>6703</v>
      </c>
      <c r="BC140" t="inlineStr">
        <is>
          <t>INDIAN RUPEE</t>
        </is>
      </c>
      <c r="BE140" t="n">
        <v>271.53</v>
      </c>
      <c r="BF140" t="n">
        <v>283.21</v>
      </c>
      <c r="BG140" t="inlineStr">
        <is>
          <t>KUWAITI DINAR</t>
        </is>
      </c>
      <c r="BI140" t="n">
        <v>85420.36</v>
      </c>
      <c r="BJ140" t="n">
        <v>89560.25</v>
      </c>
      <c r="BK140" t="inlineStr">
        <is>
          <t>SAUDI RIAL</t>
        </is>
      </c>
      <c r="BM140" t="n">
        <v>6983.5</v>
      </c>
      <c r="BN140" t="n">
        <v>7284.01</v>
      </c>
      <c r="BO140" t="inlineStr">
        <is>
          <t>NORWEGIAN KRONER</t>
        </is>
      </c>
      <c r="BQ140" t="n">
        <v>2784.48</v>
      </c>
      <c r="BR140" t="n">
        <v>2902.53</v>
      </c>
      <c r="BS140" t="inlineStr">
        <is>
          <t>SWEDISH KRONA</t>
        </is>
      </c>
      <c r="BU140" t="n">
        <v>2743.71</v>
      </c>
      <c r="BV140" t="n">
        <v>2860.03</v>
      </c>
      <c r="BW140" t="inlineStr">
        <is>
          <t>DANISH KRONE</t>
        </is>
      </c>
      <c r="BY140" t="n">
        <v>4022.31</v>
      </c>
      <c r="BZ140" t="n">
        <v>4176.1</v>
      </c>
      <c r="CA140" t="inlineStr">
        <is>
          <t>RUSSIAN RUBLE</t>
        </is>
      </c>
      <c r="CC140" t="n">
        <v>351.81</v>
      </c>
      <c r="CD140" t="n">
        <v>389.43</v>
      </c>
    </row>
    <row r="141">
      <c r="A141" t="inlineStr">
        <is>
          <t>20/05/2026</t>
        </is>
      </c>
      <c r="B141">
        <f>IF(ISNUMBER(A141), A141, DATE(RIGHT(A141,4), MID(A141,4,2), LEFT(A141,2)))</f>
        <v/>
      </c>
      <c r="C141" t="inlineStr">
        <is>
          <t>US DOLLAR</t>
        </is>
      </c>
      <c r="D141" t="n">
        <v>26131</v>
      </c>
      <c r="E141" t="n">
        <v>26161</v>
      </c>
      <c r="F141" t="n">
        <v>26391</v>
      </c>
      <c r="G141" t="inlineStr">
        <is>
          <t>EURO</t>
        </is>
      </c>
      <c r="H141" t="n">
        <v>29780.74</v>
      </c>
      <c r="I141" t="n">
        <v>30081.56</v>
      </c>
      <c r="J141" t="n">
        <v>31350.66</v>
      </c>
      <c r="K141" t="inlineStr">
        <is>
          <t>POUND STERLING</t>
        </is>
      </c>
      <c r="L141" t="n">
        <v>34385.32</v>
      </c>
      <c r="M141" t="n">
        <v>34732.65</v>
      </c>
      <c r="N141" t="n">
        <v>35844.82</v>
      </c>
      <c r="O141" t="inlineStr">
        <is>
          <t>YEN</t>
        </is>
      </c>
      <c r="P141" t="n">
        <v>160.01</v>
      </c>
      <c r="Q141" t="n">
        <v>161.63</v>
      </c>
      <c r="R141" t="n">
        <v>170.18</v>
      </c>
      <c r="S141" t="inlineStr">
        <is>
          <t>AUSTRALIAN DOLLAR</t>
        </is>
      </c>
      <c r="T141" t="n">
        <v>18269.29</v>
      </c>
      <c r="U141" t="n">
        <v>18453.83</v>
      </c>
      <c r="V141" t="n">
        <v>19044.74</v>
      </c>
      <c r="W141" t="inlineStr">
        <is>
          <t>CANADIAN DOLLAR</t>
        </is>
      </c>
      <c r="X141" t="n">
        <v>18659.06</v>
      </c>
      <c r="Y141" t="n">
        <v>18847.53</v>
      </c>
      <c r="Z141" t="n">
        <v>19451.05</v>
      </c>
      <c r="AA141" t="inlineStr">
        <is>
          <t>SWISS FRANC</t>
        </is>
      </c>
      <c r="AB141" t="n">
        <v>32520.54</v>
      </c>
      <c r="AC141" t="n">
        <v>32849.03</v>
      </c>
      <c r="AD141" t="n">
        <v>33900.9</v>
      </c>
      <c r="AE141" t="inlineStr">
        <is>
          <t>SINGAPORE DOLLAR</t>
        </is>
      </c>
      <c r="AF141" t="n">
        <v>20049.73</v>
      </c>
      <c r="AG141" t="n">
        <v>20252.26</v>
      </c>
      <c r="AH141" t="n">
        <v>20942.61</v>
      </c>
      <c r="AI141" t="inlineStr">
        <is>
          <t>YUAN RENMINBI</t>
        </is>
      </c>
      <c r="AJ141" t="n">
        <v>3778.06</v>
      </c>
      <c r="AK141" t="n">
        <v>3816.22</v>
      </c>
      <c r="AL141" t="n">
        <v>3938.42</v>
      </c>
      <c r="AM141" t="inlineStr">
        <is>
          <t>HONGKONG DOLLAR</t>
        </is>
      </c>
      <c r="AN141" t="n">
        <v>3271.53</v>
      </c>
      <c r="AO141" t="n">
        <v>3304.58</v>
      </c>
      <c r="AP141" t="n">
        <v>3430.92</v>
      </c>
      <c r="AQ141" t="inlineStr">
        <is>
          <t>THAILAND BAHT</t>
        </is>
      </c>
      <c r="AR141" t="n">
        <v>711.4400000000001</v>
      </c>
      <c r="AS141" t="n">
        <v>790.49</v>
      </c>
      <c r="AT141" t="n">
        <v>824.01</v>
      </c>
      <c r="AU141" t="inlineStr">
        <is>
          <t>KOREAN WON</t>
        </is>
      </c>
      <c r="AV141" t="n">
        <v>15.14</v>
      </c>
      <c r="AW141" t="n">
        <v>16.82</v>
      </c>
      <c r="AX141" t="n">
        <v>18.25</v>
      </c>
      <c r="AY141" t="inlineStr">
        <is>
          <t>MALAYSIAN RINGGIT</t>
        </is>
      </c>
      <c r="BA141" t="n">
        <v>6578.19</v>
      </c>
      <c r="BB141" t="n">
        <v>6721.27</v>
      </c>
      <c r="BC141" t="inlineStr">
        <is>
          <t>INDIAN RUPEE</t>
        </is>
      </c>
      <c r="BE141" t="n">
        <v>270.8</v>
      </c>
      <c r="BF141" t="n">
        <v>282.45</v>
      </c>
      <c r="BG141" t="inlineStr">
        <is>
          <t>KUWAITI DINAR</t>
        </is>
      </c>
      <c r="BI141" t="n">
        <v>85459.27</v>
      </c>
      <c r="BJ141" t="n">
        <v>89600.99000000001</v>
      </c>
      <c r="BK141" t="inlineStr">
        <is>
          <t>SAUDI RIAL</t>
        </is>
      </c>
      <c r="BM141" t="n">
        <v>6987.24</v>
      </c>
      <c r="BN141" t="n">
        <v>7287.91</v>
      </c>
      <c r="BO141" t="inlineStr">
        <is>
          <t>NORWEGIAN KRONER</t>
        </is>
      </c>
      <c r="BQ141" t="n">
        <v>2780.71</v>
      </c>
      <c r="BR141" t="n">
        <v>2898.6</v>
      </c>
      <c r="BS141" t="inlineStr">
        <is>
          <t>SWEDISH KRONA</t>
        </is>
      </c>
      <c r="BU141" t="n">
        <v>2746.68</v>
      </c>
      <c r="BV141" t="n">
        <v>2863.13</v>
      </c>
      <c r="BW141" t="inlineStr">
        <is>
          <t>DANISH KRONE</t>
        </is>
      </c>
      <c r="BY141" t="n">
        <v>4014.97</v>
      </c>
      <c r="BZ141" t="n">
        <v>4168.47</v>
      </c>
      <c r="CA141" t="inlineStr">
        <is>
          <t>RUSSIAN RUBLE</t>
        </is>
      </c>
      <c r="CC141" t="n">
        <v>352.71</v>
      </c>
      <c r="CD141" t="n">
        <v>390.43</v>
      </c>
    </row>
    <row r="142">
      <c r="A142" t="inlineStr">
        <is>
          <t>21/05/2026</t>
        </is>
      </c>
      <c r="B142">
        <f>IF(ISNUMBER(A142), A142, DATE(RIGHT(A142,4), MID(A142,4,2), LEFT(A142,2)))</f>
        <v/>
      </c>
      <c r="C142" t="inlineStr">
        <is>
          <t>US DOLLAR</t>
        </is>
      </c>
      <c r="D142" t="n">
        <v>26131</v>
      </c>
      <c r="E142" t="n">
        <v>26161</v>
      </c>
      <c r="F142" t="n">
        <v>26391</v>
      </c>
      <c r="G142" t="inlineStr">
        <is>
          <t>EURO</t>
        </is>
      </c>
      <c r="H142" t="n">
        <v>29860.39</v>
      </c>
      <c r="I142" t="n">
        <v>30162.01</v>
      </c>
      <c r="J142" t="n">
        <v>31434.51</v>
      </c>
      <c r="K142" t="inlineStr">
        <is>
          <t>POUND STERLING</t>
        </is>
      </c>
      <c r="L142" t="n">
        <v>34495.81</v>
      </c>
      <c r="M142" t="n">
        <v>34844.25</v>
      </c>
      <c r="N142" t="n">
        <v>35960</v>
      </c>
      <c r="O142" t="inlineStr">
        <is>
          <t>YEN</t>
        </is>
      </c>
      <c r="P142" t="n">
        <v>160.73</v>
      </c>
      <c r="Q142" t="n">
        <v>162.36</v>
      </c>
      <c r="R142" t="n">
        <v>170.94</v>
      </c>
      <c r="S142" t="inlineStr">
        <is>
          <t>AUSTRALIAN DOLLAR</t>
        </is>
      </c>
      <c r="T142" t="n">
        <v>18277</v>
      </c>
      <c r="U142" t="n">
        <v>18461.61</v>
      </c>
      <c r="V142" t="n">
        <v>19052.78</v>
      </c>
      <c r="W142" t="inlineStr">
        <is>
          <t>CANADIAN DOLLAR</t>
        </is>
      </c>
      <c r="X142" t="n">
        <v>18680.76</v>
      </c>
      <c r="Y142" t="n">
        <v>18869.45</v>
      </c>
      <c r="Z142" t="n">
        <v>19473.67</v>
      </c>
      <c r="AA142" t="inlineStr">
        <is>
          <t>SWISS FRANC</t>
        </is>
      </c>
      <c r="AB142" t="n">
        <v>32665.21</v>
      </c>
      <c r="AC142" t="n">
        <v>32995.16</v>
      </c>
      <c r="AD142" t="n">
        <v>34051.7</v>
      </c>
      <c r="AE142" t="inlineStr">
        <is>
          <t>SINGAPORE DOLLAR</t>
        </is>
      </c>
      <c r="AF142" t="n">
        <v>20077.96</v>
      </c>
      <c r="AG142" t="n">
        <v>20280.76</v>
      </c>
      <c r="AH142" t="n">
        <v>20972.09</v>
      </c>
      <c r="AI142" t="inlineStr">
        <is>
          <t>YUAN RENMINBI</t>
        </is>
      </c>
      <c r="AJ142" t="n">
        <v>3780.5</v>
      </c>
      <c r="AK142" t="n">
        <v>3818.69</v>
      </c>
      <c r="AL142" t="n">
        <v>3940.97</v>
      </c>
      <c r="AM142" t="inlineStr">
        <is>
          <t>HONGKONG DOLLAR</t>
        </is>
      </c>
      <c r="AN142" t="n">
        <v>3272.24</v>
      </c>
      <c r="AO142" t="n">
        <v>3305.29</v>
      </c>
      <c r="AP142" t="n">
        <v>3431.67</v>
      </c>
      <c r="AQ142" t="inlineStr">
        <is>
          <t>THAILAND BAHT</t>
        </is>
      </c>
      <c r="AR142" t="n">
        <v>712.53</v>
      </c>
      <c r="AS142" t="n">
        <v>791.7</v>
      </c>
      <c r="AT142" t="n">
        <v>825.27</v>
      </c>
      <c r="AU142" t="inlineStr">
        <is>
          <t>KOREAN WON</t>
        </is>
      </c>
      <c r="AV142" t="n">
        <v>15.18</v>
      </c>
      <c r="AW142" t="n">
        <v>16.86</v>
      </c>
      <c r="AX142" t="n">
        <v>18.3</v>
      </c>
      <c r="AY142" t="inlineStr">
        <is>
          <t>MALAYSIAN RINGGIT</t>
        </is>
      </c>
      <c r="BA142" t="n">
        <v>6573.22</v>
      </c>
      <c r="BB142" t="n">
        <v>6716.19</v>
      </c>
      <c r="BC142" t="inlineStr">
        <is>
          <t>INDIAN RUPEE</t>
        </is>
      </c>
      <c r="BE142" t="n">
        <v>270.8</v>
      </c>
      <c r="BF142" t="n">
        <v>282.45</v>
      </c>
      <c r="BG142" t="inlineStr">
        <is>
          <t>KUWAITI DINAR</t>
        </is>
      </c>
      <c r="BI142" t="n">
        <v>85459.27</v>
      </c>
      <c r="BJ142" t="n">
        <v>89600.99000000001</v>
      </c>
      <c r="BK142" t="inlineStr">
        <is>
          <t>SAUDI RIAL</t>
        </is>
      </c>
      <c r="BM142" t="n">
        <v>6987.24</v>
      </c>
      <c r="BN142" t="n">
        <v>7287.91</v>
      </c>
      <c r="BO142" t="inlineStr">
        <is>
          <t>NORWEGIAN KRONER</t>
        </is>
      </c>
      <c r="BQ142" t="n">
        <v>2786.11</v>
      </c>
      <c r="BR142" t="n">
        <v>2904.23</v>
      </c>
      <c r="BS142" t="inlineStr">
        <is>
          <t>SWEDISH KRONA</t>
        </is>
      </c>
      <c r="BU142" t="n">
        <v>2763.87</v>
      </c>
      <c r="BV142" t="n">
        <v>2881.05</v>
      </c>
      <c r="BW142" t="inlineStr">
        <is>
          <t>DANISH KRONE</t>
        </is>
      </c>
      <c r="BY142" t="n">
        <v>4025.71</v>
      </c>
      <c r="BZ142" t="n">
        <v>4179.62</v>
      </c>
      <c r="CA142" t="inlineStr">
        <is>
          <t>RUSSIAN RUBLE</t>
        </is>
      </c>
      <c r="CC142" t="n">
        <v>350.98</v>
      </c>
      <c r="CD142" t="n">
        <v>388.52</v>
      </c>
    </row>
    <row r="143">
      <c r="A143" t="inlineStr">
        <is>
          <t>22/05/2026</t>
        </is>
      </c>
      <c r="B143">
        <f>IF(ISNUMBER(A143), A143, DATE(RIGHT(A143,4), MID(A143,4,2), LEFT(A143,2)))</f>
        <v/>
      </c>
      <c r="C143" t="inlineStr">
        <is>
          <t>US DOLLAR</t>
        </is>
      </c>
      <c r="D143" t="n">
        <v>26130</v>
      </c>
      <c r="E143" t="n">
        <v>26160</v>
      </c>
      <c r="F143" t="n">
        <v>26390</v>
      </c>
      <c r="G143" t="inlineStr">
        <is>
          <t>EURO</t>
        </is>
      </c>
      <c r="H143" t="n">
        <v>29849.06</v>
      </c>
      <c r="I143" t="n">
        <v>30150.57</v>
      </c>
      <c r="J143" t="n">
        <v>31422.6</v>
      </c>
      <c r="K143" t="inlineStr">
        <is>
          <t>POUND STERLING</t>
        </is>
      </c>
      <c r="L143" t="n">
        <v>34482.72</v>
      </c>
      <c r="M143" t="n">
        <v>34831.03</v>
      </c>
      <c r="N143" t="n">
        <v>35946.38</v>
      </c>
      <c r="O143" t="inlineStr">
        <is>
          <t>YEN</t>
        </is>
      </c>
      <c r="P143" t="n">
        <v>160.67</v>
      </c>
      <c r="Q143" t="n">
        <v>162.29</v>
      </c>
      <c r="R143" t="n">
        <v>170.88</v>
      </c>
      <c r="S143" t="inlineStr">
        <is>
          <t>AUSTRALIAN DOLLAR</t>
        </is>
      </c>
      <c r="T143" t="n">
        <v>18270.06</v>
      </c>
      <c r="U143" t="n">
        <v>18454.61</v>
      </c>
      <c r="V143" t="n">
        <v>19045.56</v>
      </c>
      <c r="W143" t="inlineStr">
        <is>
          <t>CANADIAN DOLLAR</t>
        </is>
      </c>
      <c r="X143" t="n">
        <v>18673.67</v>
      </c>
      <c r="Y143" t="n">
        <v>18862.29</v>
      </c>
      <c r="Z143" t="n">
        <v>19466.29</v>
      </c>
      <c r="AA143" t="inlineStr">
        <is>
          <t>SWISS FRANC</t>
        </is>
      </c>
      <c r="AB143" t="n">
        <v>32652.81</v>
      </c>
      <c r="AC143" t="n">
        <v>32982.64</v>
      </c>
      <c r="AD143" t="n">
        <v>34038.8</v>
      </c>
      <c r="AE143" t="inlineStr">
        <is>
          <t>SINGAPORE DOLLAR</t>
        </is>
      </c>
      <c r="AF143" t="n">
        <v>20070.34</v>
      </c>
      <c r="AG143" t="n">
        <v>20273.07</v>
      </c>
      <c r="AH143" t="n">
        <v>20964.14</v>
      </c>
      <c r="AI143" t="inlineStr">
        <is>
          <t>YUAN RENMINBI</t>
        </is>
      </c>
      <c r="AJ143" t="n">
        <v>3779.07</v>
      </c>
      <c r="AK143" t="n">
        <v>3817.24</v>
      </c>
      <c r="AL143" t="n">
        <v>3939.47</v>
      </c>
      <c r="AM143" t="inlineStr">
        <is>
          <t>HONGKONG DOLLAR</t>
        </is>
      </c>
      <c r="AN143" t="n">
        <v>3271</v>
      </c>
      <c r="AO143" t="n">
        <v>3304.04</v>
      </c>
      <c r="AP143" t="n">
        <v>3430.37</v>
      </c>
      <c r="AQ143" t="inlineStr">
        <is>
          <t>THAILAND BAHT</t>
        </is>
      </c>
      <c r="AR143" t="n">
        <v>712.26</v>
      </c>
      <c r="AS143" t="n">
        <v>791.4</v>
      </c>
      <c r="AT143" t="n">
        <v>824.96</v>
      </c>
      <c r="AU143" t="inlineStr">
        <is>
          <t>KOREAN WON</t>
        </is>
      </c>
      <c r="AV143" t="n">
        <v>15.17</v>
      </c>
      <c r="AW143" t="n">
        <v>16.86</v>
      </c>
      <c r="AX143" t="n">
        <v>18.29</v>
      </c>
      <c r="AY143" t="inlineStr">
        <is>
          <t>MALAYSIAN RINGGIT</t>
        </is>
      </c>
      <c r="BA143" t="n">
        <v>6570.73</v>
      </c>
      <c r="BB143" t="n">
        <v>6713.65</v>
      </c>
      <c r="BC143" t="inlineStr">
        <is>
          <t>INDIAN RUPEE</t>
        </is>
      </c>
      <c r="BE143" t="n">
        <v>270.7</v>
      </c>
      <c r="BF143" t="n">
        <v>282.35</v>
      </c>
      <c r="BG143" t="inlineStr">
        <is>
          <t>KUWAITI DINAR</t>
        </is>
      </c>
      <c r="BI143" t="n">
        <v>85426.84</v>
      </c>
      <c r="BJ143" t="n">
        <v>89567.03999999999</v>
      </c>
      <c r="BK143" t="inlineStr">
        <is>
          <t>SAUDI RIAL</t>
        </is>
      </c>
      <c r="BM143" t="n">
        <v>6984.58</v>
      </c>
      <c r="BN143" t="n">
        <v>7285.15</v>
      </c>
      <c r="BO143" t="inlineStr">
        <is>
          <t>NORWEGIAN KRONER</t>
        </is>
      </c>
      <c r="BQ143" t="n">
        <v>2785.05</v>
      </c>
      <c r="BR143" t="n">
        <v>2903.13</v>
      </c>
      <c r="BS143" t="inlineStr">
        <is>
          <t>SWEDISH KRONA</t>
        </is>
      </c>
      <c r="BU143" t="n">
        <v>2762.82</v>
      </c>
      <c r="BV143" t="n">
        <v>2879.96</v>
      </c>
      <c r="BW143" t="inlineStr">
        <is>
          <t>DANISH KRONE</t>
        </is>
      </c>
      <c r="BY143" t="n">
        <v>4024.18</v>
      </c>
      <c r="BZ143" t="n">
        <v>4178.04</v>
      </c>
      <c r="CA143" t="inlineStr">
        <is>
          <t>RUSSIAN RUBLE</t>
        </is>
      </c>
      <c r="CC143" t="n">
        <v>350.85</v>
      </c>
      <c r="CD143" t="n">
        <v>388.37</v>
      </c>
    </row>
    <row r="144">
      <c r="A144" t="inlineStr">
        <is>
          <t>23/05/2026</t>
        </is>
      </c>
      <c r="B144">
        <f>IF(ISNUMBER(A144), A144, DATE(RIGHT(A144,4), MID(A144,4,2), LEFT(A144,2)))</f>
        <v/>
      </c>
      <c r="C144" t="inlineStr">
        <is>
          <t>US DOLLAR</t>
        </is>
      </c>
      <c r="D144" t="n">
        <v>26130</v>
      </c>
      <c r="E144" t="n">
        <v>26160</v>
      </c>
      <c r="F144" t="n">
        <v>26390</v>
      </c>
      <c r="G144" t="inlineStr">
        <is>
          <t>EURO</t>
        </is>
      </c>
      <c r="H144" t="n">
        <v>29849.06</v>
      </c>
      <c r="I144" t="n">
        <v>30150.57</v>
      </c>
      <c r="J144" t="n">
        <v>31422.6</v>
      </c>
      <c r="K144" t="inlineStr">
        <is>
          <t>POUND STERLING</t>
        </is>
      </c>
      <c r="L144" t="n">
        <v>34482.72</v>
      </c>
      <c r="M144" t="n">
        <v>34831.03</v>
      </c>
      <c r="N144" t="n">
        <v>35946.38</v>
      </c>
      <c r="O144" t="inlineStr">
        <is>
          <t>YEN</t>
        </is>
      </c>
      <c r="P144" t="n">
        <v>160.67</v>
      </c>
      <c r="Q144" t="n">
        <v>162.29</v>
      </c>
      <c r="R144" t="n">
        <v>170.88</v>
      </c>
      <c r="S144" t="inlineStr">
        <is>
          <t>AUSTRALIAN DOLLAR</t>
        </is>
      </c>
      <c r="T144" t="n">
        <v>18270.06</v>
      </c>
      <c r="U144" t="n">
        <v>18454.61</v>
      </c>
      <c r="V144" t="n">
        <v>19045.56</v>
      </c>
      <c r="W144" t="inlineStr">
        <is>
          <t>CANADIAN DOLLAR</t>
        </is>
      </c>
      <c r="X144" t="n">
        <v>18673.67</v>
      </c>
      <c r="Y144" t="n">
        <v>18862.29</v>
      </c>
      <c r="Z144" t="n">
        <v>19466.29</v>
      </c>
      <c r="AA144" t="inlineStr">
        <is>
          <t>SWISS FRANC</t>
        </is>
      </c>
      <c r="AB144" t="n">
        <v>32652.81</v>
      </c>
      <c r="AC144" t="n">
        <v>32982.64</v>
      </c>
      <c r="AD144" t="n">
        <v>34038.8</v>
      </c>
      <c r="AE144" t="inlineStr">
        <is>
          <t>SINGAPORE DOLLAR</t>
        </is>
      </c>
      <c r="AF144" t="n">
        <v>20070.34</v>
      </c>
      <c r="AG144" t="n">
        <v>20273.07</v>
      </c>
      <c r="AH144" t="n">
        <v>20964.14</v>
      </c>
      <c r="AI144" t="inlineStr">
        <is>
          <t>YUAN RENMINBI</t>
        </is>
      </c>
      <c r="AJ144" t="n">
        <v>3779.07</v>
      </c>
      <c r="AK144" t="n">
        <v>3817.24</v>
      </c>
      <c r="AL144" t="n">
        <v>3939.47</v>
      </c>
      <c r="AM144" t="inlineStr">
        <is>
          <t>HONGKONG DOLLAR</t>
        </is>
      </c>
      <c r="AN144" t="n">
        <v>3271</v>
      </c>
      <c r="AO144" t="n">
        <v>3304.04</v>
      </c>
      <c r="AP144" t="n">
        <v>3430.37</v>
      </c>
      <c r="AQ144" t="inlineStr">
        <is>
          <t>THAILAND BAHT</t>
        </is>
      </c>
      <c r="AR144" t="n">
        <v>712.26</v>
      </c>
      <c r="AS144" t="n">
        <v>791.4</v>
      </c>
      <c r="AT144" t="n">
        <v>824.96</v>
      </c>
      <c r="AU144" t="inlineStr">
        <is>
          <t>KOREAN WON</t>
        </is>
      </c>
      <c r="AV144" t="n">
        <v>15.17</v>
      </c>
      <c r="AW144" t="n">
        <v>16.86</v>
      </c>
      <c r="AX144" t="n">
        <v>18.29</v>
      </c>
      <c r="AY144" t="inlineStr">
        <is>
          <t>MALAYSIAN RINGGIT</t>
        </is>
      </c>
      <c r="BA144" t="n">
        <v>6570.73</v>
      </c>
      <c r="BB144" t="n">
        <v>6713.65</v>
      </c>
      <c r="BC144" t="inlineStr">
        <is>
          <t>INDIAN RUPEE</t>
        </is>
      </c>
      <c r="BE144" t="n">
        <v>270.7</v>
      </c>
      <c r="BF144" t="n">
        <v>282.35</v>
      </c>
      <c r="BG144" t="inlineStr">
        <is>
          <t>KUWAITI DINAR</t>
        </is>
      </c>
      <c r="BI144" t="n">
        <v>85426.84</v>
      </c>
      <c r="BJ144" t="n">
        <v>89567.03999999999</v>
      </c>
      <c r="BK144" t="inlineStr">
        <is>
          <t>SAUDI RIAL</t>
        </is>
      </c>
      <c r="BM144" t="n">
        <v>6984.58</v>
      </c>
      <c r="BN144" t="n">
        <v>7285.15</v>
      </c>
      <c r="BO144" t="inlineStr">
        <is>
          <t>NORWEGIAN KRONER</t>
        </is>
      </c>
      <c r="BQ144" t="n">
        <v>2785.05</v>
      </c>
      <c r="BR144" t="n">
        <v>2903.13</v>
      </c>
      <c r="BS144" t="inlineStr">
        <is>
          <t>SWEDISH KRONA</t>
        </is>
      </c>
      <c r="BU144" t="n">
        <v>2762.82</v>
      </c>
      <c r="BV144" t="n">
        <v>2879.96</v>
      </c>
      <c r="BW144" t="inlineStr">
        <is>
          <t>DANISH KRONE</t>
        </is>
      </c>
      <c r="BY144" t="n">
        <v>4024.18</v>
      </c>
      <c r="BZ144" t="n">
        <v>4178.04</v>
      </c>
      <c r="CA144" t="inlineStr">
        <is>
          <t>RUSSIAN RUBLE</t>
        </is>
      </c>
      <c r="CC144" t="n">
        <v>350.85</v>
      </c>
      <c r="CD144" t="n">
        <v>388.37</v>
      </c>
    </row>
    <row r="145">
      <c r="A145" t="inlineStr">
        <is>
          <t>24/05/2026</t>
        </is>
      </c>
      <c r="B145">
        <f>IF(ISNUMBER(A145), A145, DATE(RIGHT(A145,4), MID(A145,4,2), LEFT(A145,2)))</f>
        <v/>
      </c>
      <c r="C145" t="inlineStr">
        <is>
          <t>US DOLLAR</t>
        </is>
      </c>
      <c r="D145" t="n">
        <v>26130</v>
      </c>
      <c r="E145" t="n">
        <v>26160</v>
      </c>
      <c r="F145" t="n">
        <v>26390</v>
      </c>
      <c r="G145" t="inlineStr">
        <is>
          <t>EURO</t>
        </is>
      </c>
      <c r="H145" t="n">
        <v>29849.06</v>
      </c>
      <c r="I145" t="n">
        <v>30150.57</v>
      </c>
      <c r="J145" t="n">
        <v>31422.6</v>
      </c>
      <c r="K145" t="inlineStr">
        <is>
          <t>POUND STERLING</t>
        </is>
      </c>
      <c r="L145" t="n">
        <v>34482.72</v>
      </c>
      <c r="M145" t="n">
        <v>34831.03</v>
      </c>
      <c r="N145" t="n">
        <v>35946.38</v>
      </c>
      <c r="O145" t="inlineStr">
        <is>
          <t>YEN</t>
        </is>
      </c>
      <c r="P145" t="n">
        <v>160.67</v>
      </c>
      <c r="Q145" t="n">
        <v>162.29</v>
      </c>
      <c r="R145" t="n">
        <v>170.88</v>
      </c>
      <c r="S145" t="inlineStr">
        <is>
          <t>AUSTRALIAN DOLLAR</t>
        </is>
      </c>
      <c r="T145" t="n">
        <v>18270.06</v>
      </c>
      <c r="U145" t="n">
        <v>18454.61</v>
      </c>
      <c r="V145" t="n">
        <v>19045.56</v>
      </c>
      <c r="W145" t="inlineStr">
        <is>
          <t>CANADIAN DOLLAR</t>
        </is>
      </c>
      <c r="X145" t="n">
        <v>18673.67</v>
      </c>
      <c r="Y145" t="n">
        <v>18862.29</v>
      </c>
      <c r="Z145" t="n">
        <v>19466.29</v>
      </c>
      <c r="AA145" t="inlineStr">
        <is>
          <t>SWISS FRANC</t>
        </is>
      </c>
      <c r="AB145" t="n">
        <v>32652.81</v>
      </c>
      <c r="AC145" t="n">
        <v>32982.64</v>
      </c>
      <c r="AD145" t="n">
        <v>34038.8</v>
      </c>
      <c r="AE145" t="inlineStr">
        <is>
          <t>SINGAPORE DOLLAR</t>
        </is>
      </c>
      <c r="AF145" t="n">
        <v>20070.34</v>
      </c>
      <c r="AG145" t="n">
        <v>20273.07</v>
      </c>
      <c r="AH145" t="n">
        <v>20964.14</v>
      </c>
      <c r="AI145" t="inlineStr">
        <is>
          <t>YUAN RENMINBI</t>
        </is>
      </c>
      <c r="AJ145" t="n">
        <v>3779.07</v>
      </c>
      <c r="AK145" t="n">
        <v>3817.24</v>
      </c>
      <c r="AL145" t="n">
        <v>3939.47</v>
      </c>
      <c r="AM145" t="inlineStr">
        <is>
          <t>HONGKONG DOLLAR</t>
        </is>
      </c>
      <c r="AN145" t="n">
        <v>3271</v>
      </c>
      <c r="AO145" t="n">
        <v>3304.04</v>
      </c>
      <c r="AP145" t="n">
        <v>3430.37</v>
      </c>
      <c r="AQ145" t="inlineStr">
        <is>
          <t>THAILAND BAHT</t>
        </is>
      </c>
      <c r="AR145" t="n">
        <v>712.26</v>
      </c>
      <c r="AS145" t="n">
        <v>791.4</v>
      </c>
      <c r="AT145" t="n">
        <v>824.96</v>
      </c>
      <c r="AU145" t="inlineStr">
        <is>
          <t>KOREAN WON</t>
        </is>
      </c>
      <c r="AV145" t="n">
        <v>15.17</v>
      </c>
      <c r="AW145" t="n">
        <v>16.86</v>
      </c>
      <c r="AX145" t="n">
        <v>18.29</v>
      </c>
      <c r="AY145" t="inlineStr">
        <is>
          <t>MALAYSIAN RINGGIT</t>
        </is>
      </c>
      <c r="BA145" t="n">
        <v>6570.73</v>
      </c>
      <c r="BB145" t="n">
        <v>6713.65</v>
      </c>
      <c r="BC145" t="inlineStr">
        <is>
          <t>INDIAN RUPEE</t>
        </is>
      </c>
      <c r="BE145" t="n">
        <v>270.7</v>
      </c>
      <c r="BF145" t="n">
        <v>282.35</v>
      </c>
      <c r="BG145" t="inlineStr">
        <is>
          <t>KUWAITI DINAR</t>
        </is>
      </c>
      <c r="BI145" t="n">
        <v>85426.84</v>
      </c>
      <c r="BJ145" t="n">
        <v>89567.03999999999</v>
      </c>
      <c r="BK145" t="inlineStr">
        <is>
          <t>SAUDI RIAL</t>
        </is>
      </c>
      <c r="BM145" t="n">
        <v>6984.58</v>
      </c>
      <c r="BN145" t="n">
        <v>7285.15</v>
      </c>
      <c r="BO145" t="inlineStr">
        <is>
          <t>NORWEGIAN KRONER</t>
        </is>
      </c>
      <c r="BQ145" t="n">
        <v>2785.05</v>
      </c>
      <c r="BR145" t="n">
        <v>2903.13</v>
      </c>
      <c r="BS145" t="inlineStr">
        <is>
          <t>SWEDISH KRONA</t>
        </is>
      </c>
      <c r="BU145" t="n">
        <v>2762.82</v>
      </c>
      <c r="BV145" t="n">
        <v>2879.96</v>
      </c>
      <c r="BW145" t="inlineStr">
        <is>
          <t>DANISH KRONE</t>
        </is>
      </c>
      <c r="BY145" t="n">
        <v>4024.18</v>
      </c>
      <c r="BZ145" t="n">
        <v>4178.04</v>
      </c>
      <c r="CA145" t="inlineStr">
        <is>
          <t>RUSSIAN RUBLE</t>
        </is>
      </c>
      <c r="CC145" t="n">
        <v>350.85</v>
      </c>
      <c r="CD145" t="n">
        <v>388.37</v>
      </c>
    </row>
    <row r="146">
      <c r="A146" t="inlineStr">
        <is>
          <t>25/05/2026</t>
        </is>
      </c>
      <c r="B146">
        <f>IF(ISNUMBER(A146), A146, DATE(RIGHT(A146,4), MID(A146,4,2), LEFT(A146,2)))</f>
        <v/>
      </c>
      <c r="C146" t="inlineStr">
        <is>
          <t>US DOLLAR</t>
        </is>
      </c>
      <c r="D146" t="n">
        <v>26132</v>
      </c>
      <c r="E146" t="n">
        <v>26162</v>
      </c>
      <c r="F146" t="n">
        <v>26392</v>
      </c>
      <c r="G146" t="inlineStr">
        <is>
          <t>EURO</t>
        </is>
      </c>
      <c r="H146" t="n">
        <v>29911.79</v>
      </c>
      <c r="I146" t="n">
        <v>30213.92</v>
      </c>
      <c r="J146" t="n">
        <v>31488.61</v>
      </c>
      <c r="K146" t="inlineStr">
        <is>
          <t>POUND STERLING</t>
        </is>
      </c>
      <c r="L146" t="n">
        <v>34642.27</v>
      </c>
      <c r="M146" t="n">
        <v>34992.19</v>
      </c>
      <c r="N146" t="n">
        <v>36112.68</v>
      </c>
      <c r="O146" t="inlineStr">
        <is>
          <t>YEN</t>
        </is>
      </c>
      <c r="P146" t="n">
        <v>160.22</v>
      </c>
      <c r="Q146" t="n">
        <v>161.83</v>
      </c>
      <c r="R146" t="n">
        <v>170.39</v>
      </c>
      <c r="S146" t="inlineStr">
        <is>
          <t>AUSTRALIAN DOLLAR</t>
        </is>
      </c>
      <c r="T146" t="n">
        <v>18400.33</v>
      </c>
      <c r="U146" t="n">
        <v>18586.2</v>
      </c>
      <c r="V146" t="n">
        <v>19181.35</v>
      </c>
      <c r="W146" t="inlineStr">
        <is>
          <t>CANADIAN DOLLAR</t>
        </is>
      </c>
      <c r="X146" t="n">
        <v>18622.55</v>
      </c>
      <c r="Y146" t="n">
        <v>18810.66</v>
      </c>
      <c r="Z146" t="n">
        <v>19413</v>
      </c>
      <c r="AA146" t="inlineStr">
        <is>
          <t>SWISS FRANC</t>
        </is>
      </c>
      <c r="AB146" t="n">
        <v>32869.91</v>
      </c>
      <c r="AC146" t="n">
        <v>33201.93</v>
      </c>
      <c r="AD146" t="n">
        <v>34265.1</v>
      </c>
      <c r="AE146" t="inlineStr">
        <is>
          <t>SINGAPORE DOLLAR</t>
        </is>
      </c>
      <c r="AF146" t="n">
        <v>20117.28</v>
      </c>
      <c r="AG146" t="n">
        <v>20320.49</v>
      </c>
      <c r="AH146" t="n">
        <v>21013.17</v>
      </c>
      <c r="AI146" t="inlineStr">
        <is>
          <t>YUAN RENMINBI</t>
        </is>
      </c>
      <c r="AJ146" t="n">
        <v>3782.62</v>
      </c>
      <c r="AK146" t="n">
        <v>3820.82</v>
      </c>
      <c r="AL146" t="n">
        <v>3943.17</v>
      </c>
      <c r="AM146" t="inlineStr">
        <is>
          <t>HONGKONG DOLLAR</t>
        </is>
      </c>
      <c r="AN146" t="n">
        <v>3271.07</v>
      </c>
      <c r="AO146" t="n">
        <v>3304.11</v>
      </c>
      <c r="AP146" t="n">
        <v>3430.44</v>
      </c>
      <c r="AQ146" t="inlineStr">
        <is>
          <t>THAILAND BAHT</t>
        </is>
      </c>
      <c r="AR146" t="n">
        <v>717.37</v>
      </c>
      <c r="AS146" t="n">
        <v>797.08</v>
      </c>
      <c r="AT146" t="n">
        <v>830.87</v>
      </c>
      <c r="AU146" t="inlineStr">
        <is>
          <t>KOREAN WON</t>
        </is>
      </c>
      <c r="AV146" t="n">
        <v>15.1</v>
      </c>
      <c r="AW146" t="n">
        <v>16.78</v>
      </c>
      <c r="AX146" t="n">
        <v>18.21</v>
      </c>
      <c r="AY146" t="inlineStr">
        <is>
          <t>MALAYSIAN RINGGIT</t>
        </is>
      </c>
      <c r="BA146" t="n">
        <v>6613.21</v>
      </c>
      <c r="BB146" t="n">
        <v>6757.05</v>
      </c>
      <c r="BC146" t="inlineStr">
        <is>
          <t>INDIAN RUPEE</t>
        </is>
      </c>
      <c r="BE146" t="n">
        <v>274</v>
      </c>
      <c r="BF146" t="n">
        <v>285.79</v>
      </c>
      <c r="BG146" t="inlineStr">
        <is>
          <t>KUWAITI DINAR</t>
        </is>
      </c>
      <c r="BI146" t="n">
        <v>85459.27</v>
      </c>
      <c r="BJ146" t="n">
        <v>89600.99000000001</v>
      </c>
      <c r="BK146" t="inlineStr">
        <is>
          <t>SAUDI RIAL</t>
        </is>
      </c>
      <c r="BM146" t="n">
        <v>6987.05</v>
      </c>
      <c r="BN146" t="n">
        <v>7287.71</v>
      </c>
      <c r="BO146" t="inlineStr">
        <is>
          <t>NORWEGIAN KRONER</t>
        </is>
      </c>
      <c r="BQ146" t="n">
        <v>2790.8</v>
      </c>
      <c r="BR146" t="n">
        <v>2909.12</v>
      </c>
      <c r="BS146" t="inlineStr">
        <is>
          <t>SWEDISH KRONA</t>
        </is>
      </c>
      <c r="BU146" t="n">
        <v>2778.44</v>
      </c>
      <c r="BV146" t="n">
        <v>2896.23</v>
      </c>
      <c r="BW146" t="inlineStr">
        <is>
          <t>DANISH KRONE</t>
        </is>
      </c>
      <c r="BY146" t="n">
        <v>4032.98</v>
      </c>
      <c r="BZ146" t="n">
        <v>4187.18</v>
      </c>
      <c r="CA146" t="inlineStr">
        <is>
          <t>RUSSIAN RUBLE</t>
        </is>
      </c>
      <c r="CC146" t="n">
        <v>350.76</v>
      </c>
      <c r="CD146" t="n">
        <v>388.27</v>
      </c>
    </row>
    <row r="147">
      <c r="A147" t="inlineStr">
        <is>
          <t>26/05/2026</t>
        </is>
      </c>
      <c r="B147">
        <f>IF(ISNUMBER(A147), A147, DATE(RIGHT(A147,4), MID(A147,4,2), LEFT(A147,2)))</f>
        <v/>
      </c>
      <c r="C147" t="inlineStr">
        <is>
          <t>US DOLLAR</t>
        </is>
      </c>
      <c r="D147" t="n">
        <v>26132</v>
      </c>
      <c r="E147" t="n">
        <v>26162</v>
      </c>
      <c r="F147" t="n">
        <v>26392</v>
      </c>
      <c r="G147" t="inlineStr">
        <is>
          <t>EURO</t>
        </is>
      </c>
      <c r="H147" t="n">
        <v>29911.79</v>
      </c>
      <c r="I147" t="n">
        <v>30213.92</v>
      </c>
      <c r="J147" t="n">
        <v>31488.61</v>
      </c>
      <c r="K147" t="inlineStr">
        <is>
          <t>POUND STERLING</t>
        </is>
      </c>
      <c r="L147" t="n">
        <v>34642.27</v>
      </c>
      <c r="M147" t="n">
        <v>34992.19</v>
      </c>
      <c r="N147" t="n">
        <v>36112.68</v>
      </c>
      <c r="O147" t="inlineStr">
        <is>
          <t>YEN</t>
        </is>
      </c>
      <c r="P147" t="n">
        <v>160.22</v>
      </c>
      <c r="Q147" t="n">
        <v>161.83</v>
      </c>
      <c r="R147" t="n">
        <v>170.39</v>
      </c>
      <c r="S147" t="inlineStr">
        <is>
          <t>AUSTRALIAN DOLLAR</t>
        </is>
      </c>
      <c r="T147" t="n">
        <v>18400.33</v>
      </c>
      <c r="U147" t="n">
        <v>18586.2</v>
      </c>
      <c r="V147" t="n">
        <v>19181.35</v>
      </c>
      <c r="W147" t="inlineStr">
        <is>
          <t>CANADIAN DOLLAR</t>
        </is>
      </c>
      <c r="X147" t="n">
        <v>18622.55</v>
      </c>
      <c r="Y147" t="n">
        <v>18810.66</v>
      </c>
      <c r="Z147" t="n">
        <v>19413</v>
      </c>
      <c r="AA147" t="inlineStr">
        <is>
          <t>SWISS FRANC</t>
        </is>
      </c>
      <c r="AB147" t="n">
        <v>32869.91</v>
      </c>
      <c r="AC147" t="n">
        <v>33201.93</v>
      </c>
      <c r="AD147" t="n">
        <v>34265.1</v>
      </c>
      <c r="AE147" t="inlineStr">
        <is>
          <t>SINGAPORE DOLLAR</t>
        </is>
      </c>
      <c r="AF147" t="n">
        <v>20117.28</v>
      </c>
      <c r="AG147" t="n">
        <v>20320.49</v>
      </c>
      <c r="AH147" t="n">
        <v>21013.17</v>
      </c>
      <c r="AI147" t="inlineStr">
        <is>
          <t>YUAN RENMINBI</t>
        </is>
      </c>
      <c r="AJ147" t="n">
        <v>3782.62</v>
      </c>
      <c r="AK147" t="n">
        <v>3820.82</v>
      </c>
      <c r="AL147" t="n">
        <v>3943.17</v>
      </c>
      <c r="AM147" t="inlineStr">
        <is>
          <t>HONGKONG DOLLAR</t>
        </is>
      </c>
      <c r="AN147" t="n">
        <v>3271.07</v>
      </c>
      <c r="AO147" t="n">
        <v>3304.11</v>
      </c>
      <c r="AP147" t="n">
        <v>3430.44</v>
      </c>
      <c r="AQ147" t="inlineStr">
        <is>
          <t>THAILAND BAHT</t>
        </is>
      </c>
      <c r="AR147" t="n">
        <v>717.37</v>
      </c>
      <c r="AS147" t="n">
        <v>797.08</v>
      </c>
      <c r="AT147" t="n">
        <v>830.87</v>
      </c>
      <c r="AU147" t="inlineStr">
        <is>
          <t>KOREAN WON</t>
        </is>
      </c>
      <c r="AV147" t="n">
        <v>15.1</v>
      </c>
      <c r="AW147" t="n">
        <v>16.78</v>
      </c>
      <c r="AX147" t="n">
        <v>18.21</v>
      </c>
      <c r="AY147" t="inlineStr">
        <is>
          <t>MALAYSIAN RINGGIT</t>
        </is>
      </c>
      <c r="BA147" t="n">
        <v>6613.21</v>
      </c>
      <c r="BB147" t="n">
        <v>6757.05</v>
      </c>
      <c r="BC147" t="inlineStr">
        <is>
          <t>INDIAN RUPEE</t>
        </is>
      </c>
      <c r="BE147" t="n">
        <v>274</v>
      </c>
      <c r="BF147" t="n">
        <v>285.79</v>
      </c>
      <c r="BG147" t="inlineStr">
        <is>
          <t>KUWAITI DINAR</t>
        </is>
      </c>
      <c r="BI147" t="n">
        <v>85459.27</v>
      </c>
      <c r="BJ147" t="n">
        <v>89600.99000000001</v>
      </c>
      <c r="BK147" t="inlineStr">
        <is>
          <t>SAUDI RIAL</t>
        </is>
      </c>
      <c r="BM147" t="n">
        <v>6987.05</v>
      </c>
      <c r="BN147" t="n">
        <v>7287.71</v>
      </c>
      <c r="BO147" t="inlineStr">
        <is>
          <t>NORWEGIAN KRONER</t>
        </is>
      </c>
      <c r="BQ147" t="n">
        <v>2790.8</v>
      </c>
      <c r="BR147" t="n">
        <v>2909.12</v>
      </c>
      <c r="BS147" t="inlineStr">
        <is>
          <t>SWEDISH KRONA</t>
        </is>
      </c>
      <c r="BU147" t="n">
        <v>2778.44</v>
      </c>
      <c r="BV147" t="n">
        <v>2896.23</v>
      </c>
      <c r="BW147" t="inlineStr">
        <is>
          <t>DANISH KRONE</t>
        </is>
      </c>
      <c r="BY147" t="n">
        <v>4032.98</v>
      </c>
      <c r="BZ147" t="n">
        <v>4187.18</v>
      </c>
      <c r="CA147" t="inlineStr">
        <is>
          <t>RUSSIAN RUBLE</t>
        </is>
      </c>
      <c r="CC147" t="n">
        <v>350.76</v>
      </c>
      <c r="CD147" t="n">
        <v>388.27</v>
      </c>
    </row>
    <row r="148">
      <c r="A148" t="inlineStr">
        <is>
          <t>27/05/2026</t>
        </is>
      </c>
      <c r="B148">
        <f>IF(ISNUMBER(A148), A148, DATE(RIGHT(A148,4), MID(A148,4,2), LEFT(A148,2)))</f>
        <v/>
      </c>
      <c r="C148" t="inlineStr">
        <is>
          <t>US DOLLAR</t>
        </is>
      </c>
      <c r="D148" t="n">
        <v>26113</v>
      </c>
      <c r="E148" t="n">
        <v>26143</v>
      </c>
      <c r="F148" t="n">
        <v>26393</v>
      </c>
      <c r="G148" t="inlineStr">
        <is>
          <t>EURO</t>
        </is>
      </c>
      <c r="H148" t="n">
        <v>29866.92</v>
      </c>
      <c r="I148" t="n">
        <v>30168.61</v>
      </c>
      <c r="J148" t="n">
        <v>31441.45</v>
      </c>
      <c r="K148" t="inlineStr">
        <is>
          <t>POUND STERLING</t>
        </is>
      </c>
      <c r="L148" t="n">
        <v>34524.41</v>
      </c>
      <c r="M148" t="n">
        <v>34873.14</v>
      </c>
      <c r="N148" t="n">
        <v>35989.89</v>
      </c>
      <c r="O148" t="inlineStr">
        <is>
          <t>YEN</t>
        </is>
      </c>
      <c r="P148" t="n">
        <v>159.65</v>
      </c>
      <c r="Q148" t="n">
        <v>161.26</v>
      </c>
      <c r="R148" t="n">
        <v>169.79</v>
      </c>
      <c r="S148" t="inlineStr">
        <is>
          <t>AUSTRALIAN DOLLAR</t>
        </is>
      </c>
      <c r="T148" t="n">
        <v>18419.52</v>
      </c>
      <c r="U148" t="n">
        <v>18605.57</v>
      </c>
      <c r="V148" t="n">
        <v>19201.38</v>
      </c>
      <c r="W148" t="inlineStr">
        <is>
          <t>CANADIAN DOLLAR</t>
        </is>
      </c>
      <c r="X148" t="n">
        <v>18596.47</v>
      </c>
      <c r="Y148" t="n">
        <v>18784.31</v>
      </c>
      <c r="Z148" t="n">
        <v>19385.85</v>
      </c>
      <c r="AA148" t="inlineStr">
        <is>
          <t>SWISS FRANC</t>
        </is>
      </c>
      <c r="AB148" t="n">
        <v>32704.95</v>
      </c>
      <c r="AC148" t="n">
        <v>33035.31</v>
      </c>
      <c r="AD148" t="n">
        <v>34093.2</v>
      </c>
      <c r="AE148" t="inlineStr">
        <is>
          <t>SINGAPORE DOLLAR</t>
        </is>
      </c>
      <c r="AF148" t="n">
        <v>20090.56</v>
      </c>
      <c r="AG148" t="n">
        <v>20293.5</v>
      </c>
      <c r="AH148" t="n">
        <v>20985.3</v>
      </c>
      <c r="AI148" t="inlineStr">
        <is>
          <t>YUAN RENMINBI</t>
        </is>
      </c>
      <c r="AJ148" t="n">
        <v>3782.32</v>
      </c>
      <c r="AK148" t="n">
        <v>3820.53</v>
      </c>
      <c r="AL148" t="n">
        <v>3942.87</v>
      </c>
      <c r="AM148" t="inlineStr">
        <is>
          <t>HONGKONG DOLLAR</t>
        </is>
      </c>
      <c r="AN148" t="n">
        <v>3265.77</v>
      </c>
      <c r="AO148" t="n">
        <v>3298.76</v>
      </c>
      <c r="AP148" t="n">
        <v>3424.89</v>
      </c>
      <c r="AQ148" t="inlineStr">
        <is>
          <t>THAILAND BAHT</t>
        </is>
      </c>
      <c r="AR148" t="n">
        <v>712.24</v>
      </c>
      <c r="AS148" t="n">
        <v>791.38</v>
      </c>
      <c r="AT148" t="n">
        <v>824.9299999999999</v>
      </c>
      <c r="AU148" t="inlineStr">
        <is>
          <t>KOREAN WON</t>
        </is>
      </c>
      <c r="AV148" t="n">
        <v>15.15</v>
      </c>
      <c r="AW148" t="n">
        <v>16.83</v>
      </c>
      <c r="AX148" t="n">
        <v>18.26</v>
      </c>
      <c r="AY148" t="inlineStr">
        <is>
          <t>MALAYSIAN RINGGIT</t>
        </is>
      </c>
      <c r="BA148" t="n">
        <v>6579.41</v>
      </c>
      <c r="BB148" t="n">
        <v>6722.53</v>
      </c>
      <c r="BC148" t="inlineStr">
        <is>
          <t>INDIAN RUPEE</t>
        </is>
      </c>
      <c r="BE148" t="n">
        <v>273.66</v>
      </c>
      <c r="BF148" t="n">
        <v>285.44</v>
      </c>
      <c r="BG148" t="inlineStr">
        <is>
          <t>KUWAITI DINAR</t>
        </is>
      </c>
      <c r="BI148" t="n">
        <v>85401.42999999999</v>
      </c>
      <c r="BJ148" t="n">
        <v>89540.53</v>
      </c>
      <c r="BK148" t="inlineStr">
        <is>
          <t>SAUDI RIAL</t>
        </is>
      </c>
      <c r="BM148" t="n">
        <v>6977.77</v>
      </c>
      <c r="BN148" t="n">
        <v>7278.05</v>
      </c>
      <c r="BO148" t="inlineStr">
        <is>
          <t>NORWEGIAN KRONER</t>
        </is>
      </c>
      <c r="BQ148" t="n">
        <v>2786.73</v>
      </c>
      <c r="BR148" t="n">
        <v>2904.89</v>
      </c>
      <c r="BS148" t="inlineStr">
        <is>
          <t>SWEDISH KRONA</t>
        </is>
      </c>
      <c r="BU148" t="n">
        <v>2776.78</v>
      </c>
      <c r="BV148" t="n">
        <v>2894.51</v>
      </c>
      <c r="BW148" t="inlineStr">
        <is>
          <t>DANISH KRONE</t>
        </is>
      </c>
      <c r="BY148" t="n">
        <v>4027.31</v>
      </c>
      <c r="BZ148" t="n">
        <v>4181.3</v>
      </c>
      <c r="CA148" t="inlineStr">
        <is>
          <t>RUSSIAN RUBLE</t>
        </is>
      </c>
      <c r="CC148" t="n">
        <v>348.1</v>
      </c>
      <c r="CD148" t="n">
        <v>385.33</v>
      </c>
    </row>
    <row r="149">
      <c r="A149" t="inlineStr">
        <is>
          <t>28/05/2026</t>
        </is>
      </c>
      <c r="B149">
        <f>IF(ISNUMBER(A149), A149, DATE(RIGHT(A149,4), MID(A149,4,2), LEFT(A149,2)))</f>
        <v/>
      </c>
      <c r="C149" t="inlineStr">
        <is>
          <t>US DOLLAR</t>
        </is>
      </c>
      <c r="D149" t="n">
        <v>26113</v>
      </c>
      <c r="E149" t="n">
        <v>26143</v>
      </c>
      <c r="F149" t="n">
        <v>26393</v>
      </c>
      <c r="G149" t="inlineStr">
        <is>
          <t>EURO</t>
        </is>
      </c>
      <c r="H149" t="n">
        <v>29816.13</v>
      </c>
      <c r="I149" t="n">
        <v>30117.3</v>
      </c>
      <c r="J149" t="n">
        <v>31387.97</v>
      </c>
      <c r="K149" t="inlineStr">
        <is>
          <t>POUND STERLING</t>
        </is>
      </c>
      <c r="L149" t="n">
        <v>34415.47</v>
      </c>
      <c r="M149" t="n">
        <v>34763.1</v>
      </c>
      <c r="N149" t="n">
        <v>35876.32</v>
      </c>
      <c r="O149" t="inlineStr">
        <is>
          <t>YEN</t>
        </is>
      </c>
      <c r="P149" t="n">
        <v>159.31</v>
      </c>
      <c r="Q149" t="n">
        <v>160.92</v>
      </c>
      <c r="R149" t="n">
        <v>169.43</v>
      </c>
      <c r="S149" t="inlineStr">
        <is>
          <t>AUSTRALIAN DOLLAR</t>
        </is>
      </c>
      <c r="T149" t="n">
        <v>18294.69</v>
      </c>
      <c r="U149" t="n">
        <v>18479.48</v>
      </c>
      <c r="V149" t="n">
        <v>19071.25</v>
      </c>
      <c r="W149" t="inlineStr">
        <is>
          <t>CANADIAN DOLLAR</t>
        </is>
      </c>
      <c r="X149" t="n">
        <v>18538.22</v>
      </c>
      <c r="Y149" t="n">
        <v>18725.47</v>
      </c>
      <c r="Z149" t="n">
        <v>19325.12</v>
      </c>
      <c r="AA149" t="inlineStr">
        <is>
          <t>SWISS FRANC</t>
        </is>
      </c>
      <c r="AB149" t="n">
        <v>32586.6</v>
      </c>
      <c r="AC149" t="n">
        <v>32915.76</v>
      </c>
      <c r="AD149" t="n">
        <v>33969.82</v>
      </c>
      <c r="AE149" t="inlineStr">
        <is>
          <t>SINGAPORE DOLLAR</t>
        </is>
      </c>
      <c r="AF149" t="n">
        <v>20062.94</v>
      </c>
      <c r="AG149" t="n">
        <v>20265.6</v>
      </c>
      <c r="AH149" t="n">
        <v>20956.44</v>
      </c>
      <c r="AI149" t="inlineStr">
        <is>
          <t>YUAN RENMINBI</t>
        </is>
      </c>
      <c r="AJ149" t="n">
        <v>3787.06</v>
      </c>
      <c r="AK149" t="n">
        <v>3825.31</v>
      </c>
      <c r="AL149" t="n">
        <v>3947.81</v>
      </c>
      <c r="AM149" t="inlineStr">
        <is>
          <t>HONGKONG DOLLAR</t>
        </is>
      </c>
      <c r="AN149" t="n">
        <v>3267.56</v>
      </c>
      <c r="AO149" t="n">
        <v>3300.56</v>
      </c>
      <c r="AP149" t="n">
        <v>3426.76</v>
      </c>
      <c r="AQ149" t="inlineStr">
        <is>
          <t>THAILAND BAHT</t>
        </is>
      </c>
      <c r="AR149" t="n">
        <v>711.72</v>
      </c>
      <c r="AS149" t="n">
        <v>790.8</v>
      </c>
      <c r="AT149" t="n">
        <v>824.33</v>
      </c>
      <c r="AU149" t="inlineStr">
        <is>
          <t>KOREAN WON</t>
        </is>
      </c>
      <c r="AV149" t="n">
        <v>15.14</v>
      </c>
      <c r="AW149" t="n">
        <v>16.83</v>
      </c>
      <c r="AX149" t="n">
        <v>18.26</v>
      </c>
      <c r="AY149" t="inlineStr">
        <is>
          <t>MALAYSIAN RINGGIT</t>
        </is>
      </c>
      <c r="BA149" t="n">
        <v>6572.36</v>
      </c>
      <c r="BB149" t="n">
        <v>6715.32</v>
      </c>
      <c r="BC149" t="inlineStr">
        <is>
          <t>INDIAN RUPEE</t>
        </is>
      </c>
      <c r="BE149" t="n">
        <v>273.69</v>
      </c>
      <c r="BF149" t="n">
        <v>285.46</v>
      </c>
      <c r="BG149" t="inlineStr">
        <is>
          <t>KUWAITI DINAR</t>
        </is>
      </c>
      <c r="BI149" t="n">
        <v>85417.66</v>
      </c>
      <c r="BJ149" t="n">
        <v>89557.50999999999</v>
      </c>
      <c r="BK149" t="inlineStr">
        <is>
          <t>SAUDI RIAL</t>
        </is>
      </c>
      <c r="BM149" t="n">
        <v>6979.1</v>
      </c>
      <c r="BN149" t="n">
        <v>7279.43</v>
      </c>
      <c r="BO149" t="inlineStr">
        <is>
          <t>NORWEGIAN KRONER</t>
        </is>
      </c>
      <c r="BQ149" t="n">
        <v>2779.85</v>
      </c>
      <c r="BR149" t="n">
        <v>2897.71</v>
      </c>
      <c r="BS149" t="inlineStr">
        <is>
          <t>SWEDISH KRONA</t>
        </is>
      </c>
      <c r="BU149" t="n">
        <v>2771.66</v>
      </c>
      <c r="BV149" t="n">
        <v>2889.18</v>
      </c>
      <c r="BW149" t="inlineStr">
        <is>
          <t>DANISH KRONE</t>
        </is>
      </c>
      <c r="BY149" t="n">
        <v>4019.62</v>
      </c>
      <c r="BZ149" t="n">
        <v>4173.31</v>
      </c>
      <c r="CA149" t="inlineStr">
        <is>
          <t>RUSSIAN RUBLE</t>
        </is>
      </c>
      <c r="CC149" t="n">
        <v>353.57</v>
      </c>
      <c r="CD149" t="n">
        <v>391.38</v>
      </c>
    </row>
    <row r="150">
      <c r="A150" t="inlineStr">
        <is>
          <t>29/05/2026</t>
        </is>
      </c>
      <c r="B150">
        <f>IF(ISNUMBER(A150), A150, DATE(RIGHT(A150,4), MID(A150,4,2), LEFT(A150,2)))</f>
        <v/>
      </c>
      <c r="C150" t="inlineStr">
        <is>
          <t>US DOLLAR</t>
        </is>
      </c>
      <c r="D150" t="n">
        <v>26085</v>
      </c>
      <c r="E150" t="n">
        <v>26115</v>
      </c>
      <c r="F150" t="n">
        <v>26395</v>
      </c>
      <c r="G150" t="inlineStr">
        <is>
          <t>EURO</t>
        </is>
      </c>
      <c r="H150" t="n">
        <v>29855.39</v>
      </c>
      <c r="I150" t="n">
        <v>30156.96</v>
      </c>
      <c r="J150" t="n">
        <v>31429.37</v>
      </c>
      <c r="K150" t="inlineStr">
        <is>
          <t>POUND STERLING</t>
        </is>
      </c>
      <c r="L150" t="n">
        <v>34414.42</v>
      </c>
      <c r="M150" t="n">
        <v>34762.04</v>
      </c>
      <c r="N150" t="n">
        <v>35875.3</v>
      </c>
      <c r="O150" t="inlineStr">
        <is>
          <t>YEN</t>
        </is>
      </c>
      <c r="P150" t="n">
        <v>159.44</v>
      </c>
      <c r="Q150" t="n">
        <v>161.05</v>
      </c>
      <c r="R150" t="n">
        <v>169.57</v>
      </c>
      <c r="S150" t="inlineStr">
        <is>
          <t>AUSTRALIAN DOLLAR</t>
        </is>
      </c>
      <c r="T150" t="n">
        <v>18354.02</v>
      </c>
      <c r="U150" t="n">
        <v>18539.41</v>
      </c>
      <c r="V150" t="n">
        <v>19133.14</v>
      </c>
      <c r="W150" t="inlineStr">
        <is>
          <t>CANADIAN DOLLAR</t>
        </is>
      </c>
      <c r="X150" t="n">
        <v>18579.81</v>
      </c>
      <c r="Y150" t="n">
        <v>18767.49</v>
      </c>
      <c r="Z150" t="n">
        <v>19368.52</v>
      </c>
      <c r="AA150" t="inlineStr">
        <is>
          <t>SWISS FRANC</t>
        </is>
      </c>
      <c r="AB150" t="n">
        <v>32719.82</v>
      </c>
      <c r="AC150" t="n">
        <v>33050.33</v>
      </c>
      <c r="AD150" t="n">
        <v>34108.77</v>
      </c>
      <c r="AE150" t="inlineStr">
        <is>
          <t>SINGAPORE DOLLAR</t>
        </is>
      </c>
      <c r="AF150" t="n">
        <v>20055.98</v>
      </c>
      <c r="AG150" t="n">
        <v>20258.57</v>
      </c>
      <c r="AH150" t="n">
        <v>20949.22</v>
      </c>
      <c r="AI150" t="inlineStr">
        <is>
          <t>YUAN RENMINBI</t>
        </is>
      </c>
      <c r="AJ150" t="n">
        <v>3786.56</v>
      </c>
      <c r="AK150" t="n">
        <v>3824.8</v>
      </c>
      <c r="AL150" t="n">
        <v>3947.29</v>
      </c>
      <c r="AM150" t="inlineStr">
        <is>
          <t>HONGKONG DOLLAR</t>
        </is>
      </c>
      <c r="AN150" t="n">
        <v>3262.21</v>
      </c>
      <c r="AO150" t="n">
        <v>3295.17</v>
      </c>
      <c r="AP150" t="n">
        <v>3421.17</v>
      </c>
      <c r="AQ150" t="inlineStr">
        <is>
          <t>THAILAND BAHT</t>
        </is>
      </c>
      <c r="AR150" t="n">
        <v>712.39</v>
      </c>
      <c r="AS150" t="n">
        <v>791.54</v>
      </c>
      <c r="AT150" t="n">
        <v>825.1</v>
      </c>
      <c r="AU150" t="inlineStr">
        <is>
          <t>KOREAN WON</t>
        </is>
      </c>
      <c r="AV150" t="n">
        <v>15.09</v>
      </c>
      <c r="AW150" t="n">
        <v>16.76</v>
      </c>
      <c r="AX150" t="n">
        <v>18.19</v>
      </c>
      <c r="AY150" t="inlineStr">
        <is>
          <t>MALAYSIAN RINGGIT</t>
        </is>
      </c>
      <c r="BA150" t="n">
        <v>6564.03</v>
      </c>
      <c r="BB150" t="n">
        <v>6706.83</v>
      </c>
      <c r="BC150" t="inlineStr">
        <is>
          <t>INDIAN RUPEE</t>
        </is>
      </c>
      <c r="BE150" t="n">
        <v>274</v>
      </c>
      <c r="BF150" t="n">
        <v>285.79</v>
      </c>
      <c r="BG150" t="inlineStr">
        <is>
          <t>KUWAITI DINAR</t>
        </is>
      </c>
      <c r="BI150" t="n">
        <v>85287.85000000001</v>
      </c>
      <c r="BJ150" t="n">
        <v>89421.61</v>
      </c>
      <c r="BK150" t="inlineStr">
        <is>
          <t>SAUDI RIAL</t>
        </is>
      </c>
      <c r="BM150" t="n">
        <v>6968.3</v>
      </c>
      <c r="BN150" t="n">
        <v>7268.19</v>
      </c>
      <c r="BO150" t="inlineStr">
        <is>
          <t>NORWEGIAN KRONER</t>
        </is>
      </c>
      <c r="BQ150" t="n">
        <v>2783.51</v>
      </c>
      <c r="BR150" t="n">
        <v>2901.53</v>
      </c>
      <c r="BS150" t="inlineStr">
        <is>
          <t>SWEDISH KRONA</t>
        </is>
      </c>
      <c r="BU150" t="n">
        <v>2787.6</v>
      </c>
      <c r="BV150" t="n">
        <v>2905.8</v>
      </c>
      <c r="BW150" t="inlineStr">
        <is>
          <t>DANISH KRONE</t>
        </is>
      </c>
      <c r="BY150" t="n">
        <v>4024.65</v>
      </c>
      <c r="BZ150" t="n">
        <v>4178.55</v>
      </c>
      <c r="CA150" t="inlineStr">
        <is>
          <t>RUSSIAN RUBLE</t>
        </is>
      </c>
      <c r="CC150" t="n">
        <v>351.52</v>
      </c>
      <c r="CD150" t="n">
        <v>389.12</v>
      </c>
    </row>
    <row r="151">
      <c r="A151" t="inlineStr">
        <is>
          <t>30/05/2026</t>
        </is>
      </c>
      <c r="B151">
        <f>IF(ISNUMBER(A151), A151, DATE(RIGHT(A151,4), MID(A151,4,2), LEFT(A151,2)))</f>
        <v/>
      </c>
      <c r="C151" t="inlineStr">
        <is>
          <t>US DOLLAR</t>
        </is>
      </c>
      <c r="D151" t="n">
        <v>26085</v>
      </c>
      <c r="E151" t="n">
        <v>26115</v>
      </c>
      <c r="F151" t="n">
        <v>26395</v>
      </c>
      <c r="G151" t="inlineStr">
        <is>
          <t>EURO</t>
        </is>
      </c>
      <c r="H151" t="n">
        <v>29855.39</v>
      </c>
      <c r="I151" t="n">
        <v>30156.96</v>
      </c>
      <c r="J151" t="n">
        <v>31429.37</v>
      </c>
      <c r="K151" t="inlineStr">
        <is>
          <t>POUND STERLING</t>
        </is>
      </c>
      <c r="L151" t="n">
        <v>34414.42</v>
      </c>
      <c r="M151" t="n">
        <v>34762.04</v>
      </c>
      <c r="N151" t="n">
        <v>35875.3</v>
      </c>
      <c r="O151" t="inlineStr">
        <is>
          <t>YEN</t>
        </is>
      </c>
      <c r="P151" t="n">
        <v>159.44</v>
      </c>
      <c r="Q151" t="n">
        <v>161.05</v>
      </c>
      <c r="R151" t="n">
        <v>169.57</v>
      </c>
      <c r="S151" t="inlineStr">
        <is>
          <t>AUSTRALIAN DOLLAR</t>
        </is>
      </c>
      <c r="T151" t="n">
        <v>18354.02</v>
      </c>
      <c r="U151" t="n">
        <v>18539.41</v>
      </c>
      <c r="V151" t="n">
        <v>19133.14</v>
      </c>
      <c r="W151" t="inlineStr">
        <is>
          <t>CANADIAN DOLLAR</t>
        </is>
      </c>
      <c r="X151" t="n">
        <v>18579.81</v>
      </c>
      <c r="Y151" t="n">
        <v>18767.49</v>
      </c>
      <c r="Z151" t="n">
        <v>19368.52</v>
      </c>
      <c r="AA151" t="inlineStr">
        <is>
          <t>SWISS FRANC</t>
        </is>
      </c>
      <c r="AB151" t="n">
        <v>32719.82</v>
      </c>
      <c r="AC151" t="n">
        <v>33050.33</v>
      </c>
      <c r="AD151" t="n">
        <v>34108.77</v>
      </c>
      <c r="AE151" t="inlineStr">
        <is>
          <t>SINGAPORE DOLLAR</t>
        </is>
      </c>
      <c r="AF151" t="n">
        <v>20055.98</v>
      </c>
      <c r="AG151" t="n">
        <v>20258.57</v>
      </c>
      <c r="AH151" t="n">
        <v>20949.22</v>
      </c>
      <c r="AI151" t="inlineStr">
        <is>
          <t>YUAN RENMINBI</t>
        </is>
      </c>
      <c r="AJ151" t="n">
        <v>3786.56</v>
      </c>
      <c r="AK151" t="n">
        <v>3824.8</v>
      </c>
      <c r="AL151" t="n">
        <v>3947.29</v>
      </c>
      <c r="AM151" t="inlineStr">
        <is>
          <t>HONGKONG DOLLAR</t>
        </is>
      </c>
      <c r="AN151" t="n">
        <v>3262.21</v>
      </c>
      <c r="AO151" t="n">
        <v>3295.17</v>
      </c>
      <c r="AP151" t="n">
        <v>3421.17</v>
      </c>
      <c r="AQ151" t="inlineStr">
        <is>
          <t>THAILAND BAHT</t>
        </is>
      </c>
      <c r="AR151" t="n">
        <v>712.39</v>
      </c>
      <c r="AS151" t="n">
        <v>791.54</v>
      </c>
      <c r="AT151" t="n">
        <v>825.1</v>
      </c>
      <c r="AU151" t="inlineStr">
        <is>
          <t>KOREAN WON</t>
        </is>
      </c>
      <c r="AV151" t="n">
        <v>15.09</v>
      </c>
      <c r="AW151" t="n">
        <v>16.76</v>
      </c>
      <c r="AX151" t="n">
        <v>18.19</v>
      </c>
      <c r="AY151" t="inlineStr">
        <is>
          <t>MALAYSIAN RINGGIT</t>
        </is>
      </c>
      <c r="BA151" t="n">
        <v>6564.03</v>
      </c>
      <c r="BB151" t="n">
        <v>6706.83</v>
      </c>
      <c r="BC151" t="inlineStr">
        <is>
          <t>INDIAN RUPEE</t>
        </is>
      </c>
      <c r="BE151" t="n">
        <v>274</v>
      </c>
      <c r="BF151" t="n">
        <v>285.79</v>
      </c>
      <c r="BG151" t="inlineStr">
        <is>
          <t>KUWAITI DINAR</t>
        </is>
      </c>
      <c r="BI151" t="n">
        <v>85287.85000000001</v>
      </c>
      <c r="BJ151" t="n">
        <v>89421.61</v>
      </c>
      <c r="BK151" t="inlineStr">
        <is>
          <t>SAUDI RIAL</t>
        </is>
      </c>
      <c r="BM151" t="n">
        <v>6968.3</v>
      </c>
      <c r="BN151" t="n">
        <v>7268.19</v>
      </c>
      <c r="BO151" t="inlineStr">
        <is>
          <t>NORWEGIAN KRONER</t>
        </is>
      </c>
      <c r="BQ151" t="n">
        <v>2783.51</v>
      </c>
      <c r="BR151" t="n">
        <v>2901.53</v>
      </c>
      <c r="BS151" t="inlineStr">
        <is>
          <t>SWEDISH KRONA</t>
        </is>
      </c>
      <c r="BU151" t="n">
        <v>2787.6</v>
      </c>
      <c r="BV151" t="n">
        <v>2905.8</v>
      </c>
      <c r="BW151" t="inlineStr">
        <is>
          <t>DANISH KRONE</t>
        </is>
      </c>
      <c r="BY151" t="n">
        <v>4024.65</v>
      </c>
      <c r="BZ151" t="n">
        <v>4178.55</v>
      </c>
      <c r="CA151" t="inlineStr">
        <is>
          <t>RUSSIAN RUBLE</t>
        </is>
      </c>
      <c r="CC151" t="n">
        <v>351.52</v>
      </c>
      <c r="CD151" t="n">
        <v>389.12</v>
      </c>
    </row>
    <row r="152">
      <c r="A152" t="inlineStr">
        <is>
          <t>01/06/2026</t>
        </is>
      </c>
      <c r="B152">
        <f>IF(ISNUMBER(A152), A152, DATE(RIGHT(A152,4), MID(A152,4,2), LEFT(A152,2)))</f>
        <v/>
      </c>
      <c r="C152" t="inlineStr">
        <is>
          <t>US DOLLAR</t>
        </is>
      </c>
      <c r="D152" t="n">
        <v>26084</v>
      </c>
      <c r="E152" t="n">
        <v>26114</v>
      </c>
      <c r="F152" t="n">
        <v>26394</v>
      </c>
      <c r="G152" t="inlineStr">
        <is>
          <t>EURO</t>
        </is>
      </c>
      <c r="H152" t="n">
        <v>29907.43</v>
      </c>
      <c r="I152" t="n">
        <v>30209.52</v>
      </c>
      <c r="J152" t="n">
        <v>31484.1</v>
      </c>
      <c r="K152" t="inlineStr">
        <is>
          <t>POUND STERLING</t>
        </is>
      </c>
      <c r="L152" t="n">
        <v>34546.07</v>
      </c>
      <c r="M152" t="n">
        <v>34895.02</v>
      </c>
      <c r="N152" t="n">
        <v>36012.48</v>
      </c>
      <c r="O152" t="inlineStr">
        <is>
          <t>YEN</t>
        </is>
      </c>
      <c r="P152" t="n">
        <v>159.37</v>
      </c>
      <c r="Q152" t="n">
        <v>160.98</v>
      </c>
      <c r="R152" t="n">
        <v>169.49</v>
      </c>
      <c r="S152" t="inlineStr">
        <is>
          <t>AUSTRALIAN DOLLAR</t>
        </is>
      </c>
      <c r="T152" t="n">
        <v>18423.71</v>
      </c>
      <c r="U152" t="n">
        <v>18609.81</v>
      </c>
      <c r="V152" t="n">
        <v>19205.76</v>
      </c>
      <c r="W152" t="inlineStr">
        <is>
          <t>CANADIAN DOLLAR</t>
        </is>
      </c>
      <c r="X152" t="n">
        <v>18587.55</v>
      </c>
      <c r="Y152" t="n">
        <v>18775.3</v>
      </c>
      <c r="Z152" t="n">
        <v>19376.55</v>
      </c>
      <c r="AA152" t="inlineStr">
        <is>
          <t>SWISS FRANC</t>
        </is>
      </c>
      <c r="AB152" t="n">
        <v>32811.62</v>
      </c>
      <c r="AC152" t="n">
        <v>33143.05</v>
      </c>
      <c r="AD152" t="n">
        <v>34204.41</v>
      </c>
      <c r="AE152" t="inlineStr">
        <is>
          <t>SINGAPORE DOLLAR</t>
        </is>
      </c>
      <c r="AF152" t="n">
        <v>20077.31</v>
      </c>
      <c r="AG152" t="n">
        <v>20280.11</v>
      </c>
      <c r="AH152" t="n">
        <v>20971.46</v>
      </c>
      <c r="AI152" t="inlineStr">
        <is>
          <t>YUAN RENMINBI</t>
        </is>
      </c>
      <c r="AJ152" t="n">
        <v>3792.9</v>
      </c>
      <c r="AK152" t="n">
        <v>3831.21</v>
      </c>
      <c r="AL152" t="n">
        <v>3953.9</v>
      </c>
      <c r="AM152" t="inlineStr">
        <is>
          <t>HONGKONG DOLLAR</t>
        </is>
      </c>
      <c r="AN152" t="n">
        <v>3264.81</v>
      </c>
      <c r="AO152" t="n">
        <v>3297.79</v>
      </c>
      <c r="AP152" t="n">
        <v>3423.89</v>
      </c>
      <c r="AQ152" t="inlineStr">
        <is>
          <t>THAILAND BAHT</t>
        </is>
      </c>
      <c r="AR152" t="n">
        <v>713.64</v>
      </c>
      <c r="AS152" t="n">
        <v>792.9299999999999</v>
      </c>
      <c r="AT152" t="n">
        <v>826.55</v>
      </c>
      <c r="AU152" t="inlineStr">
        <is>
          <t>KOREAN WON</t>
        </is>
      </c>
      <c r="AV152" t="n">
        <v>15.12</v>
      </c>
      <c r="AW152" t="n">
        <v>16.8</v>
      </c>
      <c r="AX152" t="n">
        <v>18.23</v>
      </c>
      <c r="AY152" t="inlineStr">
        <is>
          <t>MALAYSIAN RINGGIT</t>
        </is>
      </c>
      <c r="BA152" t="n">
        <v>6573.18</v>
      </c>
      <c r="BB152" t="n">
        <v>6716.16</v>
      </c>
      <c r="BC152" t="inlineStr">
        <is>
          <t>INDIAN RUPEE</t>
        </is>
      </c>
      <c r="BE152" t="n">
        <v>275.68</v>
      </c>
      <c r="BF152" t="n">
        <v>287.54</v>
      </c>
      <c r="BG152" t="inlineStr">
        <is>
          <t>KUWAITI DINAR</t>
        </is>
      </c>
      <c r="BI152" t="n">
        <v>85385.21000000001</v>
      </c>
      <c r="BJ152" t="n">
        <v>89523.53999999999</v>
      </c>
      <c r="BK152" t="inlineStr">
        <is>
          <t>SAUDI RIAL</t>
        </is>
      </c>
      <c r="BM152" t="n">
        <v>6976.44</v>
      </c>
      <c r="BN152" t="n">
        <v>7276.67</v>
      </c>
      <c r="BO152" t="inlineStr">
        <is>
          <t>NORWEGIAN KRONER</t>
        </is>
      </c>
      <c r="BQ152" t="n">
        <v>2791.51</v>
      </c>
      <c r="BR152" t="n">
        <v>2909.87</v>
      </c>
      <c r="BS152" t="inlineStr">
        <is>
          <t>SWEDISH KRONA</t>
        </is>
      </c>
      <c r="BU152" t="n">
        <v>2791.54</v>
      </c>
      <c r="BV152" t="n">
        <v>2909.9</v>
      </c>
      <c r="BW152" t="inlineStr">
        <is>
          <t>DANISH KRONE</t>
        </is>
      </c>
      <c r="BY152" t="n">
        <v>4032.07</v>
      </c>
      <c r="BZ152" t="n">
        <v>4186.25</v>
      </c>
      <c r="CA152" t="inlineStr">
        <is>
          <t>RUSSIAN RUBLE</t>
        </is>
      </c>
      <c r="CC152" t="n">
        <v>350.2</v>
      </c>
      <c r="CD152" t="n">
        <v>387.66</v>
      </c>
    </row>
    <row r="153">
      <c r="A153" t="inlineStr">
        <is>
          <t>02/06/2026</t>
        </is>
      </c>
      <c r="B153">
        <f>IF(ISNUMBER(A153), A153, DATE(RIGHT(A153,4), MID(A153,4,2), LEFT(A153,2)))</f>
        <v/>
      </c>
      <c r="C153" t="inlineStr">
        <is>
          <t>US DOLLAR</t>
        </is>
      </c>
      <c r="D153" t="n">
        <v>26088</v>
      </c>
      <c r="E153" t="n">
        <v>26118</v>
      </c>
      <c r="F153" t="n">
        <v>26398</v>
      </c>
      <c r="G153" t="inlineStr">
        <is>
          <t>EURO</t>
        </is>
      </c>
      <c r="H153" t="n">
        <v>29849.5</v>
      </c>
      <c r="I153" t="n">
        <v>30151.01</v>
      </c>
      <c r="J153" t="n">
        <v>31423.1</v>
      </c>
      <c r="K153" t="inlineStr">
        <is>
          <t>POUND STERLING</t>
        </is>
      </c>
      <c r="L153" t="n">
        <v>34520.7</v>
      </c>
      <c r="M153" t="n">
        <v>34869.39</v>
      </c>
      <c r="N153" t="n">
        <v>35986.01</v>
      </c>
      <c r="O153" t="inlineStr">
        <is>
          <t>YEN</t>
        </is>
      </c>
      <c r="P153" t="n">
        <v>159.75</v>
      </c>
      <c r="Q153" t="n">
        <v>161.37</v>
      </c>
      <c r="R153" t="n">
        <v>169.9</v>
      </c>
      <c r="S153" t="inlineStr">
        <is>
          <t>AUSTRALIAN DOLLAR</t>
        </is>
      </c>
      <c r="T153" t="n">
        <v>18361.42</v>
      </c>
      <c r="U153" t="n">
        <v>18546.89</v>
      </c>
      <c r="V153" t="n">
        <v>19140.81</v>
      </c>
      <c r="W153" t="inlineStr">
        <is>
          <t>CANADIAN DOLLAR</t>
        </is>
      </c>
      <c r="X153" t="n">
        <v>18540.9</v>
      </c>
      <c r="Y153" t="n">
        <v>18728.18</v>
      </c>
      <c r="Z153" t="n">
        <v>19327.91</v>
      </c>
      <c r="AA153" t="inlineStr">
        <is>
          <t>SWISS FRANC</t>
        </is>
      </c>
      <c r="AB153" t="n">
        <v>32636.31</v>
      </c>
      <c r="AC153" t="n">
        <v>32965.97</v>
      </c>
      <c r="AD153" t="n">
        <v>34021.64</v>
      </c>
      <c r="AE153" t="inlineStr">
        <is>
          <t>SINGAPORE DOLLAR</t>
        </is>
      </c>
      <c r="AF153" t="n">
        <v>20056.66</v>
      </c>
      <c r="AG153" t="n">
        <v>20259.26</v>
      </c>
      <c r="AH153" t="n">
        <v>20949.88</v>
      </c>
      <c r="AI153" t="inlineStr">
        <is>
          <t>YUAN RENMINBI</t>
        </is>
      </c>
      <c r="AJ153" t="n">
        <v>3795.46</v>
      </c>
      <c r="AK153" t="n">
        <v>3833.8</v>
      </c>
      <c r="AL153" t="n">
        <v>3956.57</v>
      </c>
      <c r="AM153" t="inlineStr">
        <is>
          <t>HONGKONG DOLLAR</t>
        </is>
      </c>
      <c r="AN153" t="n">
        <v>3265.39</v>
      </c>
      <c r="AO153" t="n">
        <v>3298.37</v>
      </c>
      <c r="AP153" t="n">
        <v>3424.49</v>
      </c>
      <c r="AQ153" t="inlineStr">
        <is>
          <t>THAILAND BAHT</t>
        </is>
      </c>
      <c r="AR153" t="n">
        <v>713.03</v>
      </c>
      <c r="AS153" t="n">
        <v>792.26</v>
      </c>
      <c r="AT153" t="n">
        <v>825.85</v>
      </c>
      <c r="AU153" t="inlineStr">
        <is>
          <t>KOREAN WON</t>
        </is>
      </c>
      <c r="AV153" t="n">
        <v>15.02</v>
      </c>
      <c r="AW153" t="n">
        <v>16.69</v>
      </c>
      <c r="AX153" t="n">
        <v>18.11</v>
      </c>
      <c r="AY153" t="inlineStr">
        <is>
          <t>MALAYSIAN RINGGIT</t>
        </is>
      </c>
      <c r="BA153" t="n">
        <v>6575.68</v>
      </c>
      <c r="BB153" t="n">
        <v>6718.71</v>
      </c>
      <c r="BC153" t="inlineStr">
        <is>
          <t>INDIAN RUPEE</t>
        </is>
      </c>
      <c r="BE153" t="n">
        <v>275.7</v>
      </c>
      <c r="BF153" t="n">
        <v>287.57</v>
      </c>
      <c r="BG153" t="inlineStr">
        <is>
          <t>KUWAITI DINAR</t>
        </is>
      </c>
      <c r="BI153" t="n">
        <v>85417.66</v>
      </c>
      <c r="BJ153" t="n">
        <v>89557.50999999999</v>
      </c>
      <c r="BK153" t="inlineStr">
        <is>
          <t>SAUDI RIAL</t>
        </is>
      </c>
      <c r="BM153" t="n">
        <v>6978.72</v>
      </c>
      <c r="BN153" t="n">
        <v>7279.04</v>
      </c>
      <c r="BO153" t="inlineStr">
        <is>
          <t>NORWEGIAN KRONER</t>
        </is>
      </c>
      <c r="BQ153" t="n">
        <v>2777.66</v>
      </c>
      <c r="BR153" t="n">
        <v>2895.43</v>
      </c>
      <c r="BS153" t="inlineStr">
        <is>
          <t>SWEDISH KRONA</t>
        </is>
      </c>
      <c r="BU153" t="n">
        <v>2771.1</v>
      </c>
      <c r="BV153" t="n">
        <v>2888.59</v>
      </c>
      <c r="BW153" t="inlineStr">
        <is>
          <t>DANISH KRONE</t>
        </is>
      </c>
      <c r="BY153" t="n">
        <v>4024</v>
      </c>
      <c r="BZ153" t="n">
        <v>4177.86</v>
      </c>
      <c r="CA153" t="inlineStr">
        <is>
          <t>RUSSIAN RUBLE</t>
        </is>
      </c>
      <c r="CC153" t="n">
        <v>348.39</v>
      </c>
      <c r="CD153" t="n">
        <v>385.65</v>
      </c>
    </row>
    <row r="154">
      <c r="A154" t="inlineStr">
        <is>
          <t>03/06/2026</t>
        </is>
      </c>
      <c r="B154">
        <f>IF(ISNUMBER(A154), A154, DATE(RIGHT(A154,4), MID(A154,4,2), LEFT(A154,2)))</f>
        <v/>
      </c>
      <c r="C154" t="inlineStr">
        <is>
          <t>US DOLLAR</t>
        </is>
      </c>
      <c r="D154" t="n">
        <v>26092</v>
      </c>
      <c r="E154" t="n">
        <v>26122</v>
      </c>
      <c r="F154" t="n">
        <v>26402</v>
      </c>
      <c r="G154" t="inlineStr">
        <is>
          <t>EURO</t>
        </is>
      </c>
      <c r="H154" t="n">
        <v>29841.26</v>
      </c>
      <c r="I154" t="n">
        <v>30142.69</v>
      </c>
      <c r="J154" t="n">
        <v>31414.44</v>
      </c>
      <c r="K154" t="inlineStr">
        <is>
          <t>POUND STERLING</t>
        </is>
      </c>
      <c r="L154" t="n">
        <v>34550.07</v>
      </c>
      <c r="M154" t="n">
        <v>34899.06</v>
      </c>
      <c r="N154" t="n">
        <v>36016.64</v>
      </c>
      <c r="O154" t="inlineStr">
        <is>
          <t>YEN</t>
        </is>
      </c>
      <c r="P154" t="n">
        <v>158.95</v>
      </c>
      <c r="Q154" t="n">
        <v>160.56</v>
      </c>
      <c r="R154" t="n">
        <v>169.05</v>
      </c>
      <c r="S154" t="inlineStr">
        <is>
          <t>AUSTRALIAN DOLLAR</t>
        </is>
      </c>
      <c r="T154" t="n">
        <v>18422.08</v>
      </c>
      <c r="U154" t="n">
        <v>18608.17</v>
      </c>
      <c r="V154" t="n">
        <v>19204.06</v>
      </c>
      <c r="W154" t="inlineStr">
        <is>
          <t>CANADIAN DOLLAR</t>
        </is>
      </c>
      <c r="X154" t="n">
        <v>18546.75</v>
      </c>
      <c r="Y154" t="n">
        <v>18734.09</v>
      </c>
      <c r="Z154" t="n">
        <v>19334.02</v>
      </c>
      <c r="AA154" t="inlineStr">
        <is>
          <t>SWISS FRANC</t>
        </is>
      </c>
      <c r="AB154" t="n">
        <v>32592.82</v>
      </c>
      <c r="AC154" t="n">
        <v>32922.04</v>
      </c>
      <c r="AD154" t="n">
        <v>33976.31</v>
      </c>
      <c r="AE154" t="inlineStr">
        <is>
          <t>SINGAPORE DOLLAR</t>
        </is>
      </c>
      <c r="AF154" t="n">
        <v>20045.02</v>
      </c>
      <c r="AG154" t="n">
        <v>20247.49</v>
      </c>
      <c r="AH154" t="n">
        <v>20937.72</v>
      </c>
      <c r="AI154" t="inlineStr">
        <is>
          <t>YUAN RENMINBI</t>
        </is>
      </c>
      <c r="AJ154" t="n">
        <v>3795.64</v>
      </c>
      <c r="AK154" t="n">
        <v>3833.98</v>
      </c>
      <c r="AL154" t="n">
        <v>3956.75</v>
      </c>
      <c r="AM154" t="inlineStr">
        <is>
          <t>HONGKONG DOLLAR</t>
        </is>
      </c>
      <c r="AN154" t="n">
        <v>3265.52</v>
      </c>
      <c r="AO154" t="n">
        <v>3298.5</v>
      </c>
      <c r="AP154" t="n">
        <v>3424.62</v>
      </c>
      <c r="AQ154" t="inlineStr">
        <is>
          <t>THAILAND BAHT</t>
        </is>
      </c>
      <c r="AR154" t="n">
        <v>710.9299999999999</v>
      </c>
      <c r="AS154" t="n">
        <v>789.9299999999999</v>
      </c>
      <c r="AT154" t="n">
        <v>823.42</v>
      </c>
      <c r="AU154" t="inlineStr">
        <is>
          <t>KOREAN WON</t>
        </is>
      </c>
      <c r="AV154" t="n">
        <v>15</v>
      </c>
      <c r="AW154" t="n">
        <v>16.67</v>
      </c>
      <c r="AX154" t="n">
        <v>18.09</v>
      </c>
      <c r="AY154" t="inlineStr">
        <is>
          <t>MALAYSIAN RINGGIT</t>
        </is>
      </c>
      <c r="BA154" t="n">
        <v>6562.84</v>
      </c>
      <c r="BB154" t="n">
        <v>6705.59</v>
      </c>
      <c r="BC154" t="inlineStr">
        <is>
          <t>INDIAN RUPEE</t>
        </is>
      </c>
      <c r="BE154" t="n">
        <v>274.87</v>
      </c>
      <c r="BF154" t="n">
        <v>286.7</v>
      </c>
      <c r="BG154" t="inlineStr">
        <is>
          <t>KUWAITI DINAR</t>
        </is>
      </c>
      <c r="BI154" t="n">
        <v>85345.75999999999</v>
      </c>
      <c r="BJ154" t="n">
        <v>89482.14999999999</v>
      </c>
      <c r="BK154" t="inlineStr">
        <is>
          <t>SAUDI RIAL</t>
        </is>
      </c>
      <c r="BM154" t="n">
        <v>6976.65</v>
      </c>
      <c r="BN154" t="n">
        <v>7276.89</v>
      </c>
      <c r="BO154" t="inlineStr">
        <is>
          <t>NORWEGIAN KRONER</t>
        </is>
      </c>
      <c r="BQ154" t="n">
        <v>2779.14</v>
      </c>
      <c r="BR154" t="n">
        <v>2896.97</v>
      </c>
      <c r="BS154" t="inlineStr">
        <is>
          <t>SWEDISH KRONA</t>
        </is>
      </c>
      <c r="BU154" t="n">
        <v>2768.25</v>
      </c>
      <c r="BV154" t="n">
        <v>2885.62</v>
      </c>
      <c r="BW154" t="inlineStr">
        <is>
          <t>DANISH KRONE</t>
        </is>
      </c>
      <c r="BY154" t="n">
        <v>4023.36</v>
      </c>
      <c r="BZ154" t="n">
        <v>4177.2</v>
      </c>
      <c r="CA154" t="inlineStr">
        <is>
          <t>RUSSIAN RUBLE</t>
        </is>
      </c>
      <c r="CC154" t="n">
        <v>343.31</v>
      </c>
      <c r="CD154" t="n">
        <v>380.03</v>
      </c>
    </row>
    <row r="155">
      <c r="A155" t="inlineStr">
        <is>
          <t>04/06/2026</t>
        </is>
      </c>
      <c r="B155">
        <f>IF(ISNUMBER(A155), A155, DATE(RIGHT(A155,4), MID(A155,4,2), LEFT(A155,2)))</f>
        <v/>
      </c>
      <c r="C155" t="inlineStr">
        <is>
          <t>US DOLLAR</t>
        </is>
      </c>
      <c r="D155" t="n">
        <v>26092</v>
      </c>
      <c r="E155" t="n">
        <v>26122</v>
      </c>
      <c r="F155" t="n">
        <v>26402</v>
      </c>
      <c r="G155" t="inlineStr">
        <is>
          <t>EURO</t>
        </is>
      </c>
      <c r="H155" t="n">
        <v>29787.9</v>
      </c>
      <c r="I155" t="n">
        <v>30088.79</v>
      </c>
      <c r="J155" t="n">
        <v>31358.25</v>
      </c>
      <c r="K155" t="inlineStr">
        <is>
          <t>POUND STERLING</t>
        </is>
      </c>
      <c r="L155" t="n">
        <v>34453.97</v>
      </c>
      <c r="M155" t="n">
        <v>34801.99</v>
      </c>
      <c r="N155" t="n">
        <v>35916.45</v>
      </c>
      <c r="O155" t="inlineStr">
        <is>
          <t>YEN</t>
        </is>
      </c>
      <c r="P155" t="n">
        <v>158.98</v>
      </c>
      <c r="Q155" t="n">
        <v>160.59</v>
      </c>
      <c r="R155" t="n">
        <v>169.08</v>
      </c>
      <c r="S155" t="inlineStr">
        <is>
          <t>AUSTRALIAN DOLLAR</t>
        </is>
      </c>
      <c r="T155" t="n">
        <v>18297.25</v>
      </c>
      <c r="U155" t="n">
        <v>18482.08</v>
      </c>
      <c r="V155" t="n">
        <v>19073.92</v>
      </c>
      <c r="W155" t="inlineStr">
        <is>
          <t>CANADIAN DOLLAR</t>
        </is>
      </c>
      <c r="X155" t="n">
        <v>18479.5</v>
      </c>
      <c r="Y155" t="n">
        <v>18666.16</v>
      </c>
      <c r="Z155" t="n">
        <v>19263.91</v>
      </c>
      <c r="AA155" t="inlineStr">
        <is>
          <t>SWISS FRANC</t>
        </is>
      </c>
      <c r="AB155" t="n">
        <v>32458.87</v>
      </c>
      <c r="AC155" t="n">
        <v>32786.74</v>
      </c>
      <c r="AD155" t="n">
        <v>33836.67</v>
      </c>
      <c r="AE155" t="inlineStr">
        <is>
          <t>SINGAPORE DOLLAR</t>
        </is>
      </c>
      <c r="AF155" t="n">
        <v>19994.12</v>
      </c>
      <c r="AG155" t="n">
        <v>20196.08</v>
      </c>
      <c r="AH155" t="n">
        <v>20884.55</v>
      </c>
      <c r="AI155" t="inlineStr">
        <is>
          <t>YUAN RENMINBI</t>
        </is>
      </c>
      <c r="AJ155" t="n">
        <v>3792.43</v>
      </c>
      <c r="AK155" t="n">
        <v>3830.74</v>
      </c>
      <c r="AL155" t="n">
        <v>3953.41</v>
      </c>
      <c r="AM155" t="inlineStr">
        <is>
          <t>HONGKONG DOLLAR</t>
        </is>
      </c>
      <c r="AN155" t="n">
        <v>3266.6</v>
      </c>
      <c r="AO155" t="n">
        <v>3299.59</v>
      </c>
      <c r="AP155" t="n">
        <v>3425.75</v>
      </c>
      <c r="AQ155" t="inlineStr">
        <is>
          <t>THAILAND BAHT</t>
        </is>
      </c>
      <c r="AR155" t="n">
        <v>709.98</v>
      </c>
      <c r="AS155" t="n">
        <v>788.87</v>
      </c>
      <c r="AT155" t="n">
        <v>822.3200000000001</v>
      </c>
      <c r="AU155" t="inlineStr">
        <is>
          <t>KOREAN WON</t>
        </is>
      </c>
      <c r="AV155" t="n">
        <v>14.91</v>
      </c>
      <c r="AW155" t="n">
        <v>16.56</v>
      </c>
      <c r="AX155" t="n">
        <v>17.97</v>
      </c>
      <c r="AY155" t="inlineStr">
        <is>
          <t>MALAYSIAN RINGGIT</t>
        </is>
      </c>
      <c r="BA155" t="n">
        <v>6524.64</v>
      </c>
      <c r="BB155" t="n">
        <v>6666.57</v>
      </c>
      <c r="BC155" t="inlineStr">
        <is>
          <t>INDIAN RUPEE</t>
        </is>
      </c>
      <c r="BE155" t="n">
        <v>273.64</v>
      </c>
      <c r="BF155" t="n">
        <v>285.42</v>
      </c>
      <c r="BG155" t="inlineStr">
        <is>
          <t>KUWAITI DINAR</t>
        </is>
      </c>
      <c r="BI155" t="n">
        <v>85361.98</v>
      </c>
      <c r="BJ155" t="n">
        <v>89499.13</v>
      </c>
      <c r="BK155" t="inlineStr">
        <is>
          <t>SAUDI RIAL</t>
        </is>
      </c>
      <c r="BM155" t="n">
        <v>6976.68</v>
      </c>
      <c r="BN155" t="n">
        <v>7276.91</v>
      </c>
      <c r="BO155" t="inlineStr">
        <is>
          <t>NORWEGIAN KRONER</t>
        </is>
      </c>
      <c r="BQ155" t="n">
        <v>2769.43</v>
      </c>
      <c r="BR155" t="n">
        <v>2886.85</v>
      </c>
      <c r="BS155" t="inlineStr">
        <is>
          <t>SWEDISH KRONA</t>
        </is>
      </c>
      <c r="BU155" t="n">
        <v>2748.28</v>
      </c>
      <c r="BV155" t="n">
        <v>2864.81</v>
      </c>
      <c r="BW155" t="inlineStr">
        <is>
          <t>DANISH KRONE</t>
        </is>
      </c>
      <c r="BY155" t="n">
        <v>4015.69</v>
      </c>
      <c r="BZ155" t="n">
        <v>4169.23</v>
      </c>
      <c r="CA155" t="inlineStr">
        <is>
          <t>RUSSIAN RUBLE</t>
        </is>
      </c>
      <c r="CC155" t="n">
        <v>339.66</v>
      </c>
      <c r="CD155" t="n">
        <v>375.98</v>
      </c>
    </row>
    <row r="156">
      <c r="A156" t="inlineStr">
        <is>
          <t>05/06/2026</t>
        </is>
      </c>
      <c r="B156">
        <f>IF(ISNUMBER(A156), A156, DATE(RIGHT(A156,4), MID(A156,4,2), LEFT(A156,2)))</f>
        <v/>
      </c>
      <c r="C156" t="inlineStr">
        <is>
          <t>US DOLLAR</t>
        </is>
      </c>
      <c r="D156" t="n">
        <v>26094</v>
      </c>
      <c r="E156" t="n">
        <v>26124</v>
      </c>
      <c r="F156" t="n">
        <v>26404</v>
      </c>
      <c r="G156" t="inlineStr">
        <is>
          <t>EURO</t>
        </is>
      </c>
      <c r="H156" t="n">
        <v>29793.94</v>
      </c>
      <c r="I156" t="n">
        <v>30094.89</v>
      </c>
      <c r="J156" t="n">
        <v>31364.62</v>
      </c>
      <c r="K156" t="inlineStr">
        <is>
          <t>POUND STERLING</t>
        </is>
      </c>
      <c r="L156" t="n">
        <v>34435.85</v>
      </c>
      <c r="M156" t="n">
        <v>34783.69</v>
      </c>
      <c r="N156" t="n">
        <v>35897.57</v>
      </c>
      <c r="O156" t="inlineStr">
        <is>
          <t>YEN</t>
        </is>
      </c>
      <c r="P156" t="n">
        <v>158.9</v>
      </c>
      <c r="Q156" t="n">
        <v>160.5</v>
      </c>
      <c r="R156" t="n">
        <v>168.99</v>
      </c>
      <c r="S156" t="inlineStr">
        <is>
          <t>AUSTRALIAN DOLLAR</t>
        </is>
      </c>
      <c r="T156" t="n">
        <v>18277.69</v>
      </c>
      <c r="U156" t="n">
        <v>18462.31</v>
      </c>
      <c r="V156" t="n">
        <v>19053.53</v>
      </c>
      <c r="W156" t="inlineStr">
        <is>
          <t>CANADIAN DOLLAR</t>
        </is>
      </c>
      <c r="X156" t="n">
        <v>18459.34</v>
      </c>
      <c r="Y156" t="n">
        <v>18645.8</v>
      </c>
      <c r="Z156" t="n">
        <v>19242.9</v>
      </c>
      <c r="AA156" t="inlineStr">
        <is>
          <t>SWISS FRANC</t>
        </is>
      </c>
      <c r="AB156" t="n">
        <v>32529.62</v>
      </c>
      <c r="AC156" t="n">
        <v>32858.2</v>
      </c>
      <c r="AD156" t="n">
        <v>33910.43</v>
      </c>
      <c r="AE156" t="inlineStr">
        <is>
          <t>SINGAPORE DOLLAR</t>
        </is>
      </c>
      <c r="AF156" t="n">
        <v>19960</v>
      </c>
      <c r="AG156" t="n">
        <v>20161.61</v>
      </c>
      <c r="AH156" t="n">
        <v>20848.92</v>
      </c>
      <c r="AI156" t="inlineStr">
        <is>
          <t>YUAN RENMINBI</t>
        </is>
      </c>
      <c r="AJ156" t="n">
        <v>3789.16</v>
      </c>
      <c r="AK156" t="n">
        <v>3827.43</v>
      </c>
      <c r="AL156" t="n">
        <v>3950</v>
      </c>
      <c r="AM156" t="inlineStr">
        <is>
          <t>HONGKONG DOLLAR</t>
        </is>
      </c>
      <c r="AN156" t="n">
        <v>3266.39</v>
      </c>
      <c r="AO156" t="n">
        <v>3299.39</v>
      </c>
      <c r="AP156" t="n">
        <v>3425.54</v>
      </c>
      <c r="AQ156" t="inlineStr">
        <is>
          <t>THAILAND BAHT</t>
        </is>
      </c>
      <c r="AR156" t="n">
        <v>710.47</v>
      </c>
      <c r="AS156" t="n">
        <v>789.41</v>
      </c>
      <c r="AT156" t="n">
        <v>822.88</v>
      </c>
      <c r="AU156" t="inlineStr">
        <is>
          <t>KOREAN WON</t>
        </is>
      </c>
      <c r="AV156" t="n">
        <v>14.79</v>
      </c>
      <c r="AW156" t="n">
        <v>16.43</v>
      </c>
      <c r="AX156" t="n">
        <v>17.82</v>
      </c>
      <c r="AY156" t="inlineStr">
        <is>
          <t>MALAYSIAN RINGGIT</t>
        </is>
      </c>
      <c r="BA156" t="n">
        <v>6480.96</v>
      </c>
      <c r="BB156" t="n">
        <v>6621.94</v>
      </c>
      <c r="BC156" t="inlineStr">
        <is>
          <t>INDIAN RUPEE</t>
        </is>
      </c>
      <c r="BE156" t="n">
        <v>273.37</v>
      </c>
      <c r="BF156" t="n">
        <v>285.13</v>
      </c>
      <c r="BG156" t="inlineStr">
        <is>
          <t>KUWAITI DINAR</t>
        </is>
      </c>
      <c r="BI156" t="n">
        <v>85314.71000000001</v>
      </c>
      <c r="BJ156" t="n">
        <v>89449.60000000001</v>
      </c>
      <c r="BK156" t="inlineStr">
        <is>
          <t>SAUDI RIAL</t>
        </is>
      </c>
      <c r="BM156" t="n">
        <v>6974.16</v>
      </c>
      <c r="BN156" t="n">
        <v>7274.28</v>
      </c>
      <c r="BO156" t="inlineStr">
        <is>
          <t>NORWEGIAN KRONER</t>
        </is>
      </c>
      <c r="BQ156" t="n">
        <v>2760.21</v>
      </c>
      <c r="BR156" t="n">
        <v>2877.24</v>
      </c>
      <c r="BS156" t="inlineStr">
        <is>
          <t>SWEDISH KRONA</t>
        </is>
      </c>
      <c r="BU156" t="n">
        <v>2749.71</v>
      </c>
      <c r="BV156" t="n">
        <v>2866.29</v>
      </c>
      <c r="BW156" t="inlineStr">
        <is>
          <t>DANISH KRONE</t>
        </is>
      </c>
      <c r="BY156" t="n">
        <v>4016.21</v>
      </c>
      <c r="BZ156" t="n">
        <v>4169.77</v>
      </c>
      <c r="CA156" t="inlineStr">
        <is>
          <t>RUSSIAN RUBLE</t>
        </is>
      </c>
      <c r="CC156" t="n">
        <v>341.45</v>
      </c>
      <c r="CD156" t="n">
        <v>377.97</v>
      </c>
    </row>
    <row r="157">
      <c r="A157" t="inlineStr">
        <is>
          <t>06/06/2026</t>
        </is>
      </c>
      <c r="B157">
        <f>IF(ISNUMBER(A157), A157, DATE(RIGHT(A157,4), MID(A157,4,2), LEFT(A157,2)))</f>
        <v/>
      </c>
      <c r="C157" t="inlineStr">
        <is>
          <t>US DOLLAR</t>
        </is>
      </c>
      <c r="D157" t="n">
        <v>26094</v>
      </c>
      <c r="E157" t="n">
        <v>26124</v>
      </c>
      <c r="F157" t="n">
        <v>26404</v>
      </c>
      <c r="G157" t="inlineStr">
        <is>
          <t>EURO</t>
        </is>
      </c>
      <c r="H157" t="n">
        <v>29793.94</v>
      </c>
      <c r="I157" t="n">
        <v>30094.89</v>
      </c>
      <c r="J157" t="n">
        <v>31364.62</v>
      </c>
      <c r="K157" t="inlineStr">
        <is>
          <t>POUND STERLING</t>
        </is>
      </c>
      <c r="L157" t="n">
        <v>34435.85</v>
      </c>
      <c r="M157" t="n">
        <v>34783.69</v>
      </c>
      <c r="N157" t="n">
        <v>35897.57</v>
      </c>
      <c r="O157" t="inlineStr">
        <is>
          <t>YEN</t>
        </is>
      </c>
      <c r="P157" t="n">
        <v>158.9</v>
      </c>
      <c r="Q157" t="n">
        <v>160.5</v>
      </c>
      <c r="R157" t="n">
        <v>168.99</v>
      </c>
      <c r="S157" t="inlineStr">
        <is>
          <t>AUSTRALIAN DOLLAR</t>
        </is>
      </c>
      <c r="T157" t="n">
        <v>18277.69</v>
      </c>
      <c r="U157" t="n">
        <v>18462.31</v>
      </c>
      <c r="V157" t="n">
        <v>19053.53</v>
      </c>
      <c r="W157" t="inlineStr">
        <is>
          <t>CANADIAN DOLLAR</t>
        </is>
      </c>
      <c r="X157" t="n">
        <v>18459.34</v>
      </c>
      <c r="Y157" t="n">
        <v>18645.8</v>
      </c>
      <c r="Z157" t="n">
        <v>19242.9</v>
      </c>
      <c r="AA157" t="inlineStr">
        <is>
          <t>SWISS FRANC</t>
        </is>
      </c>
      <c r="AB157" t="n">
        <v>32529.62</v>
      </c>
      <c r="AC157" t="n">
        <v>32858.2</v>
      </c>
      <c r="AD157" t="n">
        <v>33910.43</v>
      </c>
      <c r="AE157" t="inlineStr">
        <is>
          <t>SINGAPORE DOLLAR</t>
        </is>
      </c>
      <c r="AF157" t="n">
        <v>19960</v>
      </c>
      <c r="AG157" t="n">
        <v>20161.61</v>
      </c>
      <c r="AH157" t="n">
        <v>20848.92</v>
      </c>
      <c r="AI157" t="inlineStr">
        <is>
          <t>YUAN RENMINBI</t>
        </is>
      </c>
      <c r="AJ157" t="n">
        <v>3789.16</v>
      </c>
      <c r="AK157" t="n">
        <v>3827.43</v>
      </c>
      <c r="AL157" t="n">
        <v>3950</v>
      </c>
      <c r="AM157" t="inlineStr">
        <is>
          <t>HONGKONG DOLLAR</t>
        </is>
      </c>
      <c r="AN157" t="n">
        <v>3266.39</v>
      </c>
      <c r="AO157" t="n">
        <v>3299.39</v>
      </c>
      <c r="AP157" t="n">
        <v>3425.54</v>
      </c>
      <c r="AQ157" t="inlineStr">
        <is>
          <t>THAILAND BAHT</t>
        </is>
      </c>
      <c r="AR157" t="n">
        <v>710.47</v>
      </c>
      <c r="AS157" t="n">
        <v>789.41</v>
      </c>
      <c r="AT157" t="n">
        <v>822.88</v>
      </c>
      <c r="AU157" t="inlineStr">
        <is>
          <t>KOREAN WON</t>
        </is>
      </c>
      <c r="AV157" t="n">
        <v>14.79</v>
      </c>
      <c r="AW157" t="n">
        <v>16.43</v>
      </c>
      <c r="AX157" t="n">
        <v>17.82</v>
      </c>
      <c r="AY157" t="inlineStr">
        <is>
          <t>MALAYSIAN RINGGIT</t>
        </is>
      </c>
      <c r="BA157" t="n">
        <v>6480.96</v>
      </c>
      <c r="BB157" t="n">
        <v>6621.94</v>
      </c>
      <c r="BC157" t="inlineStr">
        <is>
          <t>INDIAN RUPEE</t>
        </is>
      </c>
      <c r="BE157" t="n">
        <v>273.37</v>
      </c>
      <c r="BF157" t="n">
        <v>285.13</v>
      </c>
      <c r="BG157" t="inlineStr">
        <is>
          <t>KUWAITI DINAR</t>
        </is>
      </c>
      <c r="BI157" t="n">
        <v>85314.71000000001</v>
      </c>
      <c r="BJ157" t="n">
        <v>89449.60000000001</v>
      </c>
      <c r="BK157" t="inlineStr">
        <is>
          <t>SAUDI RIAL</t>
        </is>
      </c>
      <c r="BM157" t="n">
        <v>6974.16</v>
      </c>
      <c r="BN157" t="n">
        <v>7274.28</v>
      </c>
      <c r="BO157" t="inlineStr">
        <is>
          <t>NORWEGIAN KRONER</t>
        </is>
      </c>
      <c r="BQ157" t="n">
        <v>2760.21</v>
      </c>
      <c r="BR157" t="n">
        <v>2877.24</v>
      </c>
      <c r="BS157" t="inlineStr">
        <is>
          <t>SWEDISH KRONA</t>
        </is>
      </c>
      <c r="BU157" t="n">
        <v>2749.71</v>
      </c>
      <c r="BV157" t="n">
        <v>2866.29</v>
      </c>
      <c r="BW157" t="inlineStr">
        <is>
          <t>DANISH KRONE</t>
        </is>
      </c>
      <c r="BY157" t="n">
        <v>4016.21</v>
      </c>
      <c r="BZ157" t="n">
        <v>4169.77</v>
      </c>
      <c r="CA157" t="inlineStr">
        <is>
          <t>RUSSIAN RUBLE</t>
        </is>
      </c>
      <c r="CC157" t="n">
        <v>341.45</v>
      </c>
      <c r="CD157" t="n">
        <v>377.97</v>
      </c>
    </row>
    <row r="158">
      <c r="A158" t="inlineStr">
        <is>
          <t>08/06/2026</t>
        </is>
      </c>
      <c r="B158">
        <f>IF(ISNUMBER(A158), A158, DATE(RIGHT(A158,4), MID(A158,4,2), LEFT(A158,2)))</f>
        <v/>
      </c>
      <c r="C158" t="inlineStr">
        <is>
          <t>US DOLLAR</t>
        </is>
      </c>
      <c r="D158" t="n">
        <v>26097</v>
      </c>
      <c r="E158" t="n">
        <v>26127</v>
      </c>
      <c r="F158" t="n">
        <v>26407</v>
      </c>
      <c r="G158" t="inlineStr">
        <is>
          <t>EURO</t>
        </is>
      </c>
      <c r="H158" t="n">
        <v>29589.29</v>
      </c>
      <c r="I158" t="n">
        <v>29888.17</v>
      </c>
      <c r="J158" t="n">
        <v>31149.19</v>
      </c>
      <c r="K158" t="inlineStr">
        <is>
          <t>POUND STERLING</t>
        </is>
      </c>
      <c r="L158" t="n">
        <v>34240.76</v>
      </c>
      <c r="M158" t="n">
        <v>34586.63</v>
      </c>
      <c r="N158" t="n">
        <v>35694.21</v>
      </c>
      <c r="O158" t="inlineStr">
        <is>
          <t>YEN</t>
        </is>
      </c>
      <c r="P158" t="n">
        <v>158.51</v>
      </c>
      <c r="Q158" t="n">
        <v>160.11</v>
      </c>
      <c r="R158" t="n">
        <v>168.57</v>
      </c>
      <c r="S158" t="inlineStr">
        <is>
          <t>AUSTRALIAN DOLLAR</t>
        </is>
      </c>
      <c r="T158" t="n">
        <v>18103.01</v>
      </c>
      <c r="U158" t="n">
        <v>18285.87</v>
      </c>
      <c r="V158" t="n">
        <v>18871.45</v>
      </c>
      <c r="W158" t="inlineStr">
        <is>
          <t>CANADIAN DOLLAR</t>
        </is>
      </c>
      <c r="X158" t="n">
        <v>18412.84</v>
      </c>
      <c r="Y158" t="n">
        <v>18598.82</v>
      </c>
      <c r="Z158" t="n">
        <v>19194.42</v>
      </c>
      <c r="AA158" t="inlineStr">
        <is>
          <t>SWISS FRANC</t>
        </is>
      </c>
      <c r="AB158" t="n">
        <v>32250.81</v>
      </c>
      <c r="AC158" t="n">
        <v>32576.58</v>
      </c>
      <c r="AD158" t="n">
        <v>33619.79</v>
      </c>
      <c r="AE158" t="inlineStr">
        <is>
          <t>SINGAPORE DOLLAR</t>
        </is>
      </c>
      <c r="AF158" t="n">
        <v>19881.13</v>
      </c>
      <c r="AG158" t="n">
        <v>20081.95</v>
      </c>
      <c r="AH158" t="n">
        <v>20766.54</v>
      </c>
      <c r="AI158" t="inlineStr">
        <is>
          <t>YUAN RENMINBI</t>
        </is>
      </c>
      <c r="AJ158" t="n">
        <v>3793.06</v>
      </c>
      <c r="AK158" t="n">
        <v>3831.38</v>
      </c>
      <c r="AL158" t="n">
        <v>3954.07</v>
      </c>
      <c r="AM158" t="inlineStr">
        <is>
          <t>HONGKONG DOLLAR</t>
        </is>
      </c>
      <c r="AN158" t="n">
        <v>3265.98</v>
      </c>
      <c r="AO158" t="n">
        <v>3298.97</v>
      </c>
      <c r="AP158" t="n">
        <v>3425.11</v>
      </c>
      <c r="AQ158" t="inlineStr">
        <is>
          <t>THAILAND BAHT</t>
        </is>
      </c>
      <c r="AR158" t="n">
        <v>708.41</v>
      </c>
      <c r="AS158" t="n">
        <v>787.13</v>
      </c>
      <c r="AT158" t="n">
        <v>820.5</v>
      </c>
      <c r="AU158" t="inlineStr">
        <is>
          <t>KOREAN WON</t>
        </is>
      </c>
      <c r="AV158" t="n">
        <v>14.71</v>
      </c>
      <c r="AW158" t="n">
        <v>16.35</v>
      </c>
      <c r="AX158" t="n">
        <v>17.74</v>
      </c>
      <c r="AY158" t="inlineStr">
        <is>
          <t>MALAYSIAN RINGGIT</t>
        </is>
      </c>
      <c r="BA158" t="n">
        <v>6411.4</v>
      </c>
      <c r="BB158" t="n">
        <v>6550.86</v>
      </c>
      <c r="BC158" t="inlineStr">
        <is>
          <t>INDIAN RUPEE</t>
        </is>
      </c>
      <c r="BE158" t="n">
        <v>275.73</v>
      </c>
      <c r="BF158" t="n">
        <v>287.59</v>
      </c>
      <c r="BG158" t="inlineStr">
        <is>
          <t>KUWAITI DINAR</t>
        </is>
      </c>
      <c r="BI158" t="n">
        <v>85218.44</v>
      </c>
      <c r="BJ158" t="n">
        <v>89348.69</v>
      </c>
      <c r="BK158" t="inlineStr">
        <is>
          <t>SAUDI RIAL</t>
        </is>
      </c>
      <c r="BM158" t="n">
        <v>6972.73</v>
      </c>
      <c r="BN158" t="n">
        <v>7272.79</v>
      </c>
      <c r="BO158" t="inlineStr">
        <is>
          <t>NORWEGIAN KRONER</t>
        </is>
      </c>
      <c r="BQ158" t="n">
        <v>2731.15</v>
      </c>
      <c r="BR158" t="n">
        <v>2846.95</v>
      </c>
      <c r="BS158" t="inlineStr">
        <is>
          <t>SWEDISH KRONA</t>
        </is>
      </c>
      <c r="BU158" t="n">
        <v>2729.28</v>
      </c>
      <c r="BV158" t="n">
        <v>2844.99</v>
      </c>
      <c r="BW158" t="inlineStr">
        <is>
          <t>DANISH KRONE</t>
        </is>
      </c>
      <c r="BY158" t="n">
        <v>3988.33</v>
      </c>
      <c r="BZ158" t="n">
        <v>4140.83</v>
      </c>
      <c r="CA158" t="inlineStr">
        <is>
          <t>RUSSIAN RUBLE</t>
        </is>
      </c>
      <c r="CC158" t="n">
        <v>340.01</v>
      </c>
      <c r="CD158" t="n">
        <v>376.37</v>
      </c>
    </row>
    <row r="159">
      <c r="A159" t="inlineStr">
        <is>
          <t>09/06/2026</t>
        </is>
      </c>
      <c r="B159">
        <f>IF(ISNUMBER(A159), A159, DATE(RIGHT(A159,4), MID(A159,4,2), LEFT(A159,2)))</f>
        <v/>
      </c>
      <c r="C159" t="inlineStr">
        <is>
          <t>US DOLLAR</t>
        </is>
      </c>
      <c r="D159" t="n">
        <v>26098</v>
      </c>
      <c r="E159" t="n">
        <v>26128</v>
      </c>
      <c r="F159" t="n">
        <v>26408</v>
      </c>
      <c r="G159" t="inlineStr">
        <is>
          <t>EURO</t>
        </is>
      </c>
      <c r="H159" t="n">
        <v>29551.77</v>
      </c>
      <c r="I159" t="n">
        <v>29850.28</v>
      </c>
      <c r="J159" t="n">
        <v>31109.68</v>
      </c>
      <c r="K159" t="inlineStr">
        <is>
          <t>POUND STERLING</t>
        </is>
      </c>
      <c r="L159" t="n">
        <v>34253.77</v>
      </c>
      <c r="M159" t="n">
        <v>34599.77</v>
      </c>
      <c r="N159" t="n">
        <v>35707.76</v>
      </c>
      <c r="O159" t="inlineStr">
        <is>
          <t>YEN</t>
        </is>
      </c>
      <c r="P159" t="n">
        <v>158.64</v>
      </c>
      <c r="Q159" t="n">
        <v>160.25</v>
      </c>
      <c r="R159" t="n">
        <v>168.72</v>
      </c>
      <c r="S159" t="inlineStr">
        <is>
          <t>AUSTRALIAN DOLLAR</t>
        </is>
      </c>
      <c r="T159" t="n">
        <v>18073.96</v>
      </c>
      <c r="U159" t="n">
        <v>18256.53</v>
      </c>
      <c r="V159" t="n">
        <v>18841.15</v>
      </c>
      <c r="W159" t="inlineStr">
        <is>
          <t>CANADIAN DOLLAR</t>
        </is>
      </c>
      <c r="X159" t="n">
        <v>18405.31</v>
      </c>
      <c r="Y159" t="n">
        <v>18591.22</v>
      </c>
      <c r="Z159" t="n">
        <v>19186.57</v>
      </c>
      <c r="AA159" t="inlineStr">
        <is>
          <t>SWISS FRANC</t>
        </is>
      </c>
      <c r="AB159" t="n">
        <v>32190.25</v>
      </c>
      <c r="AC159" t="n">
        <v>32515.4</v>
      </c>
      <c r="AD159" t="n">
        <v>33556.64</v>
      </c>
      <c r="AE159" t="inlineStr">
        <is>
          <t>SINGAPORE DOLLAR</t>
        </is>
      </c>
      <c r="AF159" t="n">
        <v>19924.22</v>
      </c>
      <c r="AG159" t="n">
        <v>20125.48</v>
      </c>
      <c r="AH159" t="n">
        <v>20811.54</v>
      </c>
      <c r="AI159" t="inlineStr">
        <is>
          <t>YUAN RENMINBI</t>
        </is>
      </c>
      <c r="AJ159" t="n">
        <v>3787.45</v>
      </c>
      <c r="AK159" t="n">
        <v>3825.71</v>
      </c>
      <c r="AL159" t="n">
        <v>3948.22</v>
      </c>
      <c r="AM159" t="inlineStr">
        <is>
          <t>HONGKONG DOLLAR</t>
        </is>
      </c>
      <c r="AN159" t="n">
        <v>3266.55</v>
      </c>
      <c r="AO159" t="n">
        <v>3299.55</v>
      </c>
      <c r="AP159" t="n">
        <v>3425.71</v>
      </c>
      <c r="AQ159" t="inlineStr">
        <is>
          <t>THAILAND BAHT</t>
        </is>
      </c>
      <c r="AR159" t="n">
        <v>706.53</v>
      </c>
      <c r="AS159" t="n">
        <v>785.03</v>
      </c>
      <c r="AT159" t="n">
        <v>818.3099999999999</v>
      </c>
      <c r="AU159" t="inlineStr">
        <is>
          <t>KOREAN WON</t>
        </is>
      </c>
      <c r="AV159" t="n">
        <v>14.99</v>
      </c>
      <c r="AW159" t="n">
        <v>16.66</v>
      </c>
      <c r="AX159" t="n">
        <v>18.08</v>
      </c>
      <c r="AY159" t="inlineStr">
        <is>
          <t>MALAYSIAN RINGGIT</t>
        </is>
      </c>
      <c r="BA159" t="n">
        <v>6415.41</v>
      </c>
      <c r="BB159" t="n">
        <v>6554.96</v>
      </c>
      <c r="BC159" t="inlineStr">
        <is>
          <t>INDIAN RUPEE</t>
        </is>
      </c>
      <c r="BE159" t="n">
        <v>273.89</v>
      </c>
      <c r="BF159" t="n">
        <v>285.67</v>
      </c>
      <c r="BG159" t="inlineStr">
        <is>
          <t>KUWAITI DINAR</t>
        </is>
      </c>
      <c r="BI159" t="n">
        <v>85250.83</v>
      </c>
      <c r="BJ159" t="n">
        <v>89382.60000000001</v>
      </c>
      <c r="BK159" t="inlineStr">
        <is>
          <t>SAUDI RIAL</t>
        </is>
      </c>
      <c r="BM159" t="n">
        <v>6975.93</v>
      </c>
      <c r="BN159" t="n">
        <v>7276.13</v>
      </c>
      <c r="BO159" t="inlineStr">
        <is>
          <t>NORWEGIAN KRONER</t>
        </is>
      </c>
      <c r="BQ159" t="n">
        <v>2725.47</v>
      </c>
      <c r="BR159" t="n">
        <v>2841.02</v>
      </c>
      <c r="BS159" t="inlineStr">
        <is>
          <t>SWEDISH KRONA</t>
        </is>
      </c>
      <c r="BU159" t="n">
        <v>2738.37</v>
      </c>
      <c r="BV159" t="n">
        <v>2854.47</v>
      </c>
      <c r="BW159" t="inlineStr">
        <is>
          <t>DANISH KRONE</t>
        </is>
      </c>
      <c r="BY159" t="n">
        <v>3990.9</v>
      </c>
      <c r="BZ159" t="n">
        <v>4143.49</v>
      </c>
      <c r="CA159" t="inlineStr">
        <is>
          <t>RUSSIAN RUBLE</t>
        </is>
      </c>
      <c r="CC159" t="n">
        <v>343.52</v>
      </c>
      <c r="CD159" t="n">
        <v>380.25</v>
      </c>
    </row>
    <row r="160">
      <c r="A160" t="inlineStr">
        <is>
          <t>10/06/2026</t>
        </is>
      </c>
      <c r="B160">
        <f>IF(ISNUMBER(A160), A160, DATE(RIGHT(A160,4), MID(A160,4,2), LEFT(A160,2)))</f>
        <v/>
      </c>
      <c r="C160" t="inlineStr">
        <is>
          <t>US DOLLAR</t>
        </is>
      </c>
      <c r="D160" t="n">
        <v>26100</v>
      </c>
      <c r="E160" t="n">
        <v>26130</v>
      </c>
      <c r="F160" t="n">
        <v>26410</v>
      </c>
      <c r="G160" t="inlineStr">
        <is>
          <t>EURO</t>
        </is>
      </c>
      <c r="H160" t="n">
        <v>29591.86</v>
      </c>
      <c r="I160" t="n">
        <v>29890.76</v>
      </c>
      <c r="J160" t="n">
        <v>31151.89</v>
      </c>
      <c r="K160" t="inlineStr">
        <is>
          <t>POUND STERLING</t>
        </is>
      </c>
      <c r="L160" t="n">
        <v>34297.2</v>
      </c>
      <c r="M160" t="n">
        <v>34643.64</v>
      </c>
      <c r="N160" t="n">
        <v>35753.05</v>
      </c>
      <c r="O160" t="inlineStr">
        <is>
          <t>YEN</t>
        </is>
      </c>
      <c r="P160" t="n">
        <v>158.45</v>
      </c>
      <c r="Q160" t="n">
        <v>160.05</v>
      </c>
      <c r="R160" t="n">
        <v>168.51</v>
      </c>
      <c r="S160" t="inlineStr">
        <is>
          <t>AUSTRALIAN DOLLAR</t>
        </is>
      </c>
      <c r="T160" t="n">
        <v>18005.52</v>
      </c>
      <c r="U160" t="n">
        <v>18187.39</v>
      </c>
      <c r="V160" t="n">
        <v>18769.82</v>
      </c>
      <c r="W160" t="inlineStr">
        <is>
          <t>CANADIAN DOLLAR</t>
        </is>
      </c>
      <c r="X160" t="n">
        <v>18390.4</v>
      </c>
      <c r="Y160" t="n">
        <v>18576.17</v>
      </c>
      <c r="Z160" t="n">
        <v>19171.04</v>
      </c>
      <c r="AA160" t="inlineStr">
        <is>
          <t>SWISS FRANC</t>
        </is>
      </c>
      <c r="AB160" t="n">
        <v>32105.56</v>
      </c>
      <c r="AC160" t="n">
        <v>32429.85</v>
      </c>
      <c r="AD160" t="n">
        <v>33468.37</v>
      </c>
      <c r="AE160" t="inlineStr">
        <is>
          <t>SINGAPORE DOLLAR</t>
        </is>
      </c>
      <c r="AF160" t="n">
        <v>19916.65</v>
      </c>
      <c r="AG160" t="n">
        <v>20117.83</v>
      </c>
      <c r="AH160" t="n">
        <v>20803.65</v>
      </c>
      <c r="AI160" t="inlineStr">
        <is>
          <t>YUAN RENMINBI</t>
        </is>
      </c>
      <c r="AJ160" t="n">
        <v>3789.31</v>
      </c>
      <c r="AK160" t="n">
        <v>3827.59</v>
      </c>
      <c r="AL160" t="n">
        <v>3950.16</v>
      </c>
      <c r="AM160" t="inlineStr">
        <is>
          <t>HONGKONG DOLLAR</t>
        </is>
      </c>
      <c r="AN160" t="n">
        <v>3264.81</v>
      </c>
      <c r="AO160" t="n">
        <v>3297.79</v>
      </c>
      <c r="AP160" t="n">
        <v>3423.89</v>
      </c>
      <c r="AQ160" t="inlineStr">
        <is>
          <t>THAILAND BAHT</t>
        </is>
      </c>
      <c r="AR160" t="n">
        <v>704.76</v>
      </c>
      <c r="AS160" t="n">
        <v>783.0599999999999</v>
      </c>
      <c r="AT160" t="n">
        <v>816.26</v>
      </c>
      <c r="AU160" t="inlineStr">
        <is>
          <t>KOREAN WON</t>
        </is>
      </c>
      <c r="AV160" t="n">
        <v>14.99</v>
      </c>
      <c r="AW160" t="n">
        <v>16.65</v>
      </c>
      <c r="AX160" t="n">
        <v>18.07</v>
      </c>
      <c r="AY160" t="inlineStr">
        <is>
          <t>MALAYSIAN RINGGIT</t>
        </is>
      </c>
      <c r="BA160" t="n">
        <v>6409.82</v>
      </c>
      <c r="BB160" t="n">
        <v>6549.25</v>
      </c>
      <c r="BC160" t="inlineStr">
        <is>
          <t>INDIAN RUPEE</t>
        </is>
      </c>
      <c r="BE160" t="n">
        <v>274.56</v>
      </c>
      <c r="BF160" t="n">
        <v>286.37</v>
      </c>
      <c r="BG160" t="inlineStr">
        <is>
          <t>KUWAITI DINAR</t>
        </is>
      </c>
      <c r="BI160" t="n">
        <v>85218.44</v>
      </c>
      <c r="BJ160" t="n">
        <v>89348.69</v>
      </c>
      <c r="BK160" t="inlineStr">
        <is>
          <t>SAUDI RIAL</t>
        </is>
      </c>
      <c r="BM160" t="n">
        <v>6972.36</v>
      </c>
      <c r="BN160" t="n">
        <v>7272.41</v>
      </c>
      <c r="BO160" t="inlineStr">
        <is>
          <t>NORWEGIAN KRONER</t>
        </is>
      </c>
      <c r="BQ160" t="n">
        <v>2711.69</v>
      </c>
      <c r="BR160" t="n">
        <v>2826.66</v>
      </c>
      <c r="BS160" t="inlineStr">
        <is>
          <t>SWEDISH KRONA</t>
        </is>
      </c>
      <c r="BU160" t="n">
        <v>2720.1</v>
      </c>
      <c r="BV160" t="n">
        <v>2835.42</v>
      </c>
      <c r="BW160" t="inlineStr">
        <is>
          <t>DANISH KRONE</t>
        </is>
      </c>
      <c r="BY160" t="n">
        <v>3988.95</v>
      </c>
      <c r="BZ160" t="n">
        <v>4141.47</v>
      </c>
      <c r="CA160" t="inlineStr">
        <is>
          <t>RUSSIAN RUBLE</t>
        </is>
      </c>
      <c r="CC160" t="n">
        <v>348.16</v>
      </c>
      <c r="CD160" t="n">
        <v>385.39</v>
      </c>
    </row>
    <row r="161">
      <c r="A161" t="inlineStr">
        <is>
          <t>11/06/2026</t>
        </is>
      </c>
      <c r="B161">
        <f>IF(ISNUMBER(A161), A161, DATE(RIGHT(A161,4), MID(A161,4,2), LEFT(A161,2)))</f>
        <v/>
      </c>
      <c r="C161" t="inlineStr">
        <is>
          <t>US DOLLAR</t>
        </is>
      </c>
      <c r="D161" t="n">
        <v>26100</v>
      </c>
      <c r="E161" t="n">
        <v>26130</v>
      </c>
      <c r="F161" t="n">
        <v>26410</v>
      </c>
      <c r="G161" t="inlineStr">
        <is>
          <t>EURO</t>
        </is>
      </c>
      <c r="H161" t="n">
        <v>29593.43</v>
      </c>
      <c r="I161" t="n">
        <v>29892.36</v>
      </c>
      <c r="J161" t="n">
        <v>31153.57</v>
      </c>
      <c r="K161" t="inlineStr">
        <is>
          <t>POUND STERLING</t>
        </is>
      </c>
      <c r="L161" t="n">
        <v>34281.6</v>
      </c>
      <c r="M161" t="n">
        <v>34627.88</v>
      </c>
      <c r="N161" t="n">
        <v>35736.81</v>
      </c>
      <c r="O161" t="inlineStr">
        <is>
          <t>YEN</t>
        </is>
      </c>
      <c r="P161" t="n">
        <v>158.25</v>
      </c>
      <c r="Q161" t="n">
        <v>159.85</v>
      </c>
      <c r="R161" t="n">
        <v>168.3</v>
      </c>
      <c r="S161" t="inlineStr">
        <is>
          <t>AUSTRALIAN DOLLAR</t>
        </is>
      </c>
      <c r="T161" t="n">
        <v>17939.69</v>
      </c>
      <c r="U161" t="n">
        <v>18120.9</v>
      </c>
      <c r="V161" t="n">
        <v>18701.2</v>
      </c>
      <c r="W161" t="inlineStr">
        <is>
          <t>CANADIAN DOLLAR</t>
        </is>
      </c>
      <c r="X161" t="n">
        <v>18400.56</v>
      </c>
      <c r="Y161" t="n">
        <v>18586.42</v>
      </c>
      <c r="Z161" t="n">
        <v>19181.63</v>
      </c>
      <c r="AA161" t="inlineStr">
        <is>
          <t>SWISS FRANC</t>
        </is>
      </c>
      <c r="AB161" t="n">
        <v>32097.37</v>
      </c>
      <c r="AC161" t="n">
        <v>32421.58</v>
      </c>
      <c r="AD161" t="n">
        <v>33459.86</v>
      </c>
      <c r="AE161" t="inlineStr">
        <is>
          <t>SINGAPORE DOLLAR</t>
        </is>
      </c>
      <c r="AF161" t="n">
        <v>19905.99</v>
      </c>
      <c r="AG161" t="n">
        <v>20107.06</v>
      </c>
      <c r="AH161" t="n">
        <v>20792.52</v>
      </c>
      <c r="AI161" t="inlineStr">
        <is>
          <t>YUAN RENMINBI</t>
        </is>
      </c>
      <c r="AJ161" t="n">
        <v>3786.58</v>
      </c>
      <c r="AK161" t="n">
        <v>3824.83</v>
      </c>
      <c r="AL161" t="n">
        <v>3947.32</v>
      </c>
      <c r="AM161" t="inlineStr">
        <is>
          <t>HONGKONG DOLLAR</t>
        </is>
      </c>
      <c r="AN161" t="n">
        <v>3264.2</v>
      </c>
      <c r="AO161" t="n">
        <v>3297.17</v>
      </c>
      <c r="AP161" t="n">
        <v>3423.24</v>
      </c>
      <c r="AQ161" t="inlineStr">
        <is>
          <t>THAILAND BAHT</t>
        </is>
      </c>
      <c r="AR161" t="n">
        <v>704.7</v>
      </c>
      <c r="AS161" t="n">
        <v>783</v>
      </c>
      <c r="AT161" t="n">
        <v>816.2</v>
      </c>
      <c r="AU161" t="inlineStr">
        <is>
          <t>KOREAN WON</t>
        </is>
      </c>
      <c r="AV161" t="n">
        <v>14.92</v>
      </c>
      <c r="AW161" t="n">
        <v>16.58</v>
      </c>
      <c r="AX161" t="n">
        <v>17.99</v>
      </c>
      <c r="AY161" t="inlineStr">
        <is>
          <t>MALAYSIAN RINGGIT</t>
        </is>
      </c>
      <c r="BA161" t="n">
        <v>6393.22</v>
      </c>
      <c r="BB161" t="n">
        <v>6532.3</v>
      </c>
      <c r="BC161" t="inlineStr">
        <is>
          <t>INDIAN RUPEE</t>
        </is>
      </c>
      <c r="BE161" t="n">
        <v>274.7</v>
      </c>
      <c r="BF161" t="n">
        <v>286.52</v>
      </c>
      <c r="BG161" t="inlineStr">
        <is>
          <t>KUWAITI DINAR</t>
        </is>
      </c>
      <c r="BI161" t="n">
        <v>85186.05</v>
      </c>
      <c r="BJ161" t="n">
        <v>89314.78</v>
      </c>
      <c r="BK161" t="inlineStr">
        <is>
          <t>SAUDI RIAL</t>
        </is>
      </c>
      <c r="BM161" t="n">
        <v>6971.93</v>
      </c>
      <c r="BN161" t="n">
        <v>7271.97</v>
      </c>
      <c r="BO161" t="inlineStr">
        <is>
          <t>NORWEGIAN KRONER</t>
        </is>
      </c>
      <c r="BQ161" t="n">
        <v>2723.92</v>
      </c>
      <c r="BR161" t="n">
        <v>2839.41</v>
      </c>
      <c r="BS161" t="inlineStr">
        <is>
          <t>SWEDISH KRONA</t>
        </is>
      </c>
      <c r="BU161" t="n">
        <v>2712.03</v>
      </c>
      <c r="BV161" t="n">
        <v>2827.01</v>
      </c>
      <c r="BW161" t="inlineStr">
        <is>
          <t>DANISH KRONE</t>
        </is>
      </c>
      <c r="BY161" t="n">
        <v>3989.09</v>
      </c>
      <c r="BZ161" t="n">
        <v>4141.62</v>
      </c>
      <c r="CA161" t="inlineStr">
        <is>
          <t>RUSSIAN RUBLE</t>
        </is>
      </c>
      <c r="CC161" t="n">
        <v>346.7</v>
      </c>
      <c r="CD161" t="n">
        <v>383.78</v>
      </c>
    </row>
    <row r="162">
      <c r="A162" t="inlineStr">
        <is>
          <t>12/06/2026</t>
        </is>
      </c>
      <c r="B162">
        <f>IF(ISNUMBER(A162), A162, DATE(RIGHT(A162,4), MID(A162,4,2), LEFT(A162,2)))</f>
        <v/>
      </c>
      <c r="C162" t="inlineStr">
        <is>
          <t>US DOLLAR</t>
        </is>
      </c>
      <c r="D162" t="n">
        <v>26092</v>
      </c>
      <c r="E162" t="n">
        <v>26122</v>
      </c>
      <c r="F162" t="n">
        <v>26412</v>
      </c>
      <c r="G162" t="inlineStr">
        <is>
          <t>EURO</t>
        </is>
      </c>
      <c r="H162" t="n">
        <v>29687.29</v>
      </c>
      <c r="I162" t="n">
        <v>29987.16</v>
      </c>
      <c r="J162" t="n">
        <v>31252.39</v>
      </c>
      <c r="K162" t="inlineStr">
        <is>
          <t>POUND STERLING</t>
        </is>
      </c>
      <c r="L162" t="n">
        <v>34391.62</v>
      </c>
      <c r="M162" t="n">
        <v>34739.01</v>
      </c>
      <c r="N162" t="n">
        <v>35851.52</v>
      </c>
      <c r="O162" t="inlineStr">
        <is>
          <t>YEN</t>
        </is>
      </c>
      <c r="P162" t="n">
        <v>158.69</v>
      </c>
      <c r="Q162" t="n">
        <v>160.29</v>
      </c>
      <c r="R162" t="n">
        <v>168.77</v>
      </c>
      <c r="S162" t="inlineStr">
        <is>
          <t>AUSTRALIAN DOLLAR</t>
        </is>
      </c>
      <c r="T162" t="n">
        <v>18061.05</v>
      </c>
      <c r="U162" t="n">
        <v>18243.49</v>
      </c>
      <c r="V162" t="n">
        <v>18827.73</v>
      </c>
      <c r="W162" t="inlineStr">
        <is>
          <t>CANADIAN DOLLAR</t>
        </is>
      </c>
      <c r="X162" t="n">
        <v>18338.31</v>
      </c>
      <c r="Y162" t="n">
        <v>18523.55</v>
      </c>
      <c r="Z162" t="n">
        <v>19116.76</v>
      </c>
      <c r="AA162" t="inlineStr">
        <is>
          <t>SWISS FRANC</t>
        </is>
      </c>
      <c r="AB162" t="n">
        <v>32234.4</v>
      </c>
      <c r="AC162" t="n">
        <v>32560</v>
      </c>
      <c r="AD162" t="n">
        <v>33602.72</v>
      </c>
      <c r="AE162" t="inlineStr">
        <is>
          <t>SINGAPORE DOLLAR</t>
        </is>
      </c>
      <c r="AF162" t="n">
        <v>19969.77</v>
      </c>
      <c r="AG162" t="n">
        <v>20171.49</v>
      </c>
      <c r="AH162" t="n">
        <v>20859.16</v>
      </c>
      <c r="AI162" t="inlineStr">
        <is>
          <t>YUAN RENMINBI</t>
        </is>
      </c>
      <c r="AJ162" t="n">
        <v>3792.81</v>
      </c>
      <c r="AK162" t="n">
        <v>3831.13</v>
      </c>
      <c r="AL162" t="n">
        <v>3953.82</v>
      </c>
      <c r="AM162" t="inlineStr">
        <is>
          <t>HONGKONG DOLLAR</t>
        </is>
      </c>
      <c r="AN162" t="n">
        <v>3262.91</v>
      </c>
      <c r="AO162" t="n">
        <v>3295.87</v>
      </c>
      <c r="AP162" t="n">
        <v>3421.9</v>
      </c>
      <c r="AQ162" t="inlineStr">
        <is>
          <t>THAILAND BAHT</t>
        </is>
      </c>
      <c r="AR162" t="n">
        <v>710.91</v>
      </c>
      <c r="AS162" t="n">
        <v>789.9</v>
      </c>
      <c r="AT162" t="n">
        <v>823.39</v>
      </c>
      <c r="AU162" t="inlineStr">
        <is>
          <t>KOREAN WON</t>
        </is>
      </c>
      <c r="AV162" t="n">
        <v>15.01</v>
      </c>
      <c r="AW162" t="n">
        <v>16.68</v>
      </c>
      <c r="AX162" t="n">
        <v>18.1</v>
      </c>
      <c r="AY162" t="inlineStr">
        <is>
          <t>MALAYSIAN RINGGIT</t>
        </is>
      </c>
      <c r="BA162" t="n">
        <v>6419.16</v>
      </c>
      <c r="BB162" t="n">
        <v>6558.81</v>
      </c>
      <c r="BC162" t="inlineStr">
        <is>
          <t>INDIAN RUPEE</t>
        </is>
      </c>
      <c r="BE162" t="n">
        <v>275.52</v>
      </c>
      <c r="BF162" t="n">
        <v>287.38</v>
      </c>
      <c r="BG162" t="inlineStr">
        <is>
          <t>KUWAITI DINAR</t>
        </is>
      </c>
      <c r="BI162" t="n">
        <v>85153.66</v>
      </c>
      <c r="BJ162" t="n">
        <v>89280.87</v>
      </c>
      <c r="BK162" t="inlineStr">
        <is>
          <t>SAUDI RIAL</t>
        </is>
      </c>
      <c r="BM162" t="n">
        <v>6968.54</v>
      </c>
      <c r="BN162" t="n">
        <v>7268.43</v>
      </c>
      <c r="BO162" t="inlineStr">
        <is>
          <t>NORWEGIAN KRONER</t>
        </is>
      </c>
      <c r="BQ162" t="n">
        <v>2702.44</v>
      </c>
      <c r="BR162" t="n">
        <v>2817.02</v>
      </c>
      <c r="BS162" t="inlineStr">
        <is>
          <t>SWEDISH KRONA</t>
        </is>
      </c>
      <c r="BU162" t="n">
        <v>2735.36</v>
      </c>
      <c r="BV162" t="n">
        <v>2851.34</v>
      </c>
      <c r="BW162" t="inlineStr">
        <is>
          <t>DANISH KRONE</t>
        </is>
      </c>
      <c r="BY162" t="n">
        <v>4001.42</v>
      </c>
      <c r="BZ162" t="n">
        <v>4154.42</v>
      </c>
      <c r="CA162" t="inlineStr">
        <is>
          <t>RUSSIAN RUBLE</t>
        </is>
      </c>
      <c r="CC162" t="n">
        <v>344.64</v>
      </c>
      <c r="CD162" t="n">
        <v>381.5</v>
      </c>
    </row>
    <row r="163">
      <c r="A163" t="inlineStr">
        <is>
          <t>13/06/2026</t>
        </is>
      </c>
      <c r="B163">
        <f>IF(ISNUMBER(A163), A163, DATE(RIGHT(A163,4), MID(A163,4,2), LEFT(A163,2)))</f>
        <v/>
      </c>
      <c r="C163" t="inlineStr">
        <is>
          <t>US DOLLAR</t>
        </is>
      </c>
      <c r="D163" t="n">
        <v>26092</v>
      </c>
      <c r="E163" t="n">
        <v>26122</v>
      </c>
      <c r="F163" t="n">
        <v>26412</v>
      </c>
      <c r="G163" t="inlineStr">
        <is>
          <t>EURO</t>
        </is>
      </c>
      <c r="H163" t="n">
        <v>29687.29</v>
      </c>
      <c r="I163" t="n">
        <v>29987.16</v>
      </c>
      <c r="J163" t="n">
        <v>31252.39</v>
      </c>
      <c r="K163" t="inlineStr">
        <is>
          <t>POUND STERLING</t>
        </is>
      </c>
      <c r="L163" t="n">
        <v>34391.62</v>
      </c>
      <c r="M163" t="n">
        <v>34739.01</v>
      </c>
      <c r="N163" t="n">
        <v>35851.52</v>
      </c>
      <c r="O163" t="inlineStr">
        <is>
          <t>YEN</t>
        </is>
      </c>
      <c r="P163" t="n">
        <v>158.69</v>
      </c>
      <c r="Q163" t="n">
        <v>160.29</v>
      </c>
      <c r="R163" t="n">
        <v>168.77</v>
      </c>
      <c r="S163" t="inlineStr">
        <is>
          <t>AUSTRALIAN DOLLAR</t>
        </is>
      </c>
      <c r="T163" t="n">
        <v>18061.05</v>
      </c>
      <c r="U163" t="n">
        <v>18243.49</v>
      </c>
      <c r="V163" t="n">
        <v>18827.73</v>
      </c>
      <c r="W163" t="inlineStr">
        <is>
          <t>CANADIAN DOLLAR</t>
        </is>
      </c>
      <c r="X163" t="n">
        <v>18338.31</v>
      </c>
      <c r="Y163" t="n">
        <v>18523.55</v>
      </c>
      <c r="Z163" t="n">
        <v>19116.76</v>
      </c>
      <c r="AA163" t="inlineStr">
        <is>
          <t>SWISS FRANC</t>
        </is>
      </c>
      <c r="AB163" t="n">
        <v>32234.4</v>
      </c>
      <c r="AC163" t="n">
        <v>32560</v>
      </c>
      <c r="AD163" t="n">
        <v>33602.72</v>
      </c>
      <c r="AE163" t="inlineStr">
        <is>
          <t>SINGAPORE DOLLAR</t>
        </is>
      </c>
      <c r="AF163" t="n">
        <v>19969.77</v>
      </c>
      <c r="AG163" t="n">
        <v>20171.49</v>
      </c>
      <c r="AH163" t="n">
        <v>20859.16</v>
      </c>
      <c r="AI163" t="inlineStr">
        <is>
          <t>YUAN RENMINBI</t>
        </is>
      </c>
      <c r="AJ163" t="n">
        <v>3792.81</v>
      </c>
      <c r="AK163" t="n">
        <v>3831.13</v>
      </c>
      <c r="AL163" t="n">
        <v>3953.82</v>
      </c>
      <c r="AM163" t="inlineStr">
        <is>
          <t>HONGKONG DOLLAR</t>
        </is>
      </c>
      <c r="AN163" t="n">
        <v>3262.91</v>
      </c>
      <c r="AO163" t="n">
        <v>3295.87</v>
      </c>
      <c r="AP163" t="n">
        <v>3421.9</v>
      </c>
      <c r="AQ163" t="inlineStr">
        <is>
          <t>THAILAND BAHT</t>
        </is>
      </c>
      <c r="AR163" t="n">
        <v>710.91</v>
      </c>
      <c r="AS163" t="n">
        <v>789.9</v>
      </c>
      <c r="AT163" t="n">
        <v>823.39</v>
      </c>
      <c r="AU163" t="inlineStr">
        <is>
          <t>KOREAN WON</t>
        </is>
      </c>
      <c r="AV163" t="n">
        <v>15.01</v>
      </c>
      <c r="AW163" t="n">
        <v>16.68</v>
      </c>
      <c r="AX163" t="n">
        <v>18.1</v>
      </c>
      <c r="AY163" t="inlineStr">
        <is>
          <t>MALAYSIAN RINGGIT</t>
        </is>
      </c>
      <c r="BA163" t="n">
        <v>6419.16</v>
      </c>
      <c r="BB163" t="n">
        <v>6558.81</v>
      </c>
      <c r="BC163" t="inlineStr">
        <is>
          <t>INDIAN RUPEE</t>
        </is>
      </c>
      <c r="BE163" t="n">
        <v>275.52</v>
      </c>
      <c r="BF163" t="n">
        <v>287.38</v>
      </c>
      <c r="BG163" t="inlineStr">
        <is>
          <t>KUWAITI DINAR</t>
        </is>
      </c>
      <c r="BI163" t="n">
        <v>85153.66</v>
      </c>
      <c r="BJ163" t="n">
        <v>89280.87</v>
      </c>
      <c r="BK163" t="inlineStr">
        <is>
          <t>SAUDI RIAL</t>
        </is>
      </c>
      <c r="BM163" t="n">
        <v>6968.54</v>
      </c>
      <c r="BN163" t="n">
        <v>7268.43</v>
      </c>
      <c r="BO163" t="inlineStr">
        <is>
          <t>NORWEGIAN KRONER</t>
        </is>
      </c>
      <c r="BQ163" t="n">
        <v>2702.44</v>
      </c>
      <c r="BR163" t="n">
        <v>2817.02</v>
      </c>
      <c r="BS163" t="inlineStr">
        <is>
          <t>SWEDISH KRONA</t>
        </is>
      </c>
      <c r="BU163" t="n">
        <v>2735.36</v>
      </c>
      <c r="BV163" t="n">
        <v>2851.34</v>
      </c>
      <c r="BW163" t="inlineStr">
        <is>
          <t>DANISH KRONE</t>
        </is>
      </c>
      <c r="BY163" t="n">
        <v>4001.42</v>
      </c>
      <c r="BZ163" t="n">
        <v>4154.42</v>
      </c>
      <c r="CA163" t="inlineStr">
        <is>
          <t>RUSSIAN RUBLE</t>
        </is>
      </c>
      <c r="CC163" t="n">
        <v>344.64</v>
      </c>
      <c r="CD163" t="n">
        <v>381.5</v>
      </c>
    </row>
    <row r="164">
      <c r="A164" t="inlineStr">
        <is>
          <t>14/06/2026</t>
        </is>
      </c>
      <c r="B164">
        <f>IF(ISNUMBER(A164), A164, DATE(RIGHT(A164,4), MID(A164,4,2), LEFT(A164,2)))</f>
        <v/>
      </c>
      <c r="C164" t="inlineStr">
        <is>
          <t>US DOLLAR</t>
        </is>
      </c>
      <c r="D164" t="n">
        <v>26092</v>
      </c>
      <c r="E164" t="n">
        <v>26122</v>
      </c>
      <c r="F164" t="n">
        <v>26412</v>
      </c>
      <c r="G164" t="inlineStr">
        <is>
          <t>EURO</t>
        </is>
      </c>
      <c r="H164" t="n">
        <v>29687.29</v>
      </c>
      <c r="I164" t="n">
        <v>29987.16</v>
      </c>
      <c r="J164" t="n">
        <v>31252.39</v>
      </c>
      <c r="K164" t="inlineStr">
        <is>
          <t>POUND STERLING</t>
        </is>
      </c>
      <c r="L164" t="n">
        <v>34391.62</v>
      </c>
      <c r="M164" t="n">
        <v>34739.01</v>
      </c>
      <c r="N164" t="n">
        <v>35851.52</v>
      </c>
      <c r="O164" t="inlineStr">
        <is>
          <t>YEN</t>
        </is>
      </c>
      <c r="P164" t="n">
        <v>158.69</v>
      </c>
      <c r="Q164" t="n">
        <v>160.29</v>
      </c>
      <c r="R164" t="n">
        <v>168.77</v>
      </c>
      <c r="S164" t="inlineStr">
        <is>
          <t>AUSTRALIAN DOLLAR</t>
        </is>
      </c>
      <c r="T164" t="n">
        <v>18061.05</v>
      </c>
      <c r="U164" t="n">
        <v>18243.49</v>
      </c>
      <c r="V164" t="n">
        <v>18827.73</v>
      </c>
      <c r="W164" t="inlineStr">
        <is>
          <t>CANADIAN DOLLAR</t>
        </is>
      </c>
      <c r="X164" t="n">
        <v>18338.31</v>
      </c>
      <c r="Y164" t="n">
        <v>18523.55</v>
      </c>
      <c r="Z164" t="n">
        <v>19116.76</v>
      </c>
      <c r="AA164" t="inlineStr">
        <is>
          <t>SWISS FRANC</t>
        </is>
      </c>
      <c r="AB164" t="n">
        <v>32234.4</v>
      </c>
      <c r="AC164" t="n">
        <v>32560</v>
      </c>
      <c r="AD164" t="n">
        <v>33602.72</v>
      </c>
      <c r="AE164" t="inlineStr">
        <is>
          <t>SINGAPORE DOLLAR</t>
        </is>
      </c>
      <c r="AF164" t="n">
        <v>19969.77</v>
      </c>
      <c r="AG164" t="n">
        <v>20171.49</v>
      </c>
      <c r="AH164" t="n">
        <v>20859.16</v>
      </c>
      <c r="AI164" t="inlineStr">
        <is>
          <t>YUAN RENMINBI</t>
        </is>
      </c>
      <c r="AJ164" t="n">
        <v>3792.81</v>
      </c>
      <c r="AK164" t="n">
        <v>3831.13</v>
      </c>
      <c r="AL164" t="n">
        <v>3953.82</v>
      </c>
      <c r="AM164" t="inlineStr">
        <is>
          <t>HONGKONG DOLLAR</t>
        </is>
      </c>
      <c r="AN164" t="n">
        <v>3262.91</v>
      </c>
      <c r="AO164" t="n">
        <v>3295.87</v>
      </c>
      <c r="AP164" t="n">
        <v>3421.9</v>
      </c>
      <c r="AQ164" t="inlineStr">
        <is>
          <t>THAILAND BAHT</t>
        </is>
      </c>
      <c r="AR164" t="n">
        <v>710.91</v>
      </c>
      <c r="AS164" t="n">
        <v>789.9</v>
      </c>
      <c r="AT164" t="n">
        <v>823.39</v>
      </c>
      <c r="AU164" t="inlineStr">
        <is>
          <t>KOREAN WON</t>
        </is>
      </c>
      <c r="AV164" t="n">
        <v>15.01</v>
      </c>
      <c r="AW164" t="n">
        <v>16.68</v>
      </c>
      <c r="AX164" t="n">
        <v>18.1</v>
      </c>
      <c r="AY164" t="inlineStr">
        <is>
          <t>MALAYSIAN RINGGIT</t>
        </is>
      </c>
      <c r="BA164" t="n">
        <v>6419.16</v>
      </c>
      <c r="BB164" t="n">
        <v>6558.81</v>
      </c>
      <c r="BC164" t="inlineStr">
        <is>
          <t>INDIAN RUPEE</t>
        </is>
      </c>
      <c r="BE164" t="n">
        <v>275.52</v>
      </c>
      <c r="BF164" t="n">
        <v>287.38</v>
      </c>
      <c r="BG164" t="inlineStr">
        <is>
          <t>KUWAITI DINAR</t>
        </is>
      </c>
      <c r="BI164" t="n">
        <v>85153.66</v>
      </c>
      <c r="BJ164" t="n">
        <v>89280.87</v>
      </c>
      <c r="BK164" t="inlineStr">
        <is>
          <t>SAUDI RIAL</t>
        </is>
      </c>
      <c r="BM164" t="n">
        <v>6968.54</v>
      </c>
      <c r="BN164" t="n">
        <v>7268.43</v>
      </c>
      <c r="BO164" t="inlineStr">
        <is>
          <t>NORWEGIAN KRONER</t>
        </is>
      </c>
      <c r="BQ164" t="n">
        <v>2702.44</v>
      </c>
      <c r="BR164" t="n">
        <v>2817.02</v>
      </c>
      <c r="BS164" t="inlineStr">
        <is>
          <t>SWEDISH KRONA</t>
        </is>
      </c>
      <c r="BU164" t="n">
        <v>2735.36</v>
      </c>
      <c r="BV164" t="n">
        <v>2851.34</v>
      </c>
      <c r="BW164" t="inlineStr">
        <is>
          <t>DANISH KRONE</t>
        </is>
      </c>
      <c r="BY164" t="n">
        <v>4001.42</v>
      </c>
      <c r="BZ164" t="n">
        <v>4154.42</v>
      </c>
      <c r="CA164" t="inlineStr">
        <is>
          <t>RUSSIAN RUBLE</t>
        </is>
      </c>
      <c r="CC164" t="n">
        <v>344.64</v>
      </c>
      <c r="CD164" t="n">
        <v>381.5</v>
      </c>
    </row>
    <row r="165">
      <c r="A165" t="inlineStr">
        <is>
          <t>16/06/2026</t>
        </is>
      </c>
      <c r="B165">
        <f>IF(ISNUMBER(A165), A165, DATE(RIGHT(A165,4), MID(A165,4,2), LEFT(A165,2)))</f>
        <v/>
      </c>
      <c r="C165" t="inlineStr">
        <is>
          <t>US DOLLAR</t>
        </is>
      </c>
      <c r="D165" t="n">
        <v>26073</v>
      </c>
      <c r="E165" t="n">
        <v>26103</v>
      </c>
      <c r="F165" t="n">
        <v>26423</v>
      </c>
      <c r="G165" t="inlineStr">
        <is>
          <t>EURO</t>
        </is>
      </c>
      <c r="H165" t="n">
        <v>29688.06</v>
      </c>
      <c r="I165" t="n">
        <v>29987.94</v>
      </c>
      <c r="J165" t="n">
        <v>31253.25</v>
      </c>
      <c r="K165" t="inlineStr">
        <is>
          <t>POUND STERLING</t>
        </is>
      </c>
      <c r="L165" t="n">
        <v>34355.16</v>
      </c>
      <c r="M165" t="n">
        <v>34702.18</v>
      </c>
      <c r="N165" t="n">
        <v>35813.55</v>
      </c>
      <c r="O165" t="inlineStr">
        <is>
          <t>YEN</t>
        </is>
      </c>
      <c r="P165" t="n">
        <v>158.4</v>
      </c>
      <c r="Q165" t="n">
        <v>160</v>
      </c>
      <c r="R165" t="n">
        <v>168.46</v>
      </c>
      <c r="S165" t="inlineStr">
        <is>
          <t>AUSTRALIAN DOLLAR</t>
        </is>
      </c>
      <c r="T165" t="n">
        <v>18107.41</v>
      </c>
      <c r="U165" t="n">
        <v>18290.32</v>
      </c>
      <c r="V165" t="n">
        <v>18876.08</v>
      </c>
      <c r="W165" t="inlineStr">
        <is>
          <t>CANADIAN DOLLAR</t>
        </is>
      </c>
      <c r="X165" t="n">
        <v>18308.56</v>
      </c>
      <c r="Y165" t="n">
        <v>18493.5</v>
      </c>
      <c r="Z165" t="n">
        <v>19085.77</v>
      </c>
      <c r="AA165" t="inlineStr">
        <is>
          <t>SWISS FRANC</t>
        </is>
      </c>
      <c r="AB165" t="n">
        <v>32252.02</v>
      </c>
      <c r="AC165" t="n">
        <v>32577.8</v>
      </c>
      <c r="AD165" t="n">
        <v>33621.13</v>
      </c>
      <c r="AE165" t="inlineStr">
        <is>
          <t>SINGAPORE DOLLAR</t>
        </is>
      </c>
      <c r="AF165" t="n">
        <v>19960.84</v>
      </c>
      <c r="AG165" t="n">
        <v>20162.47</v>
      </c>
      <c r="AH165" t="n">
        <v>20849.86</v>
      </c>
      <c r="AI165" t="inlineStr">
        <is>
          <t>YUAN RENMINBI</t>
        </is>
      </c>
      <c r="AJ165" t="n">
        <v>3791.77</v>
      </c>
      <c r="AK165" t="n">
        <v>3830.07</v>
      </c>
      <c r="AL165" t="n">
        <v>3952.73</v>
      </c>
      <c r="AM165" t="inlineStr">
        <is>
          <t>HONGKONG DOLLAR</t>
        </is>
      </c>
      <c r="AN165" t="n">
        <v>3260.64</v>
      </c>
      <c r="AO165" t="n">
        <v>3293.58</v>
      </c>
      <c r="AP165" t="n">
        <v>3419.52</v>
      </c>
      <c r="AQ165" t="inlineStr">
        <is>
          <t>THAILAND BAHT</t>
        </is>
      </c>
      <c r="AR165" t="n">
        <v>712.0599999999999</v>
      </c>
      <c r="AS165" t="n">
        <v>791.1799999999999</v>
      </c>
      <c r="AT165" t="n">
        <v>824.73</v>
      </c>
      <c r="AU165" t="inlineStr">
        <is>
          <t>KOREAN WON</t>
        </is>
      </c>
      <c r="AV165" t="n">
        <v>15.01</v>
      </c>
      <c r="AW165" t="n">
        <v>16.68</v>
      </c>
      <c r="AX165" t="n">
        <v>18.1</v>
      </c>
      <c r="AY165" t="inlineStr">
        <is>
          <t>MALAYSIAN RINGGIT</t>
        </is>
      </c>
      <c r="BA165" t="n">
        <v>6426.47</v>
      </c>
      <c r="BB165" t="n">
        <v>6566.28</v>
      </c>
      <c r="BC165" t="inlineStr">
        <is>
          <t>INDIAN RUPEE</t>
        </is>
      </c>
      <c r="BE165" t="n">
        <v>275.97</v>
      </c>
      <c r="BF165" t="n">
        <v>287.85</v>
      </c>
      <c r="BG165" t="inlineStr">
        <is>
          <t>KUWAITI DINAR</t>
        </is>
      </c>
      <c r="BI165" t="n">
        <v>85165.57000000001</v>
      </c>
      <c r="BJ165" t="n">
        <v>89293.47</v>
      </c>
      <c r="BK165" t="inlineStr">
        <is>
          <t>SAUDI RIAL</t>
        </is>
      </c>
      <c r="BM165" t="n">
        <v>6965.49</v>
      </c>
      <c r="BN165" t="n">
        <v>7265.26</v>
      </c>
      <c r="BO165" t="inlineStr">
        <is>
          <t>NORWEGIAN KRONER</t>
        </is>
      </c>
      <c r="BQ165" t="n">
        <v>2700.09</v>
      </c>
      <c r="BR165" t="n">
        <v>2814.58</v>
      </c>
      <c r="BS165" t="inlineStr">
        <is>
          <t>SWEDISH KRONA</t>
        </is>
      </c>
      <c r="BU165" t="n">
        <v>2740.26</v>
      </c>
      <c r="BV165" t="n">
        <v>2856.45</v>
      </c>
      <c r="BW165" t="inlineStr">
        <is>
          <t>DANISH KRONE</t>
        </is>
      </c>
      <c r="BY165" t="n">
        <v>4001.85</v>
      </c>
      <c r="BZ165" t="n">
        <v>4154.88</v>
      </c>
      <c r="CA165" t="inlineStr">
        <is>
          <t>RUSSIAN RUBLE</t>
        </is>
      </c>
      <c r="CC165" t="n">
        <v>345.32</v>
      </c>
      <c r="CD165" t="n">
        <v>382.25</v>
      </c>
    </row>
    <row r="166">
      <c r="A166" t="inlineStr">
        <is>
          <t>17/06/2026</t>
        </is>
      </c>
      <c r="B166">
        <f>IF(ISNUMBER(A166), A166, DATE(RIGHT(A166,4), MID(A166,4,2), LEFT(A166,2)))</f>
        <v/>
      </c>
      <c r="C166" t="inlineStr">
        <is>
          <t>US DOLLAR</t>
        </is>
      </c>
      <c r="D166" t="n">
        <v>26083</v>
      </c>
      <c r="E166" t="n">
        <v>26113</v>
      </c>
      <c r="F166" t="n">
        <v>26433</v>
      </c>
      <c r="G166" t="inlineStr">
        <is>
          <t>EURO</t>
        </is>
      </c>
      <c r="H166" t="n">
        <v>29774.46</v>
      </c>
      <c r="I166" t="n">
        <v>30075.21</v>
      </c>
      <c r="J166" t="n">
        <v>31344.15</v>
      </c>
      <c r="K166" t="inlineStr">
        <is>
          <t>POUND STERLING</t>
        </is>
      </c>
      <c r="L166" t="n">
        <v>34427.52</v>
      </c>
      <c r="M166" t="n">
        <v>34775.27</v>
      </c>
      <c r="N166" t="n">
        <v>35888.94</v>
      </c>
      <c r="O166" t="inlineStr">
        <is>
          <t>YEN</t>
        </is>
      </c>
      <c r="P166" t="n">
        <v>158.37</v>
      </c>
      <c r="Q166" t="n">
        <v>159.96</v>
      </c>
      <c r="R166" t="n">
        <v>168.42</v>
      </c>
      <c r="S166" t="inlineStr">
        <is>
          <t>AUSTRALIAN DOLLAR</t>
        </is>
      </c>
      <c r="T166" t="n">
        <v>18120.01</v>
      </c>
      <c r="U166" t="n">
        <v>18303.05</v>
      </c>
      <c r="V166" t="n">
        <v>18889.19</v>
      </c>
      <c r="W166" t="inlineStr">
        <is>
          <t>CANADIAN DOLLAR</t>
        </is>
      </c>
      <c r="X166" t="n">
        <v>18329.14</v>
      </c>
      <c r="Y166" t="n">
        <v>18514.28</v>
      </c>
      <c r="Z166" t="n">
        <v>19107.19</v>
      </c>
      <c r="AA166" t="inlineStr">
        <is>
          <t>SWISS FRANC</t>
        </is>
      </c>
      <c r="AB166" t="n">
        <v>32364.59</v>
      </c>
      <c r="AC166" t="n">
        <v>32691.5</v>
      </c>
      <c r="AD166" t="n">
        <v>33738.44</v>
      </c>
      <c r="AE166" t="inlineStr">
        <is>
          <t>SINGAPORE DOLLAR</t>
        </is>
      </c>
      <c r="AF166" t="n">
        <v>19990.03</v>
      </c>
      <c r="AG166" t="n">
        <v>20191.95</v>
      </c>
      <c r="AH166" t="n">
        <v>20880.32</v>
      </c>
      <c r="AI166" t="inlineStr">
        <is>
          <t>YUAN RENMINBI</t>
        </is>
      </c>
      <c r="AJ166" t="n">
        <v>3795.4</v>
      </c>
      <c r="AK166" t="n">
        <v>3833.73</v>
      </c>
      <c r="AL166" t="n">
        <v>3956.51</v>
      </c>
      <c r="AM166" t="inlineStr">
        <is>
          <t>HONGKONG DOLLAR</t>
        </is>
      </c>
      <c r="AN166" t="n">
        <v>3264.29</v>
      </c>
      <c r="AO166" t="n">
        <v>3297.26</v>
      </c>
      <c r="AP166" t="n">
        <v>3423.34</v>
      </c>
      <c r="AQ166" t="inlineStr">
        <is>
          <t>THAILAND BAHT</t>
        </is>
      </c>
      <c r="AR166" t="n">
        <v>713.54</v>
      </c>
      <c r="AS166" t="n">
        <v>792.8200000000001</v>
      </c>
      <c r="AT166" t="n">
        <v>826.4299999999999</v>
      </c>
      <c r="AU166" t="inlineStr">
        <is>
          <t>KOREAN WON</t>
        </is>
      </c>
      <c r="AV166" t="n">
        <v>15.04</v>
      </c>
      <c r="AW166" t="n">
        <v>16.72</v>
      </c>
      <c r="AX166" t="n">
        <v>18.14</v>
      </c>
      <c r="AY166" t="inlineStr">
        <is>
          <t>MALAYSIAN RINGGIT</t>
        </is>
      </c>
      <c r="BA166" t="n">
        <v>6403.37</v>
      </c>
      <c r="BB166" t="n">
        <v>6542.67</v>
      </c>
      <c r="BC166" t="inlineStr">
        <is>
          <t>INDIAN RUPEE</t>
        </is>
      </c>
      <c r="BE166" t="n">
        <v>276.67</v>
      </c>
      <c r="BF166" t="n">
        <v>288.58</v>
      </c>
      <c r="BG166" t="inlineStr">
        <is>
          <t>KUWAITI DINAR</t>
        </is>
      </c>
      <c r="BI166" t="n">
        <v>85236.89999999999</v>
      </c>
      <c r="BJ166" t="n">
        <v>89368.14</v>
      </c>
      <c r="BK166" t="inlineStr">
        <is>
          <t>SAUDI RIAL</t>
        </is>
      </c>
      <c r="BM166" t="n">
        <v>6970.95</v>
      </c>
      <c r="BN166" t="n">
        <v>7270.95</v>
      </c>
      <c r="BO166" t="inlineStr">
        <is>
          <t>NORWEGIAN KRONER</t>
        </is>
      </c>
      <c r="BQ166" t="n">
        <v>2722.74</v>
      </c>
      <c r="BR166" t="n">
        <v>2838.18</v>
      </c>
      <c r="BS166" t="inlineStr">
        <is>
          <t>SWEDISH KRONA</t>
        </is>
      </c>
      <c r="BU166" t="n">
        <v>2755.07</v>
      </c>
      <c r="BV166" t="n">
        <v>2871.89</v>
      </c>
      <c r="BW166" t="inlineStr">
        <is>
          <t>DANISH KRONE</t>
        </is>
      </c>
      <c r="BY166" t="n">
        <v>4013.48</v>
      </c>
      <c r="BZ166" t="n">
        <v>4166.95</v>
      </c>
      <c r="CA166" t="inlineStr">
        <is>
          <t>RUSSIAN RUBLE</t>
        </is>
      </c>
      <c r="CC166" t="n">
        <v>345.37</v>
      </c>
      <c r="CD166" t="n">
        <v>382.31</v>
      </c>
    </row>
    <row r="167">
      <c r="A167" t="inlineStr">
        <is>
          <t>18/06/2026</t>
        </is>
      </c>
      <c r="B167">
        <f>IF(ISNUMBER(A167), A167, DATE(RIGHT(A167,4), MID(A167,4,2), LEFT(A167,2)))</f>
        <v/>
      </c>
      <c r="C167" t="inlineStr">
        <is>
          <t>US DOLLAR</t>
        </is>
      </c>
      <c r="D167" t="n">
        <v>26081</v>
      </c>
      <c r="E167" t="n">
        <v>26111</v>
      </c>
      <c r="F167" t="n">
        <v>26431</v>
      </c>
      <c r="G167" t="inlineStr">
        <is>
          <t>EURO</t>
        </is>
      </c>
      <c r="H167" t="n">
        <v>29547.27</v>
      </c>
      <c r="I167" t="n">
        <v>29845.73</v>
      </c>
      <c r="J167" t="n">
        <v>31104.97</v>
      </c>
      <c r="K167" t="inlineStr">
        <is>
          <t>POUND STERLING</t>
        </is>
      </c>
      <c r="L167" t="n">
        <v>34145.68</v>
      </c>
      <c r="M167" t="n">
        <v>34490.58</v>
      </c>
      <c r="N167" t="n">
        <v>35595.11</v>
      </c>
      <c r="O167" t="inlineStr">
        <is>
          <t>YEN</t>
        </is>
      </c>
      <c r="P167" t="n">
        <v>158.2</v>
      </c>
      <c r="Q167" t="n">
        <v>159.8</v>
      </c>
      <c r="R167" t="n">
        <v>168.25</v>
      </c>
      <c r="S167" t="inlineStr">
        <is>
          <t>AUSTRALIAN DOLLAR</t>
        </is>
      </c>
      <c r="T167" t="n">
        <v>18049.97</v>
      </c>
      <c r="U167" t="n">
        <v>18232.29</v>
      </c>
      <c r="V167" t="n">
        <v>18816.16</v>
      </c>
      <c r="W167" t="inlineStr">
        <is>
          <t>CANADIAN DOLLAR</t>
        </is>
      </c>
      <c r="X167" t="n">
        <v>18196.93</v>
      </c>
      <c r="Y167" t="n">
        <v>18380.74</v>
      </c>
      <c r="Z167" t="n">
        <v>18969.37</v>
      </c>
      <c r="AA167" t="inlineStr">
        <is>
          <t>SWISS FRANC</t>
        </is>
      </c>
      <c r="AB167" t="n">
        <v>32125.51</v>
      </c>
      <c r="AC167" t="n">
        <v>32450.01</v>
      </c>
      <c r="AD167" t="n">
        <v>33489.19</v>
      </c>
      <c r="AE167" t="inlineStr">
        <is>
          <t>SINGAPORE DOLLAR</t>
        </is>
      </c>
      <c r="AF167" t="n">
        <v>19918.37</v>
      </c>
      <c r="AG167" t="n">
        <v>20119.56</v>
      </c>
      <c r="AH167" t="n">
        <v>20805.45</v>
      </c>
      <c r="AI167" t="inlineStr">
        <is>
          <t>YUAN RENMINBI</t>
        </is>
      </c>
      <c r="AJ167" t="n">
        <v>3793.81</v>
      </c>
      <c r="AK167" t="n">
        <v>3832.13</v>
      </c>
      <c r="AL167" t="n">
        <v>3954.85</v>
      </c>
      <c r="AM167" t="inlineStr">
        <is>
          <t>HONGKONG DOLLAR</t>
        </is>
      </c>
      <c r="AN167" t="n">
        <v>3263.74</v>
      </c>
      <c r="AO167" t="n">
        <v>3296.71</v>
      </c>
      <c r="AP167" t="n">
        <v>3422.76</v>
      </c>
      <c r="AQ167" t="inlineStr">
        <is>
          <t>THAILAND BAHT</t>
        </is>
      </c>
      <c r="AR167" t="n">
        <v>711.1799999999999</v>
      </c>
      <c r="AS167" t="n">
        <v>790.2</v>
      </c>
      <c r="AT167" t="n">
        <v>823.71</v>
      </c>
      <c r="AU167" t="inlineStr">
        <is>
          <t>KOREAN WON</t>
        </is>
      </c>
      <c r="AV167" t="n">
        <v>15.18</v>
      </c>
      <c r="AW167" t="n">
        <v>16.87</v>
      </c>
      <c r="AX167" t="n">
        <v>18.3</v>
      </c>
      <c r="AY167" t="inlineStr">
        <is>
          <t>MALAYSIAN RINGGIT</t>
        </is>
      </c>
      <c r="BA167" t="n">
        <v>6371.32</v>
      </c>
      <c r="BB167" t="n">
        <v>6509.92</v>
      </c>
      <c r="BC167" t="inlineStr">
        <is>
          <t>INDIAN RUPEE</t>
        </is>
      </c>
      <c r="BE167" t="n">
        <v>276.41</v>
      </c>
      <c r="BF167" t="n">
        <v>288.31</v>
      </c>
      <c r="BG167" t="inlineStr">
        <is>
          <t>KUWAITI DINAR</t>
        </is>
      </c>
      <c r="BI167" t="n">
        <v>85269.32000000001</v>
      </c>
      <c r="BJ167" t="n">
        <v>89402.09</v>
      </c>
      <c r="BK167" t="inlineStr">
        <is>
          <t>SAUDI RIAL</t>
        </is>
      </c>
      <c r="BM167" t="n">
        <v>6973.05</v>
      </c>
      <c r="BN167" t="n">
        <v>7273.13</v>
      </c>
      <c r="BO167" t="inlineStr">
        <is>
          <t>NORWEGIAN KRONER</t>
        </is>
      </c>
      <c r="BQ167" t="n">
        <v>2686.59</v>
      </c>
      <c r="BR167" t="n">
        <v>2800.5</v>
      </c>
      <c r="BS167" t="inlineStr">
        <is>
          <t>SWEDISH KRONA</t>
        </is>
      </c>
      <c r="BU167" t="n">
        <v>2720.18</v>
      </c>
      <c r="BV167" t="n">
        <v>2835.51</v>
      </c>
      <c r="BW167" t="inlineStr">
        <is>
          <t>DANISH KRONE</t>
        </is>
      </c>
      <c r="BY167" t="n">
        <v>3982.88</v>
      </c>
      <c r="BZ167" t="n">
        <v>4135.17</v>
      </c>
      <c r="CA167" t="inlineStr">
        <is>
          <t>RUSSIAN RUBLE</t>
        </is>
      </c>
      <c r="CC167" t="n">
        <v>343.61</v>
      </c>
      <c r="CD167" t="n">
        <v>380.36</v>
      </c>
    </row>
    <row r="168">
      <c r="A168" t="inlineStr">
        <is>
          <t>19/06/2026</t>
        </is>
      </c>
      <c r="B168">
        <f>IF(ISNUMBER(A168), A168, DATE(RIGHT(A168,4), MID(A168,4,2), LEFT(A168,2)))</f>
        <v/>
      </c>
      <c r="C168" t="inlineStr">
        <is>
          <t>US DOLLAR</t>
        </is>
      </c>
      <c r="D168" t="n">
        <v>26090</v>
      </c>
      <c r="E168" t="n">
        <v>26120</v>
      </c>
      <c r="F168" t="n">
        <v>26440</v>
      </c>
      <c r="G168" t="inlineStr">
        <is>
          <t>EURO</t>
        </is>
      </c>
      <c r="H168" t="n">
        <v>29404.57</v>
      </c>
      <c r="I168" t="n">
        <v>29701.58</v>
      </c>
      <c r="J168" t="n">
        <v>30954.73</v>
      </c>
      <c r="K168" t="inlineStr">
        <is>
          <t>POUND STERLING</t>
        </is>
      </c>
      <c r="L168" t="n">
        <v>33889.27</v>
      </c>
      <c r="M168" t="n">
        <v>34231.59</v>
      </c>
      <c r="N168" t="n">
        <v>35327.8</v>
      </c>
      <c r="O168" t="inlineStr">
        <is>
          <t>YEN</t>
        </is>
      </c>
      <c r="P168" t="n">
        <v>157.77</v>
      </c>
      <c r="Q168" t="n">
        <v>159.36</v>
      </c>
      <c r="R168" t="n">
        <v>167.79</v>
      </c>
      <c r="S168" t="inlineStr">
        <is>
          <t>AUSTRALIAN DOLLAR</t>
        </is>
      </c>
      <c r="T168" t="n">
        <v>17990.12</v>
      </c>
      <c r="U168" t="n">
        <v>18171.84</v>
      </c>
      <c r="V168" t="n">
        <v>18753.77</v>
      </c>
      <c r="W168" t="inlineStr">
        <is>
          <t>CANADIAN DOLLAR</t>
        </is>
      </c>
      <c r="X168" t="n">
        <v>18153.63</v>
      </c>
      <c r="Y168" t="n">
        <v>18337</v>
      </c>
      <c r="Z168" t="n">
        <v>18924.21</v>
      </c>
      <c r="AA168" t="inlineStr">
        <is>
          <t>SWISS FRANC</t>
        </is>
      </c>
      <c r="AB168" t="n">
        <v>31898.04</v>
      </c>
      <c r="AC168" t="n">
        <v>32220.24</v>
      </c>
      <c r="AD168" t="n">
        <v>33252.04</v>
      </c>
      <c r="AE168" t="inlineStr">
        <is>
          <t>SINGAPORE DOLLAR</t>
        </is>
      </c>
      <c r="AF168" t="n">
        <v>19879.58</v>
      </c>
      <c r="AG168" t="n">
        <v>20080.39</v>
      </c>
      <c r="AH168" t="n">
        <v>20764.93</v>
      </c>
      <c r="AI168" t="inlineStr">
        <is>
          <t>YUAN RENMINBI</t>
        </is>
      </c>
      <c r="AJ168" t="n">
        <v>3791.33</v>
      </c>
      <c r="AK168" t="n">
        <v>3829.62</v>
      </c>
      <c r="AL168" t="n">
        <v>3952.26</v>
      </c>
      <c r="AM168" t="inlineStr">
        <is>
          <t>HONGKONG DOLLAR</t>
        </is>
      </c>
      <c r="AN168" t="n">
        <v>3264.73</v>
      </c>
      <c r="AO168" t="n">
        <v>3297.71</v>
      </c>
      <c r="AP168" t="n">
        <v>3423.8</v>
      </c>
      <c r="AQ168" t="inlineStr">
        <is>
          <t>THAILAND BAHT</t>
        </is>
      </c>
      <c r="AR168" t="n">
        <v>708.41</v>
      </c>
      <c r="AS168" t="n">
        <v>787.13</v>
      </c>
      <c r="AT168" t="n">
        <v>820.5</v>
      </c>
      <c r="AU168" t="inlineStr">
        <is>
          <t>KOREAN WON</t>
        </is>
      </c>
      <c r="AV168" t="n">
        <v>14.8</v>
      </c>
      <c r="AW168" t="n">
        <v>16.44</v>
      </c>
      <c r="AX168" t="n">
        <v>17.84</v>
      </c>
      <c r="AY168" t="inlineStr">
        <is>
          <t>MALAYSIAN RINGGIT</t>
        </is>
      </c>
      <c r="BA168" t="n">
        <v>6333.46</v>
      </c>
      <c r="BB168" t="n">
        <v>6471.23</v>
      </c>
      <c r="BC168" t="inlineStr">
        <is>
          <t>INDIAN RUPEE</t>
        </is>
      </c>
      <c r="BE168" t="n">
        <v>277.53</v>
      </c>
      <c r="BF168" t="n">
        <v>289.47</v>
      </c>
      <c r="BG168" t="inlineStr">
        <is>
          <t>KUWAITI DINAR</t>
        </is>
      </c>
      <c r="BI168" t="n">
        <v>85218.44</v>
      </c>
      <c r="BJ168" t="n">
        <v>89348.69</v>
      </c>
      <c r="BK168" t="inlineStr">
        <is>
          <t>SAUDI RIAL</t>
        </is>
      </c>
      <c r="BM168" t="n">
        <v>6975.14</v>
      </c>
      <c r="BN168" t="n">
        <v>7275.31</v>
      </c>
      <c r="BO168" t="inlineStr">
        <is>
          <t>NORWEGIAN KRONER</t>
        </is>
      </c>
      <c r="BQ168" t="n">
        <v>2649.14</v>
      </c>
      <c r="BR168" t="n">
        <v>2761.46</v>
      </c>
      <c r="BS168" t="inlineStr">
        <is>
          <t>SWEDISH KRONA</t>
        </is>
      </c>
      <c r="BU168" t="n">
        <v>2692.05</v>
      </c>
      <c r="BV168" t="n">
        <v>2806.19</v>
      </c>
      <c r="BW168" t="inlineStr">
        <is>
          <t>DANISH KRONE</t>
        </is>
      </c>
      <c r="BY168" t="n">
        <v>3963.86</v>
      </c>
      <c r="BZ168" t="n">
        <v>4115.43</v>
      </c>
      <c r="CA168" t="inlineStr">
        <is>
          <t>RUSSIAN RUBLE</t>
        </is>
      </c>
      <c r="CC168" t="n">
        <v>341.75</v>
      </c>
      <c r="CD168" t="n">
        <v>378.3</v>
      </c>
    </row>
    <row r="169">
      <c r="A169" t="inlineStr">
        <is>
          <t>21/06/2026</t>
        </is>
      </c>
      <c r="B169">
        <f>IF(ISNUMBER(A169), A169, DATE(RIGHT(A169,4), MID(A169,4,2), LEFT(A169,2)))</f>
        <v/>
      </c>
      <c r="C169" t="inlineStr">
        <is>
          <t>US DOLLAR</t>
        </is>
      </c>
      <c r="D169" t="n">
        <v>26090</v>
      </c>
      <c r="E169" t="n">
        <v>26120</v>
      </c>
      <c r="F169" t="n">
        <v>26440</v>
      </c>
      <c r="G169" t="inlineStr">
        <is>
          <t>EURO</t>
        </is>
      </c>
      <c r="H169" t="n">
        <v>29404.57</v>
      </c>
      <c r="I169" t="n">
        <v>29701.58</v>
      </c>
      <c r="J169" t="n">
        <v>30954.73</v>
      </c>
      <c r="K169" t="inlineStr">
        <is>
          <t>POUND STERLING</t>
        </is>
      </c>
      <c r="L169" t="n">
        <v>33889.27</v>
      </c>
      <c r="M169" t="n">
        <v>34231.59</v>
      </c>
      <c r="N169" t="n">
        <v>35327.8</v>
      </c>
      <c r="O169" t="inlineStr">
        <is>
          <t>YEN</t>
        </is>
      </c>
      <c r="P169" t="n">
        <v>157.77</v>
      </c>
      <c r="Q169" t="n">
        <v>159.36</v>
      </c>
      <c r="R169" t="n">
        <v>167.79</v>
      </c>
      <c r="S169" t="inlineStr">
        <is>
          <t>AUSTRALIAN DOLLAR</t>
        </is>
      </c>
      <c r="T169" t="n">
        <v>17990.12</v>
      </c>
      <c r="U169" t="n">
        <v>18171.84</v>
      </c>
      <c r="V169" t="n">
        <v>18753.77</v>
      </c>
      <c r="W169" t="inlineStr">
        <is>
          <t>CANADIAN DOLLAR</t>
        </is>
      </c>
      <c r="X169" t="n">
        <v>18153.63</v>
      </c>
      <c r="Y169" t="n">
        <v>18337</v>
      </c>
      <c r="Z169" t="n">
        <v>18924.21</v>
      </c>
      <c r="AA169" t="inlineStr">
        <is>
          <t>SWISS FRANC</t>
        </is>
      </c>
      <c r="AB169" t="n">
        <v>31898.04</v>
      </c>
      <c r="AC169" t="n">
        <v>32220.24</v>
      </c>
      <c r="AD169" t="n">
        <v>33252.04</v>
      </c>
      <c r="AE169" t="inlineStr">
        <is>
          <t>SINGAPORE DOLLAR</t>
        </is>
      </c>
      <c r="AF169" t="n">
        <v>19879.58</v>
      </c>
      <c r="AG169" t="n">
        <v>20080.39</v>
      </c>
      <c r="AH169" t="n">
        <v>20764.93</v>
      </c>
      <c r="AI169" t="inlineStr">
        <is>
          <t>YUAN RENMINBI</t>
        </is>
      </c>
      <c r="AJ169" t="n">
        <v>3791.33</v>
      </c>
      <c r="AK169" t="n">
        <v>3829.62</v>
      </c>
      <c r="AL169" t="n">
        <v>3952.26</v>
      </c>
      <c r="AM169" t="inlineStr">
        <is>
          <t>HONGKONG DOLLAR</t>
        </is>
      </c>
      <c r="AN169" t="n">
        <v>3264.73</v>
      </c>
      <c r="AO169" t="n">
        <v>3297.71</v>
      </c>
      <c r="AP169" t="n">
        <v>3423.8</v>
      </c>
      <c r="AQ169" t="inlineStr">
        <is>
          <t>THAILAND BAHT</t>
        </is>
      </c>
      <c r="AR169" t="n">
        <v>708.41</v>
      </c>
      <c r="AS169" t="n">
        <v>787.13</v>
      </c>
      <c r="AT169" t="n">
        <v>820.5</v>
      </c>
      <c r="AU169" t="inlineStr">
        <is>
          <t>KOREAN WON</t>
        </is>
      </c>
      <c r="AV169" t="n">
        <v>14.8</v>
      </c>
      <c r="AW169" t="n">
        <v>16.44</v>
      </c>
      <c r="AX169" t="n">
        <v>17.84</v>
      </c>
      <c r="AY169" t="inlineStr">
        <is>
          <t>MALAYSIAN RINGGIT</t>
        </is>
      </c>
      <c r="BA169" t="n">
        <v>6333.46</v>
      </c>
      <c r="BB169" t="n">
        <v>6471.23</v>
      </c>
      <c r="BC169" t="inlineStr">
        <is>
          <t>INDIAN RUPEE</t>
        </is>
      </c>
      <c r="BE169" t="n">
        <v>277.53</v>
      </c>
      <c r="BF169" t="n">
        <v>289.47</v>
      </c>
      <c r="BG169" t="inlineStr">
        <is>
          <t>KUWAITI DINAR</t>
        </is>
      </c>
      <c r="BI169" t="n">
        <v>85218.44</v>
      </c>
      <c r="BJ169" t="n">
        <v>89348.69</v>
      </c>
      <c r="BK169" t="inlineStr">
        <is>
          <t>SAUDI RIAL</t>
        </is>
      </c>
      <c r="BM169" t="n">
        <v>6975.14</v>
      </c>
      <c r="BN169" t="n">
        <v>7275.31</v>
      </c>
      <c r="BO169" t="inlineStr">
        <is>
          <t>NORWEGIAN KRONER</t>
        </is>
      </c>
      <c r="BQ169" t="n">
        <v>2649.14</v>
      </c>
      <c r="BR169" t="n">
        <v>2761.46</v>
      </c>
      <c r="BS169" t="inlineStr">
        <is>
          <t>SWEDISH KRONA</t>
        </is>
      </c>
      <c r="BU169" t="n">
        <v>2692.05</v>
      </c>
      <c r="BV169" t="n">
        <v>2806.19</v>
      </c>
      <c r="BW169" t="inlineStr">
        <is>
          <t>DANISH KRONE</t>
        </is>
      </c>
      <c r="BY169" t="n">
        <v>3963.86</v>
      </c>
      <c r="BZ169" t="n">
        <v>4115.43</v>
      </c>
      <c r="CA169" t="inlineStr">
        <is>
          <t>RUSSIAN RUBLE</t>
        </is>
      </c>
      <c r="CC169" t="n">
        <v>341.75</v>
      </c>
      <c r="CD169" t="n">
        <v>378.3</v>
      </c>
    </row>
    <row r="170">
      <c r="A170" t="inlineStr">
        <is>
          <t>22/06/2026</t>
        </is>
      </c>
      <c r="B170">
        <f>IF(ISNUMBER(A170), A170, DATE(RIGHT(A170,4), MID(A170,4,2), LEFT(A170,2)))</f>
        <v/>
      </c>
      <c r="C170" t="inlineStr">
        <is>
          <t>US DOLLAR</t>
        </is>
      </c>
      <c r="D170" t="n">
        <v>26092</v>
      </c>
      <c r="E170" t="n">
        <v>26122</v>
      </c>
      <c r="F170" t="n">
        <v>26442</v>
      </c>
      <c r="G170" t="inlineStr">
        <is>
          <t>EURO</t>
        </is>
      </c>
      <c r="H170" t="n">
        <v>29393.39</v>
      </c>
      <c r="I170" t="n">
        <v>29690.29</v>
      </c>
      <c r="J170" t="n">
        <v>30942.98</v>
      </c>
      <c r="K170" t="inlineStr">
        <is>
          <t>POUND STERLING</t>
        </is>
      </c>
      <c r="L170" t="n">
        <v>33891.78</v>
      </c>
      <c r="M170" t="n">
        <v>34234.12</v>
      </c>
      <c r="N170" t="n">
        <v>35330.43</v>
      </c>
      <c r="O170" t="inlineStr">
        <is>
          <t>YEN</t>
        </is>
      </c>
      <c r="P170" t="n">
        <v>157.26</v>
      </c>
      <c r="Q170" t="n">
        <v>158.85</v>
      </c>
      <c r="R170" t="n">
        <v>167.25</v>
      </c>
      <c r="S170" t="inlineStr">
        <is>
          <t>AUSTRALIAN DOLLAR</t>
        </is>
      </c>
      <c r="T170" t="n">
        <v>17975.59</v>
      </c>
      <c r="U170" t="n">
        <v>18157.16</v>
      </c>
      <c r="V170" t="n">
        <v>18738.63</v>
      </c>
      <c r="W170" t="inlineStr">
        <is>
          <t>CANADIAN DOLLAR</t>
        </is>
      </c>
      <c r="X170" t="n">
        <v>18100.63</v>
      </c>
      <c r="Y170" t="n">
        <v>18283.47</v>
      </c>
      <c r="Z170" t="n">
        <v>18868.98</v>
      </c>
      <c r="AA170" t="inlineStr">
        <is>
          <t>SWISS FRANC</t>
        </is>
      </c>
      <c r="AB170" t="n">
        <v>31739.94</v>
      </c>
      <c r="AC170" t="n">
        <v>32060.54</v>
      </c>
      <c r="AD170" t="n">
        <v>33087.25</v>
      </c>
      <c r="AE170" t="inlineStr">
        <is>
          <t>SINGAPORE DOLLAR</t>
        </is>
      </c>
      <c r="AF170" t="n">
        <v>19836.65</v>
      </c>
      <c r="AG170" t="n">
        <v>20037.02</v>
      </c>
      <c r="AH170" t="n">
        <v>20720.1</v>
      </c>
      <c r="AI170" t="inlineStr">
        <is>
          <t>YUAN RENMINBI</t>
        </is>
      </c>
      <c r="AJ170" t="n">
        <v>3789.89</v>
      </c>
      <c r="AK170" t="n">
        <v>3828.17</v>
      </c>
      <c r="AL170" t="n">
        <v>3950.76</v>
      </c>
      <c r="AM170" t="inlineStr">
        <is>
          <t>HONGKONG DOLLAR</t>
        </is>
      </c>
      <c r="AN170" t="n">
        <v>3263.45</v>
      </c>
      <c r="AO170" t="n">
        <v>3296.41</v>
      </c>
      <c r="AP170" t="n">
        <v>3422.46</v>
      </c>
      <c r="AQ170" t="inlineStr">
        <is>
          <t>THAILAND BAHT</t>
        </is>
      </c>
      <c r="AR170" t="n">
        <v>705.13</v>
      </c>
      <c r="AS170" t="n">
        <v>783.48</v>
      </c>
      <c r="AT170" t="n">
        <v>816.7</v>
      </c>
      <c r="AU170" t="inlineStr">
        <is>
          <t>KOREAN WON</t>
        </is>
      </c>
      <c r="AV170" t="n">
        <v>14.86</v>
      </c>
      <c r="AW170" t="n">
        <v>16.51</v>
      </c>
      <c r="AX170" t="n">
        <v>17.91</v>
      </c>
      <c r="AY170" t="inlineStr">
        <is>
          <t>MALAYSIAN RINGGIT</t>
        </is>
      </c>
      <c r="BA170" t="n">
        <v>6294.32</v>
      </c>
      <c r="BB170" t="n">
        <v>6431.25</v>
      </c>
      <c r="BC170" t="inlineStr">
        <is>
          <t>INDIAN RUPEE</t>
        </is>
      </c>
      <c r="BE170" t="n">
        <v>277.45</v>
      </c>
      <c r="BF170" t="n">
        <v>289.39</v>
      </c>
      <c r="BG170" t="inlineStr">
        <is>
          <t>KUWAITI DINAR</t>
        </is>
      </c>
      <c r="BI170" t="n">
        <v>85102.94</v>
      </c>
      <c r="BJ170" t="n">
        <v>89227.64</v>
      </c>
      <c r="BK170" t="inlineStr">
        <is>
          <t>SAUDI RIAL</t>
        </is>
      </c>
      <c r="BM170" t="n">
        <v>6972.49</v>
      </c>
      <c r="BN170" t="n">
        <v>7272.55</v>
      </c>
      <c r="BO170" t="inlineStr">
        <is>
          <t>NORWEGIAN KRONER</t>
        </is>
      </c>
      <c r="BQ170" t="n">
        <v>2661.33</v>
      </c>
      <c r="BR170" t="n">
        <v>2774.17</v>
      </c>
      <c r="BS170" t="inlineStr">
        <is>
          <t>SWEDISH KRONA</t>
        </is>
      </c>
      <c r="BU170" t="n">
        <v>2689.12</v>
      </c>
      <c r="BV170" t="n">
        <v>2803.13</v>
      </c>
      <c r="BW170" t="inlineStr">
        <is>
          <t>DANISH KRONE</t>
        </is>
      </c>
      <c r="BY170" t="n">
        <v>3962.11</v>
      </c>
      <c r="BZ170" t="n">
        <v>4113.61</v>
      </c>
      <c r="CA170" t="inlineStr">
        <is>
          <t>RUSSIAN RUBLE</t>
        </is>
      </c>
      <c r="CC170" t="n">
        <v>343.14</v>
      </c>
      <c r="CD170" t="n">
        <v>379.84</v>
      </c>
    </row>
    <row r="171">
      <c r="A171" t="inlineStr">
        <is>
          <t>23/06/2026</t>
        </is>
      </c>
      <c r="B171">
        <f>IF(ISNUMBER(A171), A171, DATE(RIGHT(A171,4), MID(A171,4,2), LEFT(A171,2)))</f>
        <v/>
      </c>
      <c r="C171" t="inlineStr">
        <is>
          <t>US DOLLAR</t>
        </is>
      </c>
      <c r="D171" t="n">
        <v>26098</v>
      </c>
      <c r="E171" t="n">
        <v>26128</v>
      </c>
      <c r="F171" t="n">
        <v>26448</v>
      </c>
      <c r="G171" t="inlineStr">
        <is>
          <t>EURO</t>
        </is>
      </c>
      <c r="H171" t="n">
        <v>29309.2</v>
      </c>
      <c r="I171" t="n">
        <v>29605.25</v>
      </c>
      <c r="J171" t="n">
        <v>30854.34</v>
      </c>
      <c r="K171" t="inlineStr">
        <is>
          <t>POUND STERLING</t>
        </is>
      </c>
      <c r="L171" t="n">
        <v>33970.04</v>
      </c>
      <c r="M171" t="n">
        <v>34313.18</v>
      </c>
      <c r="N171" t="n">
        <v>35412.01</v>
      </c>
      <c r="O171" t="inlineStr">
        <is>
          <t>YEN</t>
        </is>
      </c>
      <c r="P171" t="n">
        <v>157.24</v>
      </c>
      <c r="Q171" t="n">
        <v>158.83</v>
      </c>
      <c r="R171" t="n">
        <v>167.23</v>
      </c>
      <c r="S171" t="inlineStr">
        <is>
          <t>AUSTRALIAN DOLLAR</t>
        </is>
      </c>
      <c r="T171" t="n">
        <v>17930.27</v>
      </c>
      <c r="U171" t="n">
        <v>18111.39</v>
      </c>
      <c r="V171" t="n">
        <v>18691.38</v>
      </c>
      <c r="W171" t="inlineStr">
        <is>
          <t>CANADIAN DOLLAR</t>
        </is>
      </c>
      <c r="X171" t="n">
        <v>18124.54</v>
      </c>
      <c r="Y171" t="n">
        <v>18307.61</v>
      </c>
      <c r="Z171" t="n">
        <v>18893.89</v>
      </c>
      <c r="AA171" t="inlineStr">
        <is>
          <t>SWISS FRANC</t>
        </is>
      </c>
      <c r="AB171" t="n">
        <v>31742.04</v>
      </c>
      <c r="AC171" t="n">
        <v>32062.67</v>
      </c>
      <c r="AD171" t="n">
        <v>33089.44</v>
      </c>
      <c r="AE171" t="inlineStr">
        <is>
          <t>SINGAPORE DOLLAR</t>
        </is>
      </c>
      <c r="AF171" t="n">
        <v>19817.41</v>
      </c>
      <c r="AG171" t="n">
        <v>20017.59</v>
      </c>
      <c r="AH171" t="n">
        <v>20700</v>
      </c>
      <c r="AI171" t="inlineStr">
        <is>
          <t>YUAN RENMINBI</t>
        </is>
      </c>
      <c r="AJ171" t="n">
        <v>3787.3</v>
      </c>
      <c r="AK171" t="n">
        <v>3825.56</v>
      </c>
      <c r="AL171" t="n">
        <v>3948.07</v>
      </c>
      <c r="AM171" t="inlineStr">
        <is>
          <t>HONGKONG DOLLAR</t>
        </is>
      </c>
      <c r="AN171" t="n">
        <v>3263.15</v>
      </c>
      <c r="AO171" t="n">
        <v>3296.11</v>
      </c>
      <c r="AP171" t="n">
        <v>3422.14</v>
      </c>
      <c r="AQ171" t="inlineStr">
        <is>
          <t>THAILAND BAHT</t>
        </is>
      </c>
      <c r="AR171" t="n">
        <v>704.2</v>
      </c>
      <c r="AS171" t="n">
        <v>782.4400000000001</v>
      </c>
      <c r="AT171" t="n">
        <v>815.61</v>
      </c>
      <c r="AU171" t="inlineStr">
        <is>
          <t>KOREAN WON</t>
        </is>
      </c>
      <c r="AV171" t="n">
        <v>14.79</v>
      </c>
      <c r="AW171" t="n">
        <v>16.43</v>
      </c>
      <c r="AX171" t="n">
        <v>17.83</v>
      </c>
      <c r="AY171" t="inlineStr">
        <is>
          <t>MALAYSIAN RINGGIT</t>
        </is>
      </c>
      <c r="BA171" t="n">
        <v>6283.37</v>
      </c>
      <c r="BB171" t="n">
        <v>6420.05</v>
      </c>
      <c r="BC171" t="inlineStr">
        <is>
          <t>INDIAN RUPEE</t>
        </is>
      </c>
      <c r="BE171" t="n">
        <v>276.46</v>
      </c>
      <c r="BF171" t="n">
        <v>288.35</v>
      </c>
      <c r="BG171" t="inlineStr">
        <is>
          <t>KUWAITI DINAR</t>
        </is>
      </c>
      <c r="BI171" t="n">
        <v>85091.45</v>
      </c>
      <c r="BJ171" t="n">
        <v>89215.57000000001</v>
      </c>
      <c r="BK171" t="inlineStr">
        <is>
          <t>SAUDI RIAL</t>
        </is>
      </c>
      <c r="BM171" t="n">
        <v>6971.96</v>
      </c>
      <c r="BN171" t="n">
        <v>7271.99</v>
      </c>
      <c r="BO171" t="inlineStr">
        <is>
          <t>NORWEGIAN KRONER</t>
        </is>
      </c>
      <c r="BQ171" t="n">
        <v>2658.54</v>
      </c>
      <c r="BR171" t="n">
        <v>2771.26</v>
      </c>
      <c r="BS171" t="inlineStr">
        <is>
          <t>SWEDISH KRONA</t>
        </is>
      </c>
      <c r="BU171" t="n">
        <v>2680.12</v>
      </c>
      <c r="BV171" t="n">
        <v>2793.76</v>
      </c>
      <c r="BW171" t="inlineStr">
        <is>
          <t>DANISH KRONE</t>
        </is>
      </c>
      <c r="BY171" t="n">
        <v>3950.51</v>
      </c>
      <c r="BZ171" t="n">
        <v>4101.56</v>
      </c>
      <c r="CA171" t="inlineStr">
        <is>
          <t>RUSSIAN RUBLE</t>
        </is>
      </c>
      <c r="CC171" t="n">
        <v>337.43</v>
      </c>
      <c r="CD171" t="n">
        <v>373.51</v>
      </c>
    </row>
    <row r="172">
      <c r="A172" t="inlineStr">
        <is>
          <t>24/06/2026</t>
        </is>
      </c>
      <c r="B172">
        <f>IF(ISNUMBER(A172), A172, DATE(RIGHT(A172,4), MID(A172,4,2), LEFT(A172,2)))</f>
        <v/>
      </c>
      <c r="C172" t="inlineStr">
        <is>
          <t>US DOLLAR</t>
        </is>
      </c>
      <c r="D172" t="n">
        <v>26101</v>
      </c>
      <c r="E172" t="n">
        <v>26131</v>
      </c>
      <c r="F172" t="n">
        <v>26451</v>
      </c>
      <c r="G172" t="inlineStr">
        <is>
          <t>EURO</t>
        </is>
      </c>
      <c r="H172" t="n">
        <v>29140.31</v>
      </c>
      <c r="I172" t="n">
        <v>29434.65</v>
      </c>
      <c r="J172" t="n">
        <v>30676.54</v>
      </c>
      <c r="K172" t="inlineStr">
        <is>
          <t>POUND STERLING</t>
        </is>
      </c>
      <c r="L172" t="n">
        <v>33840.52</v>
      </c>
      <c r="M172" t="n">
        <v>34182.35</v>
      </c>
      <c r="N172" t="n">
        <v>35276.98</v>
      </c>
      <c r="O172" t="inlineStr">
        <is>
          <t>YEN</t>
        </is>
      </c>
      <c r="P172" t="n">
        <v>157.17</v>
      </c>
      <c r="Q172" t="n">
        <v>158.76</v>
      </c>
      <c r="R172" t="n">
        <v>167.16</v>
      </c>
      <c r="S172" t="inlineStr">
        <is>
          <t>AUSTRALIAN DOLLAR</t>
        </is>
      </c>
      <c r="T172" t="n">
        <v>17710.47</v>
      </c>
      <c r="U172" t="n">
        <v>17889.37</v>
      </c>
      <c r="V172" t="n">
        <v>18462.25</v>
      </c>
      <c r="W172" t="inlineStr">
        <is>
          <t>CANADIAN DOLLAR</t>
        </is>
      </c>
      <c r="X172" t="n">
        <v>18041.32</v>
      </c>
      <c r="Y172" t="n">
        <v>18223.55</v>
      </c>
      <c r="Z172" t="n">
        <v>18807.14</v>
      </c>
      <c r="AA172" t="inlineStr">
        <is>
          <t>SWISS FRANC</t>
        </is>
      </c>
      <c r="AB172" t="n">
        <v>31630.68</v>
      </c>
      <c r="AC172" t="n">
        <v>31950.18</v>
      </c>
      <c r="AD172" t="n">
        <v>32973.34</v>
      </c>
      <c r="AE172" t="inlineStr">
        <is>
          <t>SINGAPORE DOLLAR</t>
        </is>
      </c>
      <c r="AF172" t="n">
        <v>19773.79</v>
      </c>
      <c r="AG172" t="n">
        <v>19973.52</v>
      </c>
      <c r="AH172" t="n">
        <v>20654.42</v>
      </c>
      <c r="AI172" t="inlineStr">
        <is>
          <t>YUAN RENMINBI</t>
        </is>
      </c>
      <c r="AJ172" t="n">
        <v>3772.1</v>
      </c>
      <c r="AK172" t="n">
        <v>3810.2</v>
      </c>
      <c r="AL172" t="n">
        <v>3932.22</v>
      </c>
      <c r="AM172" t="inlineStr">
        <is>
          <t>HONGKONG DOLLAR</t>
        </is>
      </c>
      <c r="AN172" t="n">
        <v>3263.36</v>
      </c>
      <c r="AO172" t="n">
        <v>3296.32</v>
      </c>
      <c r="AP172" t="n">
        <v>3422.36</v>
      </c>
      <c r="AQ172" t="inlineStr">
        <is>
          <t>THAILAND BAHT</t>
        </is>
      </c>
      <c r="AR172" t="n">
        <v>695.88</v>
      </c>
      <c r="AS172" t="n">
        <v>773.2</v>
      </c>
      <c r="AT172" t="n">
        <v>805.99</v>
      </c>
      <c r="AU172" t="inlineStr">
        <is>
          <t>KOREAN WON</t>
        </is>
      </c>
      <c r="AV172" t="n">
        <v>14.75</v>
      </c>
      <c r="AW172" t="n">
        <v>16.39</v>
      </c>
      <c r="AX172" t="n">
        <v>17.78</v>
      </c>
      <c r="AY172" t="inlineStr">
        <is>
          <t>MALAYSIAN RINGGIT</t>
        </is>
      </c>
      <c r="BA172" t="n">
        <v>6301.28</v>
      </c>
      <c r="BB172" t="n">
        <v>6438.36</v>
      </c>
      <c r="BC172" t="inlineStr">
        <is>
          <t>INDIAN RUPEE</t>
        </is>
      </c>
      <c r="BE172" t="n">
        <v>276.59</v>
      </c>
      <c r="BF172" t="n">
        <v>288.49</v>
      </c>
      <c r="BG172" t="inlineStr">
        <is>
          <t>KUWAITI DINAR</t>
        </is>
      </c>
      <c r="BI172" t="n">
        <v>85052.32000000001</v>
      </c>
      <c r="BJ172" t="n">
        <v>89174.52</v>
      </c>
      <c r="BK172" t="inlineStr">
        <is>
          <t>SAUDI RIAL</t>
        </is>
      </c>
      <c r="BM172" t="n">
        <v>6974.4</v>
      </c>
      <c r="BN172" t="n">
        <v>7274.54</v>
      </c>
      <c r="BO172" t="inlineStr">
        <is>
          <t>NORWEGIAN KRONER</t>
        </is>
      </c>
      <c r="BQ172" t="n">
        <v>2628.99</v>
      </c>
      <c r="BR172" t="n">
        <v>2740.46</v>
      </c>
      <c r="BS172" t="inlineStr">
        <is>
          <t>SWEDISH KRONA</t>
        </is>
      </c>
      <c r="BU172" t="n">
        <v>2642.87</v>
      </c>
      <c r="BV172" t="n">
        <v>2754.92</v>
      </c>
      <c r="BW172" t="inlineStr">
        <is>
          <t>DANISH KRONE</t>
        </is>
      </c>
      <c r="BY172" t="n">
        <v>3927.36</v>
      </c>
      <c r="BZ172" t="n">
        <v>4077.53</v>
      </c>
      <c r="CA172" t="inlineStr">
        <is>
          <t>RUSSIAN RUBLE</t>
        </is>
      </c>
      <c r="CC172" t="n">
        <v>334.1</v>
      </c>
      <c r="CD172" t="n">
        <v>369.82</v>
      </c>
    </row>
    <row r="173">
      <c r="A173" t="inlineStr">
        <is>
          <t>25/06/2026</t>
        </is>
      </c>
      <c r="B173">
        <f>IF(ISNUMBER(A173), A173, DATE(RIGHT(A173,4), MID(A173,4,2), LEFT(A173,2)))</f>
        <v/>
      </c>
      <c r="C173" t="inlineStr">
        <is>
          <t>US DOLLAR</t>
        </is>
      </c>
      <c r="D173" t="n">
        <v>26106</v>
      </c>
      <c r="E173" t="n">
        <v>26136</v>
      </c>
      <c r="F173" t="n">
        <v>26456</v>
      </c>
      <c r="G173" t="inlineStr">
        <is>
          <t>EURO</t>
        </is>
      </c>
      <c r="H173" t="n">
        <v>29133.02</v>
      </c>
      <c r="I173" t="n">
        <v>29427.29</v>
      </c>
      <c r="J173" t="n">
        <v>30668.85</v>
      </c>
      <c r="K173" t="inlineStr">
        <is>
          <t>POUND STERLING</t>
        </is>
      </c>
      <c r="L173" t="n">
        <v>33769.97</v>
      </c>
      <c r="M173" t="n">
        <v>34111.08</v>
      </c>
      <c r="N173" t="n">
        <v>35203.43</v>
      </c>
      <c r="O173" t="inlineStr">
        <is>
          <t>YEN</t>
        </is>
      </c>
      <c r="P173" t="n">
        <v>157.16</v>
      </c>
      <c r="Q173" t="n">
        <v>158.75</v>
      </c>
      <c r="R173" t="n">
        <v>167.15</v>
      </c>
      <c r="S173" t="inlineStr">
        <is>
          <t>AUSTRALIAN DOLLAR</t>
        </is>
      </c>
      <c r="T173" t="n">
        <v>17685.61</v>
      </c>
      <c r="U173" t="n">
        <v>17864.25</v>
      </c>
      <c r="V173" t="n">
        <v>18436.32</v>
      </c>
      <c r="W173" t="inlineStr">
        <is>
          <t>CANADIAN DOLLAR</t>
        </is>
      </c>
      <c r="X173" t="n">
        <v>18029.54</v>
      </c>
      <c r="Y173" t="n">
        <v>18211.65</v>
      </c>
      <c r="Z173" t="n">
        <v>18794.85</v>
      </c>
      <c r="AA173" t="inlineStr">
        <is>
          <t>SWISS FRANC</t>
        </is>
      </c>
      <c r="AB173" t="n">
        <v>31597.74</v>
      </c>
      <c r="AC173" t="n">
        <v>31916.91</v>
      </c>
      <c r="AD173" t="n">
        <v>32938.99</v>
      </c>
      <c r="AE173" t="inlineStr">
        <is>
          <t>SINGAPORE DOLLAR</t>
        </is>
      </c>
      <c r="AF173" t="n">
        <v>19766.87</v>
      </c>
      <c r="AG173" t="n">
        <v>19966.54</v>
      </c>
      <c r="AH173" t="n">
        <v>20647.19</v>
      </c>
      <c r="AI173" t="inlineStr">
        <is>
          <t>YUAN RENMINBI</t>
        </is>
      </c>
      <c r="AJ173" t="n">
        <v>3768.66</v>
      </c>
      <c r="AK173" t="n">
        <v>3806.73</v>
      </c>
      <c r="AL173" t="n">
        <v>3928.63</v>
      </c>
      <c r="AM173" t="inlineStr">
        <is>
          <t>HONGKONG DOLLAR</t>
        </is>
      </c>
      <c r="AN173" t="n">
        <v>3264.73</v>
      </c>
      <c r="AO173" t="n">
        <v>3297.7</v>
      </c>
      <c r="AP173" t="n">
        <v>3423.79</v>
      </c>
      <c r="AQ173" t="inlineStr">
        <is>
          <t>THAILAND BAHT</t>
        </is>
      </c>
      <c r="AR173" t="n">
        <v>695.1799999999999</v>
      </c>
      <c r="AS173" t="n">
        <v>772.4299999999999</v>
      </c>
      <c r="AT173" t="n">
        <v>805.1799999999999</v>
      </c>
      <c r="AU173" t="inlineStr">
        <is>
          <t>KOREAN WON</t>
        </is>
      </c>
      <c r="AV173" t="n">
        <v>14.71</v>
      </c>
      <c r="AW173" t="n">
        <v>16.35</v>
      </c>
      <c r="AX173" t="n">
        <v>17.74</v>
      </c>
      <c r="AY173" t="inlineStr">
        <is>
          <t>MALAYSIAN RINGGIT</t>
        </is>
      </c>
      <c r="BA173" t="n">
        <v>6316.23</v>
      </c>
      <c r="BB173" t="n">
        <v>6453.63</v>
      </c>
      <c r="BC173" t="inlineStr">
        <is>
          <t>INDIAN RUPEE</t>
        </is>
      </c>
      <c r="BE173" t="n">
        <v>276.6</v>
      </c>
      <c r="BF173" t="n">
        <v>288.5</v>
      </c>
      <c r="BG173" t="inlineStr">
        <is>
          <t>KUWAITI DINAR</t>
        </is>
      </c>
      <c r="BI173" t="n">
        <v>85068.48</v>
      </c>
      <c r="BJ173" t="n">
        <v>89191.44</v>
      </c>
      <c r="BK173" t="inlineStr">
        <is>
          <t>SAUDI RIAL</t>
        </is>
      </c>
      <c r="BM173" t="n">
        <v>6974.42</v>
      </c>
      <c r="BN173" t="n">
        <v>7274.56</v>
      </c>
      <c r="BO173" t="inlineStr">
        <is>
          <t>NORWEGIAN KRONER</t>
        </is>
      </c>
      <c r="BQ173" t="n">
        <v>2619.06</v>
      </c>
      <c r="BR173" t="n">
        <v>2730.1</v>
      </c>
      <c r="BS173" t="inlineStr">
        <is>
          <t>SWEDISH KRONA</t>
        </is>
      </c>
      <c r="BU173" t="n">
        <v>2644.86</v>
      </c>
      <c r="BV173" t="n">
        <v>2757</v>
      </c>
      <c r="BW173" t="inlineStr">
        <is>
          <t>DANISH KRONE</t>
        </is>
      </c>
      <c r="BY173" t="n">
        <v>3926.44</v>
      </c>
      <c r="BZ173" t="n">
        <v>4076.57</v>
      </c>
      <c r="CA173" t="inlineStr">
        <is>
          <t>RUSSIAN RUBLE</t>
        </is>
      </c>
      <c r="CC173" t="n">
        <v>334.62</v>
      </c>
      <c r="CD173" t="n">
        <v>370.41</v>
      </c>
    </row>
    <row r="174">
      <c r="A174" t="inlineStr">
        <is>
          <t>26/06/2026</t>
        </is>
      </c>
      <c r="B174">
        <f>IF(ISNUMBER(A174), A174, DATE(RIGHT(A174,4), MID(A174,4,2), LEFT(A174,2)))</f>
        <v/>
      </c>
      <c r="C174" t="inlineStr">
        <is>
          <t>US DOLLAR</t>
        </is>
      </c>
      <c r="D174" t="n">
        <v>26084</v>
      </c>
      <c r="E174" t="n">
        <v>26114</v>
      </c>
      <c r="F174" t="n">
        <v>26454</v>
      </c>
      <c r="G174" t="inlineStr">
        <is>
          <t>EURO</t>
        </is>
      </c>
      <c r="H174" t="n">
        <v>29204.46</v>
      </c>
      <c r="I174" t="n">
        <v>29499.46</v>
      </c>
      <c r="J174" t="n">
        <v>30744.13</v>
      </c>
      <c r="K174" t="inlineStr">
        <is>
          <t>POUND STERLING</t>
        </is>
      </c>
      <c r="L174" t="n">
        <v>33845.5</v>
      </c>
      <c r="M174" t="n">
        <v>34187.38</v>
      </c>
      <c r="N174" t="n">
        <v>35282.24</v>
      </c>
      <c r="O174" t="inlineStr">
        <is>
          <t>YEN</t>
        </is>
      </c>
      <c r="P174" t="n">
        <v>157.1</v>
      </c>
      <c r="Q174" t="n">
        <v>158.69</v>
      </c>
      <c r="R174" t="n">
        <v>167.08</v>
      </c>
      <c r="S174" t="inlineStr">
        <is>
          <t>AUSTRALIAN DOLLAR</t>
        </is>
      </c>
      <c r="T174" t="n">
        <v>17669.78</v>
      </c>
      <c r="U174" t="n">
        <v>17848.26</v>
      </c>
      <c r="V174" t="n">
        <v>18419.85</v>
      </c>
      <c r="W174" t="inlineStr">
        <is>
          <t>CANADIAN DOLLAR</t>
        </is>
      </c>
      <c r="X174" t="n">
        <v>18074.11</v>
      </c>
      <c r="Y174" t="n">
        <v>18256.68</v>
      </c>
      <c r="Z174" t="n">
        <v>18841.36</v>
      </c>
      <c r="AA174" t="inlineStr">
        <is>
          <t>SWISS FRANC</t>
        </is>
      </c>
      <c r="AB174" t="n">
        <v>31731.5</v>
      </c>
      <c r="AC174" t="n">
        <v>32052.02</v>
      </c>
      <c r="AD174" t="n">
        <v>33078.5</v>
      </c>
      <c r="AE174" t="inlineStr">
        <is>
          <t>SINGAPORE DOLLAR</t>
        </is>
      </c>
      <c r="AF174" t="n">
        <v>19789.4</v>
      </c>
      <c r="AG174" t="n">
        <v>19989.29</v>
      </c>
      <c r="AH174" t="n">
        <v>20670.76</v>
      </c>
      <c r="AI174" t="inlineStr">
        <is>
          <t>YUAN RENMINBI</t>
        </is>
      </c>
      <c r="AJ174" t="n">
        <v>3769.41</v>
      </c>
      <c r="AK174" t="n">
        <v>3807.48</v>
      </c>
      <c r="AL174" t="n">
        <v>3929.42</v>
      </c>
      <c r="AM174" t="inlineStr">
        <is>
          <t>HONGKONG DOLLAR</t>
        </is>
      </c>
      <c r="AN174" t="n">
        <v>3259.18</v>
      </c>
      <c r="AO174" t="n">
        <v>3292.1</v>
      </c>
      <c r="AP174" t="n">
        <v>3417.98</v>
      </c>
      <c r="AQ174" t="inlineStr">
        <is>
          <t>THAILAND BAHT</t>
        </is>
      </c>
      <c r="AR174" t="n">
        <v>694.88</v>
      </c>
      <c r="AS174" t="n">
        <v>772.09</v>
      </c>
      <c r="AT174" t="n">
        <v>804.83</v>
      </c>
      <c r="AU174" t="inlineStr">
        <is>
          <t>KOREAN WON</t>
        </is>
      </c>
      <c r="AV174" t="n">
        <v>14.78</v>
      </c>
      <c r="AW174" t="n">
        <v>16.43</v>
      </c>
      <c r="AX174" t="n">
        <v>17.82</v>
      </c>
      <c r="AY174" t="inlineStr">
        <is>
          <t>MALAYSIAN RINGGIT</t>
        </is>
      </c>
      <c r="BA174" t="n">
        <v>6369.6</v>
      </c>
      <c r="BB174" t="n">
        <v>6508.17</v>
      </c>
      <c r="BC174" t="inlineStr">
        <is>
          <t>INDIAN RUPEE</t>
        </is>
      </c>
      <c r="BE174" t="n">
        <v>277.02</v>
      </c>
      <c r="BF174" t="n">
        <v>288.94</v>
      </c>
      <c r="BG174" t="inlineStr">
        <is>
          <t>KUWAITI DINAR</t>
        </is>
      </c>
      <c r="BI174" t="n">
        <v>84955.34</v>
      </c>
      <c r="BJ174" t="n">
        <v>89072.99000000001</v>
      </c>
      <c r="BK174" t="inlineStr">
        <is>
          <t>SAUDI RIAL</t>
        </is>
      </c>
      <c r="BM174" t="n">
        <v>6964.22</v>
      </c>
      <c r="BN174" t="n">
        <v>7263.93</v>
      </c>
      <c r="BO174" t="inlineStr">
        <is>
          <t>NORWEGIAN KRONER</t>
        </is>
      </c>
      <c r="BQ174" t="n">
        <v>2604.31</v>
      </c>
      <c r="BR174" t="n">
        <v>2714.73</v>
      </c>
      <c r="BS174" t="inlineStr">
        <is>
          <t>SWEDISH KRONA</t>
        </is>
      </c>
      <c r="BU174" t="n">
        <v>2654.16</v>
      </c>
      <c r="BV174" t="n">
        <v>2766.7</v>
      </c>
      <c r="BW174" t="inlineStr">
        <is>
          <t>DANISH KRONE</t>
        </is>
      </c>
      <c r="BY174" t="n">
        <v>3936.22</v>
      </c>
      <c r="BZ174" t="n">
        <v>4086.74</v>
      </c>
      <c r="CA174" t="inlineStr">
        <is>
          <t>RUSSIAN RUBLE</t>
        </is>
      </c>
      <c r="CC174" t="n">
        <v>325.68</v>
      </c>
      <c r="CD174" t="n">
        <v>360.51</v>
      </c>
    </row>
    <row r="175">
      <c r="A175" t="inlineStr">
        <is>
          <t>27/06/2026</t>
        </is>
      </c>
      <c r="B175">
        <f>IF(ISNUMBER(A175), A175, DATE(RIGHT(A175,4), MID(A175,4,2), LEFT(A175,2)))</f>
        <v/>
      </c>
      <c r="C175" t="inlineStr">
        <is>
          <t>US DOLLAR</t>
        </is>
      </c>
      <c r="D175" t="n">
        <v>26084</v>
      </c>
      <c r="E175" t="n">
        <v>26114</v>
      </c>
      <c r="F175" t="n">
        <v>26454</v>
      </c>
      <c r="G175" t="inlineStr">
        <is>
          <t>EURO</t>
        </is>
      </c>
      <c r="H175" t="n">
        <v>29204.46</v>
      </c>
      <c r="I175" t="n">
        <v>29499.46</v>
      </c>
      <c r="J175" t="n">
        <v>30744.13</v>
      </c>
      <c r="K175" t="inlineStr">
        <is>
          <t>POUND STERLING</t>
        </is>
      </c>
      <c r="L175" t="n">
        <v>33845.5</v>
      </c>
      <c r="M175" t="n">
        <v>34187.38</v>
      </c>
      <c r="N175" t="n">
        <v>35282.24</v>
      </c>
      <c r="O175" t="inlineStr">
        <is>
          <t>YEN</t>
        </is>
      </c>
      <c r="P175" t="n">
        <v>157.1</v>
      </c>
      <c r="Q175" t="n">
        <v>158.69</v>
      </c>
      <c r="R175" t="n">
        <v>167.08</v>
      </c>
      <c r="S175" t="inlineStr">
        <is>
          <t>AUSTRALIAN DOLLAR</t>
        </is>
      </c>
      <c r="T175" t="n">
        <v>17669.78</v>
      </c>
      <c r="U175" t="n">
        <v>17848.26</v>
      </c>
      <c r="V175" t="n">
        <v>18419.85</v>
      </c>
      <c r="W175" t="inlineStr">
        <is>
          <t>CANADIAN DOLLAR</t>
        </is>
      </c>
      <c r="X175" t="n">
        <v>18074.11</v>
      </c>
      <c r="Y175" t="n">
        <v>18256.68</v>
      </c>
      <c r="Z175" t="n">
        <v>18841.36</v>
      </c>
      <c r="AA175" t="inlineStr">
        <is>
          <t>SWISS FRANC</t>
        </is>
      </c>
      <c r="AB175" t="n">
        <v>31731.5</v>
      </c>
      <c r="AC175" t="n">
        <v>32052.02</v>
      </c>
      <c r="AD175" t="n">
        <v>33078.5</v>
      </c>
      <c r="AE175" t="inlineStr">
        <is>
          <t>SINGAPORE DOLLAR</t>
        </is>
      </c>
      <c r="AF175" t="n">
        <v>19789.4</v>
      </c>
      <c r="AG175" t="n">
        <v>19989.29</v>
      </c>
      <c r="AH175" t="n">
        <v>20670.76</v>
      </c>
      <c r="AI175" t="inlineStr">
        <is>
          <t>YUAN RENMINBI</t>
        </is>
      </c>
      <c r="AJ175" t="n">
        <v>3769.41</v>
      </c>
      <c r="AK175" t="n">
        <v>3807.48</v>
      </c>
      <c r="AL175" t="n">
        <v>3929.42</v>
      </c>
      <c r="AM175" t="inlineStr">
        <is>
          <t>HONGKONG DOLLAR</t>
        </is>
      </c>
      <c r="AN175" t="n">
        <v>3259.18</v>
      </c>
      <c r="AO175" t="n">
        <v>3292.1</v>
      </c>
      <c r="AP175" t="n">
        <v>3417.98</v>
      </c>
      <c r="AQ175" t="inlineStr">
        <is>
          <t>THAILAND BAHT</t>
        </is>
      </c>
      <c r="AR175" t="n">
        <v>694.88</v>
      </c>
      <c r="AS175" t="n">
        <v>772.09</v>
      </c>
      <c r="AT175" t="n">
        <v>804.83</v>
      </c>
      <c r="AU175" t="inlineStr">
        <is>
          <t>KOREAN WON</t>
        </is>
      </c>
      <c r="AV175" t="n">
        <v>14.78</v>
      </c>
      <c r="AW175" t="n">
        <v>16.43</v>
      </c>
      <c r="AX175" t="n">
        <v>17.82</v>
      </c>
      <c r="AY175" t="inlineStr">
        <is>
          <t>MALAYSIAN RINGGIT</t>
        </is>
      </c>
      <c r="BA175" t="n">
        <v>6369.6</v>
      </c>
      <c r="BB175" t="n">
        <v>6508.17</v>
      </c>
      <c r="BC175" t="inlineStr">
        <is>
          <t>INDIAN RUPEE</t>
        </is>
      </c>
      <c r="BE175" t="n">
        <v>277.02</v>
      </c>
      <c r="BF175" t="n">
        <v>288.94</v>
      </c>
      <c r="BG175" t="inlineStr">
        <is>
          <t>KUWAITI DINAR</t>
        </is>
      </c>
      <c r="BI175" t="n">
        <v>84955.34</v>
      </c>
      <c r="BJ175" t="n">
        <v>89072.99000000001</v>
      </c>
      <c r="BK175" t="inlineStr">
        <is>
          <t>SAUDI RIAL</t>
        </is>
      </c>
      <c r="BM175" t="n">
        <v>6964.22</v>
      </c>
      <c r="BN175" t="n">
        <v>7263.93</v>
      </c>
      <c r="BO175" t="inlineStr">
        <is>
          <t>NORWEGIAN KRONER</t>
        </is>
      </c>
      <c r="BQ175" t="n">
        <v>2604.31</v>
      </c>
      <c r="BR175" t="n">
        <v>2714.73</v>
      </c>
      <c r="BS175" t="inlineStr">
        <is>
          <t>SWEDISH KRONA</t>
        </is>
      </c>
      <c r="BU175" t="n">
        <v>2654.16</v>
      </c>
      <c r="BV175" t="n">
        <v>2766.7</v>
      </c>
      <c r="BW175" t="inlineStr">
        <is>
          <t>DANISH KRONE</t>
        </is>
      </c>
      <c r="BY175" t="n">
        <v>3936.22</v>
      </c>
      <c r="BZ175" t="n">
        <v>4086.74</v>
      </c>
      <c r="CA175" t="inlineStr">
        <is>
          <t>RUSSIAN RUBLE</t>
        </is>
      </c>
      <c r="CC175" t="n">
        <v>325.68</v>
      </c>
      <c r="CD175" t="n">
        <v>360.51</v>
      </c>
    </row>
    <row r="176">
      <c r="A176" t="inlineStr">
        <is>
          <t>28/06/2026</t>
        </is>
      </c>
      <c r="B176">
        <f>IF(ISNUMBER(A176), A176, DATE(RIGHT(A176,4), MID(A176,4,2), LEFT(A176,2)))</f>
        <v/>
      </c>
      <c r="C176" t="inlineStr">
        <is>
          <t>US DOLLAR</t>
        </is>
      </c>
      <c r="D176" t="n">
        <v>26084</v>
      </c>
      <c r="E176" t="n">
        <v>26114</v>
      </c>
      <c r="F176" t="n">
        <v>26454</v>
      </c>
      <c r="G176" t="inlineStr">
        <is>
          <t>EURO</t>
        </is>
      </c>
      <c r="H176" t="n">
        <v>29204.46</v>
      </c>
      <c r="I176" t="n">
        <v>29499.46</v>
      </c>
      <c r="J176" t="n">
        <v>30744.13</v>
      </c>
      <c r="K176" t="inlineStr">
        <is>
          <t>POUND STERLING</t>
        </is>
      </c>
      <c r="L176" t="n">
        <v>33845.5</v>
      </c>
      <c r="M176" t="n">
        <v>34187.38</v>
      </c>
      <c r="N176" t="n">
        <v>35282.24</v>
      </c>
      <c r="O176" t="inlineStr">
        <is>
          <t>YEN</t>
        </is>
      </c>
      <c r="P176" t="n">
        <v>157.1</v>
      </c>
      <c r="Q176" t="n">
        <v>158.69</v>
      </c>
      <c r="R176" t="n">
        <v>167.08</v>
      </c>
      <c r="S176" t="inlineStr">
        <is>
          <t>AUSTRALIAN DOLLAR</t>
        </is>
      </c>
      <c r="T176" t="n">
        <v>17669.78</v>
      </c>
      <c r="U176" t="n">
        <v>17848.26</v>
      </c>
      <c r="V176" t="n">
        <v>18419.85</v>
      </c>
      <c r="W176" t="inlineStr">
        <is>
          <t>CANADIAN DOLLAR</t>
        </is>
      </c>
      <c r="X176" t="n">
        <v>18074.11</v>
      </c>
      <c r="Y176" t="n">
        <v>18256.68</v>
      </c>
      <c r="Z176" t="n">
        <v>18841.36</v>
      </c>
      <c r="AA176" t="inlineStr">
        <is>
          <t>SWISS FRANC</t>
        </is>
      </c>
      <c r="AB176" t="n">
        <v>31731.5</v>
      </c>
      <c r="AC176" t="n">
        <v>32052.02</v>
      </c>
      <c r="AD176" t="n">
        <v>33078.5</v>
      </c>
      <c r="AE176" t="inlineStr">
        <is>
          <t>SINGAPORE DOLLAR</t>
        </is>
      </c>
      <c r="AF176" t="n">
        <v>19789.4</v>
      </c>
      <c r="AG176" t="n">
        <v>19989.29</v>
      </c>
      <c r="AH176" t="n">
        <v>20670.76</v>
      </c>
      <c r="AI176" t="inlineStr">
        <is>
          <t>YUAN RENMINBI</t>
        </is>
      </c>
      <c r="AJ176" t="n">
        <v>3769.41</v>
      </c>
      <c r="AK176" t="n">
        <v>3807.48</v>
      </c>
      <c r="AL176" t="n">
        <v>3929.42</v>
      </c>
      <c r="AM176" t="inlineStr">
        <is>
          <t>HONGKONG DOLLAR</t>
        </is>
      </c>
      <c r="AN176" t="n">
        <v>3259.18</v>
      </c>
      <c r="AO176" t="n">
        <v>3292.1</v>
      </c>
      <c r="AP176" t="n">
        <v>3417.98</v>
      </c>
      <c r="AQ176" t="inlineStr">
        <is>
          <t>THAILAND BAHT</t>
        </is>
      </c>
      <c r="AR176" t="n">
        <v>694.88</v>
      </c>
      <c r="AS176" t="n">
        <v>772.09</v>
      </c>
      <c r="AT176" t="n">
        <v>804.83</v>
      </c>
      <c r="AU176" t="inlineStr">
        <is>
          <t>KOREAN WON</t>
        </is>
      </c>
      <c r="AV176" t="n">
        <v>14.78</v>
      </c>
      <c r="AW176" t="n">
        <v>16.43</v>
      </c>
      <c r="AX176" t="n">
        <v>17.82</v>
      </c>
      <c r="AY176" t="inlineStr">
        <is>
          <t>MALAYSIAN RINGGIT</t>
        </is>
      </c>
      <c r="BA176" t="n">
        <v>6369.6</v>
      </c>
      <c r="BB176" t="n">
        <v>6508.17</v>
      </c>
      <c r="BC176" t="inlineStr">
        <is>
          <t>INDIAN RUPEE</t>
        </is>
      </c>
      <c r="BE176" t="n">
        <v>277.02</v>
      </c>
      <c r="BF176" t="n">
        <v>288.94</v>
      </c>
      <c r="BG176" t="inlineStr">
        <is>
          <t>KUWAITI DINAR</t>
        </is>
      </c>
      <c r="BI176" t="n">
        <v>84955.34</v>
      </c>
      <c r="BJ176" t="n">
        <v>89072.99000000001</v>
      </c>
      <c r="BK176" t="inlineStr">
        <is>
          <t>SAUDI RIAL</t>
        </is>
      </c>
      <c r="BM176" t="n">
        <v>6964.22</v>
      </c>
      <c r="BN176" t="n">
        <v>7263.93</v>
      </c>
      <c r="BO176" t="inlineStr">
        <is>
          <t>NORWEGIAN KRONER</t>
        </is>
      </c>
      <c r="BQ176" t="n">
        <v>2604.31</v>
      </c>
      <c r="BR176" t="n">
        <v>2714.73</v>
      </c>
      <c r="BS176" t="inlineStr">
        <is>
          <t>SWEDISH KRONA</t>
        </is>
      </c>
      <c r="BU176" t="n">
        <v>2654.16</v>
      </c>
      <c r="BV176" t="n">
        <v>2766.7</v>
      </c>
      <c r="BW176" t="inlineStr">
        <is>
          <t>DANISH KRONE</t>
        </is>
      </c>
      <c r="BY176" t="n">
        <v>3936.22</v>
      </c>
      <c r="BZ176" t="n">
        <v>4086.74</v>
      </c>
      <c r="CA176" t="inlineStr">
        <is>
          <t>RUSSIAN RUBLE</t>
        </is>
      </c>
      <c r="CC176" t="n">
        <v>325.68</v>
      </c>
      <c r="CD176" t="n">
        <v>360.51</v>
      </c>
    </row>
    <row r="177">
      <c r="A177" t="inlineStr">
        <is>
          <t>29/06/2026</t>
        </is>
      </c>
      <c r="B177">
        <f>IF(ISNUMBER(A177), A177, DATE(RIGHT(A177,4), MID(A177,4,2), LEFT(A177,2)))</f>
        <v/>
      </c>
      <c r="C177" t="inlineStr">
        <is>
          <t>US DOLLAR</t>
        </is>
      </c>
      <c r="D177" t="n">
        <v>26091</v>
      </c>
      <c r="E177" t="n">
        <v>26121</v>
      </c>
      <c r="F177" t="n">
        <v>26461</v>
      </c>
      <c r="G177" t="inlineStr">
        <is>
          <t>EURO</t>
        </is>
      </c>
      <c r="H177" t="n">
        <v>29183.96</v>
      </c>
      <c r="I177" t="n">
        <v>29478.75</v>
      </c>
      <c r="J177" t="n">
        <v>30722.55</v>
      </c>
      <c r="K177" t="inlineStr">
        <is>
          <t>POUND STERLING</t>
        </is>
      </c>
      <c r="L177" t="n">
        <v>33819.88</v>
      </c>
      <c r="M177" t="n">
        <v>34161.49</v>
      </c>
      <c r="N177" t="n">
        <v>35255.52</v>
      </c>
      <c r="O177" t="inlineStr">
        <is>
          <t>YEN</t>
        </is>
      </c>
      <c r="P177" t="n">
        <v>156.93</v>
      </c>
      <c r="Q177" t="n">
        <v>158.51</v>
      </c>
      <c r="R177" t="n">
        <v>166.89</v>
      </c>
      <c r="S177" t="inlineStr">
        <is>
          <t>AUSTRALIAN DOLLAR</t>
        </is>
      </c>
      <c r="T177" t="n">
        <v>17641.59</v>
      </c>
      <c r="U177" t="n">
        <v>17819.78</v>
      </c>
      <c r="V177" t="n">
        <v>18390.47</v>
      </c>
      <c r="W177" t="inlineStr">
        <is>
          <t>CANADIAN DOLLAR</t>
        </is>
      </c>
      <c r="X177" t="n">
        <v>18062.65</v>
      </c>
      <c r="Y177" t="n">
        <v>18245.1</v>
      </c>
      <c r="Z177" t="n">
        <v>18829.41</v>
      </c>
      <c r="AA177" t="inlineStr">
        <is>
          <t>SWISS FRANC</t>
        </is>
      </c>
      <c r="AB177" t="n">
        <v>31660.96</v>
      </c>
      <c r="AC177" t="n">
        <v>31980.76</v>
      </c>
      <c r="AD177" t="n">
        <v>33004.96</v>
      </c>
      <c r="AE177" t="inlineStr">
        <is>
          <t>SINGAPORE DOLLAR</t>
        </is>
      </c>
      <c r="AF177" t="n">
        <v>19787.87</v>
      </c>
      <c r="AG177" t="n">
        <v>19987.75</v>
      </c>
      <c r="AH177" t="n">
        <v>20669.17</v>
      </c>
      <c r="AI177" t="inlineStr">
        <is>
          <t>YUAN RENMINBI</t>
        </is>
      </c>
      <c r="AJ177" t="n">
        <v>3770.63</v>
      </c>
      <c r="AK177" t="n">
        <v>3808.71</v>
      </c>
      <c r="AL177" t="n">
        <v>3930.69</v>
      </c>
      <c r="AM177" t="inlineStr">
        <is>
          <t>HONGKONG DOLLAR</t>
        </is>
      </c>
      <c r="AN177" t="n">
        <v>3258.6</v>
      </c>
      <c r="AO177" t="n">
        <v>3291.51</v>
      </c>
      <c r="AP177" t="n">
        <v>3417.37</v>
      </c>
      <c r="AQ177" t="inlineStr">
        <is>
          <t>THAILAND BAHT</t>
        </is>
      </c>
      <c r="AR177" t="n">
        <v>694.26</v>
      </c>
      <c r="AS177" t="n">
        <v>771.4</v>
      </c>
      <c r="AT177" t="n">
        <v>804.11</v>
      </c>
      <c r="AU177" t="inlineStr">
        <is>
          <t>KOREAN WON</t>
        </is>
      </c>
      <c r="AV177" t="n">
        <v>14.78</v>
      </c>
      <c r="AW177" t="n">
        <v>16.42</v>
      </c>
      <c r="AX177" t="n">
        <v>17.81</v>
      </c>
      <c r="AY177" t="inlineStr">
        <is>
          <t>MALAYSIAN RINGGIT</t>
        </is>
      </c>
      <c r="BA177" t="n">
        <v>6389.93</v>
      </c>
      <c r="BB177" t="n">
        <v>6528.94</v>
      </c>
      <c r="BC177" t="inlineStr">
        <is>
          <t>INDIAN RUPEE</t>
        </is>
      </c>
      <c r="BE177" t="n">
        <v>277.3</v>
      </c>
      <c r="BF177" t="n">
        <v>289.23</v>
      </c>
      <c r="BG177" t="inlineStr">
        <is>
          <t>KUWAITI DINAR</t>
        </is>
      </c>
      <c r="BI177" t="n">
        <v>84955.34</v>
      </c>
      <c r="BJ177" t="n">
        <v>89072.99000000001</v>
      </c>
      <c r="BK177" t="inlineStr">
        <is>
          <t>SAUDI RIAL</t>
        </is>
      </c>
      <c r="BM177" t="n">
        <v>6963.48</v>
      </c>
      <c r="BN177" t="n">
        <v>7263.16</v>
      </c>
      <c r="BO177" t="inlineStr">
        <is>
          <t>NORWEGIAN KRONER</t>
        </is>
      </c>
      <c r="BQ177" t="n">
        <v>2591.24</v>
      </c>
      <c r="BR177" t="n">
        <v>2701.11</v>
      </c>
      <c r="BS177" t="inlineStr">
        <is>
          <t>SWEDISH KRONA</t>
        </is>
      </c>
      <c r="BU177" t="n">
        <v>2645.93</v>
      </c>
      <c r="BV177" t="n">
        <v>2758.11</v>
      </c>
      <c r="BW177" t="inlineStr">
        <is>
          <t>DANISH KRONE</t>
        </is>
      </c>
      <c r="BY177" t="n">
        <v>3933.64</v>
      </c>
      <c r="BZ177" t="n">
        <v>4084.06</v>
      </c>
      <c r="CA177" t="inlineStr">
        <is>
          <t>RUSSIAN RUBLE</t>
        </is>
      </c>
      <c r="CC177" t="n">
        <v>317.34</v>
      </c>
      <c r="CD177" t="n">
        <v>351.28</v>
      </c>
    </row>
    <row r="178">
      <c r="A178" t="inlineStr">
        <is>
          <t>30/06/2026</t>
        </is>
      </c>
      <c r="B178">
        <f>IF(ISNUMBER(A178), A178, DATE(RIGHT(A178,4), MID(A178,4,2), LEFT(A178,2)))</f>
        <v/>
      </c>
      <c r="C178" t="inlineStr">
        <is>
          <t>US DOLLAR</t>
        </is>
      </c>
      <c r="D178" t="n">
        <v>26076</v>
      </c>
      <c r="E178" t="n">
        <v>26106</v>
      </c>
      <c r="F178" t="n">
        <v>26466</v>
      </c>
      <c r="G178" t="inlineStr">
        <is>
          <t>EURO</t>
        </is>
      </c>
      <c r="H178" t="n">
        <v>29214.28</v>
      </c>
      <c r="I178" t="n">
        <v>29509.37</v>
      </c>
      <c r="J178" t="n">
        <v>30766.16</v>
      </c>
      <c r="K178" t="inlineStr">
        <is>
          <t>POUND STERLING</t>
        </is>
      </c>
      <c r="L178" t="n">
        <v>33905.68</v>
      </c>
      <c r="M178" t="n">
        <v>34248.16</v>
      </c>
      <c r="N178" t="n">
        <v>35358.41</v>
      </c>
      <c r="O178" t="inlineStr">
        <is>
          <t>YEN</t>
        </is>
      </c>
      <c r="P178" t="n">
        <v>156.53</v>
      </c>
      <c r="Q178" t="n">
        <v>158.11</v>
      </c>
      <c r="R178" t="n">
        <v>166.53</v>
      </c>
      <c r="S178" t="inlineStr">
        <is>
          <t>AUSTRALIAN DOLLAR</t>
        </is>
      </c>
      <c r="T178" t="n">
        <v>17594.67</v>
      </c>
      <c r="U178" t="n">
        <v>17772.4</v>
      </c>
      <c r="V178" t="n">
        <v>18348.54</v>
      </c>
      <c r="W178" t="inlineStr">
        <is>
          <t>CANADIAN DOLLAR</t>
        </is>
      </c>
      <c r="X178" t="n">
        <v>18009.72</v>
      </c>
      <c r="Y178" t="n">
        <v>18191.64</v>
      </c>
      <c r="Z178" t="n">
        <v>18781.37</v>
      </c>
      <c r="AA178" t="inlineStr">
        <is>
          <t>SWISS FRANC</t>
        </is>
      </c>
      <c r="AB178" t="n">
        <v>31686.24</v>
      </c>
      <c r="AC178" t="n">
        <v>32006.31</v>
      </c>
      <c r="AD178" t="n">
        <v>33043.88</v>
      </c>
      <c r="AE178" t="inlineStr">
        <is>
          <t>SINGAPORE DOLLAR</t>
        </is>
      </c>
      <c r="AF178" t="n">
        <v>19791.75</v>
      </c>
      <c r="AG178" t="n">
        <v>19991.67</v>
      </c>
      <c r="AH178" t="n">
        <v>20681.08</v>
      </c>
      <c r="AI178" t="inlineStr">
        <is>
          <t>YUAN RENMINBI</t>
        </is>
      </c>
      <c r="AJ178" t="n">
        <v>3772.24</v>
      </c>
      <c r="AK178" t="n">
        <v>3810.34</v>
      </c>
      <c r="AL178" t="n">
        <v>3933.86</v>
      </c>
      <c r="AM178" t="inlineStr">
        <is>
          <t>HONGKONG DOLLAR</t>
        </is>
      </c>
      <c r="AN178" t="n">
        <v>3258.1</v>
      </c>
      <c r="AO178" t="n">
        <v>3291.01</v>
      </c>
      <c r="AP178" t="n">
        <v>3418.15</v>
      </c>
      <c r="AQ178" t="inlineStr">
        <is>
          <t>THAILAND BAHT</t>
        </is>
      </c>
      <c r="AR178" t="n">
        <v>696.42</v>
      </c>
      <c r="AS178" t="n">
        <v>773.8</v>
      </c>
      <c r="AT178" t="n">
        <v>806.92</v>
      </c>
      <c r="AU178" t="inlineStr">
        <is>
          <t>KOREAN WON</t>
        </is>
      </c>
      <c r="AV178" t="n">
        <v>14.68</v>
      </c>
      <c r="AW178" t="n">
        <v>16.31</v>
      </c>
      <c r="AX178" t="n">
        <v>17.71</v>
      </c>
      <c r="AY178" t="inlineStr">
        <is>
          <t>MALAYSIAN RINGGIT</t>
        </is>
      </c>
      <c r="BA178" t="n">
        <v>6407.6</v>
      </c>
      <c r="BB178" t="n">
        <v>6549.48</v>
      </c>
      <c r="BC178" t="inlineStr">
        <is>
          <t>INDIAN RUPEE</t>
        </is>
      </c>
      <c r="BE178" t="n">
        <v>276.54</v>
      </c>
      <c r="BF178" t="n">
        <v>288.55</v>
      </c>
      <c r="BG178" t="inlineStr">
        <is>
          <t>KUWAITI DINAR</t>
        </is>
      </c>
      <c r="BI178" t="n">
        <v>84939.17999999999</v>
      </c>
      <c r="BJ178" t="n">
        <v>89089.91</v>
      </c>
      <c r="BK178" t="inlineStr">
        <is>
          <t>SAUDI RIAL</t>
        </is>
      </c>
      <c r="BM178" t="n">
        <v>6962.34</v>
      </c>
      <c r="BN178" t="n">
        <v>7264.73</v>
      </c>
      <c r="BO178" t="inlineStr">
        <is>
          <t>NORWEGIAN KRONER</t>
        </is>
      </c>
      <c r="BQ178" t="n">
        <v>2589.63</v>
      </c>
      <c r="BR178" t="n">
        <v>2700.46</v>
      </c>
      <c r="BS178" t="inlineStr">
        <is>
          <t>SWEDISH KRONA</t>
        </is>
      </c>
      <c r="BU178" t="n">
        <v>2647.3</v>
      </c>
      <c r="BV178" t="n">
        <v>2760.59</v>
      </c>
      <c r="BW178" t="inlineStr">
        <is>
          <t>DANISH KRONE</t>
        </is>
      </c>
      <c r="BY178" t="n">
        <v>3937.82</v>
      </c>
      <c r="BZ178" t="n">
        <v>4089.94</v>
      </c>
      <c r="CA178" t="inlineStr">
        <is>
          <t>RUSSIAN RUBLE</t>
        </is>
      </c>
      <c r="CC178" t="n">
        <v>325</v>
      </c>
      <c r="CD178" t="n">
        <v>359.9</v>
      </c>
    </row>
    <row r="179">
      <c r="A179" t="inlineStr">
        <is>
          <t>01/07/2026</t>
        </is>
      </c>
      <c r="B179">
        <f>IF(ISNUMBER(A179), A179, DATE(RIGHT(A179,4), MID(A179,4,2), LEFT(A179,2)))</f>
        <v/>
      </c>
      <c r="C179" t="inlineStr">
        <is>
          <t>US DOLLAR</t>
        </is>
      </c>
      <c r="D179" t="n">
        <v>26076</v>
      </c>
      <c r="E179" t="n">
        <v>26106</v>
      </c>
      <c r="F179" t="n">
        <v>26466</v>
      </c>
      <c r="G179" t="inlineStr">
        <is>
          <t>EURO</t>
        </is>
      </c>
      <c r="H179" t="n">
        <v>29259.59</v>
      </c>
      <c r="I179" t="n">
        <v>29555.15</v>
      </c>
      <c r="J179" t="n">
        <v>30802.14</v>
      </c>
      <c r="K179" t="inlineStr">
        <is>
          <t>POUND STERLING</t>
        </is>
      </c>
      <c r="L179" t="n">
        <v>33967.39</v>
      </c>
      <c r="M179" t="n">
        <v>34310.49</v>
      </c>
      <c r="N179" t="n">
        <v>35409.26</v>
      </c>
      <c r="O179" t="inlineStr">
        <is>
          <t>YEN</t>
        </is>
      </c>
      <c r="P179" t="n">
        <v>156.12</v>
      </c>
      <c r="Q179" t="n">
        <v>157.69</v>
      </c>
      <c r="R179" t="n">
        <v>166.03</v>
      </c>
      <c r="S179" t="inlineStr">
        <is>
          <t>AUSTRALIAN DOLLAR</t>
        </is>
      </c>
      <c r="T179" t="n">
        <v>17708.07</v>
      </c>
      <c r="U179" t="n">
        <v>17886.94</v>
      </c>
      <c r="V179" t="n">
        <v>18459.76</v>
      </c>
      <c r="W179" t="inlineStr">
        <is>
          <t>CANADIAN DOLLAR</t>
        </is>
      </c>
      <c r="X179" t="n">
        <v>18048.8</v>
      </c>
      <c r="Y179" t="n">
        <v>18231.11</v>
      </c>
      <c r="Z179" t="n">
        <v>18814.95</v>
      </c>
      <c r="AA179" t="inlineStr">
        <is>
          <t>SWISS FRANC</t>
        </is>
      </c>
      <c r="AB179" t="n">
        <v>31718.2</v>
      </c>
      <c r="AC179" t="n">
        <v>32038.59</v>
      </c>
      <c r="AD179" t="n">
        <v>33064.61</v>
      </c>
      <c r="AE179" t="inlineStr">
        <is>
          <t>SINGAPORE DOLLAR</t>
        </is>
      </c>
      <c r="AF179" t="n">
        <v>19791.52</v>
      </c>
      <c r="AG179" t="n">
        <v>19991.43</v>
      </c>
      <c r="AH179" t="n">
        <v>20672.96</v>
      </c>
      <c r="AI179" t="inlineStr">
        <is>
          <t>YUAN RENMINBI</t>
        </is>
      </c>
      <c r="AJ179" t="n">
        <v>3779.95</v>
      </c>
      <c r="AK179" t="n">
        <v>3818.13</v>
      </c>
      <c r="AL179" t="n">
        <v>3940.4</v>
      </c>
      <c r="AM179" t="inlineStr">
        <is>
          <t>HONGKONG DOLLAR</t>
        </is>
      </c>
      <c r="AN179" t="n">
        <v>3260.75</v>
      </c>
      <c r="AO179" t="n">
        <v>3293.68</v>
      </c>
      <c r="AP179" t="n">
        <v>3419.62</v>
      </c>
      <c r="AQ179" t="inlineStr">
        <is>
          <t>THAILAND BAHT</t>
        </is>
      </c>
      <c r="AR179" t="n">
        <v>696.74</v>
      </c>
      <c r="AS179" t="n">
        <v>774.16</v>
      </c>
      <c r="AT179" t="n">
        <v>806.98</v>
      </c>
      <c r="AU179" t="inlineStr">
        <is>
          <t>KOREAN WON</t>
        </is>
      </c>
      <c r="AV179" t="n">
        <v>14.65</v>
      </c>
      <c r="AW179" t="n">
        <v>16.28</v>
      </c>
      <c r="AX179" t="n">
        <v>17.67</v>
      </c>
      <c r="AY179" t="inlineStr">
        <is>
          <t>MALAYSIAN RINGGIT</t>
        </is>
      </c>
      <c r="BA179" t="n">
        <v>6388.87</v>
      </c>
      <c r="BB179" t="n">
        <v>6527.86</v>
      </c>
      <c r="BC179" t="inlineStr">
        <is>
          <t>INDIAN RUPEE</t>
        </is>
      </c>
      <c r="BE179" t="n">
        <v>276.4</v>
      </c>
      <c r="BF179" t="n">
        <v>288.3</v>
      </c>
      <c r="BG179" t="inlineStr">
        <is>
          <t>KUWAITI DINAR</t>
        </is>
      </c>
      <c r="BI179" t="n">
        <v>85003.83</v>
      </c>
      <c r="BJ179" t="n">
        <v>89123.75</v>
      </c>
      <c r="BK179" t="inlineStr">
        <is>
          <t>SAUDI RIAL</t>
        </is>
      </c>
      <c r="BM179" t="n">
        <v>6964.11</v>
      </c>
      <c r="BN179" t="n">
        <v>7263.82</v>
      </c>
      <c r="BO179" t="inlineStr">
        <is>
          <t>NORWEGIAN KRONER</t>
        </is>
      </c>
      <c r="BQ179" t="n">
        <v>2599.78</v>
      </c>
      <c r="BR179" t="n">
        <v>2710.01</v>
      </c>
      <c r="BS179" t="inlineStr">
        <is>
          <t>SWEDISH KRONA</t>
        </is>
      </c>
      <c r="BU179" t="n">
        <v>2655.02</v>
      </c>
      <c r="BV179" t="n">
        <v>2767.59</v>
      </c>
      <c r="BW179" t="inlineStr">
        <is>
          <t>DANISH KRONE</t>
        </is>
      </c>
      <c r="BY179" t="n">
        <v>3944</v>
      </c>
      <c r="BZ179" t="n">
        <v>4094.81</v>
      </c>
      <c r="CA179" t="inlineStr">
        <is>
          <t>RUSSIAN RUBLE</t>
        </is>
      </c>
      <c r="CC179" t="n">
        <v>318.22</v>
      </c>
      <c r="CD179" t="n">
        <v>352.26</v>
      </c>
    </row>
    <row r="180">
      <c r="A180" t="inlineStr">
        <is>
          <t>02/07/2026</t>
        </is>
      </c>
      <c r="B180">
        <f>IF(ISNUMBER(A180), A180, DATE(RIGHT(A180,4), MID(A180,4,2), LEFT(A180,2)))</f>
        <v/>
      </c>
      <c r="C180" t="inlineStr">
        <is>
          <t>US DOLLAR</t>
        </is>
      </c>
      <c r="D180" t="n">
        <v>26075</v>
      </c>
      <c r="E180" t="n">
        <v>26105</v>
      </c>
      <c r="F180" t="n">
        <v>26465</v>
      </c>
      <c r="G180" t="inlineStr">
        <is>
          <t>EURO</t>
        </is>
      </c>
      <c r="H180" t="n">
        <v>29244.58</v>
      </c>
      <c r="I180" t="n">
        <v>29539.98</v>
      </c>
      <c r="J180" t="n">
        <v>30786.38</v>
      </c>
      <c r="K180" t="inlineStr">
        <is>
          <t>POUND STERLING</t>
        </is>
      </c>
      <c r="L180" t="n">
        <v>34196.39</v>
      </c>
      <c r="M180" t="n">
        <v>34541.81</v>
      </c>
      <c r="N180" t="n">
        <v>35648.04</v>
      </c>
      <c r="O180" t="inlineStr">
        <is>
          <t>YEN</t>
        </is>
      </c>
      <c r="P180" t="n">
        <v>158.16</v>
      </c>
      <c r="Q180" t="n">
        <v>159.75</v>
      </c>
      <c r="R180" t="n">
        <v>168.2</v>
      </c>
      <c r="S180" t="inlineStr">
        <is>
          <t>AUSTRALIAN DOLLAR</t>
        </is>
      </c>
      <c r="T180" t="n">
        <v>17663.05</v>
      </c>
      <c r="U180" t="n">
        <v>17841.47</v>
      </c>
      <c r="V180" t="n">
        <v>18412.86</v>
      </c>
      <c r="W180" t="inlineStr">
        <is>
          <t>CANADIAN DOLLAR</t>
        </is>
      </c>
      <c r="X180" t="n">
        <v>18050.69</v>
      </c>
      <c r="Y180" t="n">
        <v>18233.02</v>
      </c>
      <c r="Z180" t="n">
        <v>18816.95</v>
      </c>
      <c r="AA180" t="inlineStr">
        <is>
          <t>SWISS FRANC</t>
        </is>
      </c>
      <c r="AB180" t="n">
        <v>31821.85</v>
      </c>
      <c r="AC180" t="n">
        <v>32143.29</v>
      </c>
      <c r="AD180" t="n">
        <v>33172.7</v>
      </c>
      <c r="AE180" t="inlineStr">
        <is>
          <t>SINGAPORE DOLLAR</t>
        </is>
      </c>
      <c r="AF180" t="n">
        <v>19794.1</v>
      </c>
      <c r="AG180" t="n">
        <v>19994.05</v>
      </c>
      <c r="AH180" t="n">
        <v>20675.69</v>
      </c>
      <c r="AI180" t="inlineStr">
        <is>
          <t>YUAN RENMINBI</t>
        </is>
      </c>
      <c r="AJ180" t="n">
        <v>3775.69</v>
      </c>
      <c r="AK180" t="n">
        <v>3813.83</v>
      </c>
      <c r="AL180" t="n">
        <v>3935.97</v>
      </c>
      <c r="AM180" t="inlineStr">
        <is>
          <t>HONGKONG DOLLAR</t>
        </is>
      </c>
      <c r="AN180" t="n">
        <v>3256.82</v>
      </c>
      <c r="AO180" t="n">
        <v>3289.71</v>
      </c>
      <c r="AP180" t="n">
        <v>3415.51</v>
      </c>
      <c r="AQ180" t="inlineStr">
        <is>
          <t>THAILAND BAHT</t>
        </is>
      </c>
      <c r="AR180" t="n">
        <v>697.13</v>
      </c>
      <c r="AS180" t="n">
        <v>774.58</v>
      </c>
      <c r="AT180" t="n">
        <v>807.4299999999999</v>
      </c>
      <c r="AU180" t="inlineStr">
        <is>
          <t>KOREAN WON</t>
        </is>
      </c>
      <c r="AV180" t="n">
        <v>14.69</v>
      </c>
      <c r="AW180" t="n">
        <v>16.32</v>
      </c>
      <c r="AX180" t="n">
        <v>17.71</v>
      </c>
      <c r="AY180" t="inlineStr">
        <is>
          <t>MALAYSIAN RINGGIT</t>
        </is>
      </c>
      <c r="BA180" t="n">
        <v>6387.5</v>
      </c>
      <c r="BB180" t="n">
        <v>6526.46</v>
      </c>
      <c r="BC180" t="inlineStr">
        <is>
          <t>INDIAN RUPEE</t>
        </is>
      </c>
      <c r="BE180" t="n">
        <v>274.46</v>
      </c>
      <c r="BF180" t="n">
        <v>286.27</v>
      </c>
      <c r="BG180" t="inlineStr">
        <is>
          <t>KUWAITI DINAR</t>
        </is>
      </c>
      <c r="BI180" t="n">
        <v>84923.00999999999</v>
      </c>
      <c r="BJ180" t="n">
        <v>89039.14999999999</v>
      </c>
      <c r="BK180" t="inlineStr">
        <is>
          <t>SAUDI RIAL</t>
        </is>
      </c>
      <c r="BM180" t="n">
        <v>6961.94</v>
      </c>
      <c r="BN180" t="n">
        <v>7261.56</v>
      </c>
      <c r="BO180" t="inlineStr">
        <is>
          <t>NORWEGIAN KRONER</t>
        </is>
      </c>
      <c r="BQ180" t="n">
        <v>2608.04</v>
      </c>
      <c r="BR180" t="n">
        <v>2718.62</v>
      </c>
      <c r="BS180" t="inlineStr">
        <is>
          <t>SWEDISH KRONA</t>
        </is>
      </c>
      <c r="BU180" t="n">
        <v>2654.32</v>
      </c>
      <c r="BV180" t="n">
        <v>2766.87</v>
      </c>
      <c r="BW180" t="inlineStr">
        <is>
          <t>DANISH KRONE</t>
        </is>
      </c>
      <c r="BY180" t="n">
        <v>3941.52</v>
      </c>
      <c r="BZ180" t="n">
        <v>4092.23</v>
      </c>
      <c r="CA180" t="inlineStr">
        <is>
          <t>RUSSIAN RUBLE</t>
        </is>
      </c>
      <c r="CC180" t="n">
        <v>319.94</v>
      </c>
      <c r="CD180" t="n">
        <v>354.15</v>
      </c>
    </row>
    <row r="181">
      <c r="A181" t="inlineStr">
        <is>
          <t>03/07/2026</t>
        </is>
      </c>
      <c r="B181">
        <f>IF(ISNUMBER(A181), A181, DATE(RIGHT(A181,4), MID(A181,4,2), LEFT(A181,2)))</f>
        <v/>
      </c>
      <c r="C181" t="inlineStr">
        <is>
          <t>US DOLLAR</t>
        </is>
      </c>
      <c r="D181" t="n">
        <v>26073</v>
      </c>
      <c r="E181" t="n">
        <v>26103</v>
      </c>
      <c r="F181" t="n">
        <v>26463</v>
      </c>
      <c r="G181" t="inlineStr">
        <is>
          <t>EURO</t>
        </is>
      </c>
      <c r="H181" t="n">
        <v>29304.41</v>
      </c>
      <c r="I181" t="n">
        <v>29600.41</v>
      </c>
      <c r="J181" t="n">
        <v>30849.34</v>
      </c>
      <c r="K181" t="inlineStr">
        <is>
          <t>POUND STERLING</t>
        </is>
      </c>
      <c r="L181" t="n">
        <v>34219.66</v>
      </c>
      <c r="M181" t="n">
        <v>34565.31</v>
      </c>
      <c r="N181" t="n">
        <v>35672.27</v>
      </c>
      <c r="O181" t="inlineStr">
        <is>
          <t>YEN</t>
        </is>
      </c>
      <c r="P181" t="n">
        <v>158.04</v>
      </c>
      <c r="Q181" t="n">
        <v>159.63</v>
      </c>
      <c r="R181" t="n">
        <v>169.87</v>
      </c>
      <c r="S181" t="inlineStr">
        <is>
          <t>AUSTRALIAN DOLLAR</t>
        </is>
      </c>
      <c r="T181" t="n">
        <v>17751.78</v>
      </c>
      <c r="U181" t="n">
        <v>17931.09</v>
      </c>
      <c r="V181" t="n">
        <v>18505.34</v>
      </c>
      <c r="W181" t="inlineStr">
        <is>
          <t>CANADIAN DOLLAR</t>
        </is>
      </c>
      <c r="X181" t="n">
        <v>18077.94</v>
      </c>
      <c r="Y181" t="n">
        <v>18260.54</v>
      </c>
      <c r="Z181" t="n">
        <v>18845.34</v>
      </c>
      <c r="AA181" t="inlineStr">
        <is>
          <t>SWISS FRANC</t>
        </is>
      </c>
      <c r="AB181" t="n">
        <v>31917.21</v>
      </c>
      <c r="AC181" t="n">
        <v>32239.6</v>
      </c>
      <c r="AD181" t="n">
        <v>33272.09</v>
      </c>
      <c r="AE181" t="inlineStr">
        <is>
          <t>SINGAPORE DOLLAR</t>
        </is>
      </c>
      <c r="AF181" t="n">
        <v>19830.78</v>
      </c>
      <c r="AG181" t="n">
        <v>20031.09</v>
      </c>
      <c r="AH181" t="n">
        <v>20713.98</v>
      </c>
      <c r="AI181" t="inlineStr">
        <is>
          <t>YUAN RENMINBI</t>
        </is>
      </c>
      <c r="AJ181" t="n">
        <v>3780.36</v>
      </c>
      <c r="AK181" t="n">
        <v>3818.54</v>
      </c>
      <c r="AL181" t="n">
        <v>3940.83</v>
      </c>
      <c r="AM181" t="inlineStr">
        <is>
          <t>HONGKONG DOLLAR</t>
        </is>
      </c>
      <c r="AN181" t="n">
        <v>3259.14</v>
      </c>
      <c r="AO181" t="n">
        <v>3292.06</v>
      </c>
      <c r="AP181" t="n">
        <v>3417.94</v>
      </c>
      <c r="AQ181" t="inlineStr">
        <is>
          <t>THAILAND BAHT</t>
        </is>
      </c>
      <c r="AR181" t="n">
        <v>699.28</v>
      </c>
      <c r="AS181" t="n">
        <v>776.98</v>
      </c>
      <c r="AT181" t="n">
        <v>809.9299999999999</v>
      </c>
      <c r="AU181" t="inlineStr">
        <is>
          <t>KOREAN WON</t>
        </is>
      </c>
      <c r="AV181" t="n">
        <v>14.77</v>
      </c>
      <c r="AW181" t="n">
        <v>16.41</v>
      </c>
      <c r="AX181" t="n">
        <v>17.81</v>
      </c>
      <c r="AY181" t="inlineStr">
        <is>
          <t>MALAYSIAN RINGGIT</t>
        </is>
      </c>
      <c r="BA181" t="n">
        <v>6404.09</v>
      </c>
      <c r="BB181" t="n">
        <v>6543.41</v>
      </c>
      <c r="BC181" t="inlineStr">
        <is>
          <t>INDIAN RUPEE</t>
        </is>
      </c>
      <c r="BE181" t="n">
        <v>274.13</v>
      </c>
      <c r="BF181" t="n">
        <v>285.93</v>
      </c>
      <c r="BG181" t="inlineStr">
        <is>
          <t>KUWAITI DINAR</t>
        </is>
      </c>
      <c r="BI181" t="n">
        <v>84955.34</v>
      </c>
      <c r="BJ181" t="n">
        <v>89072.99000000001</v>
      </c>
      <c r="BK181" t="inlineStr">
        <is>
          <t>SAUDI RIAL</t>
        </is>
      </c>
      <c r="BM181" t="n">
        <v>6964.59</v>
      </c>
      <c r="BN181" t="n">
        <v>7264.32</v>
      </c>
      <c r="BO181" t="inlineStr">
        <is>
          <t>NORWEGIAN KRONER</t>
        </is>
      </c>
      <c r="BQ181" t="n">
        <v>2623.35</v>
      </c>
      <c r="BR181" t="n">
        <v>2734.58</v>
      </c>
      <c r="BS181" t="inlineStr">
        <is>
          <t>SWEDISH KRONA</t>
        </is>
      </c>
      <c r="BU181" t="n">
        <v>2667.4</v>
      </c>
      <c r="BV181" t="n">
        <v>2780.5</v>
      </c>
      <c r="BW181" t="inlineStr">
        <is>
          <t>DANISH KRONE</t>
        </is>
      </c>
      <c r="BY181" t="n">
        <v>3950.14</v>
      </c>
      <c r="BZ181" t="n">
        <v>4101.18</v>
      </c>
      <c r="CA181" t="inlineStr">
        <is>
          <t>RUSSIAN RUBLE</t>
        </is>
      </c>
      <c r="CC181" t="n">
        <v>322.97</v>
      </c>
      <c r="CD181" t="n">
        <v>357.51</v>
      </c>
    </row>
    <row r="182">
      <c r="A182" t="inlineStr">
        <is>
          <t>04/07/2026</t>
        </is>
      </c>
      <c r="B182">
        <f>IF(ISNUMBER(A182), A182, DATE(RIGHT(A182,4), MID(A182,4,2), LEFT(A182,2)))</f>
        <v/>
      </c>
      <c r="C182" t="inlineStr">
        <is>
          <t>US DOLLAR</t>
        </is>
      </c>
      <c r="D182" t="n">
        <v>26073</v>
      </c>
      <c r="E182" t="n">
        <v>26103</v>
      </c>
      <c r="F182" t="n">
        <v>26463</v>
      </c>
      <c r="G182" t="inlineStr">
        <is>
          <t>EURO</t>
        </is>
      </c>
      <c r="H182" t="n">
        <v>29304.41</v>
      </c>
      <c r="I182" t="n">
        <v>29600.41</v>
      </c>
      <c r="J182" t="n">
        <v>30849.34</v>
      </c>
      <c r="K182" t="inlineStr">
        <is>
          <t>POUND STERLING</t>
        </is>
      </c>
      <c r="L182" t="n">
        <v>34219.66</v>
      </c>
      <c r="M182" t="n">
        <v>34565.31</v>
      </c>
      <c r="N182" t="n">
        <v>35672.27</v>
      </c>
      <c r="O182" t="inlineStr">
        <is>
          <t>YEN</t>
        </is>
      </c>
      <c r="P182" t="n">
        <v>158.04</v>
      </c>
      <c r="Q182" t="n">
        <v>159.63</v>
      </c>
      <c r="R182" t="n">
        <v>169.87</v>
      </c>
      <c r="S182" t="inlineStr">
        <is>
          <t>AUSTRALIAN DOLLAR</t>
        </is>
      </c>
      <c r="T182" t="n">
        <v>17751.78</v>
      </c>
      <c r="U182" t="n">
        <v>17931.09</v>
      </c>
      <c r="V182" t="n">
        <v>18505.34</v>
      </c>
      <c r="W182" t="inlineStr">
        <is>
          <t>CANADIAN DOLLAR</t>
        </is>
      </c>
      <c r="X182" t="n">
        <v>18077.94</v>
      </c>
      <c r="Y182" t="n">
        <v>18260.54</v>
      </c>
      <c r="Z182" t="n">
        <v>18845.34</v>
      </c>
      <c r="AA182" t="inlineStr">
        <is>
          <t>SWISS FRANC</t>
        </is>
      </c>
      <c r="AB182" t="n">
        <v>31917.21</v>
      </c>
      <c r="AC182" t="n">
        <v>32239.6</v>
      </c>
      <c r="AD182" t="n">
        <v>33272.09</v>
      </c>
      <c r="AE182" t="inlineStr">
        <is>
          <t>SINGAPORE DOLLAR</t>
        </is>
      </c>
      <c r="AF182" t="n">
        <v>19830.78</v>
      </c>
      <c r="AG182" t="n">
        <v>20031.09</v>
      </c>
      <c r="AH182" t="n">
        <v>20713.98</v>
      </c>
      <c r="AI182" t="inlineStr">
        <is>
          <t>YUAN RENMINBI</t>
        </is>
      </c>
      <c r="AJ182" t="n">
        <v>3780.36</v>
      </c>
      <c r="AK182" t="n">
        <v>3818.54</v>
      </c>
      <c r="AL182" t="n">
        <v>3940.83</v>
      </c>
      <c r="AM182" t="inlineStr">
        <is>
          <t>HONGKONG DOLLAR</t>
        </is>
      </c>
      <c r="AN182" t="n">
        <v>3259.14</v>
      </c>
      <c r="AO182" t="n">
        <v>3292.06</v>
      </c>
      <c r="AP182" t="n">
        <v>3417.94</v>
      </c>
      <c r="AQ182" t="inlineStr">
        <is>
          <t>THAILAND BAHT</t>
        </is>
      </c>
      <c r="AR182" t="n">
        <v>699.28</v>
      </c>
      <c r="AS182" t="n">
        <v>776.98</v>
      </c>
      <c r="AT182" t="n">
        <v>809.9299999999999</v>
      </c>
      <c r="AU182" t="inlineStr">
        <is>
          <t>KOREAN WON</t>
        </is>
      </c>
      <c r="AV182" t="n">
        <v>14.77</v>
      </c>
      <c r="AW182" t="n">
        <v>16.41</v>
      </c>
      <c r="AX182" t="n">
        <v>17.81</v>
      </c>
      <c r="AY182" t="inlineStr">
        <is>
          <t>MALAYSIAN RINGGIT</t>
        </is>
      </c>
      <c r="BA182" t="n">
        <v>6404.09</v>
      </c>
      <c r="BB182" t="n">
        <v>6543.41</v>
      </c>
      <c r="BC182" t="inlineStr">
        <is>
          <t>INDIAN RUPEE</t>
        </is>
      </c>
      <c r="BE182" t="n">
        <v>274.13</v>
      </c>
      <c r="BF182" t="n">
        <v>285.93</v>
      </c>
      <c r="BG182" t="inlineStr">
        <is>
          <t>KUWAITI DINAR</t>
        </is>
      </c>
      <c r="BI182" t="n">
        <v>84955.34</v>
      </c>
      <c r="BJ182" t="n">
        <v>89072.99000000001</v>
      </c>
      <c r="BK182" t="inlineStr">
        <is>
          <t>SAUDI RIAL</t>
        </is>
      </c>
      <c r="BM182" t="n">
        <v>6964.59</v>
      </c>
      <c r="BN182" t="n">
        <v>7264.32</v>
      </c>
      <c r="BO182" t="inlineStr">
        <is>
          <t>NORWEGIAN KRONER</t>
        </is>
      </c>
      <c r="BQ182" t="n">
        <v>2623.35</v>
      </c>
      <c r="BR182" t="n">
        <v>2734.58</v>
      </c>
      <c r="BS182" t="inlineStr">
        <is>
          <t>SWEDISH KRONA</t>
        </is>
      </c>
      <c r="BU182" t="n">
        <v>2667.4</v>
      </c>
      <c r="BV182" t="n">
        <v>2780.5</v>
      </c>
      <c r="BW182" t="inlineStr">
        <is>
          <t>DANISH KRONE</t>
        </is>
      </c>
      <c r="BY182" t="n">
        <v>3950.14</v>
      </c>
      <c r="BZ182" t="n">
        <v>4101.18</v>
      </c>
      <c r="CA182" t="inlineStr">
        <is>
          <t>RUSSIAN RUBLE</t>
        </is>
      </c>
      <c r="CC182" t="n">
        <v>322.97</v>
      </c>
      <c r="CD182" t="n">
        <v>357.51</v>
      </c>
    </row>
    <row r="183">
      <c r="A183" t="inlineStr">
        <is>
          <t>05/07/2026</t>
        </is>
      </c>
      <c r="B183">
        <f>IF(ISNUMBER(A183), A183, DATE(RIGHT(A183,4), MID(A183,4,2), LEFT(A183,2)))</f>
        <v/>
      </c>
      <c r="C183" t="inlineStr">
        <is>
          <t>US DOLLAR</t>
        </is>
      </c>
      <c r="D183" t="n">
        <v>26073</v>
      </c>
      <c r="E183" t="n">
        <v>26103</v>
      </c>
      <c r="F183" t="n">
        <v>26463</v>
      </c>
      <c r="G183" t="inlineStr">
        <is>
          <t>EURO</t>
        </is>
      </c>
      <c r="H183" t="n">
        <v>29304.41</v>
      </c>
      <c r="I183" t="n">
        <v>29600.41</v>
      </c>
      <c r="J183" t="n">
        <v>30849.34</v>
      </c>
      <c r="K183" t="inlineStr">
        <is>
          <t>POUND STERLING</t>
        </is>
      </c>
      <c r="L183" t="n">
        <v>34219.66</v>
      </c>
      <c r="M183" t="n">
        <v>34565.31</v>
      </c>
      <c r="N183" t="n">
        <v>35672.27</v>
      </c>
      <c r="O183" t="inlineStr">
        <is>
          <t>YEN</t>
        </is>
      </c>
      <c r="P183" t="n">
        <v>158.04</v>
      </c>
      <c r="Q183" t="n">
        <v>159.63</v>
      </c>
      <c r="R183" t="n">
        <v>169.87</v>
      </c>
      <c r="S183" t="inlineStr">
        <is>
          <t>AUSTRALIAN DOLLAR</t>
        </is>
      </c>
      <c r="T183" t="n">
        <v>17751.78</v>
      </c>
      <c r="U183" t="n">
        <v>17931.09</v>
      </c>
      <c r="V183" t="n">
        <v>18505.34</v>
      </c>
      <c r="W183" t="inlineStr">
        <is>
          <t>CANADIAN DOLLAR</t>
        </is>
      </c>
      <c r="X183" t="n">
        <v>18077.94</v>
      </c>
      <c r="Y183" t="n">
        <v>18260.54</v>
      </c>
      <c r="Z183" t="n">
        <v>18845.34</v>
      </c>
      <c r="AA183" t="inlineStr">
        <is>
          <t>SWISS FRANC</t>
        </is>
      </c>
      <c r="AB183" t="n">
        <v>31917.21</v>
      </c>
      <c r="AC183" t="n">
        <v>32239.6</v>
      </c>
      <c r="AD183" t="n">
        <v>33272.09</v>
      </c>
      <c r="AE183" t="inlineStr">
        <is>
          <t>SINGAPORE DOLLAR</t>
        </is>
      </c>
      <c r="AF183" t="n">
        <v>19830.78</v>
      </c>
      <c r="AG183" t="n">
        <v>20031.09</v>
      </c>
      <c r="AH183" t="n">
        <v>20713.98</v>
      </c>
      <c r="AI183" t="inlineStr">
        <is>
          <t>YUAN RENMINBI</t>
        </is>
      </c>
      <c r="AJ183" t="n">
        <v>3780.36</v>
      </c>
      <c r="AK183" t="n">
        <v>3818.54</v>
      </c>
      <c r="AL183" t="n">
        <v>3940.83</v>
      </c>
      <c r="AM183" t="inlineStr">
        <is>
          <t>HONGKONG DOLLAR</t>
        </is>
      </c>
      <c r="AN183" t="n">
        <v>3259.14</v>
      </c>
      <c r="AO183" t="n">
        <v>3292.06</v>
      </c>
      <c r="AP183" t="n">
        <v>3417.94</v>
      </c>
      <c r="AQ183" t="inlineStr">
        <is>
          <t>THAILAND BAHT</t>
        </is>
      </c>
      <c r="AR183" t="n">
        <v>699.28</v>
      </c>
      <c r="AS183" t="n">
        <v>776.98</v>
      </c>
      <c r="AT183" t="n">
        <v>809.9299999999999</v>
      </c>
      <c r="AU183" t="inlineStr">
        <is>
          <t>KOREAN WON</t>
        </is>
      </c>
      <c r="AV183" t="n">
        <v>14.77</v>
      </c>
      <c r="AW183" t="n">
        <v>16.41</v>
      </c>
      <c r="AX183" t="n">
        <v>17.81</v>
      </c>
      <c r="AY183" t="inlineStr">
        <is>
          <t>MALAYSIAN RINGGIT</t>
        </is>
      </c>
      <c r="BA183" t="n">
        <v>6404.09</v>
      </c>
      <c r="BB183" t="n">
        <v>6543.41</v>
      </c>
      <c r="BC183" t="inlineStr">
        <is>
          <t>INDIAN RUPEE</t>
        </is>
      </c>
      <c r="BE183" t="n">
        <v>274.13</v>
      </c>
      <c r="BF183" t="n">
        <v>285.93</v>
      </c>
      <c r="BG183" t="inlineStr">
        <is>
          <t>KUWAITI DINAR</t>
        </is>
      </c>
      <c r="BI183" t="n">
        <v>84955.34</v>
      </c>
      <c r="BJ183" t="n">
        <v>89072.99000000001</v>
      </c>
      <c r="BK183" t="inlineStr">
        <is>
          <t>SAUDI RIAL</t>
        </is>
      </c>
      <c r="BM183" t="n">
        <v>6964.59</v>
      </c>
      <c r="BN183" t="n">
        <v>7264.32</v>
      </c>
      <c r="BO183" t="inlineStr">
        <is>
          <t>NORWEGIAN KRONER</t>
        </is>
      </c>
      <c r="BQ183" t="n">
        <v>2623.35</v>
      </c>
      <c r="BR183" t="n">
        <v>2734.58</v>
      </c>
      <c r="BS183" t="inlineStr">
        <is>
          <t>SWEDISH KRONA</t>
        </is>
      </c>
      <c r="BU183" t="n">
        <v>2667.4</v>
      </c>
      <c r="BV183" t="n">
        <v>2780.5</v>
      </c>
      <c r="BW183" t="inlineStr">
        <is>
          <t>DANISH KRONE</t>
        </is>
      </c>
      <c r="BY183" t="n">
        <v>3950.14</v>
      </c>
      <c r="BZ183" t="n">
        <v>4101.18</v>
      </c>
      <c r="CA183" t="inlineStr">
        <is>
          <t>RUSSIAN RUBLE</t>
        </is>
      </c>
      <c r="CC183" t="n">
        <v>322.97</v>
      </c>
      <c r="CD183" t="n">
        <v>357.51</v>
      </c>
    </row>
    <row r="184">
      <c r="A184" t="inlineStr">
        <is>
          <t>06/07/2026</t>
        </is>
      </c>
      <c r="B184">
        <f>IF(ISNUMBER(A184), A184, DATE(RIGHT(A184,4), MID(A184,4,2), LEFT(A184,2)))</f>
        <v/>
      </c>
      <c r="C184" t="inlineStr">
        <is>
          <t>US DOLLAR</t>
        </is>
      </c>
      <c r="D184" t="n">
        <v>26072</v>
      </c>
      <c r="E184" t="n">
        <v>26102</v>
      </c>
      <c r="F184" t="n">
        <v>26462</v>
      </c>
      <c r="G184" t="inlineStr">
        <is>
          <t>EURO</t>
        </is>
      </c>
      <c r="H184" t="n">
        <v>29304.41</v>
      </c>
      <c r="I184" t="n">
        <v>29600.41</v>
      </c>
      <c r="J184" t="n">
        <v>30849.34</v>
      </c>
      <c r="K184" t="inlineStr">
        <is>
          <t>POUND STERLING</t>
        </is>
      </c>
      <c r="L184" t="n">
        <v>34199.15</v>
      </c>
      <c r="M184" t="n">
        <v>34544.6</v>
      </c>
      <c r="N184" t="n">
        <v>35650.9</v>
      </c>
      <c r="O184" t="inlineStr">
        <is>
          <t>YEN</t>
        </is>
      </c>
      <c r="P184" t="n">
        <v>157.03</v>
      </c>
      <c r="Q184" t="n">
        <v>158.62</v>
      </c>
      <c r="R184" t="n">
        <v>167.87</v>
      </c>
      <c r="S184" t="inlineStr">
        <is>
          <t>AUSTRALIAN DOLLAR</t>
        </is>
      </c>
      <c r="T184" t="n">
        <v>17769.72</v>
      </c>
      <c r="U184" t="n">
        <v>17949.21</v>
      </c>
      <c r="V184" t="n">
        <v>18524.04</v>
      </c>
      <c r="W184" t="inlineStr">
        <is>
          <t>CANADIAN DOLLAR</t>
        </is>
      </c>
      <c r="X184" t="n">
        <v>18044.85</v>
      </c>
      <c r="Y184" t="n">
        <v>18227.12</v>
      </c>
      <c r="Z184" t="n">
        <v>18810.85</v>
      </c>
      <c r="AA184" t="inlineStr">
        <is>
          <t>SWISS FRANC</t>
        </is>
      </c>
      <c r="AB184" t="n">
        <v>31893.38</v>
      </c>
      <c r="AC184" t="n">
        <v>32215.54</v>
      </c>
      <c r="AD184" t="n">
        <v>33247.25</v>
      </c>
      <c r="AE184" t="inlineStr">
        <is>
          <t>SINGAPORE DOLLAR</t>
        </is>
      </c>
      <c r="AF184" t="n">
        <v>19830.78</v>
      </c>
      <c r="AG184" t="n">
        <v>20031.09</v>
      </c>
      <c r="AH184" t="n">
        <v>20713.98</v>
      </c>
      <c r="AI184" t="inlineStr">
        <is>
          <t>YUAN RENMINBI</t>
        </is>
      </c>
      <c r="AJ184" t="n">
        <v>3780.8</v>
      </c>
      <c r="AK184" t="n">
        <v>3818.99</v>
      </c>
      <c r="AL184" t="n">
        <v>3941.3</v>
      </c>
      <c r="AM184" t="inlineStr">
        <is>
          <t>HONGKONG DOLLAR</t>
        </is>
      </c>
      <c r="AN184" t="n">
        <v>3258.8</v>
      </c>
      <c r="AO184" t="n">
        <v>3291.72</v>
      </c>
      <c r="AP184" t="n">
        <v>3417.59</v>
      </c>
      <c r="AQ184" t="inlineStr">
        <is>
          <t>THAILAND BAHT</t>
        </is>
      </c>
      <c r="AR184" t="n">
        <v>699.28</v>
      </c>
      <c r="AS184" t="n">
        <v>776.98</v>
      </c>
      <c r="AT184" t="n">
        <v>809.9299999999999</v>
      </c>
      <c r="AU184" t="inlineStr">
        <is>
          <t>KOREAN WON</t>
        </is>
      </c>
      <c r="AV184" t="n">
        <v>14.88</v>
      </c>
      <c r="AW184" t="n">
        <v>16.54</v>
      </c>
      <c r="AX184" t="n">
        <v>17.94</v>
      </c>
      <c r="AY184" t="inlineStr">
        <is>
          <t>MALAYSIAN RINGGIT</t>
        </is>
      </c>
      <c r="BA184" t="n">
        <v>6397.79</v>
      </c>
      <c r="BB184" t="n">
        <v>6536.97</v>
      </c>
      <c r="BC184" t="inlineStr">
        <is>
          <t>INDIAN RUPEE</t>
        </is>
      </c>
      <c r="BE184" t="n">
        <v>274.65</v>
      </c>
      <c r="BF184" t="n">
        <v>286.47</v>
      </c>
      <c r="BG184" t="inlineStr">
        <is>
          <t>KUWAITI DINAR</t>
        </is>
      </c>
      <c r="BI184" t="n">
        <v>85010.58</v>
      </c>
      <c r="BJ184" t="n">
        <v>89130.91</v>
      </c>
      <c r="BK184" t="inlineStr">
        <is>
          <t>SAUDI RIAL</t>
        </is>
      </c>
      <c r="BM184" t="n">
        <v>6967</v>
      </c>
      <c r="BN184" t="n">
        <v>7266.83</v>
      </c>
      <c r="BO184" t="inlineStr">
        <is>
          <t>NORWEGIAN KRONER</t>
        </is>
      </c>
      <c r="BQ184" t="n">
        <v>2621.16</v>
      </c>
      <c r="BR184" t="n">
        <v>2732.3</v>
      </c>
      <c r="BS184" t="inlineStr">
        <is>
          <t>SWEDISH KRONA</t>
        </is>
      </c>
      <c r="BU184" t="n">
        <v>2671.77</v>
      </c>
      <c r="BV184" t="n">
        <v>2785.06</v>
      </c>
      <c r="BW184" t="inlineStr">
        <is>
          <t>DANISH KRONE</t>
        </is>
      </c>
      <c r="BY184" t="n">
        <v>3949.65</v>
      </c>
      <c r="BZ184" t="n">
        <v>4100.68</v>
      </c>
      <c r="CA184" t="inlineStr">
        <is>
          <t>RUSSIAN RUBLE</t>
        </is>
      </c>
      <c r="CC184" t="n">
        <v>323.78</v>
      </c>
      <c r="CD184" t="n">
        <v>358.41</v>
      </c>
    </row>
    <row r="185">
      <c r="A185" t="inlineStr">
        <is>
          <t>07/07/2026</t>
        </is>
      </c>
      <c r="B185">
        <f>IF(ISNUMBER(A185), A185, DATE(RIGHT(A185,4), MID(A185,4,2), LEFT(A185,2)))</f>
        <v/>
      </c>
      <c r="C185" t="inlineStr">
        <is>
          <t>US DOLLAR</t>
        </is>
      </c>
      <c r="D185" t="n">
        <v>26072</v>
      </c>
      <c r="E185" t="n">
        <v>26102</v>
      </c>
      <c r="F185" t="n">
        <v>26462</v>
      </c>
      <c r="G185" t="inlineStr">
        <is>
          <t>EURO</t>
        </is>
      </c>
      <c r="H185" t="n">
        <v>29314.66</v>
      </c>
      <c r="I185" t="n">
        <v>29610.77</v>
      </c>
      <c r="J185" t="n">
        <v>30860.13</v>
      </c>
      <c r="K185" t="inlineStr">
        <is>
          <t>POUND STERLING</t>
        </is>
      </c>
      <c r="L185" t="n">
        <v>34309.35</v>
      </c>
      <c r="M185" t="n">
        <v>34655.91</v>
      </c>
      <c r="N185" t="n">
        <v>35765.77</v>
      </c>
      <c r="O185" t="inlineStr">
        <is>
          <t>YEN</t>
        </is>
      </c>
      <c r="P185" t="n">
        <v>156.55</v>
      </c>
      <c r="Q185" t="n">
        <v>158.13</v>
      </c>
      <c r="R185" t="n">
        <v>167.35</v>
      </c>
      <c r="S185" t="inlineStr">
        <is>
          <t>AUSTRALIAN DOLLAR</t>
        </is>
      </c>
      <c r="T185" t="n">
        <v>17815.85</v>
      </c>
      <c r="U185" t="n">
        <v>17995.81</v>
      </c>
      <c r="V185" t="n">
        <v>18572.13</v>
      </c>
      <c r="W185" t="inlineStr">
        <is>
          <t>CANADIAN DOLLAR</t>
        </is>
      </c>
      <c r="X185" t="n">
        <v>18039.77</v>
      </c>
      <c r="Y185" t="n">
        <v>18221.99</v>
      </c>
      <c r="Z185" t="n">
        <v>18805.55</v>
      </c>
      <c r="AA185" t="inlineStr">
        <is>
          <t>SWISS FRANC</t>
        </is>
      </c>
      <c r="AB185" t="n">
        <v>31826.06</v>
      </c>
      <c r="AC185" t="n">
        <v>32147.54</v>
      </c>
      <c r="AD185" t="n">
        <v>33177.07</v>
      </c>
      <c r="AE185" t="inlineStr">
        <is>
          <t>SINGAPORE DOLLAR</t>
        </is>
      </c>
      <c r="AF185" t="n">
        <v>19821.57</v>
      </c>
      <c r="AG185" t="n">
        <v>20021.78</v>
      </c>
      <c r="AH185" t="n">
        <v>20704.36</v>
      </c>
      <c r="AI185" t="inlineStr">
        <is>
          <t>YUAN RENMINBI</t>
        </is>
      </c>
      <c r="AJ185" t="n">
        <v>3771.85</v>
      </c>
      <c r="AK185" t="n">
        <v>3809.95</v>
      </c>
      <c r="AL185" t="n">
        <v>3931.96</v>
      </c>
      <c r="AM185" t="inlineStr">
        <is>
          <t>HONGKONG DOLLAR</t>
        </is>
      </c>
      <c r="AN185" t="n">
        <v>3258.89</v>
      </c>
      <c r="AO185" t="n">
        <v>3291.81</v>
      </c>
      <c r="AP185" t="n">
        <v>3417.68</v>
      </c>
      <c r="AQ185" t="inlineStr">
        <is>
          <t>THAILAND BAHT</t>
        </is>
      </c>
      <c r="AR185" t="n">
        <v>696.55</v>
      </c>
      <c r="AS185" t="n">
        <v>773.95</v>
      </c>
      <c r="AT185" t="n">
        <v>806.76</v>
      </c>
      <c r="AU185" t="inlineStr">
        <is>
          <t>KOREAN WON</t>
        </is>
      </c>
      <c r="AV185" t="n">
        <v>14.88</v>
      </c>
      <c r="AW185" t="n">
        <v>16.53</v>
      </c>
      <c r="AX185" t="n">
        <v>17.94</v>
      </c>
      <c r="AY185" t="inlineStr">
        <is>
          <t>MALAYSIAN RINGGIT</t>
        </is>
      </c>
      <c r="BA185" t="n">
        <v>6377.4</v>
      </c>
      <c r="BB185" t="n">
        <v>6516.14</v>
      </c>
      <c r="BC185" t="inlineStr">
        <is>
          <t>INDIAN RUPEE</t>
        </is>
      </c>
      <c r="BE185" t="n">
        <v>274.13</v>
      </c>
      <c r="BF185" t="n">
        <v>285.93</v>
      </c>
      <c r="BG185" t="inlineStr">
        <is>
          <t>KUWAITI DINAR</t>
        </is>
      </c>
      <c r="BI185" t="n">
        <v>85010.58</v>
      </c>
      <c r="BJ185" t="n">
        <v>89130.91</v>
      </c>
      <c r="BK185" t="inlineStr">
        <is>
          <t>SAUDI RIAL</t>
        </is>
      </c>
      <c r="BM185" t="n">
        <v>6964.03</v>
      </c>
      <c r="BN185" t="n">
        <v>7263.74</v>
      </c>
      <c r="BO185" t="inlineStr">
        <is>
          <t>NORWEGIAN KRONER</t>
        </is>
      </c>
      <c r="BQ185" t="n">
        <v>2632.11</v>
      </c>
      <c r="BR185" t="n">
        <v>2743.72</v>
      </c>
      <c r="BS185" t="inlineStr">
        <is>
          <t>SWEDISH KRONA</t>
        </is>
      </c>
      <c r="BU185" t="n">
        <v>2675.82</v>
      </c>
      <c r="BV185" t="n">
        <v>2789.28</v>
      </c>
      <c r="BW185" t="inlineStr">
        <is>
          <t>DANISH KRONE</t>
        </is>
      </c>
      <c r="BY185" t="n">
        <v>3951.28</v>
      </c>
      <c r="BZ185" t="n">
        <v>4102.37</v>
      </c>
      <c r="CA185" t="inlineStr">
        <is>
          <t>RUSSIAN RUBLE</t>
        </is>
      </c>
      <c r="CC185" t="n">
        <v>324.64</v>
      </c>
      <c r="CD185" t="n">
        <v>359.36</v>
      </c>
    </row>
    <row r="186">
      <c r="A186" t="inlineStr">
        <is>
          <t>08/07/2026</t>
        </is>
      </c>
      <c r="B186">
        <f>IF(ISNUMBER(A186), A186, DATE(RIGHT(A186,4), MID(A186,4,2), LEFT(A186,2)))</f>
        <v/>
      </c>
      <c r="C186" t="inlineStr">
        <is>
          <t>US DOLLAR</t>
        </is>
      </c>
      <c r="D186" t="n">
        <v>26076</v>
      </c>
      <c r="E186" t="n">
        <v>26106</v>
      </c>
      <c r="F186" t="n">
        <v>26466</v>
      </c>
      <c r="G186" t="inlineStr">
        <is>
          <t>EURO</t>
        </is>
      </c>
      <c r="H186" t="n">
        <v>29221.53</v>
      </c>
      <c r="I186" t="n">
        <v>29516.7</v>
      </c>
      <c r="J186" t="n">
        <v>30762.11</v>
      </c>
      <c r="K186" t="inlineStr">
        <is>
          <t>POUND STERLING</t>
        </is>
      </c>
      <c r="L186" t="n">
        <v>34198.95</v>
      </c>
      <c r="M186" t="n">
        <v>34544.39</v>
      </c>
      <c r="N186" t="n">
        <v>35650.71</v>
      </c>
      <c r="O186" t="inlineStr">
        <is>
          <t>YEN</t>
        </is>
      </c>
      <c r="P186" t="n">
        <v>156.3</v>
      </c>
      <c r="Q186" t="n">
        <v>157.88</v>
      </c>
      <c r="R186" t="n">
        <v>167.09</v>
      </c>
      <c r="S186" t="inlineStr">
        <is>
          <t>AUSTRALIAN DOLLAR</t>
        </is>
      </c>
      <c r="T186" t="n">
        <v>17760.4</v>
      </c>
      <c r="U186" t="n">
        <v>17939.8</v>
      </c>
      <c r="V186" t="n">
        <v>18514.33</v>
      </c>
      <c r="W186" t="inlineStr">
        <is>
          <t>CANADIAN DOLLAR</t>
        </is>
      </c>
      <c r="X186" t="n">
        <v>18044.33</v>
      </c>
      <c r="Y186" t="n">
        <v>18226.6</v>
      </c>
      <c r="Z186" t="n">
        <v>18810.32</v>
      </c>
      <c r="AA186" t="inlineStr">
        <is>
          <t>SWISS FRANC</t>
        </is>
      </c>
      <c r="AB186" t="n">
        <v>31684.13</v>
      </c>
      <c r="AC186" t="n">
        <v>32004.17</v>
      </c>
      <c r="AD186" t="n">
        <v>33029.13</v>
      </c>
      <c r="AE186" t="inlineStr">
        <is>
          <t>SINGAPORE DOLLAR</t>
        </is>
      </c>
      <c r="AF186" t="n">
        <v>19797.17</v>
      </c>
      <c r="AG186" t="n">
        <v>19997.14</v>
      </c>
      <c r="AH186" t="n">
        <v>20678.89</v>
      </c>
      <c r="AI186" t="inlineStr">
        <is>
          <t>YUAN RENMINBI</t>
        </is>
      </c>
      <c r="AJ186" t="n">
        <v>3771.74</v>
      </c>
      <c r="AK186" t="n">
        <v>3809.84</v>
      </c>
      <c r="AL186" t="n">
        <v>3931.85</v>
      </c>
      <c r="AM186" t="inlineStr">
        <is>
          <t>HONGKONG DOLLAR</t>
        </is>
      </c>
      <c r="AN186" t="n">
        <v>3257.44</v>
      </c>
      <c r="AO186" t="n">
        <v>3290.34</v>
      </c>
      <c r="AP186" t="n">
        <v>3416.16</v>
      </c>
      <c r="AQ186" t="inlineStr">
        <is>
          <t>THAILAND BAHT</t>
        </is>
      </c>
      <c r="AR186" t="n">
        <v>694.62</v>
      </c>
      <c r="AS186" t="n">
        <v>771.8</v>
      </c>
      <c r="AT186" t="n">
        <v>804.52</v>
      </c>
      <c r="AU186" t="inlineStr">
        <is>
          <t>KOREAN WON</t>
        </is>
      </c>
      <c r="AV186" t="n">
        <v>14.99</v>
      </c>
      <c r="AW186" t="n">
        <v>16.65</v>
      </c>
      <c r="AX186" t="n">
        <v>18.07</v>
      </c>
      <c r="AY186" t="inlineStr">
        <is>
          <t>MALAYSIAN RINGGIT</t>
        </is>
      </c>
      <c r="BA186" t="n">
        <v>6379.67</v>
      </c>
      <c r="BB186" t="n">
        <v>6518.46</v>
      </c>
      <c r="BC186" t="inlineStr">
        <is>
          <t>INDIAN RUPEE</t>
        </is>
      </c>
      <c r="BE186" t="n">
        <v>275.27</v>
      </c>
      <c r="BF186" t="n">
        <v>287.11</v>
      </c>
      <c r="BG186" t="inlineStr">
        <is>
          <t>KUWAITI DINAR</t>
        </is>
      </c>
      <c r="BI186" t="n">
        <v>84978.23</v>
      </c>
      <c r="BJ186" t="n">
        <v>89097.03999999999</v>
      </c>
      <c r="BK186" t="inlineStr">
        <is>
          <t>SAUDI RIAL</t>
        </is>
      </c>
      <c r="BM186" t="n">
        <v>6962.68</v>
      </c>
      <c r="BN186" t="n">
        <v>7262.33</v>
      </c>
      <c r="BO186" t="inlineStr">
        <is>
          <t>NORWEGIAN KRONER</t>
        </is>
      </c>
      <c r="BQ186" t="n">
        <v>2630.63</v>
      </c>
      <c r="BR186" t="n">
        <v>2742.17</v>
      </c>
      <c r="BS186" t="inlineStr">
        <is>
          <t>SWEDISH KRONA</t>
        </is>
      </c>
      <c r="BU186" t="n">
        <v>2657.75</v>
      </c>
      <c r="BV186" t="n">
        <v>2770.44</v>
      </c>
      <c r="BW186" t="inlineStr">
        <is>
          <t>DANISH KRONE</t>
        </is>
      </c>
      <c r="BY186" t="n">
        <v>3938.63</v>
      </c>
      <c r="BZ186" t="n">
        <v>4089.24</v>
      </c>
      <c r="CA186" t="inlineStr">
        <is>
          <t>RUSSIAN RUBLE</t>
        </is>
      </c>
      <c r="CC186" t="n">
        <v>327.26</v>
      </c>
      <c r="CD186" t="n">
        <v>362.26</v>
      </c>
    </row>
    <row r="187">
      <c r="A187" t="inlineStr">
        <is>
          <t>09/07/2026</t>
        </is>
      </c>
      <c r="B187">
        <f>IF(ISNUMBER(A187), A187, DATE(RIGHT(A187,4), MID(A187,4,2), LEFT(A187,2)))</f>
        <v/>
      </c>
      <c r="C187" t="inlineStr">
        <is>
          <t>US DOLLAR</t>
        </is>
      </c>
      <c r="D187" t="n">
        <v>26081</v>
      </c>
      <c r="E187" t="n">
        <v>26111</v>
      </c>
      <c r="F187" t="n">
        <v>26471</v>
      </c>
      <c r="G187" t="inlineStr">
        <is>
          <t>EURO</t>
        </is>
      </c>
      <c r="H187" t="n">
        <v>29273.21</v>
      </c>
      <c r="I187" t="n">
        <v>29568.9</v>
      </c>
      <c r="J187" t="n">
        <v>30816.51</v>
      </c>
      <c r="K187" t="inlineStr">
        <is>
          <t>POUND STERLING</t>
        </is>
      </c>
      <c r="L187" t="n">
        <v>34315.63</v>
      </c>
      <c r="M187" t="n">
        <v>34662.26</v>
      </c>
      <c r="N187" t="n">
        <v>35772.33</v>
      </c>
      <c r="O187" t="inlineStr">
        <is>
          <t>YEN</t>
        </is>
      </c>
      <c r="P187" t="n">
        <v>156.23</v>
      </c>
      <c r="Q187" t="n">
        <v>157.81</v>
      </c>
      <c r="R187" t="n">
        <v>167.01</v>
      </c>
      <c r="S187" t="inlineStr">
        <is>
          <t>AUSTRALIAN DOLLAR</t>
        </is>
      </c>
      <c r="T187" t="n">
        <v>17758.65</v>
      </c>
      <c r="U187" t="n">
        <v>17938.03</v>
      </c>
      <c r="V187" t="n">
        <v>18512.51</v>
      </c>
      <c r="W187" t="inlineStr">
        <is>
          <t>CANADIAN DOLLAR</t>
        </is>
      </c>
      <c r="X187" t="n">
        <v>18096.2</v>
      </c>
      <c r="Y187" t="n">
        <v>18278.99</v>
      </c>
      <c r="Z187" t="n">
        <v>18864.38</v>
      </c>
      <c r="AA187" t="inlineStr">
        <is>
          <t>SWISS FRANC</t>
        </is>
      </c>
      <c r="AB187" t="n">
        <v>31741.18</v>
      </c>
      <c r="AC187" t="n">
        <v>32061.8</v>
      </c>
      <c r="AD187" t="n">
        <v>33088.6</v>
      </c>
      <c r="AE187" t="inlineStr">
        <is>
          <t>SINGAPORE DOLLAR</t>
        </is>
      </c>
      <c r="AF187" t="n">
        <v>19807.06</v>
      </c>
      <c r="AG187" t="n">
        <v>20007.13</v>
      </c>
      <c r="AH187" t="n">
        <v>20689.22</v>
      </c>
      <c r="AI187" t="inlineStr">
        <is>
          <t>YUAN RENMINBI</t>
        </is>
      </c>
      <c r="AJ187" t="n">
        <v>3767.41</v>
      </c>
      <c r="AK187" t="n">
        <v>3805.47</v>
      </c>
      <c r="AL187" t="n">
        <v>3927.34</v>
      </c>
      <c r="AM187" t="inlineStr">
        <is>
          <t>HONGKONG DOLLAR</t>
        </is>
      </c>
      <c r="AN187" t="n">
        <v>3259.64</v>
      </c>
      <c r="AO187" t="n">
        <v>3292.56</v>
      </c>
      <c r="AP187" t="n">
        <v>3418.47</v>
      </c>
      <c r="AQ187" t="inlineStr">
        <is>
          <t>THAILAND BAHT</t>
        </is>
      </c>
      <c r="AR187" t="n">
        <v>693.09</v>
      </c>
      <c r="AS187" t="n">
        <v>770.1</v>
      </c>
      <c r="AT187" t="n">
        <v>802.75</v>
      </c>
      <c r="AU187" t="inlineStr">
        <is>
          <t>KOREAN WON</t>
        </is>
      </c>
      <c r="AV187" t="n">
        <v>15.13</v>
      </c>
      <c r="AW187" t="n">
        <v>16.81</v>
      </c>
      <c r="AX187" t="n">
        <v>18.24</v>
      </c>
      <c r="AY187" t="inlineStr">
        <is>
          <t>MALAYSIAN RINGGIT</t>
        </is>
      </c>
      <c r="BA187" t="n">
        <v>6388.72</v>
      </c>
      <c r="BB187" t="n">
        <v>6527.7</v>
      </c>
      <c r="BC187" t="inlineStr">
        <is>
          <t>INDIAN RUPEE</t>
        </is>
      </c>
      <c r="BE187" t="n">
        <v>273.62</v>
      </c>
      <c r="BF187" t="n">
        <v>285.39</v>
      </c>
      <c r="BG187" t="inlineStr">
        <is>
          <t>KUWAITI DINAR</t>
        </is>
      </c>
      <c r="BI187" t="n">
        <v>84966.78</v>
      </c>
      <c r="BJ187" t="n">
        <v>89085.00999999999</v>
      </c>
      <c r="BK187" t="inlineStr">
        <is>
          <t>SAUDI RIAL</t>
        </is>
      </c>
      <c r="BM187" t="n">
        <v>6965.68</v>
      </c>
      <c r="BN187" t="n">
        <v>7265.45</v>
      </c>
      <c r="BO187" t="inlineStr">
        <is>
          <t>NORWEGIAN KRONER</t>
        </is>
      </c>
      <c r="BQ187" t="n">
        <v>2641.57</v>
      </c>
      <c r="BR187" t="n">
        <v>2753.58</v>
      </c>
      <c r="BS187" t="inlineStr">
        <is>
          <t>SWEDISH KRONA</t>
        </is>
      </c>
      <c r="BU187" t="n">
        <v>2660.34</v>
      </c>
      <c r="BV187" t="n">
        <v>2773.14</v>
      </c>
      <c r="BW187" t="inlineStr">
        <is>
          <t>DANISH KRONE</t>
        </is>
      </c>
      <c r="BY187" t="n">
        <v>3945.4</v>
      </c>
      <c r="BZ187" t="n">
        <v>4096.26</v>
      </c>
      <c r="CA187" t="inlineStr">
        <is>
          <t>RUSSIAN RUBLE</t>
        </is>
      </c>
      <c r="CC187" t="n">
        <v>325.85</v>
      </c>
      <c r="CD187" t="n">
        <v>360.7</v>
      </c>
    </row>
    <row r="188">
      <c r="A188" t="inlineStr">
        <is>
          <t>10/07/2026</t>
        </is>
      </c>
      <c r="B188">
        <f>IF(ISNUMBER(A188), A188, DATE(RIGHT(A188,4), MID(A188,4,2), LEFT(A188,2)))</f>
        <v/>
      </c>
      <c r="C188" t="inlineStr">
        <is>
          <t>US DOLLAR</t>
        </is>
      </c>
      <c r="D188" t="n">
        <v>26060</v>
      </c>
      <c r="E188" t="n">
        <v>26090</v>
      </c>
      <c r="F188" t="n">
        <v>26470</v>
      </c>
      <c r="G188" t="inlineStr">
        <is>
          <t>EURO</t>
        </is>
      </c>
      <c r="H188" t="n">
        <v>29300.03</v>
      </c>
      <c r="I188" t="n">
        <v>29595.99</v>
      </c>
      <c r="J188" t="n">
        <v>30844.77</v>
      </c>
      <c r="K188" t="inlineStr">
        <is>
          <t>POUND STERLING</t>
        </is>
      </c>
      <c r="L188" t="n">
        <v>34365.18</v>
      </c>
      <c r="M188" t="n">
        <v>34712.31</v>
      </c>
      <c r="N188" t="n">
        <v>35824.02</v>
      </c>
      <c r="O188" t="inlineStr">
        <is>
          <t>YEN</t>
        </is>
      </c>
      <c r="P188" t="n">
        <v>156.96</v>
      </c>
      <c r="Q188" t="n">
        <v>158.55</v>
      </c>
      <c r="R188" t="n">
        <v>167.79</v>
      </c>
      <c r="S188" t="inlineStr">
        <is>
          <t>AUSTRALIAN DOLLAR</t>
        </is>
      </c>
      <c r="T188" t="n">
        <v>17786.93</v>
      </c>
      <c r="U188" t="n">
        <v>17966.59</v>
      </c>
      <c r="V188" t="n">
        <v>18542</v>
      </c>
      <c r="W188" t="inlineStr">
        <is>
          <t>CANADIAN DOLLAR</t>
        </is>
      </c>
      <c r="X188" t="n">
        <v>18084.59</v>
      </c>
      <c r="Y188" t="n">
        <v>18267.26</v>
      </c>
      <c r="Z188" t="n">
        <v>18852.3</v>
      </c>
      <c r="AA188" t="inlineStr">
        <is>
          <t>SWISS FRANC</t>
        </is>
      </c>
      <c r="AB188" t="n">
        <v>31825.55</v>
      </c>
      <c r="AC188" t="n">
        <v>32147.02</v>
      </c>
      <c r="AD188" t="n">
        <v>33176.58</v>
      </c>
      <c r="AE188" t="inlineStr">
        <is>
          <t>SINGAPORE DOLLAR</t>
        </is>
      </c>
      <c r="AF188" t="n">
        <v>19829.5</v>
      </c>
      <c r="AG188" t="n">
        <v>20029.8</v>
      </c>
      <c r="AH188" t="n">
        <v>20712.68</v>
      </c>
      <c r="AI188" t="inlineStr">
        <is>
          <t>YUAN RENMINBI</t>
        </is>
      </c>
      <c r="AJ188" t="n">
        <v>3779.15</v>
      </c>
      <c r="AK188" t="n">
        <v>3817.33</v>
      </c>
      <c r="AL188" t="n">
        <v>3939.58</v>
      </c>
      <c r="AM188" t="inlineStr">
        <is>
          <t>HONGKONG DOLLAR</t>
        </is>
      </c>
      <c r="AN188" t="n">
        <v>3257.69</v>
      </c>
      <c r="AO188" t="n">
        <v>3290.6</v>
      </c>
      <c r="AP188" t="n">
        <v>3416.43</v>
      </c>
      <c r="AQ188" t="inlineStr">
        <is>
          <t>THAILAND BAHT</t>
        </is>
      </c>
      <c r="AR188" t="n">
        <v>695.4</v>
      </c>
      <c r="AS188" t="n">
        <v>772.66</v>
      </c>
      <c r="AT188" t="n">
        <v>805.42</v>
      </c>
      <c r="AU188" t="inlineStr">
        <is>
          <t>KOREAN WON</t>
        </is>
      </c>
      <c r="AV188" t="n">
        <v>15.11</v>
      </c>
      <c r="AW188" t="n">
        <v>16.79</v>
      </c>
      <c r="AX188" t="n">
        <v>18.21</v>
      </c>
      <c r="AY188" t="inlineStr">
        <is>
          <t>MALAYSIAN RINGGIT</t>
        </is>
      </c>
      <c r="BA188" t="n">
        <v>6397.64</v>
      </c>
      <c r="BB188" t="n">
        <v>6536.82</v>
      </c>
      <c r="BC188" t="inlineStr">
        <is>
          <t>INDIAN RUPEE</t>
        </is>
      </c>
      <c r="BE188" t="n">
        <v>274.09</v>
      </c>
      <c r="BF188" t="n">
        <v>285.89</v>
      </c>
      <c r="BG188" t="inlineStr">
        <is>
          <t>KUWAITI DINAR</t>
        </is>
      </c>
      <c r="BI188" t="n">
        <v>84918.28</v>
      </c>
      <c r="BJ188" t="n">
        <v>89034.23</v>
      </c>
      <c r="BK188" t="inlineStr">
        <is>
          <t>SAUDI RIAL</t>
        </is>
      </c>
      <c r="BM188" t="n">
        <v>6960.22</v>
      </c>
      <c r="BN188" t="n">
        <v>7259.77</v>
      </c>
      <c r="BO188" t="inlineStr">
        <is>
          <t>NORWEGIAN KRONER</t>
        </is>
      </c>
      <c r="BQ188" t="n">
        <v>2640.52</v>
      </c>
      <c r="BR188" t="n">
        <v>2752.49</v>
      </c>
      <c r="BS188" t="inlineStr">
        <is>
          <t>SWEDISH KRONA</t>
        </is>
      </c>
      <c r="BU188" t="n">
        <v>2667.83</v>
      </c>
      <c r="BV188" t="n">
        <v>2780.95</v>
      </c>
      <c r="BW188" t="inlineStr">
        <is>
          <t>DANISH KRONE</t>
        </is>
      </c>
      <c r="BY188" t="n">
        <v>3948.94</v>
      </c>
      <c r="BZ188" t="n">
        <v>4099.95</v>
      </c>
      <c r="CA188" t="inlineStr">
        <is>
          <t>RUSSIAN RUBLE</t>
        </is>
      </c>
      <c r="CC188" t="n">
        <v>325.86</v>
      </c>
      <c r="CD188" t="n">
        <v>360.71</v>
      </c>
    </row>
    <row r="189">
      <c r="A189" t="inlineStr">
        <is>
          <t>11/07/2026</t>
        </is>
      </c>
      <c r="B189">
        <f>IF(ISNUMBER(A189), A189, DATE(RIGHT(A189,4), MID(A189,4,2), LEFT(A189,2)))</f>
        <v/>
      </c>
      <c r="C189" t="inlineStr">
        <is>
          <t>US DOLLAR</t>
        </is>
      </c>
      <c r="D189" t="n">
        <v>26060</v>
      </c>
      <c r="E189" t="n">
        <v>26090</v>
      </c>
      <c r="F189" t="n">
        <v>26470</v>
      </c>
      <c r="G189" t="inlineStr">
        <is>
          <t>EURO</t>
        </is>
      </c>
      <c r="H189" t="n">
        <v>29300.03</v>
      </c>
      <c r="I189" t="n">
        <v>29595.99</v>
      </c>
      <c r="J189" t="n">
        <v>30844.77</v>
      </c>
      <c r="K189" t="inlineStr">
        <is>
          <t>POUND STERLING</t>
        </is>
      </c>
      <c r="L189" t="n">
        <v>34365.18</v>
      </c>
      <c r="M189" t="n">
        <v>34712.31</v>
      </c>
      <c r="N189" t="n">
        <v>35824.02</v>
      </c>
      <c r="O189" t="inlineStr">
        <is>
          <t>YEN</t>
        </is>
      </c>
      <c r="P189" t="n">
        <v>156.96</v>
      </c>
      <c r="Q189" t="n">
        <v>158.55</v>
      </c>
      <c r="R189" t="n">
        <v>167.79</v>
      </c>
      <c r="S189" t="inlineStr">
        <is>
          <t>AUSTRALIAN DOLLAR</t>
        </is>
      </c>
      <c r="T189" t="n">
        <v>17786.93</v>
      </c>
      <c r="U189" t="n">
        <v>17966.59</v>
      </c>
      <c r="V189" t="n">
        <v>18542</v>
      </c>
      <c r="W189" t="inlineStr">
        <is>
          <t>CANADIAN DOLLAR</t>
        </is>
      </c>
      <c r="X189" t="n">
        <v>18084.59</v>
      </c>
      <c r="Y189" t="n">
        <v>18267.26</v>
      </c>
      <c r="Z189" t="n">
        <v>18852.3</v>
      </c>
      <c r="AA189" t="inlineStr">
        <is>
          <t>SWISS FRANC</t>
        </is>
      </c>
      <c r="AB189" t="n">
        <v>31825.55</v>
      </c>
      <c r="AC189" t="n">
        <v>32147.02</v>
      </c>
      <c r="AD189" t="n">
        <v>33176.58</v>
      </c>
      <c r="AE189" t="inlineStr">
        <is>
          <t>SINGAPORE DOLLAR</t>
        </is>
      </c>
      <c r="AF189" t="n">
        <v>19829.5</v>
      </c>
      <c r="AG189" t="n">
        <v>20029.8</v>
      </c>
      <c r="AH189" t="n">
        <v>20712.68</v>
      </c>
      <c r="AI189" t="inlineStr">
        <is>
          <t>YUAN RENMINBI</t>
        </is>
      </c>
      <c r="AJ189" t="n">
        <v>3779.15</v>
      </c>
      <c r="AK189" t="n">
        <v>3817.33</v>
      </c>
      <c r="AL189" t="n">
        <v>3939.58</v>
      </c>
      <c r="AM189" t="inlineStr">
        <is>
          <t>HONGKONG DOLLAR</t>
        </is>
      </c>
      <c r="AN189" t="n">
        <v>3257.69</v>
      </c>
      <c r="AO189" t="n">
        <v>3290.6</v>
      </c>
      <c r="AP189" t="n">
        <v>3416.43</v>
      </c>
      <c r="AQ189" t="inlineStr">
        <is>
          <t>THAILAND BAHT</t>
        </is>
      </c>
      <c r="AR189" t="n">
        <v>695.4</v>
      </c>
      <c r="AS189" t="n">
        <v>772.66</v>
      </c>
      <c r="AT189" t="n">
        <v>805.42</v>
      </c>
      <c r="AU189" t="inlineStr">
        <is>
          <t>KOREAN WON</t>
        </is>
      </c>
      <c r="AV189" t="n">
        <v>15.11</v>
      </c>
      <c r="AW189" t="n">
        <v>16.79</v>
      </c>
      <c r="AX189" t="n">
        <v>18.21</v>
      </c>
      <c r="AY189" t="inlineStr">
        <is>
          <t>MALAYSIAN RINGGIT</t>
        </is>
      </c>
      <c r="BA189" t="n">
        <v>6397.64</v>
      </c>
      <c r="BB189" t="n">
        <v>6536.82</v>
      </c>
      <c r="BC189" t="inlineStr">
        <is>
          <t>INDIAN RUPEE</t>
        </is>
      </c>
      <c r="BE189" t="n">
        <v>274.09</v>
      </c>
      <c r="BF189" t="n">
        <v>285.89</v>
      </c>
      <c r="BG189" t="inlineStr">
        <is>
          <t>KUWAITI DINAR</t>
        </is>
      </c>
      <c r="BI189" t="n">
        <v>84918.28</v>
      </c>
      <c r="BJ189" t="n">
        <v>89034.23</v>
      </c>
      <c r="BK189" t="inlineStr">
        <is>
          <t>SAUDI RIAL</t>
        </is>
      </c>
      <c r="BM189" t="n">
        <v>6960.22</v>
      </c>
      <c r="BN189" t="n">
        <v>7259.77</v>
      </c>
      <c r="BO189" t="inlineStr">
        <is>
          <t>NORWEGIAN KRONER</t>
        </is>
      </c>
      <c r="BQ189" t="n">
        <v>2640.52</v>
      </c>
      <c r="BR189" t="n">
        <v>2752.49</v>
      </c>
      <c r="BS189" t="inlineStr">
        <is>
          <t>SWEDISH KRONA</t>
        </is>
      </c>
      <c r="BU189" t="n">
        <v>2667.83</v>
      </c>
      <c r="BV189" t="n">
        <v>2780.95</v>
      </c>
      <c r="BW189" t="inlineStr">
        <is>
          <t>DANISH KRONE</t>
        </is>
      </c>
      <c r="BY189" t="n">
        <v>3948.94</v>
      </c>
      <c r="BZ189" t="n">
        <v>4099.95</v>
      </c>
      <c r="CA189" t="inlineStr">
        <is>
          <t>RUSSIAN RUBLE</t>
        </is>
      </c>
      <c r="CC189" t="n">
        <v>325.86</v>
      </c>
      <c r="CD189" t="n">
        <v>360.71</v>
      </c>
    </row>
    <row r="190">
      <c r="A190" t="inlineStr">
        <is>
          <t>12/07/2026</t>
        </is>
      </c>
      <c r="B190">
        <f>IF(ISNUMBER(A190), A190, DATE(RIGHT(A190,4), MID(A190,4,2), LEFT(A190,2)))</f>
        <v/>
      </c>
      <c r="C190" t="inlineStr">
        <is>
          <t>US DOLLAR</t>
        </is>
      </c>
      <c r="D190" t="n">
        <v>26060</v>
      </c>
      <c r="E190" t="n">
        <v>26090</v>
      </c>
      <c r="F190" t="n">
        <v>26470</v>
      </c>
      <c r="G190" t="inlineStr">
        <is>
          <t>EURO</t>
        </is>
      </c>
      <c r="H190" t="n">
        <v>29300.03</v>
      </c>
      <c r="I190" t="n">
        <v>29595.99</v>
      </c>
      <c r="J190" t="n">
        <v>30844.77</v>
      </c>
      <c r="K190" t="inlineStr">
        <is>
          <t>POUND STERLING</t>
        </is>
      </c>
      <c r="L190" t="n">
        <v>34365.18</v>
      </c>
      <c r="M190" t="n">
        <v>34712.31</v>
      </c>
      <c r="N190" t="n">
        <v>35824.02</v>
      </c>
      <c r="O190" t="inlineStr">
        <is>
          <t>YEN</t>
        </is>
      </c>
      <c r="P190" t="n">
        <v>156.96</v>
      </c>
      <c r="Q190" t="n">
        <v>158.55</v>
      </c>
      <c r="R190" t="n">
        <v>167.79</v>
      </c>
      <c r="S190" t="inlineStr">
        <is>
          <t>AUSTRALIAN DOLLAR</t>
        </is>
      </c>
      <c r="T190" t="n">
        <v>17786.93</v>
      </c>
      <c r="U190" t="n">
        <v>17966.59</v>
      </c>
      <c r="V190" t="n">
        <v>18542</v>
      </c>
      <c r="W190" t="inlineStr">
        <is>
          <t>CANADIAN DOLLAR</t>
        </is>
      </c>
      <c r="X190" t="n">
        <v>18084.59</v>
      </c>
      <c r="Y190" t="n">
        <v>18267.26</v>
      </c>
      <c r="Z190" t="n">
        <v>18852.3</v>
      </c>
      <c r="AA190" t="inlineStr">
        <is>
          <t>SWISS FRANC</t>
        </is>
      </c>
      <c r="AB190" t="n">
        <v>31825.55</v>
      </c>
      <c r="AC190" t="n">
        <v>32147.02</v>
      </c>
      <c r="AD190" t="n">
        <v>33176.58</v>
      </c>
      <c r="AE190" t="inlineStr">
        <is>
          <t>SINGAPORE DOLLAR</t>
        </is>
      </c>
      <c r="AF190" t="n">
        <v>19829.5</v>
      </c>
      <c r="AG190" t="n">
        <v>20029.8</v>
      </c>
      <c r="AH190" t="n">
        <v>20712.68</v>
      </c>
      <c r="AI190" t="inlineStr">
        <is>
          <t>YUAN RENMINBI</t>
        </is>
      </c>
      <c r="AJ190" t="n">
        <v>3779.15</v>
      </c>
      <c r="AK190" t="n">
        <v>3817.33</v>
      </c>
      <c r="AL190" t="n">
        <v>3939.58</v>
      </c>
      <c r="AM190" t="inlineStr">
        <is>
          <t>HONGKONG DOLLAR</t>
        </is>
      </c>
      <c r="AN190" t="n">
        <v>3257.69</v>
      </c>
      <c r="AO190" t="n">
        <v>3290.6</v>
      </c>
      <c r="AP190" t="n">
        <v>3416.43</v>
      </c>
      <c r="AQ190" t="inlineStr">
        <is>
          <t>THAILAND BAHT</t>
        </is>
      </c>
      <c r="AR190" t="n">
        <v>695.4</v>
      </c>
      <c r="AS190" t="n">
        <v>772.66</v>
      </c>
      <c r="AT190" t="n">
        <v>805.42</v>
      </c>
      <c r="AU190" t="inlineStr">
        <is>
          <t>KOREAN WON</t>
        </is>
      </c>
      <c r="AV190" t="n">
        <v>15.11</v>
      </c>
      <c r="AW190" t="n">
        <v>16.79</v>
      </c>
      <c r="AX190" t="n">
        <v>18.21</v>
      </c>
      <c r="AY190" t="inlineStr">
        <is>
          <t>MALAYSIAN RINGGIT</t>
        </is>
      </c>
      <c r="BA190" t="n">
        <v>6397.64</v>
      </c>
      <c r="BB190" t="n">
        <v>6536.82</v>
      </c>
      <c r="BC190" t="inlineStr">
        <is>
          <t>INDIAN RUPEE</t>
        </is>
      </c>
      <c r="BE190" t="n">
        <v>274.09</v>
      </c>
      <c r="BF190" t="n">
        <v>285.89</v>
      </c>
      <c r="BG190" t="inlineStr">
        <is>
          <t>KUWAITI DINAR</t>
        </is>
      </c>
      <c r="BI190" t="n">
        <v>84918.28</v>
      </c>
      <c r="BJ190" t="n">
        <v>89034.23</v>
      </c>
      <c r="BK190" t="inlineStr">
        <is>
          <t>SAUDI RIAL</t>
        </is>
      </c>
      <c r="BM190" t="n">
        <v>6960.22</v>
      </c>
      <c r="BN190" t="n">
        <v>7259.77</v>
      </c>
      <c r="BO190" t="inlineStr">
        <is>
          <t>NORWEGIAN KRONER</t>
        </is>
      </c>
      <c r="BQ190" t="n">
        <v>2640.52</v>
      </c>
      <c r="BR190" t="n">
        <v>2752.49</v>
      </c>
      <c r="BS190" t="inlineStr">
        <is>
          <t>SWEDISH KRONA</t>
        </is>
      </c>
      <c r="BU190" t="n">
        <v>2667.83</v>
      </c>
      <c r="BV190" t="n">
        <v>2780.95</v>
      </c>
      <c r="BW190" t="inlineStr">
        <is>
          <t>DANISH KRONE</t>
        </is>
      </c>
      <c r="BY190" t="n">
        <v>3948.94</v>
      </c>
      <c r="BZ190" t="n">
        <v>4099.95</v>
      </c>
      <c r="CA190" t="inlineStr">
        <is>
          <t>RUSSIAN RUBLE</t>
        </is>
      </c>
      <c r="CC190" t="n">
        <v>325.86</v>
      </c>
      <c r="CD190" t="n">
        <v>360.71</v>
      </c>
    </row>
    <row r="191">
      <c r="A191" t="inlineStr">
        <is>
          <t>13/07/2026</t>
        </is>
      </c>
      <c r="B191">
        <f>IF(ISNUMBER(A191), A191, DATE(RIGHT(A191,4), MID(A191,4,2), LEFT(A191,2)))</f>
        <v/>
      </c>
      <c r="C191" t="inlineStr">
        <is>
          <t>US DOLLAR</t>
        </is>
      </c>
      <c r="D191" t="n">
        <v>26050</v>
      </c>
      <c r="E191" t="n">
        <v>26080</v>
      </c>
      <c r="F191" t="n">
        <v>26460</v>
      </c>
      <c r="G191" t="inlineStr">
        <is>
          <t>EURO</t>
        </is>
      </c>
      <c r="H191" t="n">
        <v>29125.05</v>
      </c>
      <c r="I191" t="n">
        <v>29419.24</v>
      </c>
      <c r="J191" t="n">
        <v>30660.58</v>
      </c>
      <c r="K191" t="inlineStr">
        <is>
          <t>POUND STERLING</t>
        </is>
      </c>
      <c r="L191" t="n">
        <v>34236.91</v>
      </c>
      <c r="M191" t="n">
        <v>34582.73</v>
      </c>
      <c r="N191" t="n">
        <v>35690.32</v>
      </c>
      <c r="O191" t="inlineStr">
        <is>
          <t>YEN</t>
        </is>
      </c>
      <c r="P191" t="n">
        <v>156.45</v>
      </c>
      <c r="Q191" t="n">
        <v>158.03</v>
      </c>
      <c r="R191" t="n">
        <v>167.24</v>
      </c>
      <c r="S191" t="inlineStr">
        <is>
          <t>AUSTRALIAN DOLLAR</t>
        </is>
      </c>
      <c r="T191" t="n">
        <v>17728.96</v>
      </c>
      <c r="U191" t="n">
        <v>17908.04</v>
      </c>
      <c r="V191" t="n">
        <v>18481.58</v>
      </c>
      <c r="W191" t="inlineStr">
        <is>
          <t>CANADIAN DOLLAR</t>
        </is>
      </c>
      <c r="X191" t="n">
        <v>18080.25</v>
      </c>
      <c r="Y191" t="n">
        <v>18262.88</v>
      </c>
      <c r="Z191" t="n">
        <v>18847.79</v>
      </c>
      <c r="AA191" t="inlineStr">
        <is>
          <t>SWISS FRANC</t>
        </is>
      </c>
      <c r="AB191" t="n">
        <v>31620.91</v>
      </c>
      <c r="AC191" t="n">
        <v>31940.31</v>
      </c>
      <c r="AD191" t="n">
        <v>32963.26</v>
      </c>
      <c r="AE191" t="inlineStr">
        <is>
          <t>SINGAPORE DOLLAR</t>
        </is>
      </c>
      <c r="AF191" t="n">
        <v>19765.28</v>
      </c>
      <c r="AG191" t="n">
        <v>19964.93</v>
      </c>
      <c r="AH191" t="n">
        <v>20645.61</v>
      </c>
      <c r="AI191" t="inlineStr">
        <is>
          <t>YUAN RENMINBI</t>
        </is>
      </c>
      <c r="AJ191" t="n">
        <v>3774.2</v>
      </c>
      <c r="AK191" t="n">
        <v>3812.33</v>
      </c>
      <c r="AL191" t="n">
        <v>3934.43</v>
      </c>
      <c r="AM191" t="inlineStr">
        <is>
          <t>HONGKONG DOLLAR</t>
        </is>
      </c>
      <c r="AN191" t="n">
        <v>3256.75</v>
      </c>
      <c r="AO191" t="n">
        <v>3289.64</v>
      </c>
      <c r="AP191" t="n">
        <v>3415.44</v>
      </c>
      <c r="AQ191" t="inlineStr">
        <is>
          <t>THAILAND BAHT</t>
        </is>
      </c>
      <c r="AR191" t="n">
        <v>693.88</v>
      </c>
      <c r="AS191" t="n">
        <v>770.98</v>
      </c>
      <c r="AT191" t="n">
        <v>803.67</v>
      </c>
      <c r="AU191" t="inlineStr">
        <is>
          <t>KOREAN WON</t>
        </is>
      </c>
      <c r="AV191" t="n">
        <v>15.08</v>
      </c>
      <c r="AW191" t="n">
        <v>16.75</v>
      </c>
      <c r="AX191" t="n">
        <v>18.18</v>
      </c>
      <c r="AY191" t="inlineStr">
        <is>
          <t>MALAYSIAN RINGGIT</t>
        </is>
      </c>
      <c r="BA191" t="n">
        <v>6373.25</v>
      </c>
      <c r="BB191" t="n">
        <v>6511.91</v>
      </c>
      <c r="BC191" t="inlineStr">
        <is>
          <t>INDIAN RUPEE</t>
        </is>
      </c>
      <c r="BE191" t="n">
        <v>272.82</v>
      </c>
      <c r="BF191" t="n">
        <v>284.56</v>
      </c>
      <c r="BG191" t="inlineStr">
        <is>
          <t>KUWAITI DINAR</t>
        </is>
      </c>
      <c r="BI191" t="n">
        <v>84885.94</v>
      </c>
      <c r="BJ191" t="n">
        <v>89000.38</v>
      </c>
      <c r="BK191" t="inlineStr">
        <is>
          <t>SAUDI RIAL</t>
        </is>
      </c>
      <c r="BM191" t="n">
        <v>6957.2</v>
      </c>
      <c r="BN191" t="n">
        <v>7256.62</v>
      </c>
      <c r="BO191" t="inlineStr">
        <is>
          <t>NORWEGIAN KRONER</t>
        </is>
      </c>
      <c r="BQ191" t="n">
        <v>2629.51</v>
      </c>
      <c r="BR191" t="n">
        <v>2741.01</v>
      </c>
      <c r="BS191" t="inlineStr">
        <is>
          <t>SWEDISH KRONA</t>
        </is>
      </c>
      <c r="BU191" t="n">
        <v>2653.29</v>
      </c>
      <c r="BV191" t="n">
        <v>2765.79</v>
      </c>
      <c r="BW191" t="inlineStr">
        <is>
          <t>DANISH KRONE</t>
        </is>
      </c>
      <c r="BY191" t="n">
        <v>3932.27</v>
      </c>
      <c r="BZ191" t="n">
        <v>4082.64</v>
      </c>
      <c r="CA191" t="inlineStr">
        <is>
          <t>RUSSIAN RUBLE</t>
        </is>
      </c>
      <c r="CC191" t="n">
        <v>324.89</v>
      </c>
      <c r="CD191" t="n">
        <v>359.63</v>
      </c>
    </row>
    <row r="192">
      <c r="A192" t="inlineStr">
        <is>
          <t>14/07/2026</t>
        </is>
      </c>
      <c r="B192">
        <f>IF(ISNUMBER(A192), A192, DATE(RIGHT(A192,4), MID(A192,4,2), LEFT(A192,2)))</f>
        <v/>
      </c>
      <c r="C192" t="inlineStr">
        <is>
          <t>US DOLLAR</t>
        </is>
      </c>
      <c r="D192" t="n">
        <v>26040</v>
      </c>
      <c r="E192" t="n">
        <v>26070</v>
      </c>
      <c r="F192" t="n">
        <v>26450</v>
      </c>
      <c r="G192" t="inlineStr">
        <is>
          <t>EURO</t>
        </is>
      </c>
      <c r="H192" t="n">
        <v>29134.42</v>
      </c>
      <c r="I192" t="n">
        <v>29428.71</v>
      </c>
      <c r="J192" t="n">
        <v>30670.47</v>
      </c>
      <c r="K192" t="inlineStr">
        <is>
          <t>POUND STERLING</t>
        </is>
      </c>
      <c r="L192" t="n">
        <v>34162.45</v>
      </c>
      <c r="M192" t="n">
        <v>34507.53</v>
      </c>
      <c r="N192" t="n">
        <v>35612.72</v>
      </c>
      <c r="O192" t="inlineStr">
        <is>
          <t>YEN</t>
        </is>
      </c>
      <c r="P192" t="n">
        <v>156.11</v>
      </c>
      <c r="Q192" t="n">
        <v>157.68</v>
      </c>
      <c r="R192" t="n">
        <v>166.88</v>
      </c>
      <c r="S192" t="inlineStr">
        <is>
          <t>AUSTRALIAN DOLLAR</t>
        </is>
      </c>
      <c r="T192" t="n">
        <v>17704.29</v>
      </c>
      <c r="U192" t="n">
        <v>17883.12</v>
      </c>
      <c r="V192" t="n">
        <v>18455.88</v>
      </c>
      <c r="W192" t="inlineStr">
        <is>
          <t>CANADIAN DOLLAR</t>
        </is>
      </c>
      <c r="X192" t="n">
        <v>18095.09</v>
      </c>
      <c r="Y192" t="n">
        <v>18277.87</v>
      </c>
      <c r="Z192" t="n">
        <v>18863.27</v>
      </c>
      <c r="AA192" t="inlineStr">
        <is>
          <t>SWISS FRANC</t>
        </is>
      </c>
      <c r="AB192" t="n">
        <v>31438.02</v>
      </c>
      <c r="AC192" t="n">
        <v>31755.58</v>
      </c>
      <c r="AD192" t="n">
        <v>32772.64</v>
      </c>
      <c r="AE192" t="inlineStr">
        <is>
          <t>SINGAPORE DOLLAR</t>
        </is>
      </c>
      <c r="AF192" t="n">
        <v>19762.33</v>
      </c>
      <c r="AG192" t="n">
        <v>19961.95</v>
      </c>
      <c r="AH192" t="n">
        <v>20642.54</v>
      </c>
      <c r="AI192" t="inlineStr">
        <is>
          <t>YUAN RENMINBI</t>
        </is>
      </c>
      <c r="AJ192" t="n">
        <v>3775.16</v>
      </c>
      <c r="AK192" t="n">
        <v>3813.29</v>
      </c>
      <c r="AL192" t="n">
        <v>3935.42</v>
      </c>
      <c r="AM192" t="inlineStr">
        <is>
          <t>HONGKONG DOLLAR</t>
        </is>
      </c>
      <c r="AN192" t="n">
        <v>3256</v>
      </c>
      <c r="AO192" t="n">
        <v>3288.89</v>
      </c>
      <c r="AP192" t="n">
        <v>3414.66</v>
      </c>
      <c r="AQ192" t="inlineStr">
        <is>
          <t>THAILAND BAHT</t>
        </is>
      </c>
      <c r="AR192" t="n">
        <v>691.55</v>
      </c>
      <c r="AS192" t="n">
        <v>768.38</v>
      </c>
      <c r="AT192" t="n">
        <v>800.97</v>
      </c>
      <c r="AU192" t="inlineStr">
        <is>
          <t>KOREAN WON</t>
        </is>
      </c>
      <c r="AV192" t="n">
        <v>15.18</v>
      </c>
      <c r="AW192" t="n">
        <v>16.87</v>
      </c>
      <c r="AX192" t="n">
        <v>18.3</v>
      </c>
      <c r="AY192" t="inlineStr">
        <is>
          <t>MALAYSIAN RINGGIT</t>
        </is>
      </c>
      <c r="BA192" t="n">
        <v>6375.51</v>
      </c>
      <c r="BB192" t="n">
        <v>6514.22</v>
      </c>
      <c r="BC192" t="inlineStr">
        <is>
          <t>INDIAN RUPEE</t>
        </is>
      </c>
      <c r="BE192" t="n">
        <v>273.05</v>
      </c>
      <c r="BF192" t="n">
        <v>284.81</v>
      </c>
      <c r="BG192" t="inlineStr">
        <is>
          <t>KUWAITI DINAR</t>
        </is>
      </c>
      <c r="BI192" t="n">
        <v>84853.60000000001</v>
      </c>
      <c r="BJ192" t="n">
        <v>88966.53</v>
      </c>
      <c r="BK192" t="inlineStr">
        <is>
          <t>SAUDI RIAL</t>
        </is>
      </c>
      <c r="BM192" t="n">
        <v>6953.62</v>
      </c>
      <c r="BN192" t="n">
        <v>7252.89</v>
      </c>
      <c r="BO192" t="inlineStr">
        <is>
          <t>NORWEGIAN KRONER</t>
        </is>
      </c>
      <c r="BQ192" t="n">
        <v>2632.54</v>
      </c>
      <c r="BR192" t="n">
        <v>2744.17</v>
      </c>
      <c r="BS192" t="inlineStr">
        <is>
          <t>SWEDISH KRONA</t>
        </is>
      </c>
      <c r="BU192" t="n">
        <v>2648.67</v>
      </c>
      <c r="BV192" t="n">
        <v>2760.98</v>
      </c>
      <c r="BW192" t="inlineStr">
        <is>
          <t>DANISH KRONE</t>
        </is>
      </c>
      <c r="BY192" t="n">
        <v>3926.82</v>
      </c>
      <c r="BZ192" t="n">
        <v>4076.98</v>
      </c>
      <c r="CA192" t="inlineStr">
        <is>
          <t>RUSSIAN RUBLE</t>
        </is>
      </c>
      <c r="CC192" t="n">
        <v>326.05</v>
      </c>
      <c r="CD192" t="n">
        <v>360.92</v>
      </c>
    </row>
    <row r="193">
      <c r="A193" t="inlineStr">
        <is>
          <t>15/07/2026</t>
        </is>
      </c>
      <c r="B193">
        <f>IF(ISNUMBER(A193), A193, DATE(RIGHT(A193,4), MID(A193,4,2), LEFT(A193,2)))</f>
        <v/>
      </c>
      <c r="C193" t="inlineStr">
        <is>
          <t>US DOLLAR</t>
        </is>
      </c>
      <c r="D193" t="n">
        <v>26040</v>
      </c>
      <c r="E193" t="n">
        <v>26070</v>
      </c>
      <c r="F193" t="n">
        <v>26450</v>
      </c>
      <c r="G193" t="inlineStr">
        <is>
          <t>EURO</t>
        </is>
      </c>
      <c r="H193" t="n">
        <v>29254.69</v>
      </c>
      <c r="I193" t="n">
        <v>29550.19</v>
      </c>
      <c r="J193" t="n">
        <v>30797.07</v>
      </c>
      <c r="K193" t="inlineStr">
        <is>
          <t>POUND STERLING</t>
        </is>
      </c>
      <c r="L193" t="n">
        <v>34285.28</v>
      </c>
      <c r="M193" t="n">
        <v>34631.59</v>
      </c>
      <c r="N193" t="n">
        <v>35740.76</v>
      </c>
      <c r="O193" t="inlineStr">
        <is>
          <t>YEN</t>
        </is>
      </c>
      <c r="P193" t="n">
        <v>156.37</v>
      </c>
      <c r="Q193" t="n">
        <v>157.95</v>
      </c>
      <c r="R193" t="n">
        <v>167.16</v>
      </c>
      <c r="S193" t="inlineStr">
        <is>
          <t>AUSTRALIAN DOLLAR</t>
        </is>
      </c>
      <c r="T193" t="n">
        <v>17865.5</v>
      </c>
      <c r="U193" t="n">
        <v>18045.96</v>
      </c>
      <c r="V193" t="n">
        <v>18623.93</v>
      </c>
      <c r="W193" t="inlineStr">
        <is>
          <t>CANADIAN DOLLAR</t>
        </is>
      </c>
      <c r="X193" t="n">
        <v>18220.04</v>
      </c>
      <c r="Y193" t="n">
        <v>18404.08</v>
      </c>
      <c r="Z193" t="n">
        <v>18993.52</v>
      </c>
      <c r="AA193" t="inlineStr">
        <is>
          <t>SWISS FRANC</t>
        </is>
      </c>
      <c r="AB193" t="n">
        <v>31659.69</v>
      </c>
      <c r="AC193" t="n">
        <v>31979.49</v>
      </c>
      <c r="AD193" t="n">
        <v>33003.71</v>
      </c>
      <c r="AE193" t="inlineStr">
        <is>
          <t>SINGAPORE DOLLAR</t>
        </is>
      </c>
      <c r="AF193" t="n">
        <v>19823.62</v>
      </c>
      <c r="AG193" t="n">
        <v>20023.86</v>
      </c>
      <c r="AH193" t="n">
        <v>20706.56</v>
      </c>
      <c r="AI193" t="inlineStr">
        <is>
          <t>YUAN RENMINBI</t>
        </is>
      </c>
      <c r="AJ193" t="n">
        <v>3780.46</v>
      </c>
      <c r="AK193" t="n">
        <v>3818.64</v>
      </c>
      <c r="AL193" t="n">
        <v>3940.95</v>
      </c>
      <c r="AM193" t="inlineStr">
        <is>
          <t>HONGKONG DOLLAR</t>
        </is>
      </c>
      <c r="AN193" t="n">
        <v>3256</v>
      </c>
      <c r="AO193" t="n">
        <v>3288.89</v>
      </c>
      <c r="AP193" t="n">
        <v>3414.66</v>
      </c>
      <c r="AQ193" t="inlineStr">
        <is>
          <t>THAILAND BAHT</t>
        </is>
      </c>
      <c r="AR193" t="n">
        <v>692.58</v>
      </c>
      <c r="AS193" t="n">
        <v>769.53</v>
      </c>
      <c r="AT193" t="n">
        <v>802.16</v>
      </c>
      <c r="AU193" t="inlineStr">
        <is>
          <t>KOREAN WON</t>
        </is>
      </c>
      <c r="AV193" t="n">
        <v>15.25</v>
      </c>
      <c r="AW193" t="n">
        <v>16.95</v>
      </c>
      <c r="AX193" t="n">
        <v>18.39</v>
      </c>
      <c r="AY193" t="inlineStr">
        <is>
          <t>MALAYSIAN RINGGIT</t>
        </is>
      </c>
      <c r="BA193" t="n">
        <v>6392.77</v>
      </c>
      <c r="BB193" t="n">
        <v>6531.85</v>
      </c>
      <c r="BC193" t="inlineStr">
        <is>
          <t>INDIAN RUPEE</t>
        </is>
      </c>
      <c r="BE193" t="n">
        <v>271.41</v>
      </c>
      <c r="BF193" t="n">
        <v>283.09</v>
      </c>
      <c r="BG193" t="inlineStr">
        <is>
          <t>KUWAITI DINAR</t>
        </is>
      </c>
      <c r="BI193" t="n">
        <v>84853.60000000001</v>
      </c>
      <c r="BJ193" t="n">
        <v>88966.53</v>
      </c>
      <c r="BK193" t="inlineStr">
        <is>
          <t>SAUDI RIAL</t>
        </is>
      </c>
      <c r="BM193" t="n">
        <v>6951.58</v>
      </c>
      <c r="BN193" t="n">
        <v>7250.77</v>
      </c>
      <c r="BO193" t="inlineStr">
        <is>
          <t>NORWEGIAN KRONER</t>
        </is>
      </c>
      <c r="BQ193" t="n">
        <v>2661.03</v>
      </c>
      <c r="BR193" t="n">
        <v>2773.86</v>
      </c>
      <c r="BS193" t="inlineStr">
        <is>
          <t>SWEDISH KRONA</t>
        </is>
      </c>
      <c r="BU193" t="n">
        <v>2667.93</v>
      </c>
      <c r="BV193" t="n">
        <v>2781.06</v>
      </c>
      <c r="BW193" t="inlineStr">
        <is>
          <t>DANISH KRONE</t>
        </is>
      </c>
      <c r="BY193" t="n">
        <v>3942.43</v>
      </c>
      <c r="BZ193" t="n">
        <v>4093.19</v>
      </c>
      <c r="CA193" t="inlineStr">
        <is>
          <t>RUSSIAN RUBLE</t>
        </is>
      </c>
      <c r="CC193" t="n">
        <v>322.48</v>
      </c>
      <c r="CD193" t="n">
        <v>356.96</v>
      </c>
    </row>
    <row r="194">
      <c r="A194" t="inlineStr">
        <is>
          <t>16/07/2026</t>
        </is>
      </c>
      <c r="B194">
        <f>IF(ISNUMBER(A194), A194, DATE(RIGHT(A194,4), MID(A194,4,2), LEFT(A194,2)))</f>
        <v/>
      </c>
      <c r="C194" t="inlineStr">
        <is>
          <t>US DOLLAR</t>
        </is>
      </c>
      <c r="D194" t="n">
        <v>26040</v>
      </c>
      <c r="E194" t="n">
        <v>26070</v>
      </c>
      <c r="F194" t="n">
        <v>26450</v>
      </c>
      <c r="G194" t="inlineStr">
        <is>
          <t>EURO</t>
        </is>
      </c>
      <c r="H194" t="n">
        <v>29349.36</v>
      </c>
      <c r="I194" t="n">
        <v>29645.82</v>
      </c>
      <c r="J194" t="n">
        <v>30896.74</v>
      </c>
      <c r="K194" t="inlineStr">
        <is>
          <t>POUND STERLING</t>
        </is>
      </c>
      <c r="L194" t="n">
        <v>34612.8</v>
      </c>
      <c r="M194" t="n">
        <v>34962.43</v>
      </c>
      <c r="N194" t="n">
        <v>36082.19</v>
      </c>
      <c r="O194" t="inlineStr">
        <is>
          <t>YEN</t>
        </is>
      </c>
      <c r="P194" t="n">
        <v>156.37</v>
      </c>
      <c r="Q194" t="n">
        <v>157.95</v>
      </c>
      <c r="R194" t="n">
        <v>167.16</v>
      </c>
      <c r="S194" t="inlineStr">
        <is>
          <t>AUSTRALIAN DOLLAR</t>
        </is>
      </c>
      <c r="T194" t="n">
        <v>17903.88</v>
      </c>
      <c r="U194" t="n">
        <v>18084.73</v>
      </c>
      <c r="V194" t="n">
        <v>18663.94</v>
      </c>
      <c r="W194" t="inlineStr">
        <is>
          <t>CANADIAN DOLLAR</t>
        </is>
      </c>
      <c r="X194" t="n">
        <v>18225.23</v>
      </c>
      <c r="Y194" t="n">
        <v>18409.33</v>
      </c>
      <c r="Z194" t="n">
        <v>18998.93</v>
      </c>
      <c r="AA194" t="inlineStr">
        <is>
          <t>SWISS FRANC</t>
        </is>
      </c>
      <c r="AB194" t="n">
        <v>31793.41</v>
      </c>
      <c r="AC194" t="n">
        <v>32114.55</v>
      </c>
      <c r="AD194" t="n">
        <v>33143.11</v>
      </c>
      <c r="AE194" t="inlineStr">
        <is>
          <t>SINGAPORE DOLLAR</t>
        </is>
      </c>
      <c r="AF194" t="n">
        <v>19842.08</v>
      </c>
      <c r="AG194" t="n">
        <v>20042.5</v>
      </c>
      <c r="AH194" t="n">
        <v>20725.84</v>
      </c>
      <c r="AI194" t="inlineStr">
        <is>
          <t>YUAN RENMINBI</t>
        </is>
      </c>
      <c r="AJ194" t="n">
        <v>3781.46</v>
      </c>
      <c r="AK194" t="n">
        <v>3819.66</v>
      </c>
      <c r="AL194" t="n">
        <v>3941.99</v>
      </c>
      <c r="AM194" t="inlineStr">
        <is>
          <t>HONGKONG DOLLAR</t>
        </is>
      </c>
      <c r="AN194" t="n">
        <v>3255.75</v>
      </c>
      <c r="AO194" t="n">
        <v>3288.64</v>
      </c>
      <c r="AP194" t="n">
        <v>3414.4</v>
      </c>
      <c r="AQ194" t="inlineStr">
        <is>
          <t>THAILAND BAHT</t>
        </is>
      </c>
      <c r="AR194" t="n">
        <v>689.49</v>
      </c>
      <c r="AS194" t="n">
        <v>766.1</v>
      </c>
      <c r="AT194" t="n">
        <v>798.58</v>
      </c>
      <c r="AU194" t="inlineStr">
        <is>
          <t>KOREAN WON</t>
        </is>
      </c>
      <c r="AV194" t="n">
        <v>15.28</v>
      </c>
      <c r="AW194" t="n">
        <v>16.97</v>
      </c>
      <c r="AX194" t="n">
        <v>18.42</v>
      </c>
      <c r="AY194" t="inlineStr">
        <is>
          <t>MALAYSIAN RINGGIT</t>
        </is>
      </c>
      <c r="BA194" t="n">
        <v>6383.34</v>
      </c>
      <c r="BB194" t="n">
        <v>6522.22</v>
      </c>
      <c r="BC194" t="inlineStr">
        <is>
          <t>INDIAN RUPEE</t>
        </is>
      </c>
      <c r="BE194" t="n">
        <v>271.27</v>
      </c>
      <c r="BF194" t="n">
        <v>282.94</v>
      </c>
      <c r="BG194" t="inlineStr">
        <is>
          <t>KUWAITI DINAR</t>
        </is>
      </c>
      <c r="BI194" t="n">
        <v>84881.19</v>
      </c>
      <c r="BJ194" t="n">
        <v>88995.45</v>
      </c>
      <c r="BK194" t="inlineStr">
        <is>
          <t>SAUDI RIAL</t>
        </is>
      </c>
      <c r="BM194" t="n">
        <v>6953.62</v>
      </c>
      <c r="BN194" t="n">
        <v>7252.89</v>
      </c>
      <c r="BO194" t="inlineStr">
        <is>
          <t>NORWEGIAN KRONER</t>
        </is>
      </c>
      <c r="BQ194" t="n">
        <v>2662.9</v>
      </c>
      <c r="BR194" t="n">
        <v>2775.82</v>
      </c>
      <c r="BS194" t="inlineStr">
        <is>
          <t>SWEDISH KRONA</t>
        </is>
      </c>
      <c r="BU194" t="n">
        <v>2681.25</v>
      </c>
      <c r="BV194" t="n">
        <v>2794.94</v>
      </c>
      <c r="BW194" t="inlineStr">
        <is>
          <t>DANISH KRONE</t>
        </is>
      </c>
      <c r="BY194" t="n">
        <v>3955.44</v>
      </c>
      <c r="BZ194" t="n">
        <v>4106.7</v>
      </c>
      <c r="CA194" t="inlineStr">
        <is>
          <t>RUSSIAN RUBLE</t>
        </is>
      </c>
      <c r="CC194" t="n">
        <v>322.48</v>
      </c>
      <c r="CD194" t="n">
        <v>356.96</v>
      </c>
    </row>
    <row r="195">
      <c r="A195" t="inlineStr">
        <is>
          <t>17/07/2026</t>
        </is>
      </c>
      <c r="B195">
        <f>IF(ISNUMBER(A195), A195, DATE(RIGHT(A195,4), MID(A195,4,2), LEFT(A195,2)))</f>
        <v/>
      </c>
      <c r="C195" t="inlineStr">
        <is>
          <t>US DOLLAR</t>
        </is>
      </c>
      <c r="D195" t="n">
        <v>26080</v>
      </c>
      <c r="E195" t="n">
        <v>26110</v>
      </c>
      <c r="F195" t="n">
        <v>26490</v>
      </c>
      <c r="G195" t="inlineStr">
        <is>
          <t>EURO</t>
        </is>
      </c>
      <c r="H195" t="n">
        <v>29314.66</v>
      </c>
      <c r="I195" t="n">
        <v>29610.77</v>
      </c>
      <c r="J195" t="n">
        <v>30860.13</v>
      </c>
      <c r="K195" t="inlineStr">
        <is>
          <t>POUND STERLING</t>
        </is>
      </c>
      <c r="L195" t="n">
        <v>34452.86</v>
      </c>
      <c r="M195" t="n">
        <v>34800.87</v>
      </c>
      <c r="N195" t="n">
        <v>35915.38</v>
      </c>
      <c r="O195" t="inlineStr">
        <is>
          <t>YEN</t>
        </is>
      </c>
      <c r="P195" t="n">
        <v>156.34</v>
      </c>
      <c r="Q195" t="n">
        <v>157.91</v>
      </c>
      <c r="R195" t="n">
        <v>167.12</v>
      </c>
      <c r="S195" t="inlineStr">
        <is>
          <t>AUSTRALIAN DOLLAR</t>
        </is>
      </c>
      <c r="T195" t="n">
        <v>17869.67</v>
      </c>
      <c r="U195" t="n">
        <v>18050.17</v>
      </c>
      <c r="V195" t="n">
        <v>18628.23</v>
      </c>
      <c r="W195" t="inlineStr">
        <is>
          <t>CANADIAN DOLLAR</t>
        </is>
      </c>
      <c r="X195" t="n">
        <v>18267.32</v>
      </c>
      <c r="Y195" t="n">
        <v>18451.84</v>
      </c>
      <c r="Z195" t="n">
        <v>19042.77</v>
      </c>
      <c r="AA195" t="inlineStr">
        <is>
          <t>SWISS FRANC</t>
        </is>
      </c>
      <c r="AB195" t="n">
        <v>31766.9</v>
      </c>
      <c r="AC195" t="n">
        <v>32087.77</v>
      </c>
      <c r="AD195" t="n">
        <v>33115.39</v>
      </c>
      <c r="AE195" t="inlineStr">
        <is>
          <t>SINGAPORE DOLLAR</t>
        </is>
      </c>
      <c r="AF195" t="n">
        <v>19846.14</v>
      </c>
      <c r="AG195" t="n">
        <v>20046.61</v>
      </c>
      <c r="AH195" t="n">
        <v>20730.04</v>
      </c>
      <c r="AI195" t="inlineStr">
        <is>
          <t>YUAN RENMINBI</t>
        </is>
      </c>
      <c r="AJ195" t="n">
        <v>3782.14</v>
      </c>
      <c r="AK195" t="n">
        <v>3820.35</v>
      </c>
      <c r="AL195" t="n">
        <v>3942.69</v>
      </c>
      <c r="AM195" t="inlineStr">
        <is>
          <t>HONGKONG DOLLAR</t>
        </is>
      </c>
      <c r="AN195" t="n">
        <v>3259.59</v>
      </c>
      <c r="AO195" t="n">
        <v>3292.52</v>
      </c>
      <c r="AP195" t="n">
        <v>3418.42</v>
      </c>
      <c r="AQ195" t="inlineStr">
        <is>
          <t>THAILAND BAHT</t>
        </is>
      </c>
      <c r="AR195" t="n">
        <v>689.92</v>
      </c>
      <c r="AS195" t="n">
        <v>766.58</v>
      </c>
      <c r="AT195" t="n">
        <v>799.08</v>
      </c>
      <c r="AU195" t="inlineStr">
        <is>
          <t>KOREAN WON</t>
        </is>
      </c>
      <c r="AV195" t="n">
        <v>15.32</v>
      </c>
      <c r="AW195" t="n">
        <v>17.02</v>
      </c>
      <c r="AX195" t="n">
        <v>18.47</v>
      </c>
      <c r="AY195" t="inlineStr">
        <is>
          <t>MALAYSIAN RINGGIT</t>
        </is>
      </c>
      <c r="BA195" t="n">
        <v>6377.4</v>
      </c>
      <c r="BB195" t="n">
        <v>6516.14</v>
      </c>
      <c r="BC195" t="inlineStr">
        <is>
          <t>INDIAN RUPEE</t>
        </is>
      </c>
      <c r="BE195" t="n">
        <v>271.37</v>
      </c>
      <c r="BF195" t="n">
        <v>283.05</v>
      </c>
      <c r="BG195" t="inlineStr">
        <is>
          <t>KUWAITI DINAR</t>
        </is>
      </c>
      <c r="BI195" t="n">
        <v>85065.89</v>
      </c>
      <c r="BJ195" t="n">
        <v>89188.89999999999</v>
      </c>
      <c r="BK195" t="inlineStr">
        <is>
          <t>SAUDI RIAL</t>
        </is>
      </c>
      <c r="BM195" t="n">
        <v>6963.48</v>
      </c>
      <c r="BN195" t="n">
        <v>7263.16</v>
      </c>
      <c r="BO195" t="inlineStr">
        <is>
          <t>NORWEGIAN KRONER</t>
        </is>
      </c>
      <c r="BQ195" t="n">
        <v>2665.28</v>
      </c>
      <c r="BR195" t="n">
        <v>2778.29</v>
      </c>
      <c r="BS195" t="inlineStr">
        <is>
          <t>SWEDISH KRONA</t>
        </is>
      </c>
      <c r="BU195" t="n">
        <v>2668.29</v>
      </c>
      <c r="BV195" t="n">
        <v>2781.42</v>
      </c>
      <c r="BW195" t="inlineStr">
        <is>
          <t>DANISH KRONE</t>
        </is>
      </c>
      <c r="BY195" t="n">
        <v>3951.16</v>
      </c>
      <c r="BZ195" t="n">
        <v>4102.25</v>
      </c>
      <c r="CA195" t="inlineStr">
        <is>
          <t>RUSSIAN RUBLE</t>
        </is>
      </c>
      <c r="CC195" t="n">
        <v>318.84</v>
      </c>
      <c r="CD195" t="n">
        <v>352.93</v>
      </c>
    </row>
    <row r="196">
      <c r="A196" t="inlineStr">
        <is>
          <t>18/07/2026</t>
        </is>
      </c>
      <c r="B196">
        <f>IF(ISNUMBER(A196), A196, DATE(RIGHT(A196,4), MID(A196,4,2), LEFT(A196,2)))</f>
        <v/>
      </c>
      <c r="C196" t="inlineStr">
        <is>
          <t>US DOLLAR</t>
        </is>
      </c>
      <c r="D196" t="n">
        <v>26080</v>
      </c>
      <c r="E196" t="n">
        <v>26110</v>
      </c>
      <c r="F196" t="n">
        <v>26490</v>
      </c>
      <c r="G196" t="inlineStr">
        <is>
          <t>EURO</t>
        </is>
      </c>
      <c r="H196" t="n">
        <v>29314.66</v>
      </c>
      <c r="I196" t="n">
        <v>29610.77</v>
      </c>
      <c r="J196" t="n">
        <v>30860.13</v>
      </c>
      <c r="K196" t="inlineStr">
        <is>
          <t>POUND STERLING</t>
        </is>
      </c>
      <c r="L196" t="n">
        <v>34452.86</v>
      </c>
      <c r="M196" t="n">
        <v>34800.87</v>
      </c>
      <c r="N196" t="n">
        <v>35915.38</v>
      </c>
      <c r="O196" t="inlineStr">
        <is>
          <t>YEN</t>
        </is>
      </c>
      <c r="P196" t="n">
        <v>156.34</v>
      </c>
      <c r="Q196" t="n">
        <v>157.91</v>
      </c>
      <c r="R196" t="n">
        <v>167.12</v>
      </c>
      <c r="S196" t="inlineStr">
        <is>
          <t>AUSTRALIAN DOLLAR</t>
        </is>
      </c>
      <c r="T196" t="n">
        <v>17869.67</v>
      </c>
      <c r="U196" t="n">
        <v>18050.17</v>
      </c>
      <c r="V196" t="n">
        <v>18628.23</v>
      </c>
      <c r="W196" t="inlineStr">
        <is>
          <t>CANADIAN DOLLAR</t>
        </is>
      </c>
      <c r="X196" t="n">
        <v>18267.32</v>
      </c>
      <c r="Y196" t="n">
        <v>18451.84</v>
      </c>
      <c r="Z196" t="n">
        <v>19042.77</v>
      </c>
      <c r="AA196" t="inlineStr">
        <is>
          <t>SWISS FRANC</t>
        </is>
      </c>
      <c r="AB196" t="n">
        <v>31766.9</v>
      </c>
      <c r="AC196" t="n">
        <v>32087.77</v>
      </c>
      <c r="AD196" t="n">
        <v>33115.39</v>
      </c>
      <c r="AE196" t="inlineStr">
        <is>
          <t>SINGAPORE DOLLAR</t>
        </is>
      </c>
      <c r="AF196" t="n">
        <v>19846.14</v>
      </c>
      <c r="AG196" t="n">
        <v>20046.61</v>
      </c>
      <c r="AH196" t="n">
        <v>20730.04</v>
      </c>
      <c r="AI196" t="inlineStr">
        <is>
          <t>YUAN RENMINBI</t>
        </is>
      </c>
      <c r="AJ196" t="n">
        <v>3782.14</v>
      </c>
      <c r="AK196" t="n">
        <v>3820.35</v>
      </c>
      <c r="AL196" t="n">
        <v>3942.69</v>
      </c>
      <c r="AM196" t="inlineStr">
        <is>
          <t>HONGKONG DOLLAR</t>
        </is>
      </c>
      <c r="AN196" t="n">
        <v>3259.59</v>
      </c>
      <c r="AO196" t="n">
        <v>3292.52</v>
      </c>
      <c r="AP196" t="n">
        <v>3418.42</v>
      </c>
      <c r="AQ196" t="inlineStr">
        <is>
          <t>THAILAND BAHT</t>
        </is>
      </c>
      <c r="AR196" t="n">
        <v>689.92</v>
      </c>
      <c r="AS196" t="n">
        <v>766.58</v>
      </c>
      <c r="AT196" t="n">
        <v>799.08</v>
      </c>
      <c r="AU196" t="inlineStr">
        <is>
          <t>KOREAN WON</t>
        </is>
      </c>
      <c r="AV196" t="n">
        <v>15.32</v>
      </c>
      <c r="AW196" t="n">
        <v>17.02</v>
      </c>
      <c r="AX196" t="n">
        <v>18.47</v>
      </c>
      <c r="AY196" t="inlineStr">
        <is>
          <t>MALAYSIAN RINGGIT</t>
        </is>
      </c>
      <c r="BA196" t="n">
        <v>6377.4</v>
      </c>
      <c r="BB196" t="n">
        <v>6516.14</v>
      </c>
      <c r="BC196" t="inlineStr">
        <is>
          <t>INDIAN RUPEE</t>
        </is>
      </c>
      <c r="BE196" t="n">
        <v>271.37</v>
      </c>
      <c r="BF196" t="n">
        <v>283.05</v>
      </c>
      <c r="BG196" t="inlineStr">
        <is>
          <t>KUWAITI DINAR</t>
        </is>
      </c>
      <c r="BI196" t="n">
        <v>85065.89</v>
      </c>
      <c r="BJ196" t="n">
        <v>89188.89999999999</v>
      </c>
      <c r="BK196" t="inlineStr">
        <is>
          <t>SAUDI RIAL</t>
        </is>
      </c>
      <c r="BM196" t="n">
        <v>6963.48</v>
      </c>
      <c r="BN196" t="n">
        <v>7263.16</v>
      </c>
      <c r="BO196" t="inlineStr">
        <is>
          <t>NORWEGIAN KRONER</t>
        </is>
      </c>
      <c r="BQ196" t="n">
        <v>2665.28</v>
      </c>
      <c r="BR196" t="n">
        <v>2778.29</v>
      </c>
      <c r="BS196" t="inlineStr">
        <is>
          <t>SWEDISH KRONA</t>
        </is>
      </c>
      <c r="BU196" t="n">
        <v>2668.29</v>
      </c>
      <c r="BV196" t="n">
        <v>2781.42</v>
      </c>
      <c r="BW196" t="inlineStr">
        <is>
          <t>DANISH KRONE</t>
        </is>
      </c>
      <c r="BY196" t="n">
        <v>3951.16</v>
      </c>
      <c r="BZ196" t="n">
        <v>4102.25</v>
      </c>
      <c r="CA196" t="inlineStr">
        <is>
          <t>RUSSIAN RUBLE</t>
        </is>
      </c>
      <c r="CC196" t="n">
        <v>318.84</v>
      </c>
      <c r="CD196" t="n">
        <v>352.93</v>
      </c>
    </row>
    <row r="197">
      <c r="A197" t="inlineStr">
        <is>
          <t>19/07/2026</t>
        </is>
      </c>
      <c r="B197">
        <f>IF(ISNUMBER(A197), A197, DATE(RIGHT(A197,4), MID(A197,4,2), LEFT(A197,2)))</f>
        <v/>
      </c>
      <c r="C197" t="inlineStr">
        <is>
          <t>US DOLLAR</t>
        </is>
      </c>
      <c r="D197" t="n">
        <v>26080</v>
      </c>
      <c r="E197" t="n">
        <v>26110</v>
      </c>
      <c r="F197" t="n">
        <v>26490</v>
      </c>
      <c r="G197" t="inlineStr">
        <is>
          <t>EURO</t>
        </is>
      </c>
      <c r="H197" t="n">
        <v>29314.66</v>
      </c>
      <c r="I197" t="n">
        <v>29610.77</v>
      </c>
      <c r="J197" t="n">
        <v>30860.13</v>
      </c>
      <c r="K197" t="inlineStr">
        <is>
          <t>POUND STERLING</t>
        </is>
      </c>
      <c r="L197" t="n">
        <v>34452.86</v>
      </c>
      <c r="M197" t="n">
        <v>34800.87</v>
      </c>
      <c r="N197" t="n">
        <v>35915.38</v>
      </c>
      <c r="O197" t="inlineStr">
        <is>
          <t>YEN</t>
        </is>
      </c>
      <c r="P197" t="n">
        <v>156.34</v>
      </c>
      <c r="Q197" t="n">
        <v>157.91</v>
      </c>
      <c r="R197" t="n">
        <v>167.12</v>
      </c>
      <c r="S197" t="inlineStr">
        <is>
          <t>AUSTRALIAN DOLLAR</t>
        </is>
      </c>
      <c r="T197" t="n">
        <v>17869.67</v>
      </c>
      <c r="U197" t="n">
        <v>18050.17</v>
      </c>
      <c r="V197" t="n">
        <v>18628.23</v>
      </c>
      <c r="W197" t="inlineStr">
        <is>
          <t>CANADIAN DOLLAR</t>
        </is>
      </c>
      <c r="X197" t="n">
        <v>18267.32</v>
      </c>
      <c r="Y197" t="n">
        <v>18451.84</v>
      </c>
      <c r="Z197" t="n">
        <v>19042.77</v>
      </c>
      <c r="AA197" t="inlineStr">
        <is>
          <t>SWISS FRANC</t>
        </is>
      </c>
      <c r="AB197" t="n">
        <v>31766.9</v>
      </c>
      <c r="AC197" t="n">
        <v>32087.77</v>
      </c>
      <c r="AD197" t="n">
        <v>33115.39</v>
      </c>
      <c r="AE197" t="inlineStr">
        <is>
          <t>SINGAPORE DOLLAR</t>
        </is>
      </c>
      <c r="AF197" t="n">
        <v>19846.14</v>
      </c>
      <c r="AG197" t="n">
        <v>20046.61</v>
      </c>
      <c r="AH197" t="n">
        <v>20730.04</v>
      </c>
      <c r="AI197" t="inlineStr">
        <is>
          <t>YUAN RENMINBI</t>
        </is>
      </c>
      <c r="AJ197" t="n">
        <v>3782.14</v>
      </c>
      <c r="AK197" t="n">
        <v>3820.35</v>
      </c>
      <c r="AL197" t="n">
        <v>3942.69</v>
      </c>
      <c r="AM197" t="inlineStr">
        <is>
          <t>HONGKONG DOLLAR</t>
        </is>
      </c>
      <c r="AN197" t="n">
        <v>3259.59</v>
      </c>
      <c r="AO197" t="n">
        <v>3292.52</v>
      </c>
      <c r="AP197" t="n">
        <v>3418.42</v>
      </c>
      <c r="AQ197" t="inlineStr">
        <is>
          <t>THAILAND BAHT</t>
        </is>
      </c>
      <c r="AR197" t="n">
        <v>689.92</v>
      </c>
      <c r="AS197" t="n">
        <v>766.58</v>
      </c>
      <c r="AT197" t="n">
        <v>799.08</v>
      </c>
      <c r="AU197" t="inlineStr">
        <is>
          <t>KOREAN WON</t>
        </is>
      </c>
      <c r="AV197" t="n">
        <v>15.32</v>
      </c>
      <c r="AW197" t="n">
        <v>17.02</v>
      </c>
      <c r="AX197" t="n">
        <v>18.47</v>
      </c>
      <c r="AY197" t="inlineStr">
        <is>
          <t>MALAYSIAN RINGGIT</t>
        </is>
      </c>
      <c r="BA197" t="n">
        <v>6377.4</v>
      </c>
      <c r="BB197" t="n">
        <v>6516.14</v>
      </c>
      <c r="BC197" t="inlineStr">
        <is>
          <t>INDIAN RUPEE</t>
        </is>
      </c>
      <c r="BE197" t="n">
        <v>271.37</v>
      </c>
      <c r="BF197" t="n">
        <v>283.05</v>
      </c>
      <c r="BG197" t="inlineStr">
        <is>
          <t>KUWAITI DINAR</t>
        </is>
      </c>
      <c r="BI197" t="n">
        <v>85065.89</v>
      </c>
      <c r="BJ197" t="n">
        <v>89188.89999999999</v>
      </c>
      <c r="BK197" t="inlineStr">
        <is>
          <t>SAUDI RIAL</t>
        </is>
      </c>
      <c r="BM197" t="n">
        <v>6963.48</v>
      </c>
      <c r="BN197" t="n">
        <v>7263.16</v>
      </c>
      <c r="BO197" t="inlineStr">
        <is>
          <t>NORWEGIAN KRONER</t>
        </is>
      </c>
      <c r="BQ197" t="n">
        <v>2665.28</v>
      </c>
      <c r="BR197" t="n">
        <v>2778.29</v>
      </c>
      <c r="BS197" t="inlineStr">
        <is>
          <t>SWEDISH KRONA</t>
        </is>
      </c>
      <c r="BU197" t="n">
        <v>2668.29</v>
      </c>
      <c r="BV197" t="n">
        <v>2781.42</v>
      </c>
      <c r="BW197" t="inlineStr">
        <is>
          <t>DANISH KRONE</t>
        </is>
      </c>
      <c r="BY197" t="n">
        <v>3951.16</v>
      </c>
      <c r="BZ197" t="n">
        <v>4102.25</v>
      </c>
      <c r="CA197" t="inlineStr">
        <is>
          <t>RUSSIAN RUBLE</t>
        </is>
      </c>
      <c r="CC197" t="n">
        <v>318.84</v>
      </c>
      <c r="CD197" t="n">
        <v>352.93</v>
      </c>
    </row>
    <row r="198">
      <c r="A198" t="inlineStr">
        <is>
          <t>20/07/2026</t>
        </is>
      </c>
      <c r="B198">
        <f>IF(ISNUMBER(A198), A198, DATE(RIGHT(A198,4), MID(A198,4,2), LEFT(A198,2)))</f>
        <v/>
      </c>
      <c r="C198" t="inlineStr">
        <is>
          <t>US DOLLAR</t>
        </is>
      </c>
      <c r="D198" t="n">
        <v>26080</v>
      </c>
      <c r="E198" t="n">
        <v>26110</v>
      </c>
      <c r="F198" t="n">
        <v>26490</v>
      </c>
      <c r="G198" t="inlineStr">
        <is>
          <t>EURO</t>
        </is>
      </c>
      <c r="H198" t="n">
        <v>29296.72</v>
      </c>
      <c r="I198" t="n">
        <v>29592.65</v>
      </c>
      <c r="J198" t="n">
        <v>30841.25</v>
      </c>
      <c r="K198" t="inlineStr">
        <is>
          <t>POUND STERLING</t>
        </is>
      </c>
      <c r="L198" t="n">
        <v>34457.99</v>
      </c>
      <c r="M198" t="n">
        <v>34806.05</v>
      </c>
      <c r="N198" t="n">
        <v>35920.72</v>
      </c>
      <c r="O198" t="inlineStr">
        <is>
          <t>YEN</t>
        </is>
      </c>
      <c r="P198" t="n">
        <v>156.34</v>
      </c>
      <c r="Q198" t="n">
        <v>157.91</v>
      </c>
      <c r="R198" t="n">
        <v>167.12</v>
      </c>
      <c r="S198" t="inlineStr">
        <is>
          <t>AUSTRALIAN DOLLAR</t>
        </is>
      </c>
      <c r="T198" t="n">
        <v>17892.73</v>
      </c>
      <c r="U198" t="n">
        <v>18073.47</v>
      </c>
      <c r="V198" t="n">
        <v>18652.27</v>
      </c>
      <c r="W198" t="inlineStr">
        <is>
          <t>CANADIAN DOLLAR</t>
        </is>
      </c>
      <c r="X198" t="n">
        <v>18292.09</v>
      </c>
      <c r="Y198" t="n">
        <v>18476.86</v>
      </c>
      <c r="Z198" t="n">
        <v>19068.59</v>
      </c>
      <c r="AA198" t="inlineStr">
        <is>
          <t>SWISS FRANC</t>
        </is>
      </c>
      <c r="AB198" t="n">
        <v>31723.65</v>
      </c>
      <c r="AC198" t="n">
        <v>32044.09</v>
      </c>
      <c r="AD198" t="n">
        <v>33070.31</v>
      </c>
      <c r="AE198" t="inlineStr">
        <is>
          <t>SINGAPORE DOLLAR</t>
        </is>
      </c>
      <c r="AF198" t="n">
        <v>19832.31</v>
      </c>
      <c r="AG198" t="n">
        <v>20032.64</v>
      </c>
      <c r="AH198" t="n">
        <v>20715.59</v>
      </c>
      <c r="AI198" t="inlineStr">
        <is>
          <t>YUAN RENMINBI</t>
        </is>
      </c>
      <c r="AJ198" t="n">
        <v>3782.87</v>
      </c>
      <c r="AK198" t="n">
        <v>3821.08</v>
      </c>
      <c r="AL198" t="n">
        <v>3943.45</v>
      </c>
      <c r="AM198" t="inlineStr">
        <is>
          <t>HONGKONG DOLLAR</t>
        </is>
      </c>
      <c r="AN198" t="n">
        <v>3259.68</v>
      </c>
      <c r="AO198" t="n">
        <v>3292.6</v>
      </c>
      <c r="AP198" t="n">
        <v>3418.5</v>
      </c>
      <c r="AQ198" t="inlineStr">
        <is>
          <t>THAILAND BAHT</t>
        </is>
      </c>
      <c r="AR198" t="n">
        <v>689.1</v>
      </c>
      <c r="AS198" t="n">
        <v>765.67</v>
      </c>
      <c r="AT198" t="n">
        <v>798.13</v>
      </c>
      <c r="AU198" t="inlineStr">
        <is>
          <t>KOREAN WON</t>
        </is>
      </c>
      <c r="AV198" t="n">
        <v>15.29</v>
      </c>
      <c r="AW198" t="n">
        <v>16.99</v>
      </c>
      <c r="AX198" t="n">
        <v>18.44</v>
      </c>
      <c r="AY198" t="inlineStr">
        <is>
          <t>MALAYSIAN RINGGIT</t>
        </is>
      </c>
      <c r="BA198" t="n">
        <v>6374.28</v>
      </c>
      <c r="BB198" t="n">
        <v>6512.95</v>
      </c>
      <c r="BC198" t="inlineStr">
        <is>
          <t>INDIAN RUPEE</t>
        </is>
      </c>
      <c r="BE198" t="n">
        <v>271.6</v>
      </c>
      <c r="BF198" t="n">
        <v>283.28</v>
      </c>
      <c r="BG198" t="inlineStr">
        <is>
          <t>KUWAITI DINAR</t>
        </is>
      </c>
      <c r="BI198" t="n">
        <v>85010.58</v>
      </c>
      <c r="BJ198" t="n">
        <v>89130.91</v>
      </c>
      <c r="BK198" t="inlineStr">
        <is>
          <t>SAUDI RIAL</t>
        </is>
      </c>
      <c r="BM198" t="n">
        <v>6963.48</v>
      </c>
      <c r="BN198" t="n">
        <v>7263.16</v>
      </c>
      <c r="BO198" t="inlineStr">
        <is>
          <t>NORWEGIAN KRONER</t>
        </is>
      </c>
      <c r="BQ198" t="n">
        <v>2671.63</v>
      </c>
      <c r="BR198" t="n">
        <v>2784.91</v>
      </c>
      <c r="BS198" t="inlineStr">
        <is>
          <t>SWEDISH KRONA</t>
        </is>
      </c>
      <c r="BU198" t="n">
        <v>2667.35</v>
      </c>
      <c r="BV198" t="n">
        <v>2780.44</v>
      </c>
      <c r="BW198" t="inlineStr">
        <is>
          <t>DANISH KRONE</t>
        </is>
      </c>
      <c r="BY198" t="n">
        <v>3948.38</v>
      </c>
      <c r="BZ198" t="n">
        <v>4099.36</v>
      </c>
      <c r="CA198" t="inlineStr">
        <is>
          <t>RUSSIAN RUBLE</t>
        </is>
      </c>
      <c r="CC198" t="n">
        <v>320.08</v>
      </c>
      <c r="CD198" t="n">
        <v>354.31</v>
      </c>
    </row>
    <row r="199">
      <c r="A199" t="inlineStr">
        <is>
          <t>21/07/2026</t>
        </is>
      </c>
      <c r="B199">
        <f>IF(ISNUMBER(A199), A199, DATE(RIGHT(A199,4), MID(A199,4,2), LEFT(A199,2)))</f>
        <v/>
      </c>
      <c r="C199" t="inlineStr">
        <is>
          <t>US DOLLAR</t>
        </is>
      </c>
      <c r="D199" t="n">
        <v>26100</v>
      </c>
      <c r="E199" t="n">
        <v>26130</v>
      </c>
      <c r="F199" t="n">
        <v>26510</v>
      </c>
      <c r="G199" t="inlineStr">
        <is>
          <t>EURO</t>
        </is>
      </c>
      <c r="H199" t="n">
        <v>29275.42</v>
      </c>
      <c r="I199" t="n">
        <v>29571.13</v>
      </c>
      <c r="J199" t="n">
        <v>30818.79</v>
      </c>
      <c r="K199" t="inlineStr">
        <is>
          <t>POUND STERLING</t>
        </is>
      </c>
      <c r="L199" t="n">
        <v>34448.3</v>
      </c>
      <c r="M199" t="n">
        <v>34796.27</v>
      </c>
      <c r="N199" t="n">
        <v>35910.59</v>
      </c>
      <c r="O199" t="inlineStr">
        <is>
          <t>YEN</t>
        </is>
      </c>
      <c r="P199" t="n">
        <v>156.31</v>
      </c>
      <c r="Q199" t="n">
        <v>157.89</v>
      </c>
      <c r="R199" t="n">
        <v>167.1</v>
      </c>
      <c r="S199" t="inlineStr">
        <is>
          <t>AUSTRALIAN DOLLAR</t>
        </is>
      </c>
      <c r="T199" t="n">
        <v>17962.77</v>
      </c>
      <c r="U199" t="n">
        <v>18144.21</v>
      </c>
      <c r="V199" t="n">
        <v>18725.26</v>
      </c>
      <c r="W199" t="inlineStr">
        <is>
          <t>CANADIAN DOLLAR</t>
        </is>
      </c>
      <c r="X199" t="n">
        <v>18230.56</v>
      </c>
      <c r="Y199" t="n">
        <v>18414.7</v>
      </c>
      <c r="Z199" t="n">
        <v>19004.42</v>
      </c>
      <c r="AA199" t="inlineStr">
        <is>
          <t>SWISS FRANC</t>
        </is>
      </c>
      <c r="AB199" t="n">
        <v>31669.4</v>
      </c>
      <c r="AC199" t="n">
        <v>31989.3</v>
      </c>
      <c r="AD199" t="n">
        <v>33013.72</v>
      </c>
      <c r="AE199" t="inlineStr">
        <is>
          <t>SINGAPORE DOLLAR</t>
        </is>
      </c>
      <c r="AF199" t="n">
        <v>19856.63</v>
      </c>
      <c r="AG199" t="n">
        <v>20057.2</v>
      </c>
      <c r="AH199" t="n">
        <v>20740.97</v>
      </c>
      <c r="AI199" t="inlineStr">
        <is>
          <t>YUAN RENMINBI</t>
        </is>
      </c>
      <c r="AJ199" t="n">
        <v>3790.84</v>
      </c>
      <c r="AK199" t="n">
        <v>3829.13</v>
      </c>
      <c r="AL199" t="n">
        <v>3951.75</v>
      </c>
      <c r="AM199" t="inlineStr">
        <is>
          <t>HONGKONG DOLLAR</t>
        </is>
      </c>
      <c r="AN199" t="n">
        <v>3262.45</v>
      </c>
      <c r="AO199" t="n">
        <v>3295.4</v>
      </c>
      <c r="AP199" t="n">
        <v>3421.41</v>
      </c>
      <c r="AQ199" t="inlineStr">
        <is>
          <t>THAILAND BAHT</t>
        </is>
      </c>
      <c r="AR199" t="n">
        <v>689.83</v>
      </c>
      <c r="AS199" t="n">
        <v>766.48</v>
      </c>
      <c r="AT199" t="n">
        <v>798.98</v>
      </c>
      <c r="AU199" t="inlineStr">
        <is>
          <t>KOREAN WON</t>
        </is>
      </c>
      <c r="AV199" t="n">
        <v>15.41</v>
      </c>
      <c r="AW199" t="n">
        <v>17.12</v>
      </c>
      <c r="AX199" t="n">
        <v>18.57</v>
      </c>
      <c r="AY199" t="inlineStr">
        <is>
          <t>MALAYSIAN RINGGIT</t>
        </is>
      </c>
      <c r="BA199" t="n">
        <v>6368.21</v>
      </c>
      <c r="BB199" t="n">
        <v>6506.74</v>
      </c>
      <c r="BC199" t="inlineStr">
        <is>
          <t>INDIAN RUPEE</t>
        </is>
      </c>
      <c r="BE199" t="n">
        <v>271.35</v>
      </c>
      <c r="BF199" t="n">
        <v>283.03</v>
      </c>
      <c r="BG199" t="inlineStr">
        <is>
          <t>KUWAITI DINAR</t>
        </is>
      </c>
      <c r="BI199" t="n">
        <v>85075.27</v>
      </c>
      <c r="BJ199" t="n">
        <v>89198.63</v>
      </c>
      <c r="BK199" t="inlineStr">
        <is>
          <t>SAUDI RIAL</t>
        </is>
      </c>
      <c r="BM199" t="n">
        <v>6969.33</v>
      </c>
      <c r="BN199" t="n">
        <v>7269.26</v>
      </c>
      <c r="BO199" t="inlineStr">
        <is>
          <t>NORWEGIAN KRONER</t>
        </is>
      </c>
      <c r="BQ199" t="n">
        <v>2668.05</v>
      </c>
      <c r="BR199" t="n">
        <v>2781.17</v>
      </c>
      <c r="BS199" t="inlineStr">
        <is>
          <t>SWEDISH KRONA</t>
        </is>
      </c>
      <c r="BU199" t="n">
        <v>2663.31</v>
      </c>
      <c r="BV199" t="n">
        <v>2776.23</v>
      </c>
      <c r="BW199" t="inlineStr">
        <is>
          <t>DANISH KRONE</t>
        </is>
      </c>
      <c r="BY199" t="n">
        <v>3945.41</v>
      </c>
      <c r="BZ199" t="n">
        <v>4096.27</v>
      </c>
      <c r="CA199" t="inlineStr">
        <is>
          <t>RUSSIAN RUBLE</t>
        </is>
      </c>
      <c r="CC199" t="n">
        <v>319.1</v>
      </c>
      <c r="CD199" t="n">
        <v>353.22</v>
      </c>
    </row>
    <row r="200">
      <c r="A200" t="inlineStr">
        <is>
          <t>22/07/2026</t>
        </is>
      </c>
      <c r="B200">
        <f>IF(ISNUMBER(A200), A200, DATE(RIGHT(A200,4), MID(A200,4,2), LEFT(A200,2)))</f>
        <v/>
      </c>
      <c r="C200" t="inlineStr">
        <is>
          <t>US DOLLAR</t>
        </is>
      </c>
      <c r="D200" t="n">
        <v>26090</v>
      </c>
      <c r="E200" t="n">
        <v>26120</v>
      </c>
      <c r="F200" t="n">
        <v>26500</v>
      </c>
      <c r="G200" t="inlineStr">
        <is>
          <t>EURO</t>
        </is>
      </c>
      <c r="H200" t="n">
        <v>29246.34</v>
      </c>
      <c r="I200" t="n">
        <v>29541.76</v>
      </c>
      <c r="J200" t="n">
        <v>30788.2</v>
      </c>
      <c r="K200" t="inlineStr">
        <is>
          <t>POUND STERLING</t>
        </is>
      </c>
      <c r="L200" t="n">
        <v>34273.7</v>
      </c>
      <c r="M200" t="n">
        <v>34619.89</v>
      </c>
      <c r="N200" t="n">
        <v>35728.59</v>
      </c>
      <c r="O200" t="inlineStr">
        <is>
          <t>YEN</t>
        </is>
      </c>
      <c r="P200" t="n">
        <v>155.81</v>
      </c>
      <c r="Q200" t="n">
        <v>157.38</v>
      </c>
      <c r="R200" t="n">
        <v>166.56</v>
      </c>
      <c r="S200" t="inlineStr">
        <is>
          <t>AUSTRALIAN DOLLAR</t>
        </is>
      </c>
      <c r="T200" t="n">
        <v>17927.74</v>
      </c>
      <c r="U200" t="n">
        <v>18108.83</v>
      </c>
      <c r="V200" t="n">
        <v>18688.76</v>
      </c>
      <c r="W200" t="inlineStr">
        <is>
          <t>CANADIAN DOLLAR</t>
        </is>
      </c>
      <c r="X200" t="n">
        <v>18191.3</v>
      </c>
      <c r="Y200" t="n">
        <v>18375.06</v>
      </c>
      <c r="Z200" t="n">
        <v>18963.51</v>
      </c>
      <c r="AA200" t="inlineStr">
        <is>
          <t>SWISS FRANC</t>
        </is>
      </c>
      <c r="AB200" t="n">
        <v>31571.61</v>
      </c>
      <c r="AC200" t="n">
        <v>31890.52</v>
      </c>
      <c r="AD200" t="n">
        <v>32911.8</v>
      </c>
      <c r="AE200" t="inlineStr">
        <is>
          <t>SINGAPORE DOLLAR</t>
        </is>
      </c>
      <c r="AF200" t="n">
        <v>19847.54</v>
      </c>
      <c r="AG200" t="n">
        <v>20048.02</v>
      </c>
      <c r="AH200" t="n">
        <v>20731.49</v>
      </c>
      <c r="AI200" t="inlineStr">
        <is>
          <t>YUAN RENMINBI</t>
        </is>
      </c>
      <c r="AJ200" t="n">
        <v>3786.37</v>
      </c>
      <c r="AK200" t="n">
        <v>3824.62</v>
      </c>
      <c r="AL200" t="n">
        <v>3947.1</v>
      </c>
      <c r="AM200" t="inlineStr">
        <is>
          <t>HONGKONG DOLLAR</t>
        </is>
      </c>
      <c r="AN200" t="n">
        <v>3260.92</v>
      </c>
      <c r="AO200" t="n">
        <v>3293.86</v>
      </c>
      <c r="AP200" t="n">
        <v>3419.8</v>
      </c>
      <c r="AQ200" t="inlineStr">
        <is>
          <t>THAILAND BAHT</t>
        </is>
      </c>
      <c r="AR200" t="n">
        <v>686.1</v>
      </c>
      <c r="AS200" t="n">
        <v>762.33</v>
      </c>
      <c r="AT200" t="n">
        <v>794.66</v>
      </c>
      <c r="AU200" t="inlineStr">
        <is>
          <t>KOREAN WON</t>
        </is>
      </c>
      <c r="AV200" t="n">
        <v>15.36</v>
      </c>
      <c r="AW200" t="n">
        <v>17.06</v>
      </c>
      <c r="AX200" t="n">
        <v>18.51</v>
      </c>
      <c r="AY200" t="inlineStr">
        <is>
          <t>MALAYSIAN RINGGIT</t>
        </is>
      </c>
      <c r="BA200" t="n">
        <v>6375.14</v>
      </c>
      <c r="BB200" t="n">
        <v>6513.83</v>
      </c>
      <c r="BC200" t="inlineStr">
        <is>
          <t>INDIAN RUPEE</t>
        </is>
      </c>
      <c r="BE200" t="n">
        <v>270.93</v>
      </c>
      <c r="BF200" t="n">
        <v>282.59</v>
      </c>
      <c r="BG200" t="inlineStr">
        <is>
          <t>KUWAITI DINAR</t>
        </is>
      </c>
      <c r="BI200" t="n">
        <v>84987.67</v>
      </c>
      <c r="BJ200" t="n">
        <v>89106.83</v>
      </c>
      <c r="BK200" t="inlineStr">
        <is>
          <t>SAUDI RIAL</t>
        </is>
      </c>
      <c r="BM200" t="n">
        <v>6970.21</v>
      </c>
      <c r="BN200" t="n">
        <v>7270.18</v>
      </c>
      <c r="BO200" t="inlineStr">
        <is>
          <t>NORWEGIAN KRONER</t>
        </is>
      </c>
      <c r="BQ200" t="n">
        <v>2682.92</v>
      </c>
      <c r="BR200" t="n">
        <v>2796.67</v>
      </c>
      <c r="BS200" t="inlineStr">
        <is>
          <t>SWEDISH KRONA</t>
        </is>
      </c>
      <c r="BU200" t="n">
        <v>2654.46</v>
      </c>
      <c r="BV200" t="n">
        <v>2767.01</v>
      </c>
      <c r="BW200" t="inlineStr">
        <is>
          <t>DANISH KRONE</t>
        </is>
      </c>
      <c r="BY200" t="n">
        <v>3941.81</v>
      </c>
      <c r="BZ200" t="n">
        <v>4092.53</v>
      </c>
      <c r="CA200" t="inlineStr">
        <is>
          <t>RUSSIAN RUBLE</t>
        </is>
      </c>
      <c r="CC200" t="n">
        <v>317.74</v>
      </c>
      <c r="CD200" t="n">
        <v>351.72</v>
      </c>
    </row>
    <row r="201">
      <c r="A201" t="inlineStr">
        <is>
          <t>23/07/2026</t>
        </is>
      </c>
      <c r="B201">
        <f>IF(ISNUMBER(A201), A201, DATE(RIGHT(A201,4), MID(A201,4,2), LEFT(A201,2)))</f>
        <v/>
      </c>
      <c r="C201" t="inlineStr">
        <is>
          <t>US DOLLAR</t>
        </is>
      </c>
      <c r="D201" t="n">
        <v>26090</v>
      </c>
      <c r="E201" t="n">
        <v>26120</v>
      </c>
      <c r="F201" t="n">
        <v>26500</v>
      </c>
      <c r="G201" t="inlineStr">
        <is>
          <t>EURO</t>
        </is>
      </c>
      <c r="H201" t="n">
        <v>29264.29</v>
      </c>
      <c r="I201" t="n">
        <v>29559.88</v>
      </c>
      <c r="J201" t="n">
        <v>30807.09</v>
      </c>
      <c r="K201" t="inlineStr">
        <is>
          <t>POUND STERLING</t>
        </is>
      </c>
      <c r="L201" t="n">
        <v>34294.2</v>
      </c>
      <c r="M201" t="n">
        <v>34640.61</v>
      </c>
      <c r="N201" t="n">
        <v>35749.97</v>
      </c>
      <c r="O201" t="inlineStr">
        <is>
          <t>YEN</t>
        </is>
      </c>
      <c r="P201" t="n">
        <v>155.73</v>
      </c>
      <c r="Q201" t="n">
        <v>157.31</v>
      </c>
      <c r="R201" t="n">
        <v>166.48</v>
      </c>
      <c r="S201" t="inlineStr">
        <is>
          <t>AUSTRALIAN DOLLAR</t>
        </is>
      </c>
      <c r="T201" t="n">
        <v>17925.18</v>
      </c>
      <c r="U201" t="n">
        <v>18106.24</v>
      </c>
      <c r="V201" t="n">
        <v>18686.09</v>
      </c>
      <c r="W201" t="inlineStr">
        <is>
          <t>CANADIAN DOLLAR</t>
        </is>
      </c>
      <c r="X201" t="n">
        <v>18211.98</v>
      </c>
      <c r="Y201" t="n">
        <v>18395.94</v>
      </c>
      <c r="Z201" t="n">
        <v>18985.06</v>
      </c>
      <c r="AA201" t="inlineStr">
        <is>
          <t>SWISS FRANC</t>
        </is>
      </c>
      <c r="AB201" t="n">
        <v>31509.54</v>
      </c>
      <c r="AC201" t="n">
        <v>31827.82</v>
      </c>
      <c r="AD201" t="n">
        <v>32847.09</v>
      </c>
      <c r="AE201" t="inlineStr">
        <is>
          <t>SINGAPORE DOLLAR</t>
        </is>
      </c>
      <c r="AF201" t="n">
        <v>19856.77</v>
      </c>
      <c r="AG201" t="n">
        <v>20057.35</v>
      </c>
      <c r="AH201" t="n">
        <v>20741.13</v>
      </c>
      <c r="AI201" t="inlineStr">
        <is>
          <t>YUAN RENMINBI</t>
        </is>
      </c>
      <c r="AJ201" t="n">
        <v>3786.26</v>
      </c>
      <c r="AK201" t="n">
        <v>3824.51</v>
      </c>
      <c r="AL201" t="n">
        <v>3946.99</v>
      </c>
      <c r="AM201" t="inlineStr">
        <is>
          <t>HONGKONG DOLLAR</t>
        </is>
      </c>
      <c r="AN201" t="n">
        <v>3261.25</v>
      </c>
      <c r="AO201" t="n">
        <v>3294.19</v>
      </c>
      <c r="AP201" t="n">
        <v>3420.15</v>
      </c>
      <c r="AQ201" t="inlineStr">
        <is>
          <t>THAILAND BAHT</t>
        </is>
      </c>
      <c r="AR201" t="n">
        <v>686.71</v>
      </c>
      <c r="AS201" t="n">
        <v>763.01</v>
      </c>
      <c r="AT201" t="n">
        <v>795.36</v>
      </c>
      <c r="AU201" t="inlineStr">
        <is>
          <t>KOREAN WON</t>
        </is>
      </c>
      <c r="AV201" t="n">
        <v>15.46</v>
      </c>
      <c r="AW201" t="n">
        <v>17.18</v>
      </c>
      <c r="AX201" t="n">
        <v>18.64</v>
      </c>
      <c r="AY201" t="inlineStr">
        <is>
          <t>MALAYSIAN RINGGIT</t>
        </is>
      </c>
      <c r="BA201" t="n">
        <v>6372.02</v>
      </c>
      <c r="BB201" t="n">
        <v>6510.64</v>
      </c>
      <c r="BC201" t="inlineStr">
        <is>
          <t>INDIAN RUPEE</t>
        </is>
      </c>
      <c r="BE201" t="n">
        <v>270.91</v>
      </c>
      <c r="BF201" t="n">
        <v>282.57</v>
      </c>
      <c r="BG201" t="inlineStr">
        <is>
          <t>KUWAITI DINAR</t>
        </is>
      </c>
      <c r="BI201" t="n">
        <v>84987.67</v>
      </c>
      <c r="BJ201" t="n">
        <v>89106.83</v>
      </c>
      <c r="BK201" t="inlineStr">
        <is>
          <t>SAUDI RIAL</t>
        </is>
      </c>
      <c r="BM201" t="n">
        <v>6968.73</v>
      </c>
      <c r="BN201" t="n">
        <v>7268.63</v>
      </c>
      <c r="BO201" t="inlineStr">
        <is>
          <t>NORWEGIAN KRONER</t>
        </is>
      </c>
      <c r="BQ201" t="n">
        <v>2690</v>
      </c>
      <c r="BR201" t="n">
        <v>2804.06</v>
      </c>
      <c r="BS201" t="inlineStr">
        <is>
          <t>SWEDISH KRONA</t>
        </is>
      </c>
      <c r="BU201" t="n">
        <v>2660.92</v>
      </c>
      <c r="BV201" t="n">
        <v>2773.75</v>
      </c>
      <c r="BW201" t="inlineStr">
        <is>
          <t>DANISH KRONE</t>
        </is>
      </c>
      <c r="BY201" t="n">
        <v>3944.16</v>
      </c>
      <c r="BZ201" t="n">
        <v>4094.97</v>
      </c>
      <c r="CA201" t="inlineStr">
        <is>
          <t>RUSSIAN RUBLE</t>
        </is>
      </c>
      <c r="CC201" t="n">
        <v>318.97</v>
      </c>
      <c r="CD201" t="n">
        <v>353.09</v>
      </c>
    </row>
    <row r="202">
      <c r="A202" t="inlineStr">
        <is>
          <t>24/07/2026</t>
        </is>
      </c>
      <c r="B202">
        <f>IF(ISNUMBER(A202), A202, DATE(RIGHT(A202,4), MID(A202,4,2), LEFT(A202,2)))</f>
        <v/>
      </c>
      <c r="C202" t="inlineStr">
        <is>
          <t>US DOLLAR</t>
        </is>
      </c>
      <c r="D202" t="n">
        <v>26100</v>
      </c>
      <c r="E202" t="n">
        <v>26130</v>
      </c>
      <c r="F202" t="n">
        <v>26510</v>
      </c>
      <c r="G202" t="inlineStr">
        <is>
          <t>EURO</t>
        </is>
      </c>
      <c r="H202" t="n">
        <v>29183.09</v>
      </c>
      <c r="I202" t="n">
        <v>29477.87</v>
      </c>
      <c r="J202" t="n">
        <v>30721.59</v>
      </c>
      <c r="K202" t="inlineStr">
        <is>
          <t>POUND STERLING</t>
        </is>
      </c>
      <c r="L202" t="n">
        <v>34150.81</v>
      </c>
      <c r="M202" t="n">
        <v>34495.76</v>
      </c>
      <c r="N202" t="n">
        <v>35600.46</v>
      </c>
      <c r="O202" t="inlineStr">
        <is>
          <t>YEN</t>
        </is>
      </c>
      <c r="P202" t="n">
        <v>155.02</v>
      </c>
      <c r="Q202" t="n">
        <v>156.59</v>
      </c>
      <c r="R202" t="n">
        <v>165.72</v>
      </c>
      <c r="S202" t="inlineStr">
        <is>
          <t>AUSTRALIAN DOLLAR</t>
        </is>
      </c>
      <c r="T202" t="n">
        <v>17883.27</v>
      </c>
      <c r="U202" t="n">
        <v>18063.91</v>
      </c>
      <c r="V202" t="n">
        <v>18642.39</v>
      </c>
      <c r="W202" t="inlineStr">
        <is>
          <t>CANADIAN DOLLAR</t>
        </is>
      </c>
      <c r="X202" t="n">
        <v>18226.67</v>
      </c>
      <c r="Y202" t="n">
        <v>18410.78</v>
      </c>
      <c r="Z202" t="n">
        <v>19000.37</v>
      </c>
      <c r="AA202" t="inlineStr">
        <is>
          <t>SWISS FRANC</t>
        </is>
      </c>
      <c r="AB202" t="n">
        <v>31413.44</v>
      </c>
      <c r="AC202" t="n">
        <v>31730.75</v>
      </c>
      <c r="AD202" t="n">
        <v>32746.9</v>
      </c>
      <c r="AE202" t="inlineStr">
        <is>
          <t>SINGAPORE DOLLAR</t>
        </is>
      </c>
      <c r="AF202" t="n">
        <v>19832.04</v>
      </c>
      <c r="AG202" t="n">
        <v>20032.37</v>
      </c>
      <c r="AH202" t="n">
        <v>20715.29</v>
      </c>
      <c r="AI202" t="inlineStr">
        <is>
          <t>YUAN RENMINBI</t>
        </is>
      </c>
      <c r="AJ202" t="n">
        <v>3789.05</v>
      </c>
      <c r="AK202" t="n">
        <v>3827.32</v>
      </c>
      <c r="AL202" t="n">
        <v>3949.89</v>
      </c>
      <c r="AM202" t="inlineStr">
        <is>
          <t>HONGKONG DOLLAR</t>
        </is>
      </c>
      <c r="AN202" t="n">
        <v>3261.91</v>
      </c>
      <c r="AO202" t="n">
        <v>3294.86</v>
      </c>
      <c r="AP202" t="n">
        <v>3420.84</v>
      </c>
      <c r="AQ202" t="inlineStr">
        <is>
          <t>THAILAND BAHT</t>
        </is>
      </c>
      <c r="AR202" t="n">
        <v>686.5599999999999</v>
      </c>
      <c r="AS202" t="n">
        <v>762.85</v>
      </c>
      <c r="AT202" t="n">
        <v>795.1900000000001</v>
      </c>
      <c r="AU202" t="inlineStr">
        <is>
          <t>KOREAN WON</t>
        </is>
      </c>
      <c r="AV202" t="n">
        <v>15.5</v>
      </c>
      <c r="AW202" t="n">
        <v>17.23</v>
      </c>
      <c r="AX202" t="n">
        <v>18.69</v>
      </c>
      <c r="AY202" t="inlineStr">
        <is>
          <t>MALAYSIAN RINGGIT</t>
        </is>
      </c>
      <c r="BA202" t="n">
        <v>6360.43</v>
      </c>
      <c r="BB202" t="n">
        <v>6498.79</v>
      </c>
      <c r="BC202" t="inlineStr">
        <is>
          <t>INDIAN RUPEE</t>
        </is>
      </c>
      <c r="BE202" t="n">
        <v>270.98</v>
      </c>
      <c r="BF202" t="n">
        <v>282.64</v>
      </c>
      <c r="BG202" t="inlineStr">
        <is>
          <t>KUWAITI DINAR</t>
        </is>
      </c>
      <c r="BI202" t="n">
        <v>85019.99000000001</v>
      </c>
      <c r="BJ202" t="n">
        <v>89140.67999999999</v>
      </c>
      <c r="BK202" t="inlineStr">
        <is>
          <t>SAUDI RIAL</t>
        </is>
      </c>
      <c r="BM202" t="n">
        <v>6973.98</v>
      </c>
      <c r="BN202" t="n">
        <v>7274.1</v>
      </c>
      <c r="BO202" t="inlineStr">
        <is>
          <t>NORWEGIAN KRONER</t>
        </is>
      </c>
      <c r="BQ202" t="n">
        <v>2685.14</v>
      </c>
      <c r="BR202" t="n">
        <v>2798.99</v>
      </c>
      <c r="BS202" t="inlineStr">
        <is>
          <t>SWEDISH KRONA</t>
        </is>
      </c>
      <c r="BU202" t="n">
        <v>2643.68</v>
      </c>
      <c r="BV202" t="n">
        <v>2755.77</v>
      </c>
      <c r="BW202" t="inlineStr">
        <is>
          <t>DANISH KRONE</t>
        </is>
      </c>
      <c r="BY202" t="n">
        <v>3932.92</v>
      </c>
      <c r="BZ202" t="n">
        <v>4083.3</v>
      </c>
      <c r="CA202" t="inlineStr">
        <is>
          <t>RUSSIAN RUBLE</t>
        </is>
      </c>
      <c r="CC202" t="n">
        <v>319.91</v>
      </c>
      <c r="CD202" t="n">
        <v>354.12</v>
      </c>
    </row>
    <row r="203">
      <c r="A203" t="inlineStr">
        <is>
          <t>25/07/2026</t>
        </is>
      </c>
      <c r="B203">
        <f>IF(ISNUMBER(A203), A203, DATE(RIGHT(A203,4), MID(A203,4,2), LEFT(A203,2)))</f>
        <v/>
      </c>
      <c r="C203" t="inlineStr">
        <is>
          <t>US DOLLAR</t>
        </is>
      </c>
      <c r="D203" t="n">
        <v>26100</v>
      </c>
      <c r="E203" t="n">
        <v>26130</v>
      </c>
      <c r="F203" t="n">
        <v>26510</v>
      </c>
      <c r="G203" t="inlineStr">
        <is>
          <t>EURO</t>
        </is>
      </c>
      <c r="H203" t="n">
        <v>29183.09</v>
      </c>
      <c r="I203" t="n">
        <v>29477.87</v>
      </c>
      <c r="J203" t="n">
        <v>30721.59</v>
      </c>
      <c r="K203" t="inlineStr">
        <is>
          <t>POUND STERLING</t>
        </is>
      </c>
      <c r="L203" t="n">
        <v>34150.81</v>
      </c>
      <c r="M203" t="n">
        <v>34495.76</v>
      </c>
      <c r="N203" t="n">
        <v>35600.46</v>
      </c>
      <c r="O203" t="inlineStr">
        <is>
          <t>YEN</t>
        </is>
      </c>
      <c r="P203" t="n">
        <v>155.02</v>
      </c>
      <c r="Q203" t="n">
        <v>156.59</v>
      </c>
      <c r="R203" t="n">
        <v>165.72</v>
      </c>
      <c r="S203" t="inlineStr">
        <is>
          <t>AUSTRALIAN DOLLAR</t>
        </is>
      </c>
      <c r="T203" t="n">
        <v>17883.27</v>
      </c>
      <c r="U203" t="n">
        <v>18063.91</v>
      </c>
      <c r="V203" t="n">
        <v>18642.39</v>
      </c>
      <c r="W203" t="inlineStr">
        <is>
          <t>CANADIAN DOLLAR</t>
        </is>
      </c>
      <c r="X203" t="n">
        <v>18226.67</v>
      </c>
      <c r="Y203" t="n">
        <v>18410.78</v>
      </c>
      <c r="Z203" t="n">
        <v>19000.37</v>
      </c>
      <c r="AA203" t="inlineStr">
        <is>
          <t>SWISS FRANC</t>
        </is>
      </c>
      <c r="AB203" t="n">
        <v>31413.44</v>
      </c>
      <c r="AC203" t="n">
        <v>31730.75</v>
      </c>
      <c r="AD203" t="n">
        <v>32746.9</v>
      </c>
      <c r="AE203" t="inlineStr">
        <is>
          <t>SINGAPORE DOLLAR</t>
        </is>
      </c>
      <c r="AF203" t="n">
        <v>19832.04</v>
      </c>
      <c r="AG203" t="n">
        <v>20032.37</v>
      </c>
      <c r="AH203" t="n">
        <v>20715.29</v>
      </c>
      <c r="AI203" t="inlineStr">
        <is>
          <t>YUAN RENMINBI</t>
        </is>
      </c>
      <c r="AJ203" t="n">
        <v>3789.05</v>
      </c>
      <c r="AK203" t="n">
        <v>3827.32</v>
      </c>
      <c r="AL203" t="n">
        <v>3949.89</v>
      </c>
      <c r="AM203" t="inlineStr">
        <is>
          <t>HONGKONG DOLLAR</t>
        </is>
      </c>
      <c r="AN203" t="n">
        <v>3261.91</v>
      </c>
      <c r="AO203" t="n">
        <v>3294.86</v>
      </c>
      <c r="AP203" t="n">
        <v>3420.84</v>
      </c>
      <c r="AQ203" t="inlineStr">
        <is>
          <t>THAILAND BAHT</t>
        </is>
      </c>
      <c r="AR203" t="n">
        <v>686.5599999999999</v>
      </c>
      <c r="AS203" t="n">
        <v>762.85</v>
      </c>
      <c r="AT203" t="n">
        <v>795.1900000000001</v>
      </c>
      <c r="AU203" t="inlineStr">
        <is>
          <t>KOREAN WON</t>
        </is>
      </c>
      <c r="AV203" t="n">
        <v>15.5</v>
      </c>
      <c r="AW203" t="n">
        <v>17.23</v>
      </c>
      <c r="AX203" t="n">
        <v>18.69</v>
      </c>
      <c r="AY203" t="inlineStr">
        <is>
          <t>MALAYSIAN RINGGIT</t>
        </is>
      </c>
      <c r="BA203" t="n">
        <v>6360.43</v>
      </c>
      <c r="BB203" t="n">
        <v>6498.79</v>
      </c>
      <c r="BC203" t="inlineStr">
        <is>
          <t>INDIAN RUPEE</t>
        </is>
      </c>
      <c r="BE203" t="n">
        <v>270.98</v>
      </c>
      <c r="BF203" t="n">
        <v>282.64</v>
      </c>
      <c r="BG203" t="inlineStr">
        <is>
          <t>KUWAITI DINAR</t>
        </is>
      </c>
      <c r="BI203" t="n">
        <v>85019.99000000001</v>
      </c>
      <c r="BJ203" t="n">
        <v>89140.67999999999</v>
      </c>
      <c r="BK203" t="inlineStr">
        <is>
          <t>SAUDI RIAL</t>
        </is>
      </c>
      <c r="BM203" t="n">
        <v>6973.98</v>
      </c>
      <c r="BN203" t="n">
        <v>7274.1</v>
      </c>
      <c r="BO203" t="inlineStr">
        <is>
          <t>NORWEGIAN KRONER</t>
        </is>
      </c>
      <c r="BQ203" t="n">
        <v>2685.14</v>
      </c>
      <c r="BR203" t="n">
        <v>2798.99</v>
      </c>
      <c r="BS203" t="inlineStr">
        <is>
          <t>SWEDISH KRONA</t>
        </is>
      </c>
      <c r="BU203" t="n">
        <v>2643.68</v>
      </c>
      <c r="BV203" t="n">
        <v>2755.77</v>
      </c>
      <c r="BW203" t="inlineStr">
        <is>
          <t>DANISH KRONE</t>
        </is>
      </c>
      <c r="BY203" t="n">
        <v>3932.92</v>
      </c>
      <c r="BZ203" t="n">
        <v>4083.3</v>
      </c>
      <c r="CA203" t="inlineStr">
        <is>
          <t>RUSSIAN RUBLE</t>
        </is>
      </c>
      <c r="CC203" t="n">
        <v>319.91</v>
      </c>
      <c r="CD203" t="n">
        <v>354.12</v>
      </c>
    </row>
    <row r="204">
      <c r="A204" t="inlineStr">
        <is>
          <t>26/07/2026</t>
        </is>
      </c>
      <c r="B204">
        <f>IF(ISNUMBER(A204), A204, DATE(RIGHT(A204,4), MID(A204,4,2), LEFT(A204,2)))</f>
        <v/>
      </c>
      <c r="C204" t="inlineStr">
        <is>
          <t>US DOLLAR</t>
        </is>
      </c>
      <c r="D204" t="n">
        <v>26100</v>
      </c>
      <c r="E204" t="n">
        <v>26130</v>
      </c>
      <c r="F204" t="n">
        <v>26510</v>
      </c>
      <c r="G204" t="inlineStr">
        <is>
          <t>EURO</t>
        </is>
      </c>
      <c r="H204" t="n">
        <v>29183.09</v>
      </c>
      <c r="I204" t="n">
        <v>29477.87</v>
      </c>
      <c r="J204" t="n">
        <v>30721.59</v>
      </c>
      <c r="K204" t="inlineStr">
        <is>
          <t>POUND STERLING</t>
        </is>
      </c>
      <c r="L204" t="n">
        <v>34150.81</v>
      </c>
      <c r="M204" t="n">
        <v>34495.76</v>
      </c>
      <c r="N204" t="n">
        <v>35600.46</v>
      </c>
      <c r="O204" t="inlineStr">
        <is>
          <t>YEN</t>
        </is>
      </c>
      <c r="P204" t="n">
        <v>155.02</v>
      </c>
      <c r="Q204" t="n">
        <v>156.59</v>
      </c>
      <c r="R204" t="n">
        <v>165.72</v>
      </c>
      <c r="S204" t="inlineStr">
        <is>
          <t>AUSTRALIAN DOLLAR</t>
        </is>
      </c>
      <c r="T204" t="n">
        <v>17883.27</v>
      </c>
      <c r="U204" t="n">
        <v>18063.91</v>
      </c>
      <c r="V204" t="n">
        <v>18642.39</v>
      </c>
      <c r="W204" t="inlineStr">
        <is>
          <t>CANADIAN DOLLAR</t>
        </is>
      </c>
      <c r="X204" t="n">
        <v>18226.67</v>
      </c>
      <c r="Y204" t="n">
        <v>18410.78</v>
      </c>
      <c r="Z204" t="n">
        <v>19000.37</v>
      </c>
      <c r="AA204" t="inlineStr">
        <is>
          <t>SWISS FRANC</t>
        </is>
      </c>
      <c r="AB204" t="n">
        <v>31413.44</v>
      </c>
      <c r="AC204" t="n">
        <v>31730.75</v>
      </c>
      <c r="AD204" t="n">
        <v>32746.9</v>
      </c>
      <c r="AE204" t="inlineStr">
        <is>
          <t>SINGAPORE DOLLAR</t>
        </is>
      </c>
      <c r="AF204" t="n">
        <v>19832.04</v>
      </c>
      <c r="AG204" t="n">
        <v>20032.37</v>
      </c>
      <c r="AH204" t="n">
        <v>20715.29</v>
      </c>
      <c r="AI204" t="inlineStr">
        <is>
          <t>YUAN RENMINBI</t>
        </is>
      </c>
      <c r="AJ204" t="n">
        <v>3789.05</v>
      </c>
      <c r="AK204" t="n">
        <v>3827.32</v>
      </c>
      <c r="AL204" t="n">
        <v>3949.89</v>
      </c>
      <c r="AM204" t="inlineStr">
        <is>
          <t>HONGKONG DOLLAR</t>
        </is>
      </c>
      <c r="AN204" t="n">
        <v>3261.91</v>
      </c>
      <c r="AO204" t="n">
        <v>3294.86</v>
      </c>
      <c r="AP204" t="n">
        <v>3420.84</v>
      </c>
      <c r="AQ204" t="inlineStr">
        <is>
          <t>THAILAND BAHT</t>
        </is>
      </c>
      <c r="AR204" t="n">
        <v>686.5599999999999</v>
      </c>
      <c r="AS204" t="n">
        <v>762.85</v>
      </c>
      <c r="AT204" t="n">
        <v>795.1900000000001</v>
      </c>
      <c r="AU204" t="inlineStr">
        <is>
          <t>KOREAN WON</t>
        </is>
      </c>
      <c r="AV204" t="n">
        <v>15.5</v>
      </c>
      <c r="AW204" t="n">
        <v>17.23</v>
      </c>
      <c r="AX204" t="n">
        <v>18.69</v>
      </c>
      <c r="AY204" t="inlineStr">
        <is>
          <t>MALAYSIAN RINGGIT</t>
        </is>
      </c>
      <c r="BA204" t="n">
        <v>6360.43</v>
      </c>
      <c r="BB204" t="n">
        <v>6498.79</v>
      </c>
      <c r="BC204" t="inlineStr">
        <is>
          <t>INDIAN RUPEE</t>
        </is>
      </c>
      <c r="BE204" t="n">
        <v>270.98</v>
      </c>
      <c r="BF204" t="n">
        <v>282.64</v>
      </c>
      <c r="BG204" t="inlineStr">
        <is>
          <t>KUWAITI DINAR</t>
        </is>
      </c>
      <c r="BI204" t="n">
        <v>85019.99000000001</v>
      </c>
      <c r="BJ204" t="n">
        <v>89140.67999999999</v>
      </c>
      <c r="BK204" t="inlineStr">
        <is>
          <t>SAUDI RIAL</t>
        </is>
      </c>
      <c r="BM204" t="n">
        <v>6973.98</v>
      </c>
      <c r="BN204" t="n">
        <v>7274.1</v>
      </c>
      <c r="BO204" t="inlineStr">
        <is>
          <t>NORWEGIAN KRONER</t>
        </is>
      </c>
      <c r="BQ204" t="n">
        <v>2685.14</v>
      </c>
      <c r="BR204" t="n">
        <v>2798.99</v>
      </c>
      <c r="BS204" t="inlineStr">
        <is>
          <t>SWEDISH KRONA</t>
        </is>
      </c>
      <c r="BU204" t="n">
        <v>2643.68</v>
      </c>
      <c r="BV204" t="n">
        <v>2755.77</v>
      </c>
      <c r="BW204" t="inlineStr">
        <is>
          <t>DANISH KRONE</t>
        </is>
      </c>
      <c r="BY204" t="n">
        <v>3932.92</v>
      </c>
      <c r="BZ204" t="n">
        <v>4083.3</v>
      </c>
      <c r="CA204" t="inlineStr">
        <is>
          <t>RUSSIAN RUBLE</t>
        </is>
      </c>
      <c r="CC204" t="n">
        <v>319.91</v>
      </c>
      <c r="CD204" t="n">
        <v>354.12</v>
      </c>
    </row>
    <row r="205">
      <c r="A205" t="inlineStr">
        <is>
          <t>27/07/2026</t>
        </is>
      </c>
      <c r="B205">
        <f>IF(ISNUMBER(A205), A205, DATE(RIGHT(A205,4), MID(A205,4,2), LEFT(A205,2)))</f>
        <v/>
      </c>
      <c r="C205" t="inlineStr">
        <is>
          <t>US DOLLAR</t>
        </is>
      </c>
      <c r="D205" t="n">
        <v>26110</v>
      </c>
      <c r="E205" t="n">
        <v>26140</v>
      </c>
      <c r="F205" t="n">
        <v>26520</v>
      </c>
      <c r="G205" t="inlineStr">
        <is>
          <t>EURO</t>
        </is>
      </c>
      <c r="H205" t="n">
        <v>29250.63</v>
      </c>
      <c r="I205" t="n">
        <v>29546.09</v>
      </c>
      <c r="J205" t="n">
        <v>30792.68</v>
      </c>
      <c r="K205" t="inlineStr">
        <is>
          <t>POUND STERLING</t>
        </is>
      </c>
      <c r="L205" t="n">
        <v>34248.46</v>
      </c>
      <c r="M205" t="n">
        <v>34594.4</v>
      </c>
      <c r="N205" t="n">
        <v>35702.23</v>
      </c>
      <c r="O205" t="inlineStr">
        <is>
          <t>YEN</t>
        </is>
      </c>
      <c r="P205" t="n">
        <v>154.55</v>
      </c>
      <c r="Q205" t="n">
        <v>156.11</v>
      </c>
      <c r="R205" t="n">
        <v>166.01</v>
      </c>
      <c r="S205" t="inlineStr">
        <is>
          <t>AUSTRALIAN DOLLAR</t>
        </is>
      </c>
      <c r="T205" t="n">
        <v>17943.94</v>
      </c>
      <c r="U205" t="n">
        <v>18125.2</v>
      </c>
      <c r="V205" t="n">
        <v>18705.63</v>
      </c>
      <c r="W205" t="inlineStr">
        <is>
          <t>CANADIAN DOLLAR</t>
        </is>
      </c>
      <c r="X205" t="n">
        <v>18225.83</v>
      </c>
      <c r="Y205" t="n">
        <v>18409.93</v>
      </c>
      <c r="Z205" t="n">
        <v>18999.48</v>
      </c>
      <c r="AA205" t="inlineStr">
        <is>
          <t>SWISS FRANC</t>
        </is>
      </c>
      <c r="AB205" t="n">
        <v>31490.94</v>
      </c>
      <c r="AC205" t="n">
        <v>31809.03</v>
      </c>
      <c r="AD205" t="n">
        <v>32827.67</v>
      </c>
      <c r="AE205" t="inlineStr">
        <is>
          <t>SINGAPORE DOLLAR</t>
        </is>
      </c>
      <c r="AF205" t="n">
        <v>19884.21</v>
      </c>
      <c r="AG205" t="n">
        <v>20085.06</v>
      </c>
      <c r="AH205" t="n">
        <v>20769.76</v>
      </c>
      <c r="AI205" t="inlineStr">
        <is>
          <t>YUAN RENMINBI</t>
        </is>
      </c>
      <c r="AJ205" t="n">
        <v>3789.48</v>
      </c>
      <c r="AK205" t="n">
        <v>3827.76</v>
      </c>
      <c r="AL205" t="n">
        <v>3950.33</v>
      </c>
      <c r="AM205" t="inlineStr">
        <is>
          <t>HONGKONG DOLLAR</t>
        </is>
      </c>
      <c r="AN205" t="n">
        <v>3262.82</v>
      </c>
      <c r="AO205" t="n">
        <v>3295.77</v>
      </c>
      <c r="AP205" t="n">
        <v>3421.79</v>
      </c>
      <c r="AQ205" t="inlineStr">
        <is>
          <t>THAILAND BAHT</t>
        </is>
      </c>
      <c r="AR205" t="n">
        <v>691.12</v>
      </c>
      <c r="AS205" t="n">
        <v>767.91</v>
      </c>
      <c r="AT205" t="n">
        <v>800.47</v>
      </c>
      <c r="AU205" t="inlineStr">
        <is>
          <t>KOREAN WON</t>
        </is>
      </c>
      <c r="AV205" t="n">
        <v>15.55</v>
      </c>
      <c r="AW205" t="n">
        <v>17.27</v>
      </c>
      <c r="AX205" t="n">
        <v>18.74</v>
      </c>
      <c r="AY205" t="inlineStr">
        <is>
          <t>MALAYSIAN RINGGIT</t>
        </is>
      </c>
      <c r="BA205" t="n">
        <v>6376.87</v>
      </c>
      <c r="BB205" t="n">
        <v>6515.58</v>
      </c>
      <c r="BC205" t="inlineStr">
        <is>
          <t>INDIAN RUPEE</t>
        </is>
      </c>
      <c r="BE205" t="n">
        <v>271.11</v>
      </c>
      <c r="BF205" t="n">
        <v>282.78</v>
      </c>
      <c r="BG205" t="inlineStr">
        <is>
          <t>KUWAITI DINAR</t>
        </is>
      </c>
      <c r="BI205" t="n">
        <v>85024.7</v>
      </c>
      <c r="BJ205" t="n">
        <v>89145.56</v>
      </c>
      <c r="BK205" t="inlineStr">
        <is>
          <t>SAUDI RIAL</t>
        </is>
      </c>
      <c r="BM205" t="n">
        <v>6976.07</v>
      </c>
      <c r="BN205" t="n">
        <v>7276.28</v>
      </c>
      <c r="BO205" t="inlineStr">
        <is>
          <t>NORWEGIAN KRONER</t>
        </is>
      </c>
      <c r="BQ205" t="n">
        <v>2696.32</v>
      </c>
      <c r="BR205" t="n">
        <v>2810.65</v>
      </c>
      <c r="BS205" t="inlineStr">
        <is>
          <t>SWEDISH KRONA</t>
        </is>
      </c>
      <c r="BU205" t="n">
        <v>2666.67</v>
      </c>
      <c r="BV205" t="n">
        <v>2779.73</v>
      </c>
      <c r="BW205" t="inlineStr">
        <is>
          <t>DANISH KRONE</t>
        </is>
      </c>
      <c r="BY205" t="n">
        <v>3941.98</v>
      </c>
      <c r="BZ205" t="n">
        <v>4092.7</v>
      </c>
      <c r="CA205" t="inlineStr">
        <is>
          <t>RUSSIAN RUBLE</t>
        </is>
      </c>
      <c r="CC205" t="n">
        <v>322.71</v>
      </c>
      <c r="CD205" t="n">
        <v>357.22</v>
      </c>
    </row>
    <row r="206">
      <c r="A206" t="inlineStr">
        <is>
          <t>28/07/2026</t>
        </is>
      </c>
      <c r="B206">
        <f>IF(ISNUMBER(A206), A206, DATE(RIGHT(A206,4), MID(A206,4,2), LEFT(A206,2)))</f>
        <v/>
      </c>
      <c r="C206" t="inlineStr">
        <is>
          <t>US DOLLAR</t>
        </is>
      </c>
      <c r="D206" t="n">
        <v>26115</v>
      </c>
      <c r="E206" t="n">
        <v>26145</v>
      </c>
      <c r="F206" t="n">
        <v>26525</v>
      </c>
      <c r="G206" t="inlineStr">
        <is>
          <t>EURO</t>
        </is>
      </c>
      <c r="H206" t="n">
        <v>29176.64</v>
      </c>
      <c r="I206" t="n">
        <v>29471.35</v>
      </c>
      <c r="J206" t="n">
        <v>30714.78</v>
      </c>
      <c r="K206" t="inlineStr">
        <is>
          <t>POUND STERLING</t>
        </is>
      </c>
      <c r="L206" t="n">
        <v>34093.3</v>
      </c>
      <c r="M206" t="n">
        <v>34437.68</v>
      </c>
      <c r="N206" t="n">
        <v>35540.48</v>
      </c>
      <c r="O206" t="inlineStr">
        <is>
          <t>YEN</t>
        </is>
      </c>
      <c r="P206" t="n">
        <v>154.44</v>
      </c>
      <c r="Q206" t="n">
        <v>156</v>
      </c>
      <c r="R206" t="n">
        <v>165.9</v>
      </c>
      <c r="S206" t="inlineStr">
        <is>
          <t>AUSTRALIAN DOLLAR</t>
        </is>
      </c>
      <c r="T206" t="n">
        <v>17921.69</v>
      </c>
      <c r="U206" t="n">
        <v>18102.72</v>
      </c>
      <c r="V206" t="n">
        <v>18682.43</v>
      </c>
      <c r="W206" t="inlineStr">
        <is>
          <t>CANADIAN DOLLAR</t>
        </is>
      </c>
      <c r="X206" t="n">
        <v>18177.65</v>
      </c>
      <c r="Y206" t="n">
        <v>18361.27</v>
      </c>
      <c r="Z206" t="n">
        <v>18949.25</v>
      </c>
      <c r="AA206" t="inlineStr">
        <is>
          <t>SWISS FRANC</t>
        </is>
      </c>
      <c r="AB206" t="n">
        <v>31343.08</v>
      </c>
      <c r="AC206" t="n">
        <v>31659.68</v>
      </c>
      <c r="AD206" t="n">
        <v>32673.52</v>
      </c>
      <c r="AE206" t="inlineStr">
        <is>
          <t>SINGAPORE DOLLAR</t>
        </is>
      </c>
      <c r="AF206" t="n">
        <v>19854.11</v>
      </c>
      <c r="AG206" t="n">
        <v>20054.66</v>
      </c>
      <c r="AH206" t="n">
        <v>20738.32</v>
      </c>
      <c r="AI206" t="inlineStr">
        <is>
          <t>YUAN RENMINBI</t>
        </is>
      </c>
      <c r="AJ206" t="n">
        <v>3793.67</v>
      </c>
      <c r="AK206" t="n">
        <v>3831.99</v>
      </c>
      <c r="AL206" t="n">
        <v>3954.7</v>
      </c>
      <c r="AM206" t="inlineStr">
        <is>
          <t>HONGKONG DOLLAR</t>
        </is>
      </c>
      <c r="AN206" t="n">
        <v>3263.56</v>
      </c>
      <c r="AO206" t="n">
        <v>3296.53</v>
      </c>
      <c r="AP206" t="n">
        <v>3422.57</v>
      </c>
      <c r="AQ206" t="inlineStr">
        <is>
          <t>THAILAND BAHT</t>
        </is>
      </c>
      <c r="AR206" t="n">
        <v>690.22</v>
      </c>
      <c r="AS206" t="n">
        <v>766.91</v>
      </c>
      <c r="AT206" t="n">
        <v>799.4299999999999</v>
      </c>
      <c r="AU206" t="inlineStr">
        <is>
          <t>KOREAN WON</t>
        </is>
      </c>
      <c r="AV206" t="n">
        <v>15.5</v>
      </c>
      <c r="AW206" t="n">
        <v>17.23</v>
      </c>
      <c r="AX206" t="n">
        <v>18.69</v>
      </c>
      <c r="AY206" t="inlineStr">
        <is>
          <t>MALAYSIAN RINGGIT</t>
        </is>
      </c>
      <c r="BA206" t="n">
        <v>6382.77</v>
      </c>
      <c r="BB206" t="n">
        <v>6521.61</v>
      </c>
      <c r="BC206" t="inlineStr">
        <is>
          <t>INDIAN RUPEE</t>
        </is>
      </c>
      <c r="BE206" t="n">
        <v>273.04</v>
      </c>
      <c r="BF206" t="n">
        <v>284.78</v>
      </c>
      <c r="BG206" t="inlineStr">
        <is>
          <t>KUWAITI DINAR</t>
        </is>
      </c>
      <c r="BI206" t="n">
        <v>85068.48</v>
      </c>
      <c r="BJ206" t="n">
        <v>89191.44</v>
      </c>
      <c r="BK206" t="inlineStr">
        <is>
          <t>SAUDI RIAL</t>
        </is>
      </c>
      <c r="BM206" t="n">
        <v>6975.35</v>
      </c>
      <c r="BN206" t="n">
        <v>7275.53</v>
      </c>
      <c r="BO206" t="inlineStr">
        <is>
          <t>NORWEGIAN KRONER</t>
        </is>
      </c>
      <c r="BQ206" t="n">
        <v>2669.1</v>
      </c>
      <c r="BR206" t="n">
        <v>2782.27</v>
      </c>
      <c r="BS206" t="inlineStr">
        <is>
          <t>SWEDISH KRONA</t>
        </is>
      </c>
      <c r="BU206" t="n">
        <v>2652.91</v>
      </c>
      <c r="BV206" t="n">
        <v>2765.39</v>
      </c>
      <c r="BW206" t="inlineStr">
        <is>
          <t>DANISH KRONE</t>
        </is>
      </c>
      <c r="BY206" t="n">
        <v>3932.29</v>
      </c>
      <c r="BZ206" t="n">
        <v>4082.65</v>
      </c>
      <c r="CA206" t="inlineStr">
        <is>
          <t>RUSSIAN RUBLE</t>
        </is>
      </c>
      <c r="CC206" t="n">
        <v>321.33</v>
      </c>
      <c r="CD206" t="n">
        <v>355.69</v>
      </c>
    </row>
    <row r="207">
      <c r="A207" t="inlineStr">
        <is>
          <t>29/07/2026</t>
        </is>
      </c>
      <c r="B207">
        <f>IF(ISNUMBER(A207), A207, DATE(RIGHT(A207,4), MID(A207,4,2), LEFT(A207,2)))</f>
        <v/>
      </c>
      <c r="C207" t="inlineStr">
        <is>
          <t>US DOLLAR</t>
        </is>
      </c>
      <c r="D207" t="n">
        <v>26105</v>
      </c>
      <c r="E207" t="n">
        <v>26135</v>
      </c>
      <c r="F207" t="n">
        <v>26515</v>
      </c>
      <c r="G207" t="inlineStr">
        <is>
          <t>EURO</t>
        </is>
      </c>
      <c r="H207" t="n">
        <v>29232.25</v>
      </c>
      <c r="I207" t="n">
        <v>29527.52</v>
      </c>
      <c r="J207" t="n">
        <v>30773.33</v>
      </c>
      <c r="K207" t="inlineStr">
        <is>
          <t>POUND STERLING</t>
        </is>
      </c>
      <c r="L207" t="n">
        <v>34121.39</v>
      </c>
      <c r="M207" t="n">
        <v>34466.05</v>
      </c>
      <c r="N207" t="n">
        <v>35569.78</v>
      </c>
      <c r="O207" t="inlineStr">
        <is>
          <t>YEN</t>
        </is>
      </c>
      <c r="P207" t="n">
        <v>155.35</v>
      </c>
      <c r="Q207" t="n">
        <v>156.91</v>
      </c>
      <c r="R207" t="n">
        <v>166.06</v>
      </c>
      <c r="S207" t="inlineStr">
        <is>
          <t>AUSTRALIAN DOLLAR</t>
        </is>
      </c>
      <c r="T207" t="n">
        <v>17809.71</v>
      </c>
      <c r="U207" t="n">
        <v>17989.61</v>
      </c>
      <c r="V207" t="n">
        <v>18565.7</v>
      </c>
      <c r="W207" t="inlineStr">
        <is>
          <t>CANADIAN DOLLAR</t>
        </is>
      </c>
      <c r="X207" t="n">
        <v>18201.68</v>
      </c>
      <c r="Y207" t="n">
        <v>18385.54</v>
      </c>
      <c r="Z207" t="n">
        <v>18974.31</v>
      </c>
      <c r="AA207" t="inlineStr">
        <is>
          <t>SWISS FRANC</t>
        </is>
      </c>
      <c r="AB207" t="n">
        <v>31331.17</v>
      </c>
      <c r="AC207" t="n">
        <v>31647.64</v>
      </c>
      <c r="AD207" t="n">
        <v>32661.12</v>
      </c>
      <c r="AE207" t="inlineStr">
        <is>
          <t>SINGAPORE DOLLAR</t>
        </is>
      </c>
      <c r="AF207" t="n">
        <v>19846.57</v>
      </c>
      <c r="AG207" t="n">
        <v>20047.04</v>
      </c>
      <c r="AH207" t="n">
        <v>20730.45</v>
      </c>
      <c r="AI207" t="inlineStr">
        <is>
          <t>YUAN RENMINBI</t>
        </is>
      </c>
      <c r="AJ207" t="n">
        <v>3792.45</v>
      </c>
      <c r="AK207" t="n">
        <v>3830.76</v>
      </c>
      <c r="AL207" t="n">
        <v>3953.44</v>
      </c>
      <c r="AM207" t="inlineStr">
        <is>
          <t>HONGKONG DOLLAR</t>
        </is>
      </c>
      <c r="AN207" t="n">
        <v>3261.7</v>
      </c>
      <c r="AO207" t="n">
        <v>3294.64</v>
      </c>
      <c r="AP207" t="n">
        <v>3420.62</v>
      </c>
      <c r="AQ207" t="inlineStr">
        <is>
          <t>THAILAND BAHT</t>
        </is>
      </c>
      <c r="AR207" t="n">
        <v>693.05</v>
      </c>
      <c r="AS207" t="n">
        <v>770.0599999999999</v>
      </c>
      <c r="AT207" t="n">
        <v>802.71</v>
      </c>
      <c r="AU207" t="inlineStr">
        <is>
          <t>KOREAN WON</t>
        </is>
      </c>
      <c r="AV207" t="n">
        <v>15.7</v>
      </c>
      <c r="AW207" t="n">
        <v>17.44</v>
      </c>
      <c r="AX207" t="n">
        <v>18.92</v>
      </c>
      <c r="AY207" t="inlineStr">
        <is>
          <t>MALAYSIAN RINGGIT</t>
        </is>
      </c>
      <c r="BA207" t="n">
        <v>6372.54</v>
      </c>
      <c r="BB207" t="n">
        <v>6511.16</v>
      </c>
      <c r="BC207" t="inlineStr">
        <is>
          <t>INDIAN RUPEE</t>
        </is>
      </c>
      <c r="BE207" t="n">
        <v>273.75</v>
      </c>
      <c r="BF207" t="n">
        <v>285.53</v>
      </c>
      <c r="BG207" t="inlineStr">
        <is>
          <t>KUWAITI DINAR</t>
        </is>
      </c>
      <c r="BI207" t="n">
        <v>85036.16</v>
      </c>
      <c r="BJ207" t="n">
        <v>89157.60000000001</v>
      </c>
      <c r="BK207" t="inlineStr">
        <is>
          <t>SAUDI RIAL</t>
        </is>
      </c>
      <c r="BM207" t="n">
        <v>6972.7</v>
      </c>
      <c r="BN207" t="n">
        <v>7272.77</v>
      </c>
      <c r="BO207" t="inlineStr">
        <is>
          <t>NORWEGIAN KRONER</t>
        </is>
      </c>
      <c r="BQ207" t="n">
        <v>2665.88</v>
      </c>
      <c r="BR207" t="n">
        <v>2778.91</v>
      </c>
      <c r="BS207" t="inlineStr">
        <is>
          <t>SWEDISH KRONA</t>
        </is>
      </c>
      <c r="BU207" t="n">
        <v>2659.83</v>
      </c>
      <c r="BV207" t="n">
        <v>2772.61</v>
      </c>
      <c r="BW207" t="inlineStr">
        <is>
          <t>DANISH KRONE</t>
        </is>
      </c>
      <c r="BY207" t="n">
        <v>3939.73</v>
      </c>
      <c r="BZ207" t="n">
        <v>4090.37</v>
      </c>
      <c r="CA207" t="inlineStr">
        <is>
          <t>RUSSIAN RUBLE</t>
        </is>
      </c>
      <c r="CC207" t="n">
        <v>315.72</v>
      </c>
      <c r="CD207" t="n">
        <v>349.48</v>
      </c>
    </row>
    <row r="208">
      <c r="A208" t="inlineStr">
        <is>
          <t>30/07/2026</t>
        </is>
      </c>
      <c r="B208">
        <f>IF(ISNUMBER(A208), A208, DATE(RIGHT(A208,4), MID(A208,4,2), LEFT(A208,2)))</f>
        <v/>
      </c>
      <c r="C208" t="inlineStr">
        <is>
          <t>US DOLLAR</t>
        </is>
      </c>
      <c r="D208" t="n">
        <v>26080</v>
      </c>
      <c r="E208" t="n">
        <v>26110</v>
      </c>
      <c r="F208" t="n">
        <v>26490</v>
      </c>
      <c r="G208" t="inlineStr">
        <is>
          <t>EURO</t>
        </is>
      </c>
      <c r="H208" t="n">
        <v>29327.47</v>
      </c>
      <c r="I208" t="n">
        <v>29623.71</v>
      </c>
      <c r="J208" t="n">
        <v>30873.62</v>
      </c>
      <c r="K208" t="inlineStr">
        <is>
          <t>POUND STERLING</t>
        </is>
      </c>
      <c r="L208" t="n">
        <v>34201.72</v>
      </c>
      <c r="M208" t="n">
        <v>34547.19</v>
      </c>
      <c r="N208" t="n">
        <v>35653.57</v>
      </c>
      <c r="O208" t="inlineStr">
        <is>
          <t>YEN</t>
        </is>
      </c>
      <c r="P208" t="n">
        <v>155.15</v>
      </c>
      <c r="Q208" t="n">
        <v>156.72</v>
      </c>
      <c r="R208" t="n">
        <v>165.86</v>
      </c>
      <c r="S208" t="inlineStr">
        <is>
          <t>AUSTRALIAN DOLLAR</t>
        </is>
      </c>
      <c r="T208" t="n">
        <v>17836.35</v>
      </c>
      <c r="U208" t="n">
        <v>18016.52</v>
      </c>
      <c r="V208" t="n">
        <v>18593.5</v>
      </c>
      <c r="W208" t="inlineStr">
        <is>
          <t>CANADIAN DOLLAR</t>
        </is>
      </c>
      <c r="X208" t="n">
        <v>18230.95</v>
      </c>
      <c r="Y208" t="n">
        <v>18415.1</v>
      </c>
      <c r="Z208" t="n">
        <v>19004.85</v>
      </c>
      <c r="AA208" t="inlineStr">
        <is>
          <t>SWISS FRANC</t>
        </is>
      </c>
      <c r="AB208" t="n">
        <v>31424.19</v>
      </c>
      <c r="AC208" t="n">
        <v>31741.6</v>
      </c>
      <c r="AD208" t="n">
        <v>32758.14</v>
      </c>
      <c r="AE208" t="inlineStr">
        <is>
          <t>SINGAPORE DOLLAR</t>
        </is>
      </c>
      <c r="AF208" t="n">
        <v>19844.61</v>
      </c>
      <c r="AG208" t="n">
        <v>20045.06</v>
      </c>
      <c r="AH208" t="n">
        <v>20728.43</v>
      </c>
      <c r="AI208" t="inlineStr">
        <is>
          <t>YUAN RENMINBI</t>
        </is>
      </c>
      <c r="AJ208" t="n">
        <v>3793.56</v>
      </c>
      <c r="AK208" t="n">
        <v>3831.88</v>
      </c>
      <c r="AL208" t="n">
        <v>3954.6</v>
      </c>
      <c r="AM208" t="inlineStr">
        <is>
          <t>HONGKONG DOLLAR</t>
        </is>
      </c>
      <c r="AN208" t="n">
        <v>3258.43</v>
      </c>
      <c r="AO208" t="n">
        <v>3291.34</v>
      </c>
      <c r="AP208" t="n">
        <v>3417.2</v>
      </c>
      <c r="AQ208" t="inlineStr">
        <is>
          <t>THAILAND BAHT</t>
        </is>
      </c>
      <c r="AR208" t="n">
        <v>690.33</v>
      </c>
      <c r="AS208" t="n">
        <v>767.04</v>
      </c>
      <c r="AT208" t="n">
        <v>799.5599999999999</v>
      </c>
      <c r="AU208" t="inlineStr">
        <is>
          <t>KOREAN WON</t>
        </is>
      </c>
      <c r="AV208" t="n">
        <v>15.85</v>
      </c>
      <c r="AW208" t="n">
        <v>17.61</v>
      </c>
      <c r="AX208" t="n">
        <v>19.1</v>
      </c>
      <c r="AY208" t="inlineStr">
        <is>
          <t>MALAYSIAN RINGGIT</t>
        </is>
      </c>
      <c r="BA208" t="n">
        <v>6364.92</v>
      </c>
      <c r="BB208" t="n">
        <v>6503.39</v>
      </c>
      <c r="BC208" t="inlineStr">
        <is>
          <t>INDIAN RUPEE</t>
        </is>
      </c>
      <c r="BE208" t="n">
        <v>273.3</v>
      </c>
      <c r="BF208" t="n">
        <v>285.06</v>
      </c>
      <c r="BG208" t="inlineStr">
        <is>
          <t>KUWAITI DINAR</t>
        </is>
      </c>
      <c r="BI208" t="n">
        <v>85010.58</v>
      </c>
      <c r="BJ208" t="n">
        <v>89130.91</v>
      </c>
      <c r="BK208" t="inlineStr">
        <is>
          <t>SAUDI RIAL</t>
        </is>
      </c>
      <c r="BM208" t="n">
        <v>6964.78</v>
      </c>
      <c r="BN208" t="n">
        <v>7264.51</v>
      </c>
      <c r="BO208" t="inlineStr">
        <is>
          <t>NORWEGIAN KRONER</t>
        </is>
      </c>
      <c r="BQ208" t="n">
        <v>2688.67</v>
      </c>
      <c r="BR208" t="n">
        <v>2802.67</v>
      </c>
      <c r="BS208" t="inlineStr">
        <is>
          <t>SWEDISH KRONA</t>
        </is>
      </c>
      <c r="BU208" t="n">
        <v>2666.93</v>
      </c>
      <c r="BV208" t="n">
        <v>2780.01</v>
      </c>
      <c r="BW208" t="inlineStr">
        <is>
          <t>DANISH KRONE</t>
        </is>
      </c>
      <c r="BY208" t="n">
        <v>3953.04</v>
      </c>
      <c r="BZ208" t="n">
        <v>4104.19</v>
      </c>
      <c r="CA208" t="inlineStr">
        <is>
          <t>RUSSIAN RUBLE</t>
        </is>
      </c>
      <c r="CC208" t="n">
        <v>313.25</v>
      </c>
      <c r="CD208" t="n">
        <v>346.75</v>
      </c>
    </row>
    <row r="209">
      <c r="A209" t="inlineStr">
        <is>
          <t>31/07/2026</t>
        </is>
      </c>
      <c r="B209">
        <f>IF(ISNUMBER(A209), A209, DATE(RIGHT(A209,4), MID(A209,4,2), LEFT(A209,2)))</f>
        <v/>
      </c>
      <c r="C209" t="inlineStr">
        <is>
          <t>US DOLLAR</t>
        </is>
      </c>
      <c r="D209" t="n">
        <v>26080</v>
      </c>
      <c r="E209" t="n">
        <v>26110</v>
      </c>
      <c r="F209" t="n">
        <v>26490</v>
      </c>
      <c r="G209" t="inlineStr">
        <is>
          <t>EURO</t>
        </is>
      </c>
      <c r="H209" t="n">
        <v>29496.61</v>
      </c>
      <c r="I209" t="n">
        <v>29794.56</v>
      </c>
      <c r="J209" t="n">
        <v>31051.68</v>
      </c>
      <c r="K209" t="inlineStr">
        <is>
          <t>POUND STERLING</t>
        </is>
      </c>
      <c r="L209" t="n">
        <v>34447.74</v>
      </c>
      <c r="M209" t="n">
        <v>34795.69</v>
      </c>
      <c r="N209" t="n">
        <v>35910.03</v>
      </c>
      <c r="O209" t="inlineStr">
        <is>
          <t>YEN</t>
        </is>
      </c>
      <c r="P209" t="n">
        <v>158.33</v>
      </c>
      <c r="Q209" t="n">
        <v>159.93</v>
      </c>
      <c r="R209" t="n">
        <v>169.26</v>
      </c>
      <c r="S209" t="inlineStr">
        <is>
          <t>AUSTRALIAN DOLLAR</t>
        </is>
      </c>
      <c r="T209" t="n">
        <v>18010.61</v>
      </c>
      <c r="U209" t="n">
        <v>18192.54</v>
      </c>
      <c r="V209" t="n">
        <v>18775.16</v>
      </c>
      <c r="W209" t="inlineStr">
        <is>
          <t>CANADIAN DOLLAR</t>
        </is>
      </c>
      <c r="X209" t="n">
        <v>18285.57</v>
      </c>
      <c r="Y209" t="n">
        <v>18470.27</v>
      </c>
      <c r="Z209" t="n">
        <v>19061.79</v>
      </c>
      <c r="AA209" t="inlineStr">
        <is>
          <t>SWISS FRANC</t>
        </is>
      </c>
      <c r="AB209" t="n">
        <v>31751.16</v>
      </c>
      <c r="AC209" t="n">
        <v>32071.88</v>
      </c>
      <c r="AD209" t="n">
        <v>33098.99</v>
      </c>
      <c r="AE209" t="inlineStr">
        <is>
          <t>SINGAPORE DOLLAR</t>
        </is>
      </c>
      <c r="AF209" t="n">
        <v>19966.85</v>
      </c>
      <c r="AG209" t="n">
        <v>20168.53</v>
      </c>
      <c r="AH209" t="n">
        <v>20856.11</v>
      </c>
      <c r="AI209" t="inlineStr">
        <is>
          <t>YUAN RENMINBI</t>
        </is>
      </c>
      <c r="AJ209" t="n">
        <v>3799.18</v>
      </c>
      <c r="AK209" t="n">
        <v>3837.56</v>
      </c>
      <c r="AL209" t="n">
        <v>3960.46</v>
      </c>
      <c r="AM209" t="inlineStr">
        <is>
          <t>HONGKONG DOLLAR</t>
        </is>
      </c>
      <c r="AN209" t="n">
        <v>3259.47</v>
      </c>
      <c r="AO209" t="n">
        <v>3292.39</v>
      </c>
      <c r="AP209" t="n">
        <v>3418.29</v>
      </c>
      <c r="AQ209" t="inlineStr">
        <is>
          <t>THAILAND BAHT</t>
        </is>
      </c>
      <c r="AR209" t="n">
        <v>694.67</v>
      </c>
      <c r="AS209" t="n">
        <v>771.86</v>
      </c>
      <c r="AT209" t="n">
        <v>804.59</v>
      </c>
      <c r="AU209" t="inlineStr">
        <is>
          <t>KOREAN WON</t>
        </is>
      </c>
      <c r="AV209" t="n">
        <v>15.91</v>
      </c>
      <c r="AW209" t="n">
        <v>17.68</v>
      </c>
      <c r="AX209" t="n">
        <v>19.18</v>
      </c>
      <c r="AY209" t="inlineStr">
        <is>
          <t>MALAYSIAN RINGGIT</t>
        </is>
      </c>
      <c r="BA209" t="n">
        <v>6369.6</v>
      </c>
      <c r="BB209" t="n">
        <v>6508.17</v>
      </c>
      <c r="BC209" t="inlineStr">
        <is>
          <t>INDIAN RUPEE</t>
        </is>
      </c>
      <c r="BE209" t="n">
        <v>274</v>
      </c>
      <c r="BF209" t="n">
        <v>285.79</v>
      </c>
      <c r="BG209" t="inlineStr">
        <is>
          <t>KUWAITI DINAR</t>
        </is>
      </c>
      <c r="BI209" t="n">
        <v>85010.58</v>
      </c>
      <c r="BJ209" t="n">
        <v>89130.91</v>
      </c>
      <c r="BK209" t="inlineStr">
        <is>
          <t>SAUDI RIAL</t>
        </is>
      </c>
      <c r="BM209" t="n">
        <v>6964.41</v>
      </c>
      <c r="BN209" t="n">
        <v>7264.13</v>
      </c>
      <c r="BO209" t="inlineStr">
        <is>
          <t>NORWEGIAN KRONER</t>
        </is>
      </c>
      <c r="BQ209" t="n">
        <v>2703.14</v>
      </c>
      <c r="BR209" t="n">
        <v>2817.75</v>
      </c>
      <c r="BS209" t="inlineStr">
        <is>
          <t>SWEDISH KRONA</t>
        </is>
      </c>
      <c r="BU209" t="n">
        <v>2701.3</v>
      </c>
      <c r="BV209" t="n">
        <v>2815.83</v>
      </c>
      <c r="BW209" t="inlineStr">
        <is>
          <t>DANISH KRONE</t>
        </is>
      </c>
      <c r="BY209" t="n">
        <v>3975.56</v>
      </c>
      <c r="BZ209" t="n">
        <v>4127.58</v>
      </c>
      <c r="CA209" t="inlineStr">
        <is>
          <t>RUSSIAN RUBLE</t>
        </is>
      </c>
      <c r="CC209" t="n">
        <v>315.62</v>
      </c>
      <c r="CD209" t="n">
        <v>349.37</v>
      </c>
    </row>
    <row r="210">
      <c r="A210" t="inlineStr">
        <is>
          <t>01/08/2026</t>
        </is>
      </c>
      <c r="B210">
        <f>IF(ISNUMBER(A210), A210, DATE(RIGHT(A210,4), MID(A210,4,2), LEFT(A210,2)))</f>
        <v/>
      </c>
      <c r="C210" t="inlineStr">
        <is>
          <t>US DOLLAR</t>
        </is>
      </c>
      <c r="D210" t="n">
        <v>26080</v>
      </c>
      <c r="E210" t="n">
        <v>26110</v>
      </c>
      <c r="F210" t="n">
        <v>26490</v>
      </c>
      <c r="G210" t="inlineStr">
        <is>
          <t>EURO</t>
        </is>
      </c>
      <c r="H210" t="n">
        <v>29496.61</v>
      </c>
      <c r="I210" t="n">
        <v>29794.56</v>
      </c>
      <c r="J210" t="n">
        <v>31051.68</v>
      </c>
      <c r="K210" t="inlineStr">
        <is>
          <t>POUND STERLING</t>
        </is>
      </c>
      <c r="L210" t="n">
        <v>34447.74</v>
      </c>
      <c r="M210" t="n">
        <v>34795.69</v>
      </c>
      <c r="N210" t="n">
        <v>35910.03</v>
      </c>
      <c r="O210" t="inlineStr">
        <is>
          <t>YEN</t>
        </is>
      </c>
      <c r="P210" t="n">
        <v>158.33</v>
      </c>
      <c r="Q210" t="n">
        <v>159.93</v>
      </c>
      <c r="R210" t="n">
        <v>169.26</v>
      </c>
      <c r="S210" t="inlineStr">
        <is>
          <t>AUSTRALIAN DOLLAR</t>
        </is>
      </c>
      <c r="T210" t="n">
        <v>18010.61</v>
      </c>
      <c r="U210" t="n">
        <v>18192.54</v>
      </c>
      <c r="V210" t="n">
        <v>18775.16</v>
      </c>
      <c r="W210" t="inlineStr">
        <is>
          <t>CANADIAN DOLLAR</t>
        </is>
      </c>
      <c r="X210" t="n">
        <v>18285.57</v>
      </c>
      <c r="Y210" t="n">
        <v>18470.27</v>
      </c>
      <c r="Z210" t="n">
        <v>19061.79</v>
      </c>
      <c r="AA210" t="inlineStr">
        <is>
          <t>SWISS FRANC</t>
        </is>
      </c>
      <c r="AB210" t="n">
        <v>31751.16</v>
      </c>
      <c r="AC210" t="n">
        <v>32071.88</v>
      </c>
      <c r="AD210" t="n">
        <v>33098.99</v>
      </c>
      <c r="AE210" t="inlineStr">
        <is>
          <t>SINGAPORE DOLLAR</t>
        </is>
      </c>
      <c r="AF210" t="n">
        <v>19966.85</v>
      </c>
      <c r="AG210" t="n">
        <v>20168.53</v>
      </c>
      <c r="AH210" t="n">
        <v>20856.11</v>
      </c>
      <c r="AI210" t="inlineStr">
        <is>
          <t>YUAN RENMINBI</t>
        </is>
      </c>
      <c r="AJ210" t="n">
        <v>3799.18</v>
      </c>
      <c r="AK210" t="n">
        <v>3837.56</v>
      </c>
      <c r="AL210" t="n">
        <v>3960.46</v>
      </c>
      <c r="AM210" t="inlineStr">
        <is>
          <t>HONGKONG DOLLAR</t>
        </is>
      </c>
      <c r="AN210" t="n">
        <v>3259.47</v>
      </c>
      <c r="AO210" t="n">
        <v>3292.39</v>
      </c>
      <c r="AP210" t="n">
        <v>3418.29</v>
      </c>
      <c r="AQ210" t="inlineStr">
        <is>
          <t>THAILAND BAHT</t>
        </is>
      </c>
      <c r="AR210" t="n">
        <v>694.67</v>
      </c>
      <c r="AS210" t="n">
        <v>771.86</v>
      </c>
      <c r="AT210" t="n">
        <v>804.59</v>
      </c>
      <c r="AU210" t="inlineStr">
        <is>
          <t>KOREAN WON</t>
        </is>
      </c>
      <c r="AV210" t="n">
        <v>15.91</v>
      </c>
      <c r="AW210" t="n">
        <v>17.68</v>
      </c>
      <c r="AX210" t="n">
        <v>19.18</v>
      </c>
      <c r="AY210" t="inlineStr">
        <is>
          <t>MALAYSIAN RINGGIT</t>
        </is>
      </c>
      <c r="BA210" t="n">
        <v>6369.6</v>
      </c>
      <c r="BB210" t="n">
        <v>6508.17</v>
      </c>
      <c r="BC210" t="inlineStr">
        <is>
          <t>INDIAN RUPEE</t>
        </is>
      </c>
      <c r="BE210" t="n">
        <v>274</v>
      </c>
      <c r="BF210" t="n">
        <v>285.79</v>
      </c>
      <c r="BG210" t="inlineStr">
        <is>
          <t>KUWAITI DINAR</t>
        </is>
      </c>
      <c r="BI210" t="n">
        <v>85010.58</v>
      </c>
      <c r="BJ210" t="n">
        <v>89130.91</v>
      </c>
      <c r="BK210" t="inlineStr">
        <is>
          <t>SAUDI RIAL</t>
        </is>
      </c>
      <c r="BM210" t="n">
        <v>6964.41</v>
      </c>
      <c r="BN210" t="n">
        <v>7264.13</v>
      </c>
      <c r="BO210" t="inlineStr">
        <is>
          <t>NORWEGIAN KRONER</t>
        </is>
      </c>
      <c r="BQ210" t="n">
        <v>2703.14</v>
      </c>
      <c r="BR210" t="n">
        <v>2817.75</v>
      </c>
      <c r="BS210" t="inlineStr">
        <is>
          <t>SWEDISH KRONA</t>
        </is>
      </c>
      <c r="BU210" t="n">
        <v>2701.3</v>
      </c>
      <c r="BV210" t="n">
        <v>2815.83</v>
      </c>
      <c r="BW210" t="inlineStr">
        <is>
          <t>DANISH KRONE</t>
        </is>
      </c>
      <c r="BY210" t="n">
        <v>3975.56</v>
      </c>
      <c r="BZ210" t="n">
        <v>4127.58</v>
      </c>
      <c r="CA210" t="inlineStr">
        <is>
          <t>RUSSIAN RUBLE</t>
        </is>
      </c>
      <c r="CC210" t="n">
        <v>315.62</v>
      </c>
      <c r="CD210" t="n">
        <v>349.37</v>
      </c>
    </row>
    <row r="211">
      <c r="A211" t="inlineStr">
        <is>
          <t>02/08/2026</t>
        </is>
      </c>
      <c r="B211">
        <f>IF(ISNUMBER(A211), A211, DATE(RIGHT(A211,4), MID(A211,4,2), LEFT(A211,2)))</f>
        <v/>
      </c>
      <c r="C211" t="inlineStr">
        <is>
          <t>US DOLLAR</t>
        </is>
      </c>
      <c r="D211" t="n">
        <v>26080</v>
      </c>
      <c r="E211" t="n">
        <v>26110</v>
      </c>
      <c r="F211" t="n">
        <v>26490</v>
      </c>
      <c r="G211" t="inlineStr">
        <is>
          <t>EURO</t>
        </is>
      </c>
      <c r="H211" t="n">
        <v>29496.61</v>
      </c>
      <c r="I211" t="n">
        <v>29794.56</v>
      </c>
      <c r="J211" t="n">
        <v>31051.68</v>
      </c>
      <c r="K211" t="inlineStr">
        <is>
          <t>POUND STERLING</t>
        </is>
      </c>
      <c r="L211" t="n">
        <v>34447.74</v>
      </c>
      <c r="M211" t="n">
        <v>34795.69</v>
      </c>
      <c r="N211" t="n">
        <v>35910.03</v>
      </c>
      <c r="O211" t="inlineStr">
        <is>
          <t>YEN</t>
        </is>
      </c>
      <c r="P211" t="n">
        <v>158.33</v>
      </c>
      <c r="Q211" t="n">
        <v>159.93</v>
      </c>
      <c r="R211" t="n">
        <v>169.26</v>
      </c>
      <c r="S211" t="inlineStr">
        <is>
          <t>AUSTRALIAN DOLLAR</t>
        </is>
      </c>
      <c r="T211" t="n">
        <v>18010.61</v>
      </c>
      <c r="U211" t="n">
        <v>18192.54</v>
      </c>
      <c r="V211" t="n">
        <v>18775.16</v>
      </c>
      <c r="W211" t="inlineStr">
        <is>
          <t>CANADIAN DOLLAR</t>
        </is>
      </c>
      <c r="X211" t="n">
        <v>18285.57</v>
      </c>
      <c r="Y211" t="n">
        <v>18470.27</v>
      </c>
      <c r="Z211" t="n">
        <v>19061.79</v>
      </c>
      <c r="AA211" t="inlineStr">
        <is>
          <t>SWISS FRANC</t>
        </is>
      </c>
      <c r="AB211" t="n">
        <v>31751.16</v>
      </c>
      <c r="AC211" t="n">
        <v>32071.88</v>
      </c>
      <c r="AD211" t="n">
        <v>33098.99</v>
      </c>
      <c r="AE211" t="inlineStr">
        <is>
          <t>SINGAPORE DOLLAR</t>
        </is>
      </c>
      <c r="AF211" t="n">
        <v>19966.85</v>
      </c>
      <c r="AG211" t="n">
        <v>20168.53</v>
      </c>
      <c r="AH211" t="n">
        <v>20856.11</v>
      </c>
      <c r="AI211" t="inlineStr">
        <is>
          <t>YUAN RENMINBI</t>
        </is>
      </c>
      <c r="AJ211" t="n">
        <v>3799.18</v>
      </c>
      <c r="AK211" t="n">
        <v>3837.56</v>
      </c>
      <c r="AL211" t="n">
        <v>3960.46</v>
      </c>
      <c r="AM211" t="inlineStr">
        <is>
          <t>HONGKONG DOLLAR</t>
        </is>
      </c>
      <c r="AN211" t="n">
        <v>3259.47</v>
      </c>
      <c r="AO211" t="n">
        <v>3292.39</v>
      </c>
      <c r="AP211" t="n">
        <v>3418.29</v>
      </c>
      <c r="AQ211" t="inlineStr">
        <is>
          <t>THAILAND BAHT</t>
        </is>
      </c>
      <c r="AR211" t="n">
        <v>694.67</v>
      </c>
      <c r="AS211" t="n">
        <v>771.86</v>
      </c>
      <c r="AT211" t="n">
        <v>804.59</v>
      </c>
      <c r="AU211" t="inlineStr">
        <is>
          <t>KOREAN WON</t>
        </is>
      </c>
      <c r="AV211" t="n">
        <v>15.91</v>
      </c>
      <c r="AW211" t="n">
        <v>17.68</v>
      </c>
      <c r="AX211" t="n">
        <v>19.18</v>
      </c>
      <c r="AY211" t="inlineStr">
        <is>
          <t>MALAYSIAN RINGGIT</t>
        </is>
      </c>
      <c r="BA211" t="n">
        <v>6369.6</v>
      </c>
      <c r="BB211" t="n">
        <v>6508.17</v>
      </c>
      <c r="BC211" t="inlineStr">
        <is>
          <t>INDIAN RUPEE</t>
        </is>
      </c>
      <c r="BE211" t="n">
        <v>274</v>
      </c>
      <c r="BF211" t="n">
        <v>285.79</v>
      </c>
      <c r="BG211" t="inlineStr">
        <is>
          <t>KUWAITI DINAR</t>
        </is>
      </c>
      <c r="BI211" t="n">
        <v>85010.58</v>
      </c>
      <c r="BJ211" t="n">
        <v>89130.91</v>
      </c>
      <c r="BK211" t="inlineStr">
        <is>
          <t>SAUDI RIAL</t>
        </is>
      </c>
      <c r="BM211" t="n">
        <v>6964.41</v>
      </c>
      <c r="BN211" t="n">
        <v>7264.13</v>
      </c>
      <c r="BO211" t="inlineStr">
        <is>
          <t>NORWEGIAN KRONER</t>
        </is>
      </c>
      <c r="BQ211" t="n">
        <v>2703.14</v>
      </c>
      <c r="BR211" t="n">
        <v>2817.75</v>
      </c>
      <c r="BS211" t="inlineStr">
        <is>
          <t>SWEDISH KRONA</t>
        </is>
      </c>
      <c r="BU211" t="n">
        <v>2701.3</v>
      </c>
      <c r="BV211" t="n">
        <v>2815.83</v>
      </c>
      <c r="BW211" t="inlineStr">
        <is>
          <t>DANISH KRONE</t>
        </is>
      </c>
      <c r="BY211" t="n">
        <v>3975.56</v>
      </c>
      <c r="BZ211" t="n">
        <v>4127.58</v>
      </c>
      <c r="CA211" t="inlineStr">
        <is>
          <t>RUSSIAN RUBLE</t>
        </is>
      </c>
      <c r="CC211" t="n">
        <v>315.62</v>
      </c>
      <c r="CD211" t="n">
        <v>349.37</v>
      </c>
    </row>
    <row r="212">
      <c r="A212" t="inlineStr">
        <is>
          <t>03/08/2026</t>
        </is>
      </c>
      <c r="B212">
        <f>IF(ISNUMBER(A212), A212, DATE(RIGHT(A212,4), MID(A212,4,2), LEFT(A212,2)))</f>
        <v/>
      </c>
      <c r="C212" t="inlineStr">
        <is>
          <t>US DOLLAR</t>
        </is>
      </c>
      <c r="D212" t="n">
        <v>26070</v>
      </c>
      <c r="E212" t="n">
        <v>26100</v>
      </c>
      <c r="F212" t="n">
        <v>26480</v>
      </c>
      <c r="G212" t="inlineStr">
        <is>
          <t>EURO</t>
        </is>
      </c>
      <c r="H212" t="n">
        <v>29580.17</v>
      </c>
      <c r="I212" t="n">
        <v>29878.96</v>
      </c>
      <c r="J212" t="n">
        <v>31139.66</v>
      </c>
      <c r="K212" t="inlineStr">
        <is>
          <t>POUND STERLING</t>
        </is>
      </c>
      <c r="L212" t="n">
        <v>34565.28</v>
      </c>
      <c r="M212" t="n">
        <v>34914.42</v>
      </c>
      <c r="N212" t="n">
        <v>36032.58</v>
      </c>
      <c r="O212" t="inlineStr">
        <is>
          <t>YEN</t>
        </is>
      </c>
      <c r="P212" t="n">
        <v>163.05</v>
      </c>
      <c r="Q212" t="n">
        <v>164.7</v>
      </c>
      <c r="R212" t="n">
        <v>174.31</v>
      </c>
      <c r="S212" t="inlineStr">
        <is>
          <t>AUSTRALIAN DOLLAR</t>
        </is>
      </c>
      <c r="T212" t="n">
        <v>18047.31</v>
      </c>
      <c r="U212" t="n">
        <v>18229.61</v>
      </c>
      <c r="V212" t="n">
        <v>18813.43</v>
      </c>
      <c r="W212" t="inlineStr">
        <is>
          <t>CANADIAN DOLLAR</t>
        </is>
      </c>
      <c r="X212" t="n">
        <v>18292.96</v>
      </c>
      <c r="Y212" t="n">
        <v>18477.74</v>
      </c>
      <c r="Z212" t="n">
        <v>19069.51</v>
      </c>
      <c r="AA212" t="inlineStr">
        <is>
          <t>SWISS FRANC</t>
        </is>
      </c>
      <c r="AB212" t="n">
        <v>31798.16</v>
      </c>
      <c r="AC212" t="n">
        <v>32119.35</v>
      </c>
      <c r="AD212" t="n">
        <v>33148</v>
      </c>
      <c r="AE212" t="inlineStr">
        <is>
          <t>SINGAPORE DOLLAR</t>
        </is>
      </c>
      <c r="AF212" t="n">
        <v>20006.05</v>
      </c>
      <c r="AG212" t="n">
        <v>20208.13</v>
      </c>
      <c r="AH212" t="n">
        <v>20897.07</v>
      </c>
      <c r="AI212" t="inlineStr">
        <is>
          <t>YUAN RENMINBI</t>
        </is>
      </c>
      <c r="AJ212" t="n">
        <v>3795.49</v>
      </c>
      <c r="AK212" t="n">
        <v>3833.83</v>
      </c>
      <c r="AL212" t="n">
        <v>3956.61</v>
      </c>
      <c r="AM212" t="inlineStr">
        <is>
          <t>HONGKONG DOLLAR</t>
        </is>
      </c>
      <c r="AN212" t="n">
        <v>3257.98</v>
      </c>
      <c r="AO212" t="n">
        <v>3290.89</v>
      </c>
      <c r="AP212" t="n">
        <v>3416.73</v>
      </c>
      <c r="AQ212" t="inlineStr">
        <is>
          <t>THAILAND BAHT</t>
        </is>
      </c>
      <c r="AR212" t="n">
        <v>695.66</v>
      </c>
      <c r="AS212" t="n">
        <v>772.96</v>
      </c>
      <c r="AT212" t="n">
        <v>805.73</v>
      </c>
      <c r="AU212" t="inlineStr">
        <is>
          <t>KOREAN WON</t>
        </is>
      </c>
      <c r="AV212" t="n">
        <v>15.89</v>
      </c>
      <c r="AW212" t="n">
        <v>17.65</v>
      </c>
      <c r="AX212" t="n">
        <v>19.15</v>
      </c>
      <c r="AY212" t="inlineStr">
        <is>
          <t>MALAYSIAN RINGGIT</t>
        </is>
      </c>
      <c r="BA212" t="n">
        <v>6379.67</v>
      </c>
      <c r="BB212" t="n">
        <v>6518.46</v>
      </c>
      <c r="BC212" t="inlineStr">
        <is>
          <t>INDIAN RUPEE</t>
        </is>
      </c>
      <c r="BE212" t="n">
        <v>274.05</v>
      </c>
      <c r="BF212" t="n">
        <v>285.85</v>
      </c>
      <c r="BG212" t="inlineStr">
        <is>
          <t>KUWAITI DINAR</t>
        </is>
      </c>
      <c r="BI212" t="n">
        <v>84978.23</v>
      </c>
      <c r="BJ212" t="n">
        <v>89097.03999999999</v>
      </c>
      <c r="BK212" t="inlineStr">
        <is>
          <t>SAUDI RIAL</t>
        </is>
      </c>
      <c r="BM212" t="n">
        <v>6960.83</v>
      </c>
      <c r="BN212" t="n">
        <v>7260.4</v>
      </c>
      <c r="BO212" t="inlineStr">
        <is>
          <t>NORWEGIAN KRONER</t>
        </is>
      </c>
      <c r="BQ212" t="n">
        <v>2720.66</v>
      </c>
      <c r="BR212" t="n">
        <v>2836.02</v>
      </c>
      <c r="BS212" t="inlineStr">
        <is>
          <t>SWEDISH KRONA</t>
        </is>
      </c>
      <c r="BU212" t="n">
        <v>2714.44</v>
      </c>
      <c r="BV212" t="n">
        <v>2829.54</v>
      </c>
      <c r="BW212" t="inlineStr">
        <is>
          <t>DANISH KRONE</t>
        </is>
      </c>
      <c r="BY212" t="n">
        <v>3987.19</v>
      </c>
      <c r="BZ212" t="n">
        <v>4139.65</v>
      </c>
      <c r="CA212" t="inlineStr">
        <is>
          <t>RUSSIAN RUBLE</t>
        </is>
      </c>
      <c r="CC212" t="n">
        <v>314.31</v>
      </c>
      <c r="CD212" t="n">
        <v>347.92</v>
      </c>
    </row>
    <row r="213">
      <c r="A213" t="inlineStr">
        <is>
          <t>04/08/2026</t>
        </is>
      </c>
      <c r="B213">
        <f>IF(ISNUMBER(A213), A213, DATE(RIGHT(A213,4), MID(A213,4,2), LEFT(A213,2)))</f>
        <v/>
      </c>
      <c r="C213" t="inlineStr">
        <is>
          <t>US DOLLAR</t>
        </is>
      </c>
      <c r="D213" t="n">
        <v>26050</v>
      </c>
      <c r="E213" t="n">
        <v>26080</v>
      </c>
      <c r="F213" t="n">
        <v>26460</v>
      </c>
      <c r="G213" t="inlineStr">
        <is>
          <t>EURO</t>
        </is>
      </c>
      <c r="H213" t="n">
        <v>29452.7</v>
      </c>
      <c r="I213" t="n">
        <v>29750.2</v>
      </c>
      <c r="J213" t="n">
        <v>31005.51</v>
      </c>
      <c r="K213" t="inlineStr">
        <is>
          <t>POUND STERLING</t>
        </is>
      </c>
      <c r="L213" t="n">
        <v>34362.34</v>
      </c>
      <c r="M213" t="n">
        <v>34709.43</v>
      </c>
      <c r="N213" t="n">
        <v>35821.07</v>
      </c>
      <c r="O213" t="inlineStr">
        <is>
          <t>YEN</t>
        </is>
      </c>
      <c r="P213" t="n">
        <v>161.02</v>
      </c>
      <c r="Q213" t="n">
        <v>162.64</v>
      </c>
      <c r="R213" t="n">
        <v>172.13</v>
      </c>
      <c r="S213" t="inlineStr">
        <is>
          <t>AUSTRALIAN DOLLAR</t>
        </is>
      </c>
      <c r="T213" t="n">
        <v>17918.38</v>
      </c>
      <c r="U213" t="n">
        <v>18099.38</v>
      </c>
      <c r="V213" t="n">
        <v>18679.05</v>
      </c>
      <c r="W213" t="inlineStr">
        <is>
          <t>CANADIAN DOLLAR</t>
        </is>
      </c>
      <c r="X213" t="n">
        <v>18234.78</v>
      </c>
      <c r="Y213" t="n">
        <v>18418.97</v>
      </c>
      <c r="Z213" t="n">
        <v>19008.87</v>
      </c>
      <c r="AA213" t="inlineStr">
        <is>
          <t>SWISS FRANC</t>
        </is>
      </c>
      <c r="AB213" t="n">
        <v>31613.1</v>
      </c>
      <c r="AC213" t="n">
        <v>31932.42</v>
      </c>
      <c r="AD213" t="n">
        <v>32955.12</v>
      </c>
      <c r="AE213" t="inlineStr">
        <is>
          <t>SINGAPORE DOLLAR</t>
        </is>
      </c>
      <c r="AF213" t="n">
        <v>19947.16</v>
      </c>
      <c r="AG213" t="n">
        <v>20148.65</v>
      </c>
      <c r="AH213" t="n">
        <v>20835.59</v>
      </c>
      <c r="AI213" t="inlineStr">
        <is>
          <t>YUAN RENMINBI</t>
        </is>
      </c>
      <c r="AJ213" t="n">
        <v>3791.81</v>
      </c>
      <c r="AK213" t="n">
        <v>3830.11</v>
      </c>
      <c r="AL213" t="n">
        <v>3952.78</v>
      </c>
      <c r="AM213" t="inlineStr">
        <is>
          <t>HONGKONG DOLLAR</t>
        </is>
      </c>
      <c r="AN213" t="n">
        <v>3255.33</v>
      </c>
      <c r="AO213" t="n">
        <v>3288.22</v>
      </c>
      <c r="AP213" t="n">
        <v>3413.96</v>
      </c>
      <c r="AQ213" t="inlineStr">
        <is>
          <t>THAILAND BAHT</t>
        </is>
      </c>
      <c r="AR213" t="n">
        <v>693.67</v>
      </c>
      <c r="AS213" t="n">
        <v>770.75</v>
      </c>
      <c r="AT213" t="n">
        <v>803.4299999999999</v>
      </c>
      <c r="AU213" t="inlineStr">
        <is>
          <t>KOREAN WON</t>
        </is>
      </c>
      <c r="AV213" t="n">
        <v>15.96</v>
      </c>
      <c r="AW213" t="n">
        <v>17.73</v>
      </c>
      <c r="AX213" t="n">
        <v>19.24</v>
      </c>
      <c r="AY213" t="inlineStr">
        <is>
          <t>MALAYSIAN RINGGIT</t>
        </is>
      </c>
      <c r="BA213" t="n">
        <v>6351.44</v>
      </c>
      <c r="BB213" t="n">
        <v>6489.63</v>
      </c>
      <c r="BC213" t="inlineStr">
        <is>
          <t>INDIAN RUPEE</t>
        </is>
      </c>
      <c r="BE213" t="n">
        <v>273.99</v>
      </c>
      <c r="BF213" t="n">
        <v>285.78</v>
      </c>
      <c r="BG213" t="inlineStr">
        <is>
          <t>KUWAITI DINAR</t>
        </is>
      </c>
      <c r="BI213" t="n">
        <v>84913.53</v>
      </c>
      <c r="BJ213" t="n">
        <v>89029.31</v>
      </c>
      <c r="BK213" t="inlineStr">
        <is>
          <t>SAUDI RIAL</t>
        </is>
      </c>
      <c r="BM213" t="n">
        <v>6955.34</v>
      </c>
      <c r="BN213" t="n">
        <v>7254.69</v>
      </c>
      <c r="BO213" t="inlineStr">
        <is>
          <t>NORWEGIAN KRONER</t>
        </is>
      </c>
      <c r="BQ213" t="n">
        <v>2698.1</v>
      </c>
      <c r="BR213" t="n">
        <v>2812.51</v>
      </c>
      <c r="BS213" t="inlineStr">
        <is>
          <t>SWEDISH KRONA</t>
        </is>
      </c>
      <c r="BU213" t="n">
        <v>2690.79</v>
      </c>
      <c r="BV213" t="n">
        <v>2804.89</v>
      </c>
      <c r="BW213" t="inlineStr">
        <is>
          <t>DANISH KRONE</t>
        </is>
      </c>
      <c r="BY213" t="n">
        <v>3969.68</v>
      </c>
      <c r="BZ213" t="n">
        <v>4121.48</v>
      </c>
      <c r="CA213" t="inlineStr">
        <is>
          <t>RUSSIAN RUBLE</t>
        </is>
      </c>
      <c r="CC213" t="n">
        <v>310.96</v>
      </c>
      <c r="CD213" t="n">
        <v>344.22</v>
      </c>
    </row>
    <row r="214">
      <c r="A214" t="inlineStr">
        <is>
          <t>05/08/2026</t>
        </is>
      </c>
      <c r="B214">
        <f>IF(ISNUMBER(A214), A214, DATE(RIGHT(A214,4), MID(A214,4,2), LEFT(A214,2)))</f>
        <v/>
      </c>
      <c r="C214" t="inlineStr">
        <is>
          <t>US DOLLAR</t>
        </is>
      </c>
      <c r="D214" t="n">
        <v>26050</v>
      </c>
      <c r="E214" t="n">
        <v>26080</v>
      </c>
      <c r="F214" t="n">
        <v>26460</v>
      </c>
      <c r="G214" t="inlineStr">
        <is>
          <t>EURO</t>
        </is>
      </c>
      <c r="H214" t="n">
        <v>29516.69</v>
      </c>
      <c r="I214" t="n">
        <v>29814.84</v>
      </c>
      <c r="J214" t="n">
        <v>31072.87</v>
      </c>
      <c r="K214" t="inlineStr">
        <is>
          <t>POUND STERLING</t>
        </is>
      </c>
      <c r="L214" t="n">
        <v>34428.89</v>
      </c>
      <c r="M214" t="n">
        <v>34776.66</v>
      </c>
      <c r="N214" t="n">
        <v>35890.45</v>
      </c>
      <c r="O214" t="inlineStr">
        <is>
          <t>YEN</t>
        </is>
      </c>
      <c r="P214" t="n">
        <v>160.86</v>
      </c>
      <c r="Q214" t="n">
        <v>162.49</v>
      </c>
      <c r="R214" t="n">
        <v>171.96</v>
      </c>
      <c r="S214" t="inlineStr">
        <is>
          <t>AUSTRALIAN DOLLAR</t>
        </is>
      </c>
      <c r="T214" t="n">
        <v>18031.01</v>
      </c>
      <c r="U214" t="n">
        <v>18213.14</v>
      </c>
      <c r="V214" t="n">
        <v>18796.46</v>
      </c>
      <c r="W214" t="inlineStr">
        <is>
          <t>CANADIAN DOLLAR</t>
        </is>
      </c>
      <c r="X214" t="n">
        <v>18203.66</v>
      </c>
      <c r="Y214" t="n">
        <v>18387.54</v>
      </c>
      <c r="Z214" t="n">
        <v>18976.43</v>
      </c>
      <c r="AA214" t="inlineStr">
        <is>
          <t>SWISS FRANC</t>
        </is>
      </c>
      <c r="AB214" t="n">
        <v>31660.01</v>
      </c>
      <c r="AC214" t="n">
        <v>31979.81</v>
      </c>
      <c r="AD214" t="n">
        <v>33004.03</v>
      </c>
      <c r="AE214" t="inlineStr">
        <is>
          <t>SINGAPORE DOLLAR</t>
        </is>
      </c>
      <c r="AF214" t="n">
        <v>19956.5</v>
      </c>
      <c r="AG214" t="n">
        <v>20158.08</v>
      </c>
      <c r="AH214" t="n">
        <v>20845.35</v>
      </c>
      <c r="AI214" t="inlineStr">
        <is>
          <t>YUAN RENMINBI</t>
        </is>
      </c>
      <c r="AJ214" t="n">
        <v>3791.31</v>
      </c>
      <c r="AK214" t="n">
        <v>3829.6</v>
      </c>
      <c r="AL214" t="n">
        <v>3952.25</v>
      </c>
      <c r="AM214" t="inlineStr">
        <is>
          <t>HONGKONG DOLLAR</t>
        </is>
      </c>
      <c r="AN214" t="n">
        <v>3255</v>
      </c>
      <c r="AO214" t="n">
        <v>3287.88</v>
      </c>
      <c r="AP214" t="n">
        <v>3413.61</v>
      </c>
      <c r="AQ214" t="inlineStr">
        <is>
          <t>THAILAND BAHT</t>
        </is>
      </c>
      <c r="AR214" t="n">
        <v>697.4299999999999</v>
      </c>
      <c r="AS214" t="n">
        <v>774.9299999999999</v>
      </c>
      <c r="AT214" t="n">
        <v>807.78</v>
      </c>
      <c r="AU214" t="inlineStr">
        <is>
          <t>KOREAN WON</t>
        </is>
      </c>
      <c r="AV214" t="n">
        <v>15.95</v>
      </c>
      <c r="AW214" t="n">
        <v>17.72</v>
      </c>
      <c r="AX214" t="n">
        <v>19.23</v>
      </c>
      <c r="AY214" t="inlineStr">
        <is>
          <t>MALAYSIAN RINGGIT</t>
        </is>
      </c>
      <c r="BA214" t="n">
        <v>6359.21</v>
      </c>
      <c r="BB214" t="n">
        <v>6497.57</v>
      </c>
      <c r="BC214" t="inlineStr">
        <is>
          <t>INDIAN RUPEE</t>
        </is>
      </c>
      <c r="BE214" t="n">
        <v>273.85</v>
      </c>
      <c r="BF214" t="n">
        <v>285.64</v>
      </c>
      <c r="BG214" t="inlineStr">
        <is>
          <t>KUWAITI DINAR</t>
        </is>
      </c>
      <c r="BI214" t="n">
        <v>85024.10000000001</v>
      </c>
      <c r="BJ214" t="n">
        <v>89145.24000000001</v>
      </c>
      <c r="BK214" t="inlineStr">
        <is>
          <t>SAUDI RIAL</t>
        </is>
      </c>
      <c r="BM214" t="n">
        <v>6954.79</v>
      </c>
      <c r="BN214" t="n">
        <v>7254.11</v>
      </c>
      <c r="BO214" t="inlineStr">
        <is>
          <t>NORWEGIAN KRONER</t>
        </is>
      </c>
      <c r="BQ214" t="n">
        <v>2698.58</v>
      </c>
      <c r="BR214" t="n">
        <v>2813.01</v>
      </c>
      <c r="BS214" t="inlineStr">
        <is>
          <t>SWEDISH KRONA</t>
        </is>
      </c>
      <c r="BU214" t="n">
        <v>2703.17</v>
      </c>
      <c r="BV214" t="n">
        <v>2817.79</v>
      </c>
      <c r="BW214" t="inlineStr">
        <is>
          <t>DANISH KRONE</t>
        </is>
      </c>
      <c r="BY214" t="n">
        <v>3978.07</v>
      </c>
      <c r="BZ214" t="n">
        <v>4130.19</v>
      </c>
      <c r="CA214" t="inlineStr">
        <is>
          <t>RUSSIAN RUBLE</t>
        </is>
      </c>
      <c r="CC214" t="n">
        <v>307.5</v>
      </c>
      <c r="CD214" t="n">
        <v>340.39</v>
      </c>
    </row>
    <row r="215">
      <c r="A215" t="inlineStr">
        <is>
          <t>06/08/2026</t>
        </is>
      </c>
      <c r="B215">
        <f>IF(ISNUMBER(A215), A215, DATE(RIGHT(A215,4), MID(A215,4,2), LEFT(A215,2)))</f>
        <v/>
      </c>
      <c r="C215" t="inlineStr">
        <is>
          <t>US DOLLAR</t>
        </is>
      </c>
      <c r="D215" t="n">
        <v>26010</v>
      </c>
      <c r="E215" t="n">
        <v>26040</v>
      </c>
      <c r="F215" t="n">
        <v>26420</v>
      </c>
      <c r="G215" t="inlineStr">
        <is>
          <t>EURO</t>
        </is>
      </c>
      <c r="H215" t="n">
        <v>29510.05</v>
      </c>
      <c r="I215" t="n">
        <v>29808.14</v>
      </c>
      <c r="J215" t="n">
        <v>31065.96</v>
      </c>
      <c r="K215" t="inlineStr">
        <is>
          <t>POUND STERLING</t>
        </is>
      </c>
      <c r="L215" t="n">
        <v>34396.87</v>
      </c>
      <c r="M215" t="n">
        <v>34744.32</v>
      </c>
      <c r="N215" t="n">
        <v>35857.16</v>
      </c>
      <c r="O215" t="inlineStr">
        <is>
          <t>YEN</t>
        </is>
      </c>
      <c r="P215" t="n">
        <v>160.42</v>
      </c>
      <c r="Q215" t="n">
        <v>162.05</v>
      </c>
      <c r="R215" t="n">
        <v>171.49</v>
      </c>
      <c r="S215" t="inlineStr">
        <is>
          <t>AUSTRALIAN DOLLAR</t>
        </is>
      </c>
      <c r="T215" t="n">
        <v>17998.42</v>
      </c>
      <c r="U215" t="n">
        <v>18180.23</v>
      </c>
      <c r="V215" t="n">
        <v>18762.53</v>
      </c>
      <c r="W215" t="inlineStr">
        <is>
          <t>CANADIAN DOLLAR</t>
        </is>
      </c>
      <c r="X215" t="n">
        <v>18244.67</v>
      </c>
      <c r="Y215" t="n">
        <v>18428.96</v>
      </c>
      <c r="Z215" t="n">
        <v>19019.23</v>
      </c>
      <c r="AA215" t="inlineStr">
        <is>
          <t>SWISS FRANC</t>
        </is>
      </c>
      <c r="AB215" t="n">
        <v>31643.07</v>
      </c>
      <c r="AC215" t="n">
        <v>31962.69</v>
      </c>
      <c r="AD215" t="n">
        <v>32986.44</v>
      </c>
      <c r="AE215" t="inlineStr">
        <is>
          <t>SINGAPORE DOLLAR</t>
        </is>
      </c>
      <c r="AF215" t="n">
        <v>19929.2</v>
      </c>
      <c r="AG215" t="n">
        <v>20130.51</v>
      </c>
      <c r="AH215" t="n">
        <v>20816.88</v>
      </c>
      <c r="AI215" t="inlineStr">
        <is>
          <t>YUAN RENMINBI</t>
        </is>
      </c>
      <c r="AJ215" t="n">
        <v>3788.45</v>
      </c>
      <c r="AK215" t="n">
        <v>3826.71</v>
      </c>
      <c r="AL215" t="n">
        <v>3949.28</v>
      </c>
      <c r="AM215" t="inlineStr">
        <is>
          <t>HONGKONG DOLLAR</t>
        </is>
      </c>
      <c r="AN215" t="n">
        <v>3249.71</v>
      </c>
      <c r="AO215" t="n">
        <v>3282.53</v>
      </c>
      <c r="AP215" t="n">
        <v>3408.07</v>
      </c>
      <c r="AQ215" t="inlineStr">
        <is>
          <t>THAILAND BAHT</t>
        </is>
      </c>
      <c r="AR215" t="n">
        <v>699.53</v>
      </c>
      <c r="AS215" t="n">
        <v>777.26</v>
      </c>
      <c r="AT215" t="n">
        <v>810.22</v>
      </c>
      <c r="AU215" t="inlineStr">
        <is>
          <t>KOREAN WON</t>
        </is>
      </c>
      <c r="AV215" t="n">
        <v>15.93</v>
      </c>
      <c r="AW215" t="n">
        <v>17.7</v>
      </c>
      <c r="AX215" t="n">
        <v>19.2</v>
      </c>
      <c r="AY215" t="inlineStr">
        <is>
          <t>MALAYSIAN RINGGIT</t>
        </is>
      </c>
      <c r="BA215" t="n">
        <v>6349.52</v>
      </c>
      <c r="BB215" t="n">
        <v>6487.68</v>
      </c>
      <c r="BC215" t="inlineStr">
        <is>
          <t>INDIAN RUPEE</t>
        </is>
      </c>
      <c r="BE215" t="n">
        <v>273.9</v>
      </c>
      <c r="BF215" t="n">
        <v>285.68</v>
      </c>
      <c r="BG215" t="inlineStr">
        <is>
          <t>KUWAITI DINAR</t>
        </is>
      </c>
      <c r="BI215" t="n">
        <v>84949.84</v>
      </c>
      <c r="BJ215" t="n">
        <v>89067.59</v>
      </c>
      <c r="BK215" t="inlineStr">
        <is>
          <t>SAUDI RIAL</t>
        </is>
      </c>
      <c r="BM215" t="n">
        <v>6944.19</v>
      </c>
      <c r="BN215" t="n">
        <v>7243.07</v>
      </c>
      <c r="BO215" t="inlineStr">
        <is>
          <t>NORWEGIAN KRONER</t>
        </is>
      </c>
      <c r="BQ215" t="n">
        <v>2696.08</v>
      </c>
      <c r="BR215" t="n">
        <v>2810.41</v>
      </c>
      <c r="BS215" t="inlineStr">
        <is>
          <t>SWEDISH KRONA</t>
        </is>
      </c>
      <c r="BU215" t="n">
        <v>2709.1</v>
      </c>
      <c r="BV215" t="n">
        <v>2823.98</v>
      </c>
      <c r="BW215" t="inlineStr">
        <is>
          <t>DANISH KRONE</t>
        </is>
      </c>
      <c r="BY215" t="n">
        <v>3977.16</v>
      </c>
      <c r="BZ215" t="n">
        <v>4129.26</v>
      </c>
      <c r="CA215" t="inlineStr">
        <is>
          <t>RUSSIAN RUBLE</t>
        </is>
      </c>
      <c r="CC215" t="n">
        <v>307.79</v>
      </c>
      <c r="CD215" t="n">
        <v>340.71</v>
      </c>
    </row>
    <row r="216">
      <c r="A216" t="inlineStr">
        <is>
          <t>07/08/2026</t>
        </is>
      </c>
      <c r="B216">
        <f>IF(ISNUMBER(A216), A216, DATE(RIGHT(A216,4), MID(A216,4,2), LEFT(A216,2)))</f>
        <v/>
      </c>
      <c r="C216" t="inlineStr">
        <is>
          <t>US DOLLAR</t>
        </is>
      </c>
      <c r="D216" t="n">
        <v>26000</v>
      </c>
      <c r="E216" t="n">
        <v>26030</v>
      </c>
      <c r="F216" t="n">
        <v>26410</v>
      </c>
      <c r="G216" t="inlineStr">
        <is>
          <t>EURO</t>
        </is>
      </c>
      <c r="H216" t="n">
        <v>29432.37</v>
      </c>
      <c r="I216" t="n">
        <v>29729.66</v>
      </c>
      <c r="J216" t="n">
        <v>30984.19</v>
      </c>
      <c r="K216" t="inlineStr">
        <is>
          <t>POUND STERLING</t>
        </is>
      </c>
      <c r="L216" t="n">
        <v>34353.09</v>
      </c>
      <c r="M216" t="n">
        <v>34700.09</v>
      </c>
      <c r="N216" t="n">
        <v>35811.54</v>
      </c>
      <c r="O216" t="inlineStr">
        <is>
          <t>YEN</t>
        </is>
      </c>
      <c r="P216" t="n">
        <v>159.79</v>
      </c>
      <c r="Q216" t="n">
        <v>161.4</v>
      </c>
      <c r="R216" t="n">
        <v>170.81</v>
      </c>
      <c r="S216" t="inlineStr">
        <is>
          <t>AUSTRALIAN DOLLAR</t>
        </is>
      </c>
      <c r="T216" t="n">
        <v>17968.56</v>
      </c>
      <c r="U216" t="n">
        <v>18150.06</v>
      </c>
      <c r="V216" t="n">
        <v>18731.41</v>
      </c>
      <c r="W216" t="inlineStr">
        <is>
          <t>CANADIAN DOLLAR</t>
        </is>
      </c>
      <c r="X216" t="n">
        <v>18222.1</v>
      </c>
      <c r="Y216" t="n">
        <v>18406.17</v>
      </c>
      <c r="Z216" t="n">
        <v>18995.72</v>
      </c>
      <c r="AA216" t="inlineStr">
        <is>
          <t>SWISS FRANC</t>
        </is>
      </c>
      <c r="AB216" t="n">
        <v>31486.79</v>
      </c>
      <c r="AC216" t="n">
        <v>31804.84</v>
      </c>
      <c r="AD216" t="n">
        <v>32823.55</v>
      </c>
      <c r="AE216" t="inlineStr">
        <is>
          <t>SINGAPORE DOLLAR</t>
        </is>
      </c>
      <c r="AF216" t="n">
        <v>19916.94</v>
      </c>
      <c r="AG216" t="n">
        <v>20118.12</v>
      </c>
      <c r="AH216" t="n">
        <v>20804.08</v>
      </c>
      <c r="AI216" t="inlineStr">
        <is>
          <t>YUAN RENMINBI</t>
        </is>
      </c>
      <c r="AJ216" t="n">
        <v>3787.79</v>
      </c>
      <c r="AK216" t="n">
        <v>3826.05</v>
      </c>
      <c r="AL216" t="n">
        <v>3948.6</v>
      </c>
      <c r="AM216" t="inlineStr">
        <is>
          <t>HONGKONG DOLLAR</t>
        </is>
      </c>
      <c r="AN216" t="n">
        <v>3247.93</v>
      </c>
      <c r="AO216" t="n">
        <v>3280.74</v>
      </c>
      <c r="AP216" t="n">
        <v>3406.2</v>
      </c>
      <c r="AQ216" t="inlineStr">
        <is>
          <t>THAILAND BAHT</t>
        </is>
      </c>
      <c r="AR216" t="n">
        <v>698.84</v>
      </c>
      <c r="AS216" t="n">
        <v>776.49</v>
      </c>
      <c r="AT216" t="n">
        <v>809.42</v>
      </c>
      <c r="AU216" t="inlineStr">
        <is>
          <t>KOREAN WON</t>
        </is>
      </c>
      <c r="AV216" t="n">
        <v>15.99</v>
      </c>
      <c r="AW216" t="n">
        <v>17.76</v>
      </c>
      <c r="AX216" t="n">
        <v>19.27</v>
      </c>
      <c r="AY216" t="inlineStr">
        <is>
          <t>MALAYSIAN RINGGIT</t>
        </is>
      </c>
      <c r="BA216" t="n">
        <v>6347.1</v>
      </c>
      <c r="BB216" t="n">
        <v>6485.21</v>
      </c>
      <c r="BC216" t="inlineStr">
        <is>
          <t>INDIAN RUPEE</t>
        </is>
      </c>
      <c r="BE216" t="n">
        <v>273.68</v>
      </c>
      <c r="BF216" t="n">
        <v>285.45</v>
      </c>
      <c r="BG216" t="inlineStr">
        <is>
          <t>KUWAITI DINAR</t>
        </is>
      </c>
      <c r="BI216" t="n">
        <v>84917.42999999999</v>
      </c>
      <c r="BJ216" t="n">
        <v>89033.66</v>
      </c>
      <c r="BK216" t="inlineStr">
        <is>
          <t>SAUDI RIAL</t>
        </is>
      </c>
      <c r="BM216" t="n">
        <v>6945.42</v>
      </c>
      <c r="BN216" t="n">
        <v>7244.36</v>
      </c>
      <c r="BO216" t="inlineStr">
        <is>
          <t>NORWEGIAN KRONER</t>
        </is>
      </c>
      <c r="BQ216" t="n">
        <v>2697.17</v>
      </c>
      <c r="BR216" t="n">
        <v>2811.55</v>
      </c>
      <c r="BS216" t="inlineStr">
        <is>
          <t>SWEDISH KRONA</t>
        </is>
      </c>
      <c r="BU216" t="n">
        <v>2702.79</v>
      </c>
      <c r="BV216" t="n">
        <v>2817.41</v>
      </c>
      <c r="BW216" t="inlineStr">
        <is>
          <t>DANISH KRONE</t>
        </is>
      </c>
      <c r="BY216" t="n">
        <v>3966.64</v>
      </c>
      <c r="BZ216" t="n">
        <v>4118.33</v>
      </c>
      <c r="CA216" t="inlineStr">
        <is>
          <t>RUSSIAN RUBLE</t>
        </is>
      </c>
      <c r="CC216" t="n">
        <v>304.3</v>
      </c>
      <c r="CD216" t="n">
        <v>336.84</v>
      </c>
    </row>
    <row r="217">
      <c r="A217" t="inlineStr">
        <is>
          <t>08/08/2026</t>
        </is>
      </c>
      <c r="B217">
        <f>IF(ISNUMBER(A217), A217, DATE(RIGHT(A217,4), MID(A217,4,2), LEFT(A217,2)))</f>
        <v/>
      </c>
      <c r="C217" t="inlineStr">
        <is>
          <t>US DOLLAR</t>
        </is>
      </c>
      <c r="D217" t="n">
        <v>26000</v>
      </c>
      <c r="E217" t="n">
        <v>26030</v>
      </c>
      <c r="F217" t="n">
        <v>26410</v>
      </c>
      <c r="G217" t="inlineStr">
        <is>
          <t>EURO</t>
        </is>
      </c>
      <c r="H217" t="n">
        <v>29432.37</v>
      </c>
      <c r="I217" t="n">
        <v>29729.66</v>
      </c>
      <c r="J217" t="n">
        <v>30984.19</v>
      </c>
      <c r="K217" t="inlineStr">
        <is>
          <t>POUND STERLING</t>
        </is>
      </c>
      <c r="L217" t="n">
        <v>34353.09</v>
      </c>
      <c r="M217" t="n">
        <v>34700.09</v>
      </c>
      <c r="N217" t="n">
        <v>35811.54</v>
      </c>
      <c r="O217" t="inlineStr">
        <is>
          <t>YEN</t>
        </is>
      </c>
      <c r="P217" t="n">
        <v>159.79</v>
      </c>
      <c r="Q217" t="n">
        <v>161.4</v>
      </c>
      <c r="R217" t="n">
        <v>170.81</v>
      </c>
      <c r="S217" t="inlineStr">
        <is>
          <t>AUSTRALIAN DOLLAR</t>
        </is>
      </c>
      <c r="T217" t="n">
        <v>17968.56</v>
      </c>
      <c r="U217" t="n">
        <v>18150.06</v>
      </c>
      <c r="V217" t="n">
        <v>18731.41</v>
      </c>
      <c r="W217" t="inlineStr">
        <is>
          <t>CANADIAN DOLLAR</t>
        </is>
      </c>
      <c r="X217" t="n">
        <v>18222.1</v>
      </c>
      <c r="Y217" t="n">
        <v>18406.17</v>
      </c>
      <c r="Z217" t="n">
        <v>18995.72</v>
      </c>
      <c r="AA217" t="inlineStr">
        <is>
          <t>SWISS FRANC</t>
        </is>
      </c>
      <c r="AB217" t="n">
        <v>31486.79</v>
      </c>
      <c r="AC217" t="n">
        <v>31804.84</v>
      </c>
      <c r="AD217" t="n">
        <v>32823.55</v>
      </c>
      <c r="AE217" t="inlineStr">
        <is>
          <t>SINGAPORE DOLLAR</t>
        </is>
      </c>
      <c r="AF217" t="n">
        <v>19916.94</v>
      </c>
      <c r="AG217" t="n">
        <v>20118.12</v>
      </c>
      <c r="AH217" t="n">
        <v>20804.08</v>
      </c>
      <c r="AI217" t="inlineStr">
        <is>
          <t>YUAN RENMINBI</t>
        </is>
      </c>
      <c r="AJ217" t="n">
        <v>3787.79</v>
      </c>
      <c r="AK217" t="n">
        <v>3826.05</v>
      </c>
      <c r="AL217" t="n">
        <v>3948.6</v>
      </c>
      <c r="AM217" t="inlineStr">
        <is>
          <t>HONGKONG DOLLAR</t>
        </is>
      </c>
      <c r="AN217" t="n">
        <v>3247.93</v>
      </c>
      <c r="AO217" t="n">
        <v>3280.74</v>
      </c>
      <c r="AP217" t="n">
        <v>3406.2</v>
      </c>
      <c r="AQ217" t="inlineStr">
        <is>
          <t>THAILAND BAHT</t>
        </is>
      </c>
      <c r="AR217" t="n">
        <v>698.84</v>
      </c>
      <c r="AS217" t="n">
        <v>776.49</v>
      </c>
      <c r="AT217" t="n">
        <v>809.42</v>
      </c>
      <c r="AU217" t="inlineStr">
        <is>
          <t>KOREAN WON</t>
        </is>
      </c>
      <c r="AV217" t="n">
        <v>15.99</v>
      </c>
      <c r="AW217" t="n">
        <v>17.76</v>
      </c>
      <c r="AX217" t="n">
        <v>19.27</v>
      </c>
      <c r="AY217" t="inlineStr">
        <is>
          <t>MALAYSIAN RINGGIT</t>
        </is>
      </c>
      <c r="BA217" t="n">
        <v>6347.1</v>
      </c>
      <c r="BB217" t="n">
        <v>6485.21</v>
      </c>
      <c r="BC217" t="inlineStr">
        <is>
          <t>INDIAN RUPEE</t>
        </is>
      </c>
      <c r="BE217" t="n">
        <v>273.68</v>
      </c>
      <c r="BF217" t="n">
        <v>285.45</v>
      </c>
      <c r="BG217" t="inlineStr">
        <is>
          <t>KUWAITI DINAR</t>
        </is>
      </c>
      <c r="BI217" t="n">
        <v>84917.42999999999</v>
      </c>
      <c r="BJ217" t="n">
        <v>89033.66</v>
      </c>
      <c r="BK217" t="inlineStr">
        <is>
          <t>SAUDI RIAL</t>
        </is>
      </c>
      <c r="BM217" t="n">
        <v>6945.42</v>
      </c>
      <c r="BN217" t="n">
        <v>7244.36</v>
      </c>
      <c r="BO217" t="inlineStr">
        <is>
          <t>NORWEGIAN KRONER</t>
        </is>
      </c>
      <c r="BQ217" t="n">
        <v>2697.17</v>
      </c>
      <c r="BR217" t="n">
        <v>2811.55</v>
      </c>
      <c r="BS217" t="inlineStr">
        <is>
          <t>SWEDISH KRONA</t>
        </is>
      </c>
      <c r="BU217" t="n">
        <v>2702.79</v>
      </c>
      <c r="BV217" t="n">
        <v>2817.41</v>
      </c>
      <c r="BW217" t="inlineStr">
        <is>
          <t>DANISH KRONE</t>
        </is>
      </c>
      <c r="BY217" t="n">
        <v>3966.64</v>
      </c>
      <c r="BZ217" t="n">
        <v>4118.33</v>
      </c>
      <c r="CA217" t="inlineStr">
        <is>
          <t>RUSSIAN RUBLE</t>
        </is>
      </c>
      <c r="CC217" t="n">
        <v>304.3</v>
      </c>
      <c r="CD217" t="n">
        <v>336.84</v>
      </c>
    </row>
    <row r="218">
      <c r="A218" t="inlineStr">
        <is>
          <t>09/08/2026</t>
        </is>
      </c>
      <c r="B218">
        <f>IF(ISNUMBER(A218), A218, DATE(RIGHT(A218,4), MID(A218,4,2), LEFT(A218,2)))</f>
        <v/>
      </c>
      <c r="C218" t="inlineStr">
        <is>
          <t>US DOLLAR</t>
        </is>
      </c>
      <c r="D218" t="n">
        <v>26000</v>
      </c>
      <c r="E218" t="n">
        <v>26030</v>
      </c>
      <c r="F218" t="n">
        <v>26410</v>
      </c>
      <c r="G218" t="inlineStr">
        <is>
          <t>EURO</t>
        </is>
      </c>
      <c r="H218" t="n">
        <v>29432.37</v>
      </c>
      <c r="I218" t="n">
        <v>29729.66</v>
      </c>
      <c r="J218" t="n">
        <v>30984.19</v>
      </c>
      <c r="K218" t="inlineStr">
        <is>
          <t>POUND STERLING</t>
        </is>
      </c>
      <c r="L218" t="n">
        <v>34353.09</v>
      </c>
      <c r="M218" t="n">
        <v>34700.09</v>
      </c>
      <c r="N218" t="n">
        <v>35811.54</v>
      </c>
      <c r="O218" t="inlineStr">
        <is>
          <t>YEN</t>
        </is>
      </c>
      <c r="P218" t="n">
        <v>159.79</v>
      </c>
      <c r="Q218" t="n">
        <v>161.4</v>
      </c>
      <c r="R218" t="n">
        <v>170.81</v>
      </c>
      <c r="S218" t="inlineStr">
        <is>
          <t>AUSTRALIAN DOLLAR</t>
        </is>
      </c>
      <c r="T218" t="n">
        <v>17968.56</v>
      </c>
      <c r="U218" t="n">
        <v>18150.06</v>
      </c>
      <c r="V218" t="n">
        <v>18731.41</v>
      </c>
      <c r="W218" t="inlineStr">
        <is>
          <t>CANADIAN DOLLAR</t>
        </is>
      </c>
      <c r="X218" t="n">
        <v>18222.1</v>
      </c>
      <c r="Y218" t="n">
        <v>18406.17</v>
      </c>
      <c r="Z218" t="n">
        <v>18995.72</v>
      </c>
      <c r="AA218" t="inlineStr">
        <is>
          <t>SWISS FRANC</t>
        </is>
      </c>
      <c r="AB218" t="n">
        <v>31486.79</v>
      </c>
      <c r="AC218" t="n">
        <v>31804.84</v>
      </c>
      <c r="AD218" t="n">
        <v>32823.55</v>
      </c>
      <c r="AE218" t="inlineStr">
        <is>
          <t>SINGAPORE DOLLAR</t>
        </is>
      </c>
      <c r="AF218" t="n">
        <v>19916.94</v>
      </c>
      <c r="AG218" t="n">
        <v>20118.12</v>
      </c>
      <c r="AH218" t="n">
        <v>20804.08</v>
      </c>
      <c r="AI218" t="inlineStr">
        <is>
          <t>YUAN RENMINBI</t>
        </is>
      </c>
      <c r="AJ218" t="n">
        <v>3787.79</v>
      </c>
      <c r="AK218" t="n">
        <v>3826.05</v>
      </c>
      <c r="AL218" t="n">
        <v>3948.6</v>
      </c>
      <c r="AM218" t="inlineStr">
        <is>
          <t>HONGKONG DOLLAR</t>
        </is>
      </c>
      <c r="AN218" t="n">
        <v>3247.93</v>
      </c>
      <c r="AO218" t="n">
        <v>3280.74</v>
      </c>
      <c r="AP218" t="n">
        <v>3406.2</v>
      </c>
      <c r="AQ218" t="inlineStr">
        <is>
          <t>THAILAND BAHT</t>
        </is>
      </c>
      <c r="AR218" t="n">
        <v>698.84</v>
      </c>
      <c r="AS218" t="n">
        <v>776.49</v>
      </c>
      <c r="AT218" t="n">
        <v>809.42</v>
      </c>
      <c r="AU218" t="inlineStr">
        <is>
          <t>KOREAN WON</t>
        </is>
      </c>
      <c r="AV218" t="n">
        <v>15.99</v>
      </c>
      <c r="AW218" t="n">
        <v>17.76</v>
      </c>
      <c r="AX218" t="n">
        <v>19.27</v>
      </c>
      <c r="AY218" t="inlineStr">
        <is>
          <t>MALAYSIAN RINGGIT</t>
        </is>
      </c>
      <c r="BA218" t="n">
        <v>6347.1</v>
      </c>
      <c r="BB218" t="n">
        <v>6485.21</v>
      </c>
      <c r="BC218" t="inlineStr">
        <is>
          <t>INDIAN RUPEE</t>
        </is>
      </c>
      <c r="BE218" t="n">
        <v>273.68</v>
      </c>
      <c r="BF218" t="n">
        <v>285.45</v>
      </c>
      <c r="BG218" t="inlineStr">
        <is>
          <t>KUWAITI DINAR</t>
        </is>
      </c>
      <c r="BI218" t="n">
        <v>84917.42999999999</v>
      </c>
      <c r="BJ218" t="n">
        <v>89033.66</v>
      </c>
      <c r="BK218" t="inlineStr">
        <is>
          <t>SAUDI RIAL</t>
        </is>
      </c>
      <c r="BM218" t="n">
        <v>6945.42</v>
      </c>
      <c r="BN218" t="n">
        <v>7244.36</v>
      </c>
      <c r="BO218" t="inlineStr">
        <is>
          <t>NORWEGIAN KRONER</t>
        </is>
      </c>
      <c r="BQ218" t="n">
        <v>2697.17</v>
      </c>
      <c r="BR218" t="n">
        <v>2811.55</v>
      </c>
      <c r="BS218" t="inlineStr">
        <is>
          <t>SWEDISH KRONA</t>
        </is>
      </c>
      <c r="BU218" t="n">
        <v>2702.79</v>
      </c>
      <c r="BV218" t="n">
        <v>2817.41</v>
      </c>
      <c r="BW218" t="inlineStr">
        <is>
          <t>DANISH KRONE</t>
        </is>
      </c>
      <c r="BY218" t="n">
        <v>3966.64</v>
      </c>
      <c r="BZ218" t="n">
        <v>4118.33</v>
      </c>
      <c r="CA218" t="inlineStr">
        <is>
          <t>RUSSIAN RUBLE</t>
        </is>
      </c>
      <c r="CC218" t="n">
        <v>304.3</v>
      </c>
      <c r="CD218" t="n">
        <v>336.84</v>
      </c>
    </row>
    <row r="219">
      <c r="A219" t="inlineStr">
        <is>
          <t>10/08/2026</t>
        </is>
      </c>
      <c r="B219">
        <f>IF(ISNUMBER(A219), A219, DATE(RIGHT(A219,4), MID(A219,4,2), LEFT(A219,2)))</f>
        <v/>
      </c>
      <c r="C219" t="inlineStr">
        <is>
          <t>US DOLLAR</t>
        </is>
      </c>
      <c r="D219" t="n">
        <v>25940</v>
      </c>
      <c r="E219" t="n">
        <v>25970</v>
      </c>
      <c r="F219" t="n">
        <v>26350</v>
      </c>
      <c r="G219" t="inlineStr">
        <is>
          <t>EURO</t>
        </is>
      </c>
      <c r="H219" t="n">
        <v>29466.93</v>
      </c>
      <c r="I219" t="n">
        <v>29764.57</v>
      </c>
      <c r="J219" t="n">
        <v>31020.68</v>
      </c>
      <c r="K219" t="inlineStr">
        <is>
          <t>POUND STERLING</t>
        </is>
      </c>
      <c r="L219" t="n">
        <v>34396.77</v>
      </c>
      <c r="M219" t="n">
        <v>34744.22</v>
      </c>
      <c r="N219" t="n">
        <v>35857.2</v>
      </c>
      <c r="O219" t="inlineStr">
        <is>
          <t>YEN</t>
        </is>
      </c>
      <c r="P219" t="n">
        <v>159.31</v>
      </c>
      <c r="Q219" t="n">
        <v>160.92</v>
      </c>
      <c r="R219" t="n">
        <v>170.3</v>
      </c>
      <c r="S219" t="inlineStr">
        <is>
          <t>AUSTRALIAN DOLLAR</t>
        </is>
      </c>
      <c r="T219" t="n">
        <v>18014.08</v>
      </c>
      <c r="U219" t="n">
        <v>18196.04</v>
      </c>
      <c r="V219" t="n">
        <v>18778.93</v>
      </c>
      <c r="W219" t="inlineStr">
        <is>
          <t>CANADIAN DOLLAR</t>
        </is>
      </c>
      <c r="X219" t="n">
        <v>18284.68</v>
      </c>
      <c r="Y219" t="n">
        <v>18469.37</v>
      </c>
      <c r="Z219" t="n">
        <v>19061.02</v>
      </c>
      <c r="AA219" t="inlineStr">
        <is>
          <t>SWISS FRANC</t>
        </is>
      </c>
      <c r="AB219" t="n">
        <v>31593.75</v>
      </c>
      <c r="AC219" t="n">
        <v>31912.88</v>
      </c>
      <c r="AD219" t="n">
        <v>32935.17</v>
      </c>
      <c r="AE219" t="inlineStr">
        <is>
          <t>SINGAPORE DOLLAR</t>
        </is>
      </c>
      <c r="AF219" t="n">
        <v>19921.06</v>
      </c>
      <c r="AG219" t="n">
        <v>20122.28</v>
      </c>
      <c r="AH219" t="n">
        <v>20808.46</v>
      </c>
      <c r="AI219" t="inlineStr">
        <is>
          <t>YUAN RENMINBI</t>
        </is>
      </c>
      <c r="AJ219" t="n">
        <v>3780.18</v>
      </c>
      <c r="AK219" t="n">
        <v>3818.36</v>
      </c>
      <c r="AL219" t="n">
        <v>3940.68</v>
      </c>
      <c r="AM219" t="inlineStr">
        <is>
          <t>HONGKONG DOLLAR</t>
        </is>
      </c>
      <c r="AN219" t="n">
        <v>3240.41</v>
      </c>
      <c r="AO219" t="n">
        <v>3273.14</v>
      </c>
      <c r="AP219" t="n">
        <v>3398.33</v>
      </c>
      <c r="AQ219" t="inlineStr">
        <is>
          <t>THAILAND BAHT</t>
        </is>
      </c>
      <c r="AR219" t="n">
        <v>699.5700000000001</v>
      </c>
      <c r="AS219" t="n">
        <v>777.3</v>
      </c>
      <c r="AT219" t="n">
        <v>810.26</v>
      </c>
      <c r="AU219" t="inlineStr">
        <is>
          <t>KOREAN WON</t>
        </is>
      </c>
      <c r="AV219" t="n">
        <v>15.95</v>
      </c>
      <c r="AW219" t="n">
        <v>17.72</v>
      </c>
      <c r="AX219" t="n">
        <v>19.23</v>
      </c>
      <c r="AY219" t="inlineStr">
        <is>
          <t>MALAYSIAN RINGGIT</t>
        </is>
      </c>
      <c r="BA219" t="n">
        <v>6334.11</v>
      </c>
      <c r="BB219" t="n">
        <v>6471.96</v>
      </c>
      <c r="BC219" t="inlineStr">
        <is>
          <t>INDIAN RUPEE</t>
        </is>
      </c>
      <c r="BE219" t="n">
        <v>273.05</v>
      </c>
      <c r="BF219" t="n">
        <v>284.8</v>
      </c>
      <c r="BG219" t="inlineStr">
        <is>
          <t>KUWAITI DINAR</t>
        </is>
      </c>
      <c r="BI219" t="n">
        <v>84722.96000000001</v>
      </c>
      <c r="BJ219" t="n">
        <v>88830.08</v>
      </c>
      <c r="BK219" t="inlineStr">
        <is>
          <t>SAUDI RIAL</t>
        </is>
      </c>
      <c r="BM219" t="n">
        <v>6927.67</v>
      </c>
      <c r="BN219" t="n">
        <v>7225.87</v>
      </c>
      <c r="BO219" t="inlineStr">
        <is>
          <t>NORWEGIAN KRONER</t>
        </is>
      </c>
      <c r="BQ219" t="n">
        <v>2697.34</v>
      </c>
      <c r="BR219" t="n">
        <v>2811.73</v>
      </c>
      <c r="BS219" t="inlineStr">
        <is>
          <t>SWEDISH KRONA</t>
        </is>
      </c>
      <c r="BU219" t="n">
        <v>2706.32</v>
      </c>
      <c r="BV219" t="n">
        <v>2821.09</v>
      </c>
      <c r="BW219" t="inlineStr">
        <is>
          <t>DANISH KRONE</t>
        </is>
      </c>
      <c r="BY219" t="n">
        <v>3971.76</v>
      </c>
      <c r="BZ219" t="n">
        <v>4123.66</v>
      </c>
      <c r="CA219" t="inlineStr">
        <is>
          <t>RUSSIAN RUBLE</t>
        </is>
      </c>
      <c r="CC219" t="n">
        <v>301.4</v>
      </c>
      <c r="CD219" t="n">
        <v>333.63</v>
      </c>
    </row>
    <row r="220">
      <c r="A220" t="inlineStr">
        <is>
          <t>11/08/2026</t>
        </is>
      </c>
      <c r="B220">
        <f>IF(ISNUMBER(A220), A220, DATE(RIGHT(A220,4), MID(A220,4,2), LEFT(A220,2)))</f>
        <v/>
      </c>
      <c r="C220" t="inlineStr">
        <is>
          <t>US DOLLAR</t>
        </is>
      </c>
      <c r="D220" t="n">
        <v>25910</v>
      </c>
      <c r="E220" t="n">
        <v>25940</v>
      </c>
      <c r="F220" t="n">
        <v>26320</v>
      </c>
      <c r="G220" t="inlineStr">
        <is>
          <t>EURO</t>
        </is>
      </c>
      <c r="H220" t="n">
        <v>29400.01</v>
      </c>
      <c r="I220" t="n">
        <v>29696.98</v>
      </c>
      <c r="J220" t="n">
        <v>30950.29</v>
      </c>
      <c r="K220" t="inlineStr">
        <is>
          <t>POUND STERLING</t>
        </is>
      </c>
      <c r="L220" t="n">
        <v>34400.58</v>
      </c>
      <c r="M220" t="n">
        <v>34748.06</v>
      </c>
      <c r="N220" t="n">
        <v>35861.23</v>
      </c>
      <c r="O220" t="inlineStr">
        <is>
          <t>YEN</t>
        </is>
      </c>
      <c r="P220" t="n">
        <v>158.53</v>
      </c>
      <c r="Q220" t="n">
        <v>160.13</v>
      </c>
      <c r="R220" t="n">
        <v>169.47</v>
      </c>
      <c r="S220" t="inlineStr">
        <is>
          <t>AUSTRALIAN DOLLAR</t>
        </is>
      </c>
      <c r="T220" t="n">
        <v>17965.4</v>
      </c>
      <c r="U220" t="n">
        <v>18146.87</v>
      </c>
      <c r="V220" t="n">
        <v>18728.21</v>
      </c>
      <c r="W220" t="inlineStr">
        <is>
          <t>CANADIAN DOLLAR</t>
        </is>
      </c>
      <c r="X220" t="n">
        <v>18282.05</v>
      </c>
      <c r="Y220" t="n">
        <v>18466.72</v>
      </c>
      <c r="Z220" t="n">
        <v>19058.31</v>
      </c>
      <c r="AA220" t="inlineStr">
        <is>
          <t>SWISS FRANC</t>
        </is>
      </c>
      <c r="AB220" t="n">
        <v>31456.15</v>
      </c>
      <c r="AC220" t="n">
        <v>31773.89</v>
      </c>
      <c r="AD220" t="n">
        <v>32791.78</v>
      </c>
      <c r="AE220" t="inlineStr">
        <is>
          <t>SINGAPORE DOLLAR</t>
        </is>
      </c>
      <c r="AF220" t="n">
        <v>19876.43</v>
      </c>
      <c r="AG220" t="n">
        <v>20077.2</v>
      </c>
      <c r="AH220" t="n">
        <v>20761.88</v>
      </c>
      <c r="AI220" t="inlineStr">
        <is>
          <t>YUAN RENMINBI</t>
        </is>
      </c>
      <c r="AJ220" t="n">
        <v>3775.84</v>
      </c>
      <c r="AK220" t="n">
        <v>3813.98</v>
      </c>
      <c r="AL220" t="n">
        <v>3936.16</v>
      </c>
      <c r="AM220" t="inlineStr">
        <is>
          <t>HONGKONG DOLLAR</t>
        </is>
      </c>
      <c r="AN220" t="n">
        <v>3236.65</v>
      </c>
      <c r="AO220" t="n">
        <v>3269.34</v>
      </c>
      <c r="AP220" t="n">
        <v>3394.39</v>
      </c>
      <c r="AQ220" t="inlineStr">
        <is>
          <t>THAILAND BAHT</t>
        </is>
      </c>
      <c r="AR220" t="n">
        <v>698.55</v>
      </c>
      <c r="AS220" t="n">
        <v>776.17</v>
      </c>
      <c r="AT220" t="n">
        <v>809.09</v>
      </c>
      <c r="AU220" t="inlineStr">
        <is>
          <t>KOREAN WON</t>
        </is>
      </c>
      <c r="AV220" t="n">
        <v>15.98</v>
      </c>
      <c r="AW220" t="n">
        <v>17.75</v>
      </c>
      <c r="AX220" t="n">
        <v>19.26</v>
      </c>
      <c r="AY220" t="inlineStr">
        <is>
          <t>MALAYSIAN RINGGIT</t>
        </is>
      </c>
      <c r="BA220" t="n">
        <v>6319.11</v>
      </c>
      <c r="BB220" t="n">
        <v>6456.65</v>
      </c>
      <c r="BC220" t="inlineStr">
        <is>
          <t>INDIAN RUPEE</t>
        </is>
      </c>
      <c r="BE220" t="n">
        <v>272.61</v>
      </c>
      <c r="BF220" t="n">
        <v>284.35</v>
      </c>
      <c r="BG220" t="inlineStr">
        <is>
          <t>KUWAITI DINAR</t>
        </is>
      </c>
      <c r="BI220" t="n">
        <v>84625.73</v>
      </c>
      <c r="BJ220" t="n">
        <v>88728.28</v>
      </c>
      <c r="BK220" t="inlineStr">
        <is>
          <t>SAUDI RIAL</t>
        </is>
      </c>
      <c r="BM220" t="n">
        <v>6919.17</v>
      </c>
      <c r="BN220" t="n">
        <v>7217.01</v>
      </c>
      <c r="BO220" t="inlineStr">
        <is>
          <t>NORWEGIAN KRONER</t>
        </is>
      </c>
      <c r="BQ220" t="n">
        <v>2697.34</v>
      </c>
      <c r="BR220" t="n">
        <v>2811.74</v>
      </c>
      <c r="BS220" t="inlineStr">
        <is>
          <t>SWEDISH KRONA</t>
        </is>
      </c>
      <c r="BU220" t="n">
        <v>2699.33</v>
      </c>
      <c r="BV220" t="n">
        <v>2813.81</v>
      </c>
      <c r="BW220" t="inlineStr">
        <is>
          <t>DANISH KRONE</t>
        </is>
      </c>
      <c r="BY220" t="n">
        <v>3962.05</v>
      </c>
      <c r="BZ220" t="n">
        <v>4113.59</v>
      </c>
      <c r="CA220" t="inlineStr">
        <is>
          <t>RUSSIAN RUBLE</t>
        </is>
      </c>
      <c r="CC220" t="n">
        <v>301.41</v>
      </c>
      <c r="CD220" t="n">
        <v>333.65</v>
      </c>
    </row>
    <row r="221">
      <c r="A221" t="inlineStr">
        <is>
          <t>12/08/2026</t>
        </is>
      </c>
      <c r="B221">
        <f>IF(ISNUMBER(A221), A221, DATE(RIGHT(A221,4), MID(A221,4,2), LEFT(A221,2)))</f>
        <v/>
      </c>
      <c r="C221" t="inlineStr">
        <is>
          <t>US DOLLAR</t>
        </is>
      </c>
      <c r="D221" t="n">
        <v>25860</v>
      </c>
      <c r="E221" t="n">
        <v>25890</v>
      </c>
      <c r="F221" t="n">
        <v>26270</v>
      </c>
      <c r="G221" t="inlineStr">
        <is>
          <t>EURO</t>
        </is>
      </c>
      <c r="H221" t="n">
        <v>29328.46</v>
      </c>
      <c r="I221" t="n">
        <v>29624.71</v>
      </c>
      <c r="J221" t="n">
        <v>30875.06</v>
      </c>
      <c r="K221" t="inlineStr">
        <is>
          <t>POUND STERLING</t>
        </is>
      </c>
      <c r="L221" t="n">
        <v>34349.95</v>
      </c>
      <c r="M221" t="n">
        <v>34696.92</v>
      </c>
      <c r="N221" t="n">
        <v>35808.56</v>
      </c>
      <c r="O221" t="inlineStr">
        <is>
          <t>YEN</t>
        </is>
      </c>
      <c r="P221" t="n">
        <v>158.07</v>
      </c>
      <c r="Q221" t="n">
        <v>159.67</v>
      </c>
      <c r="R221" t="n">
        <v>168.98</v>
      </c>
      <c r="S221" t="inlineStr">
        <is>
          <t>AUSTRALIAN DOLLAR</t>
        </is>
      </c>
      <c r="T221" t="n">
        <v>17948.78</v>
      </c>
      <c r="U221" t="n">
        <v>18130.09</v>
      </c>
      <c r="V221" t="n">
        <v>18710.95</v>
      </c>
      <c r="W221" t="inlineStr">
        <is>
          <t>CANADIAN DOLLAR</t>
        </is>
      </c>
      <c r="X221" t="n">
        <v>18247.04</v>
      </c>
      <c r="Y221" t="n">
        <v>18431.35</v>
      </c>
      <c r="Z221" t="n">
        <v>19021.87</v>
      </c>
      <c r="AA221" t="inlineStr">
        <is>
          <t>SWISS FRANC</t>
        </is>
      </c>
      <c r="AB221" t="n">
        <v>31299.26</v>
      </c>
      <c r="AC221" t="n">
        <v>31615.41</v>
      </c>
      <c r="AD221" t="n">
        <v>32628.32</v>
      </c>
      <c r="AE221" t="inlineStr">
        <is>
          <t>SINGAPORE DOLLAR</t>
        </is>
      </c>
      <c r="AF221" t="n">
        <v>19841.47</v>
      </c>
      <c r="AG221" t="n">
        <v>20041.89</v>
      </c>
      <c r="AH221" t="n">
        <v>20725.42</v>
      </c>
      <c r="AI221" t="inlineStr">
        <is>
          <t>YUAN RENMINBI</t>
        </is>
      </c>
      <c r="AJ221" t="n">
        <v>3769.11</v>
      </c>
      <c r="AK221" t="n">
        <v>3807.18</v>
      </c>
      <c r="AL221" t="n">
        <v>3929.16</v>
      </c>
      <c r="AM221" t="inlineStr">
        <is>
          <t>HONGKONG DOLLAR</t>
        </is>
      </c>
      <c r="AN221" t="n">
        <v>3229.59</v>
      </c>
      <c r="AO221" t="n">
        <v>3262.21</v>
      </c>
      <c r="AP221" t="n">
        <v>3386.99</v>
      </c>
      <c r="AQ221" t="inlineStr">
        <is>
          <t>THAILAND BAHT</t>
        </is>
      </c>
      <c r="AR221" t="n">
        <v>695.74</v>
      </c>
      <c r="AS221" t="n">
        <v>773.04</v>
      </c>
      <c r="AT221" t="n">
        <v>805.83</v>
      </c>
      <c r="AU221" t="inlineStr">
        <is>
          <t>KOREAN WON</t>
        </is>
      </c>
      <c r="AV221" t="n">
        <v>15.93</v>
      </c>
      <c r="AW221" t="n">
        <v>17.7</v>
      </c>
      <c r="AX221" t="n">
        <v>19.2</v>
      </c>
      <c r="AY221" t="inlineStr">
        <is>
          <t>MALAYSIAN RINGGIT</t>
        </is>
      </c>
      <c r="BA221" t="n">
        <v>6316.27</v>
      </c>
      <c r="BB221" t="n">
        <v>6453.77</v>
      </c>
      <c r="BC221" t="inlineStr">
        <is>
          <t>INDIAN RUPEE</t>
        </is>
      </c>
      <c r="BE221" t="n">
        <v>271.88</v>
      </c>
      <c r="BF221" t="n">
        <v>283.58</v>
      </c>
      <c r="BG221" t="inlineStr">
        <is>
          <t>KUWAITI DINAR</t>
        </is>
      </c>
      <c r="BI221" t="n">
        <v>84408.69</v>
      </c>
      <c r="BJ221" t="n">
        <v>88500.98</v>
      </c>
      <c r="BK221" t="inlineStr">
        <is>
          <t>SAUDI RIAL</t>
        </is>
      </c>
      <c r="BM221" t="n">
        <v>6906.66</v>
      </c>
      <c r="BN221" t="n">
        <v>7203.98</v>
      </c>
      <c r="BO221" t="inlineStr">
        <is>
          <t>NORWEGIAN KRONER</t>
        </is>
      </c>
      <c r="BQ221" t="n">
        <v>2691.52</v>
      </c>
      <c r="BR221" t="n">
        <v>2805.68</v>
      </c>
      <c r="BS221" t="inlineStr">
        <is>
          <t>SWEDISH KRONA</t>
        </is>
      </c>
      <c r="BU221" t="n">
        <v>2679.92</v>
      </c>
      <c r="BV221" t="n">
        <v>2793.59</v>
      </c>
      <c r="BW221" t="inlineStr">
        <is>
          <t>DANISH KRONE</t>
        </is>
      </c>
      <c r="BY221" t="n">
        <v>3952.51</v>
      </c>
      <c r="BZ221" t="n">
        <v>4103.7</v>
      </c>
      <c r="CA221" t="inlineStr">
        <is>
          <t>RUSSIAN RUBLE</t>
        </is>
      </c>
      <c r="CC221" t="n">
        <v>299.02</v>
      </c>
      <c r="CD221" t="n">
        <v>331.01</v>
      </c>
    </row>
    <row r="222">
      <c r="A222" t="inlineStr">
        <is>
          <t>13/08/2026</t>
        </is>
      </c>
      <c r="B222">
        <f>IF(ISNUMBER(A222), A222, DATE(RIGHT(A222,4), MID(A222,4,2), LEFT(A222,2)))</f>
        <v/>
      </c>
      <c r="C222" t="inlineStr">
        <is>
          <t>US DOLLAR</t>
        </is>
      </c>
      <c r="D222" t="n">
        <v>25840</v>
      </c>
      <c r="E222" t="n">
        <v>25870</v>
      </c>
      <c r="F222" t="n">
        <v>26250</v>
      </c>
      <c r="G222" t="inlineStr">
        <is>
          <t>EURO</t>
        </is>
      </c>
      <c r="H222" t="n">
        <v>29272.94</v>
      </c>
      <c r="I222" t="n">
        <v>29568.63</v>
      </c>
      <c r="J222" t="n">
        <v>30816.65</v>
      </c>
      <c r="K222" t="inlineStr">
        <is>
          <t>POUND STERLING</t>
        </is>
      </c>
      <c r="L222" t="n">
        <v>34265.19</v>
      </c>
      <c r="M222" t="n">
        <v>34611.3</v>
      </c>
      <c r="N222" t="n">
        <v>35720.24</v>
      </c>
      <c r="O222" t="inlineStr">
        <is>
          <t>YEN</t>
        </is>
      </c>
      <c r="P222" t="n">
        <v>157.89</v>
      </c>
      <c r="Q222" t="n">
        <v>159.49</v>
      </c>
      <c r="R222" t="n">
        <v>168.79</v>
      </c>
      <c r="S222" t="inlineStr">
        <is>
          <t>AUSTRALIAN DOLLAR</t>
        </is>
      </c>
      <c r="T222" t="n">
        <v>17929.93</v>
      </c>
      <c r="U222" t="n">
        <v>18111.04</v>
      </c>
      <c r="V222" t="n">
        <v>18691.31</v>
      </c>
      <c r="W222" t="inlineStr">
        <is>
          <t>CANADIAN DOLLAR</t>
        </is>
      </c>
      <c r="X222" t="n">
        <v>18222.57</v>
      </c>
      <c r="Y222" t="n">
        <v>18406.64</v>
      </c>
      <c r="Z222" t="n">
        <v>18996.38</v>
      </c>
      <c r="AA222" t="inlineStr">
        <is>
          <t>SWISS FRANC</t>
        </is>
      </c>
      <c r="AB222" t="n">
        <v>31255.99</v>
      </c>
      <c r="AC222" t="n">
        <v>31571.71</v>
      </c>
      <c r="AD222" t="n">
        <v>32583.26</v>
      </c>
      <c r="AE222" t="inlineStr">
        <is>
          <t>SINGAPORE DOLLAR</t>
        </is>
      </c>
      <c r="AF222" t="n">
        <v>19829.34</v>
      </c>
      <c r="AG222" t="n">
        <v>20029.64</v>
      </c>
      <c r="AH222" t="n">
        <v>20712.77</v>
      </c>
      <c r="AI222" t="inlineStr">
        <is>
          <t>YUAN RENMINBI</t>
        </is>
      </c>
      <c r="AJ222" t="n">
        <v>3766.5</v>
      </c>
      <c r="AK222" t="n">
        <v>3804.54</v>
      </c>
      <c r="AL222" t="n">
        <v>3926.44</v>
      </c>
      <c r="AM222" t="inlineStr">
        <is>
          <t>HONGKONG DOLLAR</t>
        </is>
      </c>
      <c r="AN222" t="n">
        <v>3227.44</v>
      </c>
      <c r="AO222" t="n">
        <v>3260.04</v>
      </c>
      <c r="AP222" t="n">
        <v>3384.74</v>
      </c>
      <c r="AQ222" t="inlineStr">
        <is>
          <t>THAILAND BAHT</t>
        </is>
      </c>
      <c r="AR222" t="n">
        <v>694.99</v>
      </c>
      <c r="AS222" t="n">
        <v>772.21</v>
      </c>
      <c r="AT222" t="n">
        <v>804.97</v>
      </c>
      <c r="AU222" t="inlineStr">
        <is>
          <t>KOREAN WON</t>
        </is>
      </c>
      <c r="AV222" t="n">
        <v>15.95</v>
      </c>
      <c r="AW222" t="n">
        <v>17.73</v>
      </c>
      <c r="AX222" t="n">
        <v>19.23</v>
      </c>
      <c r="AY222" t="inlineStr">
        <is>
          <t>MALAYSIAN RINGGIT</t>
        </is>
      </c>
      <c r="BA222" t="n">
        <v>6315.29</v>
      </c>
      <c r="BB222" t="n">
        <v>6452.77</v>
      </c>
      <c r="BC222" t="inlineStr">
        <is>
          <t>INDIAN RUPEE</t>
        </is>
      </c>
      <c r="BE222" t="n">
        <v>271.8</v>
      </c>
      <c r="BF222" t="n">
        <v>283.5</v>
      </c>
      <c r="BG222" t="inlineStr">
        <is>
          <t>KUWAITI DINAR</t>
        </is>
      </c>
      <c r="BI222" t="n">
        <v>84343.91</v>
      </c>
      <c r="BJ222" t="n">
        <v>88433.16</v>
      </c>
      <c r="BK222" t="inlineStr">
        <is>
          <t>SAUDI RIAL</t>
        </is>
      </c>
      <c r="BM222" t="n">
        <v>6901.36</v>
      </c>
      <c r="BN222" t="n">
        <v>7198.46</v>
      </c>
      <c r="BO222" t="inlineStr">
        <is>
          <t>NORWEGIAN KRONER</t>
        </is>
      </c>
      <c r="BQ222" t="n">
        <v>2689.43</v>
      </c>
      <c r="BR222" t="n">
        <v>2803.5</v>
      </c>
      <c r="BS222" t="inlineStr">
        <is>
          <t>SWEDISH KRONA</t>
        </is>
      </c>
      <c r="BU222" t="n">
        <v>2665.76</v>
      </c>
      <c r="BV222" t="n">
        <v>2778.82</v>
      </c>
      <c r="BW222" t="inlineStr">
        <is>
          <t>DANISH KRONE</t>
        </is>
      </c>
      <c r="BY222" t="n">
        <v>3944.66</v>
      </c>
      <c r="BZ222" t="n">
        <v>4095.56</v>
      </c>
      <c r="CA222" t="inlineStr">
        <is>
          <t>RUSSIAN RUBLE</t>
        </is>
      </c>
      <c r="CC222" t="n">
        <v>299.88</v>
      </c>
      <c r="CD222" t="n">
        <v>331.95</v>
      </c>
    </row>
    <row r="223">
      <c r="A223" t="inlineStr">
        <is>
          <t>14/08/2026</t>
        </is>
      </c>
      <c r="B223">
        <f>IF(ISNUMBER(A223), A223, DATE(RIGHT(A223,4), MID(A223,4,2), LEFT(A223,2)))</f>
        <v/>
      </c>
      <c r="C223" t="inlineStr">
        <is>
          <t>US DOLLAR</t>
        </is>
      </c>
      <c r="D223" t="n">
        <v>25920</v>
      </c>
      <c r="E223" t="n">
        <v>25950</v>
      </c>
      <c r="F223" t="n">
        <v>26330</v>
      </c>
      <c r="G223" t="inlineStr">
        <is>
          <t>EURO</t>
        </is>
      </c>
      <c r="H223" t="n">
        <v>29424</v>
      </c>
      <c r="I223" t="n">
        <v>29721.22</v>
      </c>
      <c r="J223" t="n">
        <v>30975.53</v>
      </c>
      <c r="K223" t="inlineStr">
        <is>
          <t>POUND STERLING</t>
        </is>
      </c>
      <c r="L223" t="n">
        <v>34439.23</v>
      </c>
      <c r="M223" t="n">
        <v>34787.1</v>
      </c>
      <c r="N223" t="n">
        <v>35901.5</v>
      </c>
      <c r="O223" t="inlineStr">
        <is>
          <t>YEN</t>
        </is>
      </c>
      <c r="P223" t="n">
        <v>158.54</v>
      </c>
      <c r="Q223" t="n">
        <v>160.14</v>
      </c>
      <c r="R223" t="n">
        <v>169.48</v>
      </c>
      <c r="S223" t="inlineStr">
        <is>
          <t>AUSTRALIAN DOLLAR</t>
        </is>
      </c>
      <c r="T223" t="n">
        <v>18015.58</v>
      </c>
      <c r="U223" t="n">
        <v>18197.56</v>
      </c>
      <c r="V223" t="n">
        <v>18780.51</v>
      </c>
      <c r="W223" t="inlineStr">
        <is>
          <t>CANADIAN DOLLAR</t>
        </is>
      </c>
      <c r="X223" t="n">
        <v>18341.72</v>
      </c>
      <c r="Y223" t="n">
        <v>18526.99</v>
      </c>
      <c r="Z223" t="n">
        <v>19120.5</v>
      </c>
      <c r="AA223" t="inlineStr">
        <is>
          <t>SWISS FRANC</t>
        </is>
      </c>
      <c r="AB223" t="n">
        <v>31332.74</v>
      </c>
      <c r="AC223" t="n">
        <v>31649.23</v>
      </c>
      <c r="AD223" t="n">
        <v>32663.11</v>
      </c>
      <c r="AE223" t="inlineStr">
        <is>
          <t>SINGAPORE DOLLAR</t>
        </is>
      </c>
      <c r="AF223" t="n">
        <v>19898.03</v>
      </c>
      <c r="AG223" t="n">
        <v>20099.02</v>
      </c>
      <c r="AH223" t="n">
        <v>20784.43</v>
      </c>
      <c r="AI223" t="inlineStr">
        <is>
          <t>YUAN RENMINBI</t>
        </is>
      </c>
      <c r="AJ223" t="n">
        <v>3779.08</v>
      </c>
      <c r="AK223" t="n">
        <v>3817.25</v>
      </c>
      <c r="AL223" t="n">
        <v>3939.54</v>
      </c>
      <c r="AM223" t="inlineStr">
        <is>
          <t>HONGKONG DOLLAR</t>
        </is>
      </c>
      <c r="AN223" t="n">
        <v>3237.19</v>
      </c>
      <c r="AO223" t="n">
        <v>3269.89</v>
      </c>
      <c r="AP223" t="n">
        <v>3394.95</v>
      </c>
      <c r="AQ223" t="inlineStr">
        <is>
          <t>THAILAND BAHT</t>
        </is>
      </c>
      <c r="AR223" t="n">
        <v>695.45</v>
      </c>
      <c r="AS223" t="n">
        <v>772.72</v>
      </c>
      <c r="AT223" t="n">
        <v>805.49</v>
      </c>
      <c r="AU223" t="inlineStr">
        <is>
          <t>KOREAN WON</t>
        </is>
      </c>
      <c r="AV223" t="n">
        <v>16.01</v>
      </c>
      <c r="AW223" t="n">
        <v>17.79</v>
      </c>
      <c r="AX223" t="n">
        <v>19.3</v>
      </c>
      <c r="AY223" t="inlineStr">
        <is>
          <t>MALAYSIAN RINGGIT</t>
        </is>
      </c>
      <c r="BA223" t="n">
        <v>6332.37</v>
      </c>
      <c r="BB223" t="n">
        <v>6470.19</v>
      </c>
      <c r="BC223" t="inlineStr">
        <is>
          <t>INDIAN RUPEE</t>
        </is>
      </c>
      <c r="BE223" t="n">
        <v>272.33</v>
      </c>
      <c r="BF223" t="n">
        <v>284.05</v>
      </c>
      <c r="BG223" t="inlineStr">
        <is>
          <t>KUWAITI DINAR</t>
        </is>
      </c>
      <c r="BI223" t="n">
        <v>84603.03</v>
      </c>
      <c r="BJ223" t="n">
        <v>88704.42999999999</v>
      </c>
      <c r="BK223" t="inlineStr">
        <is>
          <t>SAUDI RIAL</t>
        </is>
      </c>
      <c r="BM223" t="n">
        <v>6923.3</v>
      </c>
      <c r="BN223" t="n">
        <v>7221.31</v>
      </c>
      <c r="BO223" t="inlineStr">
        <is>
          <t>NORWEGIAN KRONER</t>
        </is>
      </c>
      <c r="BQ223" t="n">
        <v>2706.76</v>
      </c>
      <c r="BR223" t="n">
        <v>2821.55</v>
      </c>
      <c r="BS223" t="inlineStr">
        <is>
          <t>SWEDISH KRONA</t>
        </is>
      </c>
      <c r="BU223" t="n">
        <v>2686.65</v>
      </c>
      <c r="BV223" t="n">
        <v>2800.6</v>
      </c>
      <c r="BW223" t="inlineStr">
        <is>
          <t>DANISH KRONE</t>
        </is>
      </c>
      <c r="BY223" t="n">
        <v>3965.41</v>
      </c>
      <c r="BZ223" t="n">
        <v>4117.07</v>
      </c>
      <c r="CA223" t="inlineStr">
        <is>
          <t>RUSSIAN RUBLE</t>
        </is>
      </c>
      <c r="CC223" t="n">
        <v>296.15</v>
      </c>
      <c r="CD223" t="n">
        <v>327.82</v>
      </c>
    </row>
    <row r="224">
      <c r="A224" t="inlineStr">
        <is>
          <t>15/08/2026</t>
        </is>
      </c>
      <c r="B224">
        <f>IF(ISNUMBER(A224), A224, DATE(RIGHT(A224,4), MID(A224,4,2), LEFT(A224,2)))</f>
        <v/>
      </c>
      <c r="C224" t="inlineStr">
        <is>
          <t>US DOLLAR</t>
        </is>
      </c>
      <c r="D224" t="n">
        <v>25920</v>
      </c>
      <c r="E224" t="n">
        <v>25950</v>
      </c>
      <c r="F224" t="n">
        <v>26330</v>
      </c>
      <c r="G224" t="inlineStr">
        <is>
          <t>EURO</t>
        </is>
      </c>
      <c r="H224" t="n">
        <v>29424</v>
      </c>
      <c r="I224" t="n">
        <v>29721.22</v>
      </c>
      <c r="J224" t="n">
        <v>30975.53</v>
      </c>
      <c r="K224" t="inlineStr">
        <is>
          <t>POUND STERLING</t>
        </is>
      </c>
      <c r="L224" t="n">
        <v>34439.23</v>
      </c>
      <c r="M224" t="n">
        <v>34787.1</v>
      </c>
      <c r="N224" t="n">
        <v>35901.5</v>
      </c>
      <c r="O224" t="inlineStr">
        <is>
          <t>YEN</t>
        </is>
      </c>
      <c r="P224" t="n">
        <v>158.54</v>
      </c>
      <c r="Q224" t="n">
        <v>160.14</v>
      </c>
      <c r="R224" t="n">
        <v>169.48</v>
      </c>
      <c r="S224" t="inlineStr">
        <is>
          <t>AUSTRALIAN DOLLAR</t>
        </is>
      </c>
      <c r="T224" t="n">
        <v>18015.58</v>
      </c>
      <c r="U224" t="n">
        <v>18197.56</v>
      </c>
      <c r="V224" t="n">
        <v>18780.51</v>
      </c>
      <c r="W224" t="inlineStr">
        <is>
          <t>CANADIAN DOLLAR</t>
        </is>
      </c>
      <c r="X224" t="n">
        <v>18341.72</v>
      </c>
      <c r="Y224" t="n">
        <v>18526.99</v>
      </c>
      <c r="Z224" t="n">
        <v>19120.5</v>
      </c>
      <c r="AA224" t="inlineStr">
        <is>
          <t>SWISS FRANC</t>
        </is>
      </c>
      <c r="AB224" t="n">
        <v>31332.74</v>
      </c>
      <c r="AC224" t="n">
        <v>31649.23</v>
      </c>
      <c r="AD224" t="n">
        <v>32663.11</v>
      </c>
      <c r="AE224" t="inlineStr">
        <is>
          <t>SINGAPORE DOLLAR</t>
        </is>
      </c>
      <c r="AF224" t="n">
        <v>19898.03</v>
      </c>
      <c r="AG224" t="n">
        <v>20099.02</v>
      </c>
      <c r="AH224" t="n">
        <v>20784.43</v>
      </c>
      <c r="AI224" t="inlineStr">
        <is>
          <t>YUAN RENMINBI</t>
        </is>
      </c>
      <c r="AJ224" t="n">
        <v>3779.08</v>
      </c>
      <c r="AK224" t="n">
        <v>3817.25</v>
      </c>
      <c r="AL224" t="n">
        <v>3939.54</v>
      </c>
      <c r="AM224" t="inlineStr">
        <is>
          <t>HONGKONG DOLLAR</t>
        </is>
      </c>
      <c r="AN224" t="n">
        <v>3237.19</v>
      </c>
      <c r="AO224" t="n">
        <v>3269.89</v>
      </c>
      <c r="AP224" t="n">
        <v>3394.95</v>
      </c>
      <c r="AQ224" t="inlineStr">
        <is>
          <t>THAILAND BAHT</t>
        </is>
      </c>
      <c r="AR224" t="n">
        <v>695.45</v>
      </c>
      <c r="AS224" t="n">
        <v>772.72</v>
      </c>
      <c r="AT224" t="n">
        <v>805.49</v>
      </c>
      <c r="AU224" t="inlineStr">
        <is>
          <t>KOREAN WON</t>
        </is>
      </c>
      <c r="AV224" t="n">
        <v>16.01</v>
      </c>
      <c r="AW224" t="n">
        <v>17.79</v>
      </c>
      <c r="AX224" t="n">
        <v>19.3</v>
      </c>
      <c r="AY224" t="inlineStr">
        <is>
          <t>MALAYSIAN RINGGIT</t>
        </is>
      </c>
      <c r="BA224" t="n">
        <v>6332.37</v>
      </c>
      <c r="BB224" t="n">
        <v>6470.19</v>
      </c>
      <c r="BC224" t="inlineStr">
        <is>
          <t>INDIAN RUPEE</t>
        </is>
      </c>
      <c r="BE224" t="n">
        <v>272.33</v>
      </c>
      <c r="BF224" t="n">
        <v>284.05</v>
      </c>
      <c r="BG224" t="inlineStr">
        <is>
          <t>KUWAITI DINAR</t>
        </is>
      </c>
      <c r="BI224" t="n">
        <v>84603.03</v>
      </c>
      <c r="BJ224" t="n">
        <v>88704.42999999999</v>
      </c>
      <c r="BK224" t="inlineStr">
        <is>
          <t>SAUDI RIAL</t>
        </is>
      </c>
      <c r="BM224" t="n">
        <v>6923.3</v>
      </c>
      <c r="BN224" t="n">
        <v>7221.31</v>
      </c>
      <c r="BO224" t="inlineStr">
        <is>
          <t>NORWEGIAN KRONER</t>
        </is>
      </c>
      <c r="BQ224" t="n">
        <v>2706.76</v>
      </c>
      <c r="BR224" t="n">
        <v>2821.55</v>
      </c>
      <c r="BS224" t="inlineStr">
        <is>
          <t>SWEDISH KRONA</t>
        </is>
      </c>
      <c r="BU224" t="n">
        <v>2686.65</v>
      </c>
      <c r="BV224" t="n">
        <v>2800.6</v>
      </c>
      <c r="BW224" t="inlineStr">
        <is>
          <t>DANISH KRONE</t>
        </is>
      </c>
      <c r="BY224" t="n">
        <v>3965.41</v>
      </c>
      <c r="BZ224" t="n">
        <v>4117.07</v>
      </c>
      <c r="CA224" t="inlineStr">
        <is>
          <t>RUSSIAN RUBLE</t>
        </is>
      </c>
      <c r="CC224" t="n">
        <v>296.15</v>
      </c>
      <c r="CD224" t="n">
        <v>327.82</v>
      </c>
    </row>
    <row r="225">
      <c r="A225" t="inlineStr">
        <is>
          <t>16/08/2026</t>
        </is>
      </c>
      <c r="B225">
        <f>IF(ISNUMBER(A225), A225, DATE(RIGHT(A225,4), MID(A225,4,2), LEFT(A225,2)))</f>
        <v/>
      </c>
      <c r="C225" t="inlineStr">
        <is>
          <t>US DOLLAR</t>
        </is>
      </c>
      <c r="D225" t="n">
        <v>25920</v>
      </c>
      <c r="E225" t="n">
        <v>25950</v>
      </c>
      <c r="F225" t="n">
        <v>26330</v>
      </c>
      <c r="G225" t="inlineStr">
        <is>
          <t>EURO</t>
        </is>
      </c>
      <c r="H225" t="n">
        <v>29424</v>
      </c>
      <c r="I225" t="n">
        <v>29721.22</v>
      </c>
      <c r="J225" t="n">
        <v>30975.53</v>
      </c>
      <c r="K225" t="inlineStr">
        <is>
          <t>POUND STERLING</t>
        </is>
      </c>
      <c r="L225" t="n">
        <v>34439.23</v>
      </c>
      <c r="M225" t="n">
        <v>34787.1</v>
      </c>
      <c r="N225" t="n">
        <v>35901.5</v>
      </c>
      <c r="O225" t="inlineStr">
        <is>
          <t>YEN</t>
        </is>
      </c>
      <c r="P225" t="n">
        <v>158.54</v>
      </c>
      <c r="Q225" t="n">
        <v>160.14</v>
      </c>
      <c r="R225" t="n">
        <v>169.48</v>
      </c>
      <c r="S225" t="inlineStr">
        <is>
          <t>AUSTRALIAN DOLLAR</t>
        </is>
      </c>
      <c r="T225" t="n">
        <v>18015.58</v>
      </c>
      <c r="U225" t="n">
        <v>18197.56</v>
      </c>
      <c r="V225" t="n">
        <v>18780.51</v>
      </c>
      <c r="W225" t="inlineStr">
        <is>
          <t>CANADIAN DOLLAR</t>
        </is>
      </c>
      <c r="X225" t="n">
        <v>18341.72</v>
      </c>
      <c r="Y225" t="n">
        <v>18526.99</v>
      </c>
      <c r="Z225" t="n">
        <v>19120.5</v>
      </c>
      <c r="AA225" t="inlineStr">
        <is>
          <t>SWISS FRANC</t>
        </is>
      </c>
      <c r="AB225" t="n">
        <v>31332.74</v>
      </c>
      <c r="AC225" t="n">
        <v>31649.23</v>
      </c>
      <c r="AD225" t="n">
        <v>32663.11</v>
      </c>
      <c r="AE225" t="inlineStr">
        <is>
          <t>SINGAPORE DOLLAR</t>
        </is>
      </c>
      <c r="AF225" t="n">
        <v>19898.03</v>
      </c>
      <c r="AG225" t="n">
        <v>20099.02</v>
      </c>
      <c r="AH225" t="n">
        <v>20784.43</v>
      </c>
      <c r="AI225" t="inlineStr">
        <is>
          <t>YUAN RENMINBI</t>
        </is>
      </c>
      <c r="AJ225" t="n">
        <v>3779.08</v>
      </c>
      <c r="AK225" t="n">
        <v>3817.25</v>
      </c>
      <c r="AL225" t="n">
        <v>3939.54</v>
      </c>
      <c r="AM225" t="inlineStr">
        <is>
          <t>HONGKONG DOLLAR</t>
        </is>
      </c>
      <c r="AN225" t="n">
        <v>3237.19</v>
      </c>
      <c r="AO225" t="n">
        <v>3269.89</v>
      </c>
      <c r="AP225" t="n">
        <v>3394.95</v>
      </c>
      <c r="AQ225" t="inlineStr">
        <is>
          <t>THAILAND BAHT</t>
        </is>
      </c>
      <c r="AR225" t="n">
        <v>695.45</v>
      </c>
      <c r="AS225" t="n">
        <v>772.72</v>
      </c>
      <c r="AT225" t="n">
        <v>805.49</v>
      </c>
      <c r="AU225" t="inlineStr">
        <is>
          <t>KOREAN WON</t>
        </is>
      </c>
      <c r="AV225" t="n">
        <v>16.01</v>
      </c>
      <c r="AW225" t="n">
        <v>17.79</v>
      </c>
      <c r="AX225" t="n">
        <v>19.3</v>
      </c>
      <c r="AY225" t="inlineStr">
        <is>
          <t>MALAYSIAN RINGGIT</t>
        </is>
      </c>
      <c r="BA225" t="n">
        <v>6332.37</v>
      </c>
      <c r="BB225" t="n">
        <v>6470.19</v>
      </c>
      <c r="BC225" t="inlineStr">
        <is>
          <t>INDIAN RUPEE</t>
        </is>
      </c>
      <c r="BE225" t="n">
        <v>272.33</v>
      </c>
      <c r="BF225" t="n">
        <v>284.05</v>
      </c>
      <c r="BG225" t="inlineStr">
        <is>
          <t>KUWAITI DINAR</t>
        </is>
      </c>
      <c r="BI225" t="n">
        <v>84603.03</v>
      </c>
      <c r="BJ225" t="n">
        <v>88704.42999999999</v>
      </c>
      <c r="BK225" t="inlineStr">
        <is>
          <t>SAUDI RIAL</t>
        </is>
      </c>
      <c r="BM225" t="n">
        <v>6923.3</v>
      </c>
      <c r="BN225" t="n">
        <v>7221.31</v>
      </c>
      <c r="BO225" t="inlineStr">
        <is>
          <t>NORWEGIAN KRONER</t>
        </is>
      </c>
      <c r="BQ225" t="n">
        <v>2706.76</v>
      </c>
      <c r="BR225" t="n">
        <v>2821.55</v>
      </c>
      <c r="BS225" t="inlineStr">
        <is>
          <t>SWEDISH KRONA</t>
        </is>
      </c>
      <c r="BU225" t="n">
        <v>2686.65</v>
      </c>
      <c r="BV225" t="n">
        <v>2800.6</v>
      </c>
      <c r="BW225" t="inlineStr">
        <is>
          <t>DANISH KRONE</t>
        </is>
      </c>
      <c r="BY225" t="n">
        <v>3965.41</v>
      </c>
      <c r="BZ225" t="n">
        <v>4117.07</v>
      </c>
      <c r="CA225" t="inlineStr">
        <is>
          <t>RUSSIAN RUBLE</t>
        </is>
      </c>
      <c r="CC225" t="n">
        <v>296.15</v>
      </c>
      <c r="CD225" t="n">
        <v>327.82</v>
      </c>
    </row>
    <row r="226">
      <c r="A226" t="inlineStr">
        <is>
          <t>17/08/2026</t>
        </is>
      </c>
      <c r="B226">
        <f>IF(ISNUMBER(A226), A226, DATE(RIGHT(A226,4), MID(A226,4,2), LEFT(A226,2)))</f>
        <v/>
      </c>
      <c r="C226" t="inlineStr">
        <is>
          <t>US DOLLAR</t>
        </is>
      </c>
      <c r="D226" t="n">
        <v>25990</v>
      </c>
      <c r="E226" t="n">
        <v>26020</v>
      </c>
      <c r="F226" t="n">
        <v>26400</v>
      </c>
      <c r="G226" t="inlineStr">
        <is>
          <t>EURO</t>
        </is>
      </c>
      <c r="H226" t="n">
        <v>29571.81</v>
      </c>
      <c r="I226" t="n">
        <v>29870.52</v>
      </c>
      <c r="J226" t="n">
        <v>31131.01</v>
      </c>
      <c r="K226" t="inlineStr">
        <is>
          <t>POUND STERLING</t>
        </is>
      </c>
      <c r="L226" t="n">
        <v>34595.37</v>
      </c>
      <c r="M226" t="n">
        <v>34944.82</v>
      </c>
      <c r="N226" t="n">
        <v>36064.13</v>
      </c>
      <c r="O226" t="inlineStr">
        <is>
          <t>YEN</t>
        </is>
      </c>
      <c r="P226" t="n">
        <v>159.03</v>
      </c>
      <c r="Q226" t="n">
        <v>160.64</v>
      </c>
      <c r="R226" t="n">
        <v>170.01</v>
      </c>
      <c r="S226" t="inlineStr">
        <is>
          <t>AUSTRALIAN DOLLAR</t>
        </is>
      </c>
      <c r="T226" t="n">
        <v>18112.39</v>
      </c>
      <c r="U226" t="n">
        <v>18295.34</v>
      </c>
      <c r="V226" t="n">
        <v>18881.35</v>
      </c>
      <c r="W226" t="inlineStr">
        <is>
          <t>CANADIAN DOLLAR</t>
        </is>
      </c>
      <c r="X226" t="n">
        <v>18424.04</v>
      </c>
      <c r="Y226" t="n">
        <v>18610.14</v>
      </c>
      <c r="Z226" t="n">
        <v>19206.23</v>
      </c>
      <c r="AA226" t="inlineStr">
        <is>
          <t>SWISS FRANC</t>
        </is>
      </c>
      <c r="AB226" t="n">
        <v>31478.65</v>
      </c>
      <c r="AC226" t="n">
        <v>31796.62</v>
      </c>
      <c r="AD226" t="n">
        <v>32815.09</v>
      </c>
      <c r="AE226" t="inlineStr">
        <is>
          <t>SINGAPORE DOLLAR</t>
        </is>
      </c>
      <c r="AF226" t="n">
        <v>19973.22</v>
      </c>
      <c r="AG226" t="n">
        <v>20174.97</v>
      </c>
      <c r="AH226" t="n">
        <v>20862.88</v>
      </c>
      <c r="AI226" t="inlineStr">
        <is>
          <t>YUAN RENMINBI</t>
        </is>
      </c>
      <c r="AJ226" t="n">
        <v>3789.21</v>
      </c>
      <c r="AK226" t="n">
        <v>3827.48</v>
      </c>
      <c r="AL226" t="n">
        <v>3950.08</v>
      </c>
      <c r="AM226" t="inlineStr">
        <is>
          <t>HONGKONG DOLLAR</t>
        </is>
      </c>
      <c r="AN226" t="n">
        <v>3245.99</v>
      </c>
      <c r="AO226" t="n">
        <v>3278.78</v>
      </c>
      <c r="AP226" t="n">
        <v>3404.17</v>
      </c>
      <c r="AQ226" t="inlineStr">
        <is>
          <t>THAILAND BAHT</t>
        </is>
      </c>
      <c r="AR226" t="n">
        <v>698.5700000000001</v>
      </c>
      <c r="AS226" t="n">
        <v>776.1900000000001</v>
      </c>
      <c r="AT226" t="n">
        <v>809.11</v>
      </c>
      <c r="AU226" t="inlineStr">
        <is>
          <t>KOREAN WON</t>
        </is>
      </c>
      <c r="AV226" t="n">
        <v>16.02</v>
      </c>
      <c r="AW226" t="n">
        <v>17.8</v>
      </c>
      <c r="AX226" t="n">
        <v>19.31</v>
      </c>
      <c r="AY226" t="inlineStr">
        <is>
          <t>MALAYSIAN RINGGIT</t>
        </is>
      </c>
      <c r="BA226" t="n">
        <v>6360.24</v>
      </c>
      <c r="BB226" t="n">
        <v>6498.64</v>
      </c>
      <c r="BC226" t="inlineStr">
        <is>
          <t>INDIAN RUPEE</t>
        </is>
      </c>
      <c r="BE226" t="n">
        <v>273.05</v>
      </c>
      <c r="BF226" t="n">
        <v>284.8</v>
      </c>
      <c r="BG226" t="inlineStr">
        <is>
          <t>KUWAITI DINAR</t>
        </is>
      </c>
      <c r="BI226" t="n">
        <v>84857.38</v>
      </c>
      <c r="BJ226" t="n">
        <v>88970.75</v>
      </c>
      <c r="BK226" t="inlineStr">
        <is>
          <t>SAUDI RIAL</t>
        </is>
      </c>
      <c r="BM226" t="n">
        <v>6941.85</v>
      </c>
      <c r="BN226" t="n">
        <v>7240.64</v>
      </c>
      <c r="BO226" t="inlineStr">
        <is>
          <t>NORWEGIAN KRONER</t>
        </is>
      </c>
      <c r="BQ226" t="n">
        <v>2723.92</v>
      </c>
      <c r="BR226" t="n">
        <v>2839.43</v>
      </c>
      <c r="BS226" t="inlineStr">
        <is>
          <t>SWEDISH KRONA</t>
        </is>
      </c>
      <c r="BU226" t="n">
        <v>2700.46</v>
      </c>
      <c r="BV226" t="n">
        <v>2814.97</v>
      </c>
      <c r="BW226" t="inlineStr">
        <is>
          <t>DANISH KRONE</t>
        </is>
      </c>
      <c r="BY226" t="n">
        <v>3985.7</v>
      </c>
      <c r="BZ226" t="n">
        <v>4138.13</v>
      </c>
      <c r="CA226" t="inlineStr">
        <is>
          <t>RUSSIAN RUBLE</t>
        </is>
      </c>
      <c r="CC226" t="n">
        <v>296.07</v>
      </c>
      <c r="CD226" t="n">
        <v>327.74</v>
      </c>
    </row>
    <row r="227">
      <c r="A227" t="inlineStr">
        <is>
          <t>18/08/2026</t>
        </is>
      </c>
      <c r="B227">
        <f>IF(ISNUMBER(A227), A227, DATE(RIGHT(A227,4), MID(A227,4,2), LEFT(A227,2)))</f>
        <v/>
      </c>
      <c r="C227" t="inlineStr">
        <is>
          <t>US DOLLAR</t>
        </is>
      </c>
      <c r="D227" t="n">
        <v>25970</v>
      </c>
      <c r="E227" t="n">
        <v>26000</v>
      </c>
      <c r="F227" t="n">
        <v>26380</v>
      </c>
      <c r="G227" t="inlineStr">
        <is>
          <t>EURO</t>
        </is>
      </c>
      <c r="H227" t="n">
        <v>29544.13</v>
      </c>
      <c r="I227" t="n">
        <v>29842.55</v>
      </c>
      <c r="J227" t="n">
        <v>31101.9</v>
      </c>
      <c r="K227" t="inlineStr">
        <is>
          <t>POUND STERLING</t>
        </is>
      </c>
      <c r="L227" t="n">
        <v>34556.19</v>
      </c>
      <c r="M227" t="n">
        <v>34905.25</v>
      </c>
      <c r="N227" t="n">
        <v>36023.33</v>
      </c>
      <c r="O227" t="inlineStr">
        <is>
          <t>YEN</t>
        </is>
      </c>
      <c r="P227" t="n">
        <v>158.5</v>
      </c>
      <c r="Q227" t="n">
        <v>160.1</v>
      </c>
      <c r="R227" t="n">
        <v>169.44</v>
      </c>
      <c r="S227" t="inlineStr">
        <is>
          <t>AUSTRALIAN DOLLAR</t>
        </is>
      </c>
      <c r="T227" t="n">
        <v>18141.94</v>
      </c>
      <c r="U227" t="n">
        <v>18325.19</v>
      </c>
      <c r="V227" t="n">
        <v>18912.18</v>
      </c>
      <c r="W227" t="inlineStr">
        <is>
          <t>CANADIAN DOLLAR</t>
        </is>
      </c>
      <c r="X227" t="n">
        <v>18408.64</v>
      </c>
      <c r="Y227" t="n">
        <v>18594.58</v>
      </c>
      <c r="Z227" t="n">
        <v>19190.2</v>
      </c>
      <c r="AA227" t="inlineStr">
        <is>
          <t>SWISS FRANC</t>
        </is>
      </c>
      <c r="AB227" t="n">
        <v>31477.89</v>
      </c>
      <c r="AC227" t="n">
        <v>31795.85</v>
      </c>
      <c r="AD227" t="n">
        <v>32814.33</v>
      </c>
      <c r="AE227" t="inlineStr">
        <is>
          <t>SINGAPORE DOLLAR</t>
        </is>
      </c>
      <c r="AF227" t="n">
        <v>19964.22</v>
      </c>
      <c r="AG227" t="n">
        <v>20165.88</v>
      </c>
      <c r="AH227" t="n">
        <v>20853.5</v>
      </c>
      <c r="AI227" t="inlineStr">
        <is>
          <t>YUAN RENMINBI</t>
        </is>
      </c>
      <c r="AJ227" t="n">
        <v>3785.36</v>
      </c>
      <c r="AK227" t="n">
        <v>3823.59</v>
      </c>
      <c r="AL227" t="n">
        <v>3946.07</v>
      </c>
      <c r="AM227" t="inlineStr">
        <is>
          <t>HONGKONG DOLLAR</t>
        </is>
      </c>
      <c r="AN227" t="n">
        <v>3244.42</v>
      </c>
      <c r="AO227" t="n">
        <v>3277.19</v>
      </c>
      <c r="AP227" t="n">
        <v>3402.53</v>
      </c>
      <c r="AQ227" t="inlineStr">
        <is>
          <t>THAILAND BAHT</t>
        </is>
      </c>
      <c r="AR227" t="n">
        <v>699.73</v>
      </c>
      <c r="AS227" t="n">
        <v>777.48</v>
      </c>
      <c r="AT227" t="n">
        <v>810.45</v>
      </c>
      <c r="AU227" t="inlineStr">
        <is>
          <t>KOREAN WON</t>
        </is>
      </c>
      <c r="AV227" t="n">
        <v>16.08</v>
      </c>
      <c r="AW227" t="n">
        <v>17.87</v>
      </c>
      <c r="AX227" t="n">
        <v>19.39</v>
      </c>
      <c r="AY227" t="inlineStr">
        <is>
          <t>MALAYSIAN RINGGIT</t>
        </is>
      </c>
      <c r="BA227" t="n">
        <v>6397.75</v>
      </c>
      <c r="BB227" t="n">
        <v>6536.97</v>
      </c>
      <c r="BC227" t="inlineStr">
        <is>
          <t>INDIAN RUPEE</t>
        </is>
      </c>
      <c r="BE227" t="n">
        <v>272.38</v>
      </c>
      <c r="BF227" t="n">
        <v>284.11</v>
      </c>
      <c r="BG227" t="inlineStr">
        <is>
          <t>KUWAITI DINAR</t>
        </is>
      </c>
      <c r="BI227" t="n">
        <v>84820.2</v>
      </c>
      <c r="BJ227" t="n">
        <v>88931.87</v>
      </c>
      <c r="BK227" t="inlineStr">
        <is>
          <t>SAUDI RIAL</t>
        </is>
      </c>
      <c r="BM227" t="n">
        <v>6935.81</v>
      </c>
      <c r="BN227" t="n">
        <v>7234.34</v>
      </c>
      <c r="BO227" t="inlineStr">
        <is>
          <t>NORWEGIAN KRONER</t>
        </is>
      </c>
      <c r="BQ227" t="n">
        <v>2725.31</v>
      </c>
      <c r="BR227" t="n">
        <v>2840.88</v>
      </c>
      <c r="BS227" t="inlineStr">
        <is>
          <t>SWEDISH KRONA</t>
        </is>
      </c>
      <c r="BU227" t="n">
        <v>2696.66</v>
      </c>
      <c r="BV227" t="n">
        <v>2811.02</v>
      </c>
      <c r="BW227" t="inlineStr">
        <is>
          <t>DANISH KRONE</t>
        </is>
      </c>
      <c r="BY227" t="n">
        <v>3981.67</v>
      </c>
      <c r="BZ227" t="n">
        <v>4133.95</v>
      </c>
      <c r="CA227" t="inlineStr">
        <is>
          <t>RUSSIAN RUBLE</t>
        </is>
      </c>
      <c r="CC227" t="n">
        <v>293.24</v>
      </c>
      <c r="CD227" t="n">
        <v>324.6</v>
      </c>
    </row>
    <row r="228">
      <c r="A228" t="inlineStr">
        <is>
          <t>19/08/2026</t>
        </is>
      </c>
      <c r="B228">
        <f>IF(ISNUMBER(A228), A228, DATE(RIGHT(A228,4), MID(A228,4,2), LEFT(A228,2)))</f>
        <v/>
      </c>
      <c r="C228" t="inlineStr">
        <is>
          <t>US DOLLAR</t>
        </is>
      </c>
      <c r="D228" t="n">
        <v>25960</v>
      </c>
      <c r="E228" t="n">
        <v>25990</v>
      </c>
      <c r="F228" t="n">
        <v>26370</v>
      </c>
      <c r="G228" t="inlineStr">
        <is>
          <t>EURO</t>
        </is>
      </c>
      <c r="H228" t="n">
        <v>29530.29</v>
      </c>
      <c r="I228" t="n">
        <v>29828.57</v>
      </c>
      <c r="J228" t="n">
        <v>31087.35</v>
      </c>
      <c r="K228" t="inlineStr">
        <is>
          <t>POUND STERLING</t>
        </is>
      </c>
      <c r="L228" t="n">
        <v>34525.13</v>
      </c>
      <c r="M228" t="n">
        <v>34873.87</v>
      </c>
      <c r="N228" t="n">
        <v>35990.97</v>
      </c>
      <c r="O228" t="inlineStr">
        <is>
          <t>YEN</t>
        </is>
      </c>
      <c r="P228" t="n">
        <v>158.45</v>
      </c>
      <c r="Q228" t="n">
        <v>160.05</v>
      </c>
      <c r="R228" t="n">
        <v>169.39</v>
      </c>
      <c r="S228" t="inlineStr">
        <is>
          <t>AUSTRALIAN DOLLAR</t>
        </is>
      </c>
      <c r="T228" t="n">
        <v>18066.13</v>
      </c>
      <c r="U228" t="n">
        <v>18248.61</v>
      </c>
      <c r="V228" t="n">
        <v>18833.16</v>
      </c>
      <c r="W228" t="inlineStr">
        <is>
          <t>CANADIAN DOLLAR</t>
        </is>
      </c>
      <c r="X228" t="n">
        <v>18360.56</v>
      </c>
      <c r="Y228" t="n">
        <v>18546.02</v>
      </c>
      <c r="Z228" t="n">
        <v>19140.09</v>
      </c>
      <c r="AA228" t="inlineStr">
        <is>
          <t>SWISS FRANC</t>
        </is>
      </c>
      <c r="AB228" t="n">
        <v>31427.1</v>
      </c>
      <c r="AC228" t="n">
        <v>31744.55</v>
      </c>
      <c r="AD228" t="n">
        <v>32761.41</v>
      </c>
      <c r="AE228" t="inlineStr">
        <is>
          <t>SINGAPORE DOLLAR</t>
        </is>
      </c>
      <c r="AF228" t="n">
        <v>19942.54</v>
      </c>
      <c r="AG228" t="n">
        <v>20143.98</v>
      </c>
      <c r="AH228" t="n">
        <v>20830.87</v>
      </c>
      <c r="AI228" t="inlineStr">
        <is>
          <t>YUAN RENMINBI</t>
        </is>
      </c>
      <c r="AJ228" t="n">
        <v>3784.25</v>
      </c>
      <c r="AK228" t="n">
        <v>3822.47</v>
      </c>
      <c r="AL228" t="n">
        <v>3944.92</v>
      </c>
      <c r="AM228" t="inlineStr">
        <is>
          <t>HONGKONG DOLLAR</t>
        </is>
      </c>
      <c r="AN228" t="n">
        <v>3243.34</v>
      </c>
      <c r="AO228" t="n">
        <v>3276.11</v>
      </c>
      <c r="AP228" t="n">
        <v>3401.4</v>
      </c>
      <c r="AQ228" t="inlineStr">
        <is>
          <t>THAILAND BAHT</t>
        </is>
      </c>
      <c r="AR228" t="n">
        <v>697.14</v>
      </c>
      <c r="AS228" t="n">
        <v>774.6</v>
      </c>
      <c r="AT228" t="n">
        <v>807.45</v>
      </c>
      <c r="AU228" t="inlineStr">
        <is>
          <t>KOREAN WON</t>
        </is>
      </c>
      <c r="AV228" t="n">
        <v>16.07</v>
      </c>
      <c r="AW228" t="n">
        <v>17.86</v>
      </c>
      <c r="AX228" t="n">
        <v>19.38</v>
      </c>
      <c r="AY228" t="inlineStr">
        <is>
          <t>MALAYSIAN RINGGIT</t>
        </is>
      </c>
      <c r="BA228" t="n">
        <v>6382.7</v>
      </c>
      <c r="BB228" t="n">
        <v>6521.6</v>
      </c>
      <c r="BC228" t="inlineStr">
        <is>
          <t>INDIAN RUPEE</t>
        </is>
      </c>
      <c r="BE228" t="n">
        <v>272.05</v>
      </c>
      <c r="BF228" t="n">
        <v>283.76</v>
      </c>
      <c r="BG228" t="inlineStr">
        <is>
          <t>KUWAITI DINAR</t>
        </is>
      </c>
      <c r="BI228" t="n">
        <v>84760.17999999999</v>
      </c>
      <c r="BJ228" t="n">
        <v>88868.99000000001</v>
      </c>
      <c r="BK228" t="inlineStr">
        <is>
          <t>SAUDI RIAL</t>
        </is>
      </c>
      <c r="BM228" t="n">
        <v>6935.19</v>
      </c>
      <c r="BN228" t="n">
        <v>7233.7</v>
      </c>
      <c r="BO228" t="inlineStr">
        <is>
          <t>NORWEGIAN KRONER</t>
        </is>
      </c>
      <c r="BQ228" t="n">
        <v>2726.21</v>
      </c>
      <c r="BR228" t="n">
        <v>2841.82</v>
      </c>
      <c r="BS228" t="inlineStr">
        <is>
          <t>SWEDISH KRONA</t>
        </is>
      </c>
      <c r="BU228" t="n">
        <v>2690.29</v>
      </c>
      <c r="BV228" t="n">
        <v>2804.38</v>
      </c>
      <c r="BW228" t="inlineStr">
        <is>
          <t>DANISH KRONE</t>
        </is>
      </c>
      <c r="BY228" t="n">
        <v>3979.66</v>
      </c>
      <c r="BZ228" t="n">
        <v>4131.86</v>
      </c>
      <c r="CA228" t="inlineStr">
        <is>
          <t>RUSSIAN RUBLE</t>
        </is>
      </c>
      <c r="CC228" t="n">
        <v>293.11</v>
      </c>
      <c r="CD228" t="n">
        <v>324.46</v>
      </c>
    </row>
    <row r="229">
      <c r="A229" t="inlineStr">
        <is>
          <t>20/08/2026</t>
        </is>
      </c>
      <c r="B229">
        <f>IF(ISNUMBER(A229), A229, DATE(RIGHT(A229,4), MID(A229,4,2), LEFT(A229,2)))</f>
        <v/>
      </c>
      <c r="C229" t="inlineStr">
        <is>
          <t>US DOLLAR</t>
        </is>
      </c>
      <c r="D229" t="n">
        <v>25900</v>
      </c>
      <c r="E229" t="n">
        <v>25930</v>
      </c>
      <c r="F229" t="n">
        <v>26310</v>
      </c>
      <c r="G229" t="inlineStr">
        <is>
          <t>EURO</t>
        </is>
      </c>
      <c r="H229" t="n">
        <v>29770.52</v>
      </c>
      <c r="I229" t="n">
        <v>30071.23</v>
      </c>
      <c r="J229" t="n">
        <v>31340.36</v>
      </c>
      <c r="K229" t="inlineStr">
        <is>
          <t>POUND STERLING</t>
        </is>
      </c>
      <c r="L229" t="n">
        <v>34697.91</v>
      </c>
      <c r="M229" t="n">
        <v>35048.4</v>
      </c>
      <c r="N229" t="n">
        <v>36171.21</v>
      </c>
      <c r="O229" t="inlineStr">
        <is>
          <t>YEN</t>
        </is>
      </c>
      <c r="P229" t="n">
        <v>159.04</v>
      </c>
      <c r="Q229" t="n">
        <v>160.64</v>
      </c>
      <c r="R229" t="n">
        <v>170.01</v>
      </c>
      <c r="S229" t="inlineStr">
        <is>
          <t>AUSTRALIAN DOLLAR</t>
        </is>
      </c>
      <c r="T229" t="n">
        <v>18131.59</v>
      </c>
      <c r="U229" t="n">
        <v>18314.74</v>
      </c>
      <c r="V229" t="n">
        <v>18901.47</v>
      </c>
      <c r="W229" t="inlineStr">
        <is>
          <t>CANADIAN DOLLAR</t>
        </is>
      </c>
      <c r="X229" t="n">
        <v>18484.71</v>
      </c>
      <c r="Y229" t="n">
        <v>18671.42</v>
      </c>
      <c r="Z229" t="n">
        <v>19269.58</v>
      </c>
      <c r="AA229" t="inlineStr">
        <is>
          <t>SWISS FRANC</t>
        </is>
      </c>
      <c r="AB229" t="n">
        <v>31905.18</v>
      </c>
      <c r="AC229" t="n">
        <v>32227.45</v>
      </c>
      <c r="AD229" t="n">
        <v>33259.9</v>
      </c>
      <c r="AE229" t="inlineStr">
        <is>
          <t>SINGAPORE DOLLAR</t>
        </is>
      </c>
      <c r="AF229" t="n">
        <v>20007.94</v>
      </c>
      <c r="AG229" t="n">
        <v>20210.04</v>
      </c>
      <c r="AH229" t="n">
        <v>20899.25</v>
      </c>
      <c r="AI229" t="inlineStr">
        <is>
          <t>YUAN RENMINBI</t>
        </is>
      </c>
      <c r="AJ229" t="n">
        <v>3786.57</v>
      </c>
      <c r="AK229" t="n">
        <v>3824.82</v>
      </c>
      <c r="AL229" t="n">
        <v>3947.36</v>
      </c>
      <c r="AM229" t="inlineStr">
        <is>
          <t>HONGKONG DOLLAR</t>
        </is>
      </c>
      <c r="AN229" t="n">
        <v>3236.15</v>
      </c>
      <c r="AO229" t="n">
        <v>3268.84</v>
      </c>
      <c r="AP229" t="n">
        <v>3393.87</v>
      </c>
      <c r="AQ229" t="inlineStr">
        <is>
          <t>THAILAND BAHT</t>
        </is>
      </c>
      <c r="AR229" t="n">
        <v>701.05</v>
      </c>
      <c r="AS229" t="n">
        <v>778.9400000000001</v>
      </c>
      <c r="AT229" t="n">
        <v>811.98</v>
      </c>
      <c r="AU229" t="inlineStr">
        <is>
          <t>KOREAN WON</t>
        </is>
      </c>
      <c r="AV229" t="n">
        <v>16.2</v>
      </c>
      <c r="AW229" t="n">
        <v>18</v>
      </c>
      <c r="AX229" t="n">
        <v>19.53</v>
      </c>
      <c r="AY229" t="inlineStr">
        <is>
          <t>MALAYSIAN RINGGIT</t>
        </is>
      </c>
      <c r="BA229" t="n">
        <v>6398.02</v>
      </c>
      <c r="BB229" t="n">
        <v>6537.27</v>
      </c>
      <c r="BC229" t="inlineStr">
        <is>
          <t>INDIAN RUPEE</t>
        </is>
      </c>
      <c r="BE229" t="n">
        <v>271.38</v>
      </c>
      <c r="BF229" t="n">
        <v>283.06</v>
      </c>
      <c r="BG229" t="inlineStr">
        <is>
          <t>KUWAITI DINAR</t>
        </is>
      </c>
      <c r="BI229" t="n">
        <v>84676.07000000001</v>
      </c>
      <c r="BJ229" t="n">
        <v>88781.11</v>
      </c>
      <c r="BK229" t="inlineStr">
        <is>
          <t>SAUDI RIAL</t>
        </is>
      </c>
      <c r="BM229" t="n">
        <v>6916.89</v>
      </c>
      <c r="BN229" t="n">
        <v>7214.64</v>
      </c>
      <c r="BO229" t="inlineStr">
        <is>
          <t>NORWEGIAN KRONER</t>
        </is>
      </c>
      <c r="BQ229" t="n">
        <v>2750.48</v>
      </c>
      <c r="BR229" t="n">
        <v>2867.13</v>
      </c>
      <c r="BS229" t="inlineStr">
        <is>
          <t>SWEDISH KRONA</t>
        </is>
      </c>
      <c r="BU229" t="n">
        <v>2708.47</v>
      </c>
      <c r="BV229" t="n">
        <v>2823.34</v>
      </c>
      <c r="BW229" t="inlineStr">
        <is>
          <t>DANISH KRONE</t>
        </is>
      </c>
      <c r="BY229" t="n">
        <v>4012.1</v>
      </c>
      <c r="BZ229" t="n">
        <v>4165.55</v>
      </c>
      <c r="CA229" t="inlineStr">
        <is>
          <t>RUSSIAN RUBLE</t>
        </is>
      </c>
      <c r="CC229" t="n">
        <v>296.45</v>
      </c>
      <c r="CD229" t="n">
        <v>328.15</v>
      </c>
    </row>
    <row r="230">
      <c r="A230" t="inlineStr">
        <is>
          <t>21/08/2026</t>
        </is>
      </c>
      <c r="B230">
        <f>IF(ISNUMBER(A230), A230, DATE(RIGHT(A230,4), MID(A230,4,2), LEFT(A230,2)))</f>
        <v/>
      </c>
      <c r="C230" t="inlineStr">
        <is>
          <t>US DOLLAR</t>
        </is>
      </c>
      <c r="D230" t="n">
        <v>25870</v>
      </c>
      <c r="E230" t="n">
        <v>25900</v>
      </c>
      <c r="F230" t="n">
        <v>26280</v>
      </c>
      <c r="G230" t="inlineStr">
        <is>
          <t>EURO</t>
        </is>
      </c>
      <c r="H230" t="n">
        <v>29731.22</v>
      </c>
      <c r="I230" t="n">
        <v>30031.53</v>
      </c>
      <c r="J230" t="n">
        <v>31299.04</v>
      </c>
      <c r="K230" t="inlineStr">
        <is>
          <t>POUND STERLING</t>
        </is>
      </c>
      <c r="L230" t="n">
        <v>34686</v>
      </c>
      <c r="M230" t="n">
        <v>35036.36</v>
      </c>
      <c r="N230" t="n">
        <v>36158.85</v>
      </c>
      <c r="O230" t="inlineStr">
        <is>
          <t>YEN</t>
        </is>
      </c>
      <c r="P230" t="n">
        <v>158.61</v>
      </c>
      <c r="Q230" t="n">
        <v>160.22</v>
      </c>
      <c r="R230" t="n">
        <v>169.56</v>
      </c>
      <c r="S230" t="inlineStr">
        <is>
          <t>AUSTRALIAN DOLLAR</t>
        </is>
      </c>
      <c r="T230" t="n">
        <v>18199.72</v>
      </c>
      <c r="U230" t="n">
        <v>18383.56</v>
      </c>
      <c r="V230" t="n">
        <v>18972.53</v>
      </c>
      <c r="W230" t="inlineStr">
        <is>
          <t>CANADIAN DOLLAR</t>
        </is>
      </c>
      <c r="X230" t="n">
        <v>18491.66</v>
      </c>
      <c r="Y230" t="n">
        <v>18678.44</v>
      </c>
      <c r="Z230" t="n">
        <v>19276.86</v>
      </c>
      <c r="AA230" t="inlineStr">
        <is>
          <t>SWISS FRANC</t>
        </is>
      </c>
      <c r="AB230" t="n">
        <v>31792.8</v>
      </c>
      <c r="AC230" t="n">
        <v>32113.94</v>
      </c>
      <c r="AD230" t="n">
        <v>33142.8</v>
      </c>
      <c r="AE230" t="inlineStr">
        <is>
          <t>SINGAPORE DOLLAR</t>
        </is>
      </c>
      <c r="AF230" t="n">
        <v>20014.86</v>
      </c>
      <c r="AG230" t="n">
        <v>20217.03</v>
      </c>
      <c r="AH230" t="n">
        <v>20906.52</v>
      </c>
      <c r="AI230" t="inlineStr">
        <is>
          <t>YUAN RENMINBI</t>
        </is>
      </c>
      <c r="AJ230" t="n">
        <v>3783.8</v>
      </c>
      <c r="AK230" t="n">
        <v>3822.02</v>
      </c>
      <c r="AL230" t="n">
        <v>3944.47</v>
      </c>
      <c r="AM230" t="inlineStr">
        <is>
          <t>HONGKONG DOLLAR</t>
        </is>
      </c>
      <c r="AN230" t="n">
        <v>3233.75</v>
      </c>
      <c r="AO230" t="n">
        <v>3266.42</v>
      </c>
      <c r="AP230" t="n">
        <v>3391.36</v>
      </c>
      <c r="AQ230" t="inlineStr">
        <is>
          <t>THAILAND BAHT</t>
        </is>
      </c>
      <c r="AR230" t="n">
        <v>704.3200000000001</v>
      </c>
      <c r="AS230" t="n">
        <v>782.5700000000001</v>
      </c>
      <c r="AT230" t="n">
        <v>815.76</v>
      </c>
      <c r="AU230" t="inlineStr">
        <is>
          <t>KOREAN WON</t>
        </is>
      </c>
      <c r="AV230" t="n">
        <v>16.34</v>
      </c>
      <c r="AW230" t="n">
        <v>18.16</v>
      </c>
      <c r="AX230" t="n">
        <v>19.7</v>
      </c>
      <c r="AY230" t="inlineStr">
        <is>
          <t>MALAYSIAN RINGGIT</t>
        </is>
      </c>
      <c r="BA230" t="n">
        <v>6390.66</v>
      </c>
      <c r="BB230" t="n">
        <v>6529.77</v>
      </c>
      <c r="BC230" t="inlineStr">
        <is>
          <t>INDIAN RUPEE</t>
        </is>
      </c>
      <c r="BE230" t="n">
        <v>270.94</v>
      </c>
      <c r="BF230" t="n">
        <v>282.6</v>
      </c>
      <c r="BG230" t="inlineStr">
        <is>
          <t>KUWAITI DINAR</t>
        </is>
      </c>
      <c r="BI230" t="n">
        <v>84578.74000000001</v>
      </c>
      <c r="BJ230" t="n">
        <v>88679.22</v>
      </c>
      <c r="BK230" t="inlineStr">
        <is>
          <t>SAUDI RIAL</t>
        </is>
      </c>
      <c r="BM230" t="n">
        <v>6908.94</v>
      </c>
      <c r="BN230" t="n">
        <v>7206.36</v>
      </c>
      <c r="BO230" t="inlineStr">
        <is>
          <t>NORWEGIAN KRONER</t>
        </is>
      </c>
      <c r="BQ230" t="n">
        <v>2744.6</v>
      </c>
      <c r="BR230" t="n">
        <v>2861.01</v>
      </c>
      <c r="BS230" t="inlineStr">
        <is>
          <t>SWEDISH KRONA</t>
        </is>
      </c>
      <c r="BU230" t="n">
        <v>2699.1</v>
      </c>
      <c r="BV230" t="n">
        <v>2813.57</v>
      </c>
      <c r="BW230" t="inlineStr">
        <is>
          <t>DANISH KRONE</t>
        </is>
      </c>
      <c r="BY230" t="n">
        <v>4006.73</v>
      </c>
      <c r="BZ230" t="n">
        <v>4159.99</v>
      </c>
      <c r="CA230" t="inlineStr">
        <is>
          <t>RUSSIAN RUBLE</t>
        </is>
      </c>
      <c r="CC230" t="n">
        <v>299.14</v>
      </c>
      <c r="CD230" t="n">
        <v>331.14</v>
      </c>
    </row>
    <row r="231">
      <c r="A231" t="inlineStr">
        <is>
          <t>22/08/2026</t>
        </is>
      </c>
      <c r="B231">
        <f>IF(ISNUMBER(A231), A231, DATE(RIGHT(A231,4), MID(A231,4,2), LEFT(A231,2)))</f>
        <v/>
      </c>
      <c r="C231" t="inlineStr">
        <is>
          <t>US DOLLAR</t>
        </is>
      </c>
      <c r="D231" t="n">
        <v>25900</v>
      </c>
      <c r="E231" t="n">
        <v>25930</v>
      </c>
      <c r="F231" t="n">
        <v>26310</v>
      </c>
      <c r="G231" t="inlineStr">
        <is>
          <t>EURO</t>
        </is>
      </c>
      <c r="H231" t="n">
        <v>29727.25</v>
      </c>
      <c r="I231" t="n">
        <v>30027.53</v>
      </c>
      <c r="J231" t="n">
        <v>31294.81</v>
      </c>
      <c r="K231" t="inlineStr">
        <is>
          <t>POUND STERLING</t>
        </is>
      </c>
      <c r="L231" t="n">
        <v>34705.55</v>
      </c>
      <c r="M231" t="n">
        <v>35056.11</v>
      </c>
      <c r="N231" t="n">
        <v>36179.17</v>
      </c>
      <c r="O231" t="inlineStr">
        <is>
          <t>YEN</t>
        </is>
      </c>
      <c r="P231" t="n">
        <v>158.61</v>
      </c>
      <c r="Q231" t="n">
        <v>160.21</v>
      </c>
      <c r="R231" t="n">
        <v>169.55</v>
      </c>
      <c r="S231" t="inlineStr">
        <is>
          <t>AUSTRALIAN DOLLAR</t>
        </is>
      </c>
      <c r="T231" t="n">
        <v>18258.85</v>
      </c>
      <c r="U231" t="n">
        <v>18443.28</v>
      </c>
      <c r="V231" t="n">
        <v>19034.13</v>
      </c>
      <c r="W231" t="inlineStr">
        <is>
          <t>CANADIAN DOLLAR</t>
        </is>
      </c>
      <c r="X231" t="n">
        <v>18495.45</v>
      </c>
      <c r="Y231" t="n">
        <v>18682.28</v>
      </c>
      <c r="Z231" t="n">
        <v>19280.78</v>
      </c>
      <c r="AA231" t="inlineStr">
        <is>
          <t>SWISS FRANC</t>
        </is>
      </c>
      <c r="AB231" t="n">
        <v>31785.67</v>
      </c>
      <c r="AC231" t="n">
        <v>32106.74</v>
      </c>
      <c r="AD231" t="n">
        <v>33135.31</v>
      </c>
      <c r="AE231" t="inlineStr">
        <is>
          <t>SINGAPORE DOLLAR</t>
        </is>
      </c>
      <c r="AF231" t="n">
        <v>20036.31</v>
      </c>
      <c r="AG231" t="n">
        <v>20238.7</v>
      </c>
      <c r="AH231" t="n">
        <v>20928.89</v>
      </c>
      <c r="AI231" t="inlineStr">
        <is>
          <t>YUAN RENMINBI</t>
        </is>
      </c>
      <c r="AJ231" t="n">
        <v>3787.7</v>
      </c>
      <c r="AK231" t="n">
        <v>3825.96</v>
      </c>
      <c r="AL231" t="n">
        <v>3948.53</v>
      </c>
      <c r="AM231" t="inlineStr">
        <is>
          <t>HONGKONG DOLLAR</t>
        </is>
      </c>
      <c r="AN231" t="n">
        <v>3237.68</v>
      </c>
      <c r="AO231" t="n">
        <v>3270.38</v>
      </c>
      <c r="AP231" t="n">
        <v>3395.47</v>
      </c>
      <c r="AQ231" t="inlineStr">
        <is>
          <t>THAILAND BAHT</t>
        </is>
      </c>
      <c r="AR231" t="n">
        <v>704.91</v>
      </c>
      <c r="AS231" t="n">
        <v>783.23</v>
      </c>
      <c r="AT231" t="n">
        <v>816.45</v>
      </c>
      <c r="AU231" t="inlineStr">
        <is>
          <t>KOREAN WON</t>
        </is>
      </c>
      <c r="AV231" t="n">
        <v>16.3</v>
      </c>
      <c r="AW231" t="n">
        <v>18.11</v>
      </c>
      <c r="AX231" t="n">
        <v>19.65</v>
      </c>
      <c r="AY231" t="inlineStr">
        <is>
          <t>MALAYSIAN RINGGIT</t>
        </is>
      </c>
      <c r="BA231" t="n">
        <v>6404.36</v>
      </c>
      <c r="BB231" t="n">
        <v>6543.75</v>
      </c>
      <c r="BC231" t="inlineStr">
        <is>
          <t>INDIAN RUPEE</t>
        </is>
      </c>
      <c r="BE231" t="n">
        <v>271.4</v>
      </c>
      <c r="BF231" t="n">
        <v>283.08</v>
      </c>
      <c r="BG231" t="inlineStr">
        <is>
          <t>KUWAITI DINAR</t>
        </is>
      </c>
      <c r="BI231" t="n">
        <v>84676.07000000001</v>
      </c>
      <c r="BJ231" t="n">
        <v>88781.11</v>
      </c>
      <c r="BK231" t="inlineStr">
        <is>
          <t>SAUDI RIAL</t>
        </is>
      </c>
      <c r="BM231" t="n">
        <v>6917.07</v>
      </c>
      <c r="BN231" t="n">
        <v>7214.83</v>
      </c>
      <c r="BO231" t="inlineStr">
        <is>
          <t>NORWEGIAN KRONER</t>
        </is>
      </c>
      <c r="BQ231" t="n">
        <v>2755.13</v>
      </c>
      <c r="BR231" t="n">
        <v>2871.98</v>
      </c>
      <c r="BS231" t="inlineStr">
        <is>
          <t>SWEDISH KRONA</t>
        </is>
      </c>
      <c r="BU231" t="n">
        <v>2703.26</v>
      </c>
      <c r="BV231" t="n">
        <v>2817.91</v>
      </c>
      <c r="BW231" t="inlineStr">
        <is>
          <t>DANISH KRONE</t>
        </is>
      </c>
      <c r="BY231" t="n">
        <v>4006.64</v>
      </c>
      <c r="BZ231" t="n">
        <v>4159.89</v>
      </c>
      <c r="CA231" t="inlineStr">
        <is>
          <t>RUSSIAN RUBLE</t>
        </is>
      </c>
      <c r="CC231" t="n">
        <v>300.59</v>
      </c>
      <c r="CD231" t="n">
        <v>332.74</v>
      </c>
    </row>
    <row r="232">
      <c r="A232" t="inlineStr">
        <is>
          <t>23/08/2026</t>
        </is>
      </c>
      <c r="B232">
        <f>IF(ISNUMBER(A232), A232, DATE(RIGHT(A232,4), MID(A232,4,2), LEFT(A232,2)))</f>
        <v/>
      </c>
      <c r="C232" t="inlineStr">
        <is>
          <t>US DOLLAR</t>
        </is>
      </c>
      <c r="D232" t="n">
        <v>25900</v>
      </c>
      <c r="E232" t="n">
        <v>25930</v>
      </c>
      <c r="F232" t="n">
        <v>26310</v>
      </c>
      <c r="G232" t="inlineStr">
        <is>
          <t>EURO</t>
        </is>
      </c>
      <c r="H232" t="n">
        <v>29727.25</v>
      </c>
      <c r="I232" t="n">
        <v>30027.53</v>
      </c>
      <c r="J232" t="n">
        <v>31294.81</v>
      </c>
      <c r="K232" t="inlineStr">
        <is>
          <t>POUND STERLING</t>
        </is>
      </c>
      <c r="L232" t="n">
        <v>34705.55</v>
      </c>
      <c r="M232" t="n">
        <v>35056.11</v>
      </c>
      <c r="N232" t="n">
        <v>36179.17</v>
      </c>
      <c r="O232" t="inlineStr">
        <is>
          <t>YEN</t>
        </is>
      </c>
      <c r="P232" t="n">
        <v>158.61</v>
      </c>
      <c r="Q232" t="n">
        <v>160.21</v>
      </c>
      <c r="R232" t="n">
        <v>169.55</v>
      </c>
      <c r="S232" t="inlineStr">
        <is>
          <t>AUSTRALIAN DOLLAR</t>
        </is>
      </c>
      <c r="T232" t="n">
        <v>18258.85</v>
      </c>
      <c r="U232" t="n">
        <v>18443.28</v>
      </c>
      <c r="V232" t="n">
        <v>19034.13</v>
      </c>
      <c r="W232" t="inlineStr">
        <is>
          <t>CANADIAN DOLLAR</t>
        </is>
      </c>
      <c r="X232" t="n">
        <v>18495.45</v>
      </c>
      <c r="Y232" t="n">
        <v>18682.28</v>
      </c>
      <c r="Z232" t="n">
        <v>19280.78</v>
      </c>
      <c r="AA232" t="inlineStr">
        <is>
          <t>SWISS FRANC</t>
        </is>
      </c>
      <c r="AB232" t="n">
        <v>31785.67</v>
      </c>
      <c r="AC232" t="n">
        <v>32106.74</v>
      </c>
      <c r="AD232" t="n">
        <v>33135.31</v>
      </c>
      <c r="AE232" t="inlineStr">
        <is>
          <t>SINGAPORE DOLLAR</t>
        </is>
      </c>
      <c r="AF232" t="n">
        <v>20036.31</v>
      </c>
      <c r="AG232" t="n">
        <v>20238.7</v>
      </c>
      <c r="AH232" t="n">
        <v>20928.89</v>
      </c>
      <c r="AI232" t="inlineStr">
        <is>
          <t>YUAN RENMINBI</t>
        </is>
      </c>
      <c r="AJ232" t="n">
        <v>3787.7</v>
      </c>
      <c r="AK232" t="n">
        <v>3825.96</v>
      </c>
      <c r="AL232" t="n">
        <v>3948.53</v>
      </c>
      <c r="AM232" t="inlineStr">
        <is>
          <t>HONGKONG DOLLAR</t>
        </is>
      </c>
      <c r="AN232" t="n">
        <v>3237.68</v>
      </c>
      <c r="AO232" t="n">
        <v>3270.38</v>
      </c>
      <c r="AP232" t="n">
        <v>3395.47</v>
      </c>
      <c r="AQ232" t="inlineStr">
        <is>
          <t>THAILAND BAHT</t>
        </is>
      </c>
      <c r="AR232" t="n">
        <v>704.91</v>
      </c>
      <c r="AS232" t="n">
        <v>783.23</v>
      </c>
      <c r="AT232" t="n">
        <v>816.45</v>
      </c>
      <c r="AU232" t="inlineStr">
        <is>
          <t>KOREAN WON</t>
        </is>
      </c>
      <c r="AV232" t="n">
        <v>16.3</v>
      </c>
      <c r="AW232" t="n">
        <v>18.11</v>
      </c>
      <c r="AX232" t="n">
        <v>19.65</v>
      </c>
      <c r="AY232" t="inlineStr">
        <is>
          <t>MALAYSIAN RINGGIT</t>
        </is>
      </c>
      <c r="BA232" t="n">
        <v>6404.36</v>
      </c>
      <c r="BB232" t="n">
        <v>6543.75</v>
      </c>
      <c r="BC232" t="inlineStr">
        <is>
          <t>INDIAN RUPEE</t>
        </is>
      </c>
      <c r="BE232" t="n">
        <v>271.4</v>
      </c>
      <c r="BF232" t="n">
        <v>283.08</v>
      </c>
      <c r="BG232" t="inlineStr">
        <is>
          <t>KUWAITI DINAR</t>
        </is>
      </c>
      <c r="BI232" t="n">
        <v>84676.07000000001</v>
      </c>
      <c r="BJ232" t="n">
        <v>88781.11</v>
      </c>
      <c r="BK232" t="inlineStr">
        <is>
          <t>SAUDI RIAL</t>
        </is>
      </c>
      <c r="BM232" t="n">
        <v>6917.07</v>
      </c>
      <c r="BN232" t="n">
        <v>7214.83</v>
      </c>
      <c r="BO232" t="inlineStr">
        <is>
          <t>NORWEGIAN KRONER</t>
        </is>
      </c>
      <c r="BQ232" t="n">
        <v>2755.13</v>
      </c>
      <c r="BR232" t="n">
        <v>2871.98</v>
      </c>
      <c r="BS232" t="inlineStr">
        <is>
          <t>SWEDISH KRONA</t>
        </is>
      </c>
      <c r="BU232" t="n">
        <v>2703.26</v>
      </c>
      <c r="BV232" t="n">
        <v>2817.91</v>
      </c>
      <c r="BW232" t="inlineStr">
        <is>
          <t>DANISH KRONE</t>
        </is>
      </c>
      <c r="BY232" t="n">
        <v>4006.64</v>
      </c>
      <c r="BZ232" t="n">
        <v>4159.89</v>
      </c>
      <c r="CA232" t="inlineStr">
        <is>
          <t>RUSSIAN RUBLE</t>
        </is>
      </c>
      <c r="CC232" t="n">
        <v>300.59</v>
      </c>
      <c r="CD232" t="n">
        <v>332.74</v>
      </c>
    </row>
    <row r="233">
      <c r="A233" t="inlineStr">
        <is>
          <t>24/08/2026</t>
        </is>
      </c>
      <c r="B233">
        <f>IF(ISNUMBER(A233), A233, DATE(RIGHT(A233,4), MID(A233,4,2), LEFT(A233,2)))</f>
        <v/>
      </c>
      <c r="C233" t="inlineStr">
        <is>
          <t>US DOLLAR</t>
        </is>
      </c>
      <c r="D233" t="n">
        <v>25950</v>
      </c>
      <c r="E233" t="n">
        <v>25980</v>
      </c>
      <c r="F233" t="n">
        <v>26360</v>
      </c>
      <c r="G233" t="inlineStr">
        <is>
          <t>EURO</t>
        </is>
      </c>
      <c r="H233" t="n">
        <v>29743.4</v>
      </c>
      <c r="I233" t="n">
        <v>30043.84</v>
      </c>
      <c r="J233" t="n">
        <v>31311.72</v>
      </c>
      <c r="K233" t="inlineStr">
        <is>
          <t>POUND STERLING</t>
        </is>
      </c>
      <c r="L233" t="n">
        <v>34751.64</v>
      </c>
      <c r="M233" t="n">
        <v>35102.66</v>
      </c>
      <c r="N233" t="n">
        <v>36227.11</v>
      </c>
      <c r="O233" t="inlineStr">
        <is>
          <t>YEN</t>
        </is>
      </c>
      <c r="P233" t="n">
        <v>158.68</v>
      </c>
      <c r="Q233" t="n">
        <v>160.28</v>
      </c>
      <c r="R233" t="n">
        <v>169.63</v>
      </c>
      <c r="S233" t="inlineStr">
        <is>
          <t>AUSTRALIAN DOLLAR</t>
        </is>
      </c>
      <c r="T233" t="n">
        <v>18263.22</v>
      </c>
      <c r="U233" t="n">
        <v>18447.7</v>
      </c>
      <c r="V233" t="n">
        <v>19038.64</v>
      </c>
      <c r="W233" t="inlineStr">
        <is>
          <t>CANADIAN DOLLAR</t>
        </is>
      </c>
      <c r="X233" t="n">
        <v>18441.12</v>
      </c>
      <c r="Y233" t="n">
        <v>18627.39</v>
      </c>
      <c r="Z233" t="n">
        <v>19224.09</v>
      </c>
      <c r="AA233" t="inlineStr">
        <is>
          <t>SWISS FRANC</t>
        </is>
      </c>
      <c r="AB233" t="n">
        <v>31790.99</v>
      </c>
      <c r="AC233" t="n">
        <v>32112.11</v>
      </c>
      <c r="AD233" t="n">
        <v>33140.76</v>
      </c>
      <c r="AE233" t="inlineStr">
        <is>
          <t>SINGAPORE DOLLAR</t>
        </is>
      </c>
      <c r="AF233" t="n">
        <v>20057.31</v>
      </c>
      <c r="AG233" t="n">
        <v>20259.91</v>
      </c>
      <c r="AH233" t="n">
        <v>20950.77</v>
      </c>
      <c r="AI233" t="inlineStr">
        <is>
          <t>YUAN RENMINBI</t>
        </is>
      </c>
      <c r="AJ233" t="n">
        <v>3794.11</v>
      </c>
      <c r="AK233" t="n">
        <v>3832.44</v>
      </c>
      <c r="AL233" t="n">
        <v>3955.2</v>
      </c>
      <c r="AM233" t="inlineStr">
        <is>
          <t>HONGKONG DOLLAR</t>
        </is>
      </c>
      <c r="AN233" t="n">
        <v>3245.33</v>
      </c>
      <c r="AO233" t="n">
        <v>3278.11</v>
      </c>
      <c r="AP233" t="n">
        <v>3403.49</v>
      </c>
      <c r="AQ233" t="inlineStr">
        <is>
          <t>THAILAND BAHT</t>
        </is>
      </c>
      <c r="AR233" t="n">
        <v>706.04</v>
      </c>
      <c r="AS233" t="n">
        <v>784.49</v>
      </c>
      <c r="AT233" t="n">
        <v>817.76</v>
      </c>
      <c r="AU233" t="inlineStr">
        <is>
          <t>KOREAN WON</t>
        </is>
      </c>
      <c r="AV233" t="n">
        <v>16.36</v>
      </c>
      <c r="AW233" t="n">
        <v>18.18</v>
      </c>
      <c r="AX233" t="n">
        <v>19.72</v>
      </c>
      <c r="AY233" t="inlineStr">
        <is>
          <t>MALAYSIAN RINGGIT</t>
        </is>
      </c>
      <c r="BA233" t="n">
        <v>6408.69</v>
      </c>
      <c r="BB233" t="n">
        <v>6548.15</v>
      </c>
      <c r="BC233" t="inlineStr">
        <is>
          <t>INDIAN RUPEE</t>
        </is>
      </c>
      <c r="BE233" t="n">
        <v>271.76</v>
      </c>
      <c r="BF233" t="n">
        <v>283.46</v>
      </c>
      <c r="BG233" t="inlineStr">
        <is>
          <t>KUWAITI DINAR</t>
        </is>
      </c>
      <c r="BI233" t="n">
        <v>84838.28</v>
      </c>
      <c r="BJ233" t="n">
        <v>88950.92999999999</v>
      </c>
      <c r="BK233" t="inlineStr">
        <is>
          <t>SAUDI RIAL</t>
        </is>
      </c>
      <c r="BM233" t="n">
        <v>6930.14</v>
      </c>
      <c r="BN233" t="n">
        <v>7228.44</v>
      </c>
      <c r="BO233" t="inlineStr">
        <is>
          <t>NORWEGIAN KRONER</t>
        </is>
      </c>
      <c r="BQ233" t="n">
        <v>2750.37</v>
      </c>
      <c r="BR233" t="n">
        <v>2867</v>
      </c>
      <c r="BS233" t="inlineStr">
        <is>
          <t>SWEDISH KRONA</t>
        </is>
      </c>
      <c r="BU233" t="n">
        <v>2701.25</v>
      </c>
      <c r="BV233" t="n">
        <v>2815.8</v>
      </c>
      <c r="BW233" t="inlineStr">
        <is>
          <t>DANISH KRONE</t>
        </is>
      </c>
      <c r="BY233" t="n">
        <v>4008.68</v>
      </c>
      <c r="BZ233" t="n">
        <v>4161.99</v>
      </c>
      <c r="CA233" t="inlineStr">
        <is>
          <t>RUSSIAN RUBLE</t>
        </is>
      </c>
      <c r="CC233" t="n">
        <v>297.37</v>
      </c>
      <c r="CD233" t="n">
        <v>329.18</v>
      </c>
    </row>
    <row r="234">
      <c r="A234" t="inlineStr">
        <is>
          <t>25/08/2026</t>
        </is>
      </c>
      <c r="B234">
        <f>IF(ISNUMBER(A234), A234, DATE(RIGHT(A234,4), MID(A234,4,2), LEFT(A234,2)))</f>
        <v/>
      </c>
      <c r="C234" t="inlineStr">
        <is>
          <t>US DOLLAR</t>
        </is>
      </c>
      <c r="D234" t="n">
        <v>25900</v>
      </c>
      <c r="E234" t="n">
        <v>25930</v>
      </c>
      <c r="F234" t="n">
        <v>26310</v>
      </c>
      <c r="G234" t="inlineStr">
        <is>
          <t>EURO</t>
        </is>
      </c>
      <c r="H234" t="n">
        <v>29661.08</v>
      </c>
      <c r="I234" t="n">
        <v>29960.69</v>
      </c>
      <c r="J234" t="n">
        <v>31225.14</v>
      </c>
      <c r="K234" t="inlineStr">
        <is>
          <t>POUND STERLING</t>
        </is>
      </c>
      <c r="L234" t="n">
        <v>34692.82</v>
      </c>
      <c r="M234" t="n">
        <v>35043.26</v>
      </c>
      <c r="N234" t="n">
        <v>36165.91</v>
      </c>
      <c r="O234" t="inlineStr">
        <is>
          <t>YEN</t>
        </is>
      </c>
      <c r="P234" t="n">
        <v>158.18</v>
      </c>
      <c r="Q234" t="n">
        <v>159.78</v>
      </c>
      <c r="R234" t="n">
        <v>169.09</v>
      </c>
      <c r="S234" t="inlineStr">
        <is>
          <t>AUSTRALIAN DOLLAR</t>
        </is>
      </c>
      <c r="T234" t="n">
        <v>18182.49</v>
      </c>
      <c r="U234" t="n">
        <v>18366.15</v>
      </c>
      <c r="V234" t="n">
        <v>18954.53</v>
      </c>
      <c r="W234" t="inlineStr">
        <is>
          <t>CANADIAN DOLLAR</t>
        </is>
      </c>
      <c r="X234" t="n">
        <v>18367.35</v>
      </c>
      <c r="Y234" t="n">
        <v>18552.88</v>
      </c>
      <c r="Z234" t="n">
        <v>19147.24</v>
      </c>
      <c r="AA234" t="inlineStr">
        <is>
          <t>SWISS FRANC</t>
        </is>
      </c>
      <c r="AB234" t="n">
        <v>31667.05</v>
      </c>
      <c r="AC234" t="n">
        <v>31986.92</v>
      </c>
      <c r="AD234" t="n">
        <v>33011.66</v>
      </c>
      <c r="AE234" t="inlineStr">
        <is>
          <t>SINGAPORE DOLLAR</t>
        </is>
      </c>
      <c r="AF234" t="n">
        <v>20006.36</v>
      </c>
      <c r="AG234" t="n">
        <v>20208.45</v>
      </c>
      <c r="AH234" t="n">
        <v>20897.61</v>
      </c>
      <c r="AI234" t="inlineStr">
        <is>
          <t>YUAN RENMINBI</t>
        </is>
      </c>
      <c r="AJ234" t="n">
        <v>3786.46</v>
      </c>
      <c r="AK234" t="n">
        <v>3824.71</v>
      </c>
      <c r="AL234" t="n">
        <v>3947.24</v>
      </c>
      <c r="AM234" t="inlineStr">
        <is>
          <t>HONGKONG DOLLAR</t>
        </is>
      </c>
      <c r="AN234" t="n">
        <v>3238.34</v>
      </c>
      <c r="AO234" t="n">
        <v>3271.05</v>
      </c>
      <c r="AP234" t="n">
        <v>3396.17</v>
      </c>
      <c r="AQ234" t="inlineStr">
        <is>
          <t>THAILAND BAHT</t>
        </is>
      </c>
      <c r="AR234" t="n">
        <v>703.1900000000001</v>
      </c>
      <c r="AS234" t="n">
        <v>781.3200000000001</v>
      </c>
      <c r="AT234" t="n">
        <v>814.46</v>
      </c>
      <c r="AU234" t="inlineStr">
        <is>
          <t>KOREAN WON</t>
        </is>
      </c>
      <c r="AV234" t="n">
        <v>16.3</v>
      </c>
      <c r="AW234" t="n">
        <v>18.11</v>
      </c>
      <c r="AX234" t="n">
        <v>19.65</v>
      </c>
      <c r="AY234" t="inlineStr">
        <is>
          <t>MALAYSIAN RINGGIT</t>
        </is>
      </c>
      <c r="BA234" t="n">
        <v>6390.1</v>
      </c>
      <c r="BB234" t="n">
        <v>6529.19</v>
      </c>
      <c r="BC234" t="inlineStr">
        <is>
          <t>INDIAN RUPEE</t>
        </is>
      </c>
      <c r="BE234" t="n">
        <v>271.35</v>
      </c>
      <c r="BF234" t="n">
        <v>283.03</v>
      </c>
      <c r="BG234" t="inlineStr">
        <is>
          <t>KUWAITI DINAR</t>
        </is>
      </c>
      <c r="BI234" t="n">
        <v>84648.47</v>
      </c>
      <c r="BJ234" t="n">
        <v>88752.17</v>
      </c>
      <c r="BK234" t="inlineStr">
        <is>
          <t>SAUDI RIAL</t>
        </is>
      </c>
      <c r="BM234" t="n">
        <v>6917.07</v>
      </c>
      <c r="BN234" t="n">
        <v>7214.83</v>
      </c>
      <c r="BO234" t="inlineStr">
        <is>
          <t>NORWEGIAN KRONER</t>
        </is>
      </c>
      <c r="BQ234" t="n">
        <v>2741.37</v>
      </c>
      <c r="BR234" t="n">
        <v>2857.64</v>
      </c>
      <c r="BS234" t="inlineStr">
        <is>
          <t>SWEDISH KRONA</t>
        </is>
      </c>
      <c r="BU234" t="n">
        <v>2688.43</v>
      </c>
      <c r="BV234" t="n">
        <v>2802.45</v>
      </c>
      <c r="BW234" t="inlineStr">
        <is>
          <t>DANISH KRONE</t>
        </is>
      </c>
      <c r="BY234" t="n">
        <v>3997.65</v>
      </c>
      <c r="BZ234" t="n">
        <v>4150.55</v>
      </c>
      <c r="CA234" t="inlineStr">
        <is>
          <t>RUSSIAN RUBLE</t>
        </is>
      </c>
      <c r="CC234" t="n">
        <v>294.87</v>
      </c>
      <c r="CD234" t="n">
        <v>326.4</v>
      </c>
    </row>
    <row r="235">
      <c r="A235" t="inlineStr">
        <is>
          <t>26/08/2026</t>
        </is>
      </c>
      <c r="B235">
        <f>IF(ISNUMBER(A235), A235, DATE(RIGHT(A235,4), MID(A235,4,2), LEFT(A235,2)))</f>
        <v/>
      </c>
      <c r="C235" t="inlineStr">
        <is>
          <t>US DOLLAR</t>
        </is>
      </c>
      <c r="D235" t="n">
        <v>25890</v>
      </c>
      <c r="E235" t="n">
        <v>25920</v>
      </c>
      <c r="F235" t="n">
        <v>26300</v>
      </c>
      <c r="G235" t="inlineStr">
        <is>
          <t>EURO</t>
        </is>
      </c>
      <c r="H235" t="n">
        <v>29700.6</v>
      </c>
      <c r="I235" t="n">
        <v>30000.6</v>
      </c>
      <c r="J235" t="n">
        <v>31266.77</v>
      </c>
      <c r="K235" t="inlineStr">
        <is>
          <t>POUND STERLING</t>
        </is>
      </c>
      <c r="L235" t="n">
        <v>34720.24</v>
      </c>
      <c r="M235" t="n">
        <v>35070.95</v>
      </c>
      <c r="N235" t="n">
        <v>36194.51</v>
      </c>
      <c r="O235" t="inlineStr">
        <is>
          <t>YEN</t>
        </is>
      </c>
      <c r="P235" t="n">
        <v>158.34</v>
      </c>
      <c r="Q235" t="n">
        <v>159.94</v>
      </c>
      <c r="R235" t="n">
        <v>169.26</v>
      </c>
      <c r="S235" t="inlineStr">
        <is>
          <t>AUSTRALIAN DOLLAR</t>
        </is>
      </c>
      <c r="T235" t="n">
        <v>18231.5</v>
      </c>
      <c r="U235" t="n">
        <v>18415.65</v>
      </c>
      <c r="V235" t="n">
        <v>19005.63</v>
      </c>
      <c r="W235" t="inlineStr">
        <is>
          <t>CANADIAN DOLLAR</t>
        </is>
      </c>
      <c r="X235" t="n">
        <v>18389.5</v>
      </c>
      <c r="Y235" t="n">
        <v>18575.25</v>
      </c>
      <c r="Z235" t="n">
        <v>19170.34</v>
      </c>
      <c r="AA235" t="inlineStr">
        <is>
          <t>SWISS FRANC</t>
        </is>
      </c>
      <c r="AB235" t="n">
        <v>31753.67</v>
      </c>
      <c r="AC235" t="n">
        <v>32074.41</v>
      </c>
      <c r="AD235" t="n">
        <v>33101.97</v>
      </c>
      <c r="AE235" t="inlineStr">
        <is>
          <t>SINGAPORE DOLLAR</t>
        </is>
      </c>
      <c r="AF235" t="n">
        <v>20028.63</v>
      </c>
      <c r="AG235" t="n">
        <v>20230.94</v>
      </c>
      <c r="AH235" t="n">
        <v>20920.88</v>
      </c>
      <c r="AI235" t="inlineStr">
        <is>
          <t>YUAN RENMINBI</t>
        </is>
      </c>
      <c r="AJ235" t="n">
        <v>3786.64</v>
      </c>
      <c r="AK235" t="n">
        <v>3824.89</v>
      </c>
      <c r="AL235" t="n">
        <v>3947.43</v>
      </c>
      <c r="AM235" t="inlineStr">
        <is>
          <t>HONGKONG DOLLAR</t>
        </is>
      </c>
      <c r="AN235" t="n">
        <v>3236.73</v>
      </c>
      <c r="AO235" t="n">
        <v>3269.42</v>
      </c>
      <c r="AP235" t="n">
        <v>3394.48</v>
      </c>
      <c r="AQ235" t="inlineStr">
        <is>
          <t>THAILAND BAHT</t>
        </is>
      </c>
      <c r="AR235" t="n">
        <v>704.42</v>
      </c>
      <c r="AS235" t="n">
        <v>782.6900000000001</v>
      </c>
      <c r="AT235" t="n">
        <v>815.89</v>
      </c>
      <c r="AU235" t="inlineStr">
        <is>
          <t>KOREAN WON</t>
        </is>
      </c>
      <c r="AV235" t="n">
        <v>16.31</v>
      </c>
      <c r="AW235" t="n">
        <v>18.12</v>
      </c>
      <c r="AX235" t="n">
        <v>19.67</v>
      </c>
      <c r="AY235" t="inlineStr">
        <is>
          <t>MALAYSIAN RINGGIT</t>
        </is>
      </c>
      <c r="BA235" t="n">
        <v>6400.32</v>
      </c>
      <c r="BB235" t="n">
        <v>6539.63</v>
      </c>
      <c r="BC235" t="inlineStr">
        <is>
          <t>INDIAN RUPEE</t>
        </is>
      </c>
      <c r="BE235" t="n">
        <v>272.08</v>
      </c>
      <c r="BF235" t="n">
        <v>283.8</v>
      </c>
      <c r="BG235" t="inlineStr">
        <is>
          <t>KUWAITI DINAR</t>
        </is>
      </c>
      <c r="BI235" t="n">
        <v>84616.03</v>
      </c>
      <c r="BJ235" t="n">
        <v>88718.22</v>
      </c>
      <c r="BK235" t="inlineStr">
        <is>
          <t>SAUDI RIAL</t>
        </is>
      </c>
      <c r="BM235" t="n">
        <v>6914.42</v>
      </c>
      <c r="BN235" t="n">
        <v>7212.07</v>
      </c>
      <c r="BO235" t="inlineStr">
        <is>
          <t>NORWEGIAN KRONER</t>
        </is>
      </c>
      <c r="BQ235" t="n">
        <v>2745.47</v>
      </c>
      <c r="BR235" t="n">
        <v>2861.91</v>
      </c>
      <c r="BS235" t="inlineStr">
        <is>
          <t>SWEDISH KRONA</t>
        </is>
      </c>
      <c r="BU235" t="n">
        <v>2706.57</v>
      </c>
      <c r="BV235" t="n">
        <v>2821.36</v>
      </c>
      <c r="BW235" t="inlineStr">
        <is>
          <t>DANISH KRONE</t>
        </is>
      </c>
      <c r="BY235" t="n">
        <v>4002.86</v>
      </c>
      <c r="BZ235" t="n">
        <v>4155.96</v>
      </c>
      <c r="CA235" t="inlineStr">
        <is>
          <t>RUSSIAN RUBLE</t>
        </is>
      </c>
      <c r="CC235" t="n">
        <v>297.06</v>
      </c>
      <c r="CD235" t="n">
        <v>328.83</v>
      </c>
    </row>
    <row r="236">
      <c r="A236" t="inlineStr">
        <is>
          <t>27/08/2026</t>
        </is>
      </c>
      <c r="B236">
        <f>IF(ISNUMBER(A236), A236, DATE(RIGHT(A236,4), MID(A236,4,2), LEFT(A236,2)))</f>
        <v/>
      </c>
      <c r="C236" t="inlineStr">
        <is>
          <t>US DOLLAR</t>
        </is>
      </c>
      <c r="D236" t="n">
        <v>25860</v>
      </c>
      <c r="E236" t="n">
        <v>25890</v>
      </c>
      <c r="F236" t="n">
        <v>26270</v>
      </c>
      <c r="G236" t="inlineStr">
        <is>
          <t>EURO</t>
        </is>
      </c>
      <c r="H236" t="n">
        <v>29592.75</v>
      </c>
      <c r="I236" t="n">
        <v>29891.67</v>
      </c>
      <c r="J236" t="n">
        <v>31153.29</v>
      </c>
      <c r="K236" t="inlineStr">
        <is>
          <t>POUND STERLING</t>
        </is>
      </c>
      <c r="L236" t="n">
        <v>34504.97</v>
      </c>
      <c r="M236" t="n">
        <v>34853.5</v>
      </c>
      <c r="N236" t="n">
        <v>35970.16</v>
      </c>
      <c r="O236" t="inlineStr">
        <is>
          <t>YEN</t>
        </is>
      </c>
      <c r="P236" t="n">
        <v>157.92</v>
      </c>
      <c r="Q236" t="n">
        <v>159.51</v>
      </c>
      <c r="R236" t="n">
        <v>168.81</v>
      </c>
      <c r="S236" t="inlineStr">
        <is>
          <t>AUSTRALIAN DOLLAR</t>
        </is>
      </c>
      <c r="T236" t="n">
        <v>18246.11</v>
      </c>
      <c r="U236" t="n">
        <v>18430.41</v>
      </c>
      <c r="V236" t="n">
        <v>19020.9</v>
      </c>
      <c r="W236" t="inlineStr">
        <is>
          <t>CANADIAN DOLLAR</t>
        </is>
      </c>
      <c r="X236" t="n">
        <v>18312.77</v>
      </c>
      <c r="Y236" t="n">
        <v>18497.75</v>
      </c>
      <c r="Z236" t="n">
        <v>19090.39</v>
      </c>
      <c r="AA236" t="inlineStr">
        <is>
          <t>SWISS FRANC</t>
        </is>
      </c>
      <c r="AB236" t="n">
        <v>31551.8</v>
      </c>
      <c r="AC236" t="n">
        <v>31870.5</v>
      </c>
      <c r="AD236" t="n">
        <v>32891.59</v>
      </c>
      <c r="AE236" t="inlineStr">
        <is>
          <t>SINGAPORE DOLLAR</t>
        </is>
      </c>
      <c r="AF236" t="n">
        <v>19970.99</v>
      </c>
      <c r="AG236" t="n">
        <v>20172.71</v>
      </c>
      <c r="AH236" t="n">
        <v>20860.71</v>
      </c>
      <c r="AI236" t="inlineStr">
        <is>
          <t>YUAN RENMINBI</t>
        </is>
      </c>
      <c r="AJ236" t="n">
        <v>3782.23</v>
      </c>
      <c r="AK236" t="n">
        <v>3820.44</v>
      </c>
      <c r="AL236" t="n">
        <v>3942.84</v>
      </c>
      <c r="AM236" t="inlineStr">
        <is>
          <t>HONGKONG DOLLAR</t>
        </is>
      </c>
      <c r="AN236" t="n">
        <v>3233.13</v>
      </c>
      <c r="AO236" t="n">
        <v>3265.79</v>
      </c>
      <c r="AP236" t="n">
        <v>3390.71</v>
      </c>
      <c r="AQ236" t="inlineStr">
        <is>
          <t>THAILAND BAHT</t>
        </is>
      </c>
      <c r="AR236" t="n">
        <v>699.97</v>
      </c>
      <c r="AS236" t="n">
        <v>777.75</v>
      </c>
      <c r="AT236" t="n">
        <v>810.74</v>
      </c>
      <c r="AU236" t="inlineStr">
        <is>
          <t>KOREAN WON</t>
        </is>
      </c>
      <c r="AV236" t="n">
        <v>16.32</v>
      </c>
      <c r="AW236" t="n">
        <v>18.14</v>
      </c>
      <c r="AX236" t="n">
        <v>19.68</v>
      </c>
      <c r="AY236" t="inlineStr">
        <is>
          <t>MALAYSIAN RINGGIT</t>
        </is>
      </c>
      <c r="BA236" t="n">
        <v>6402.48</v>
      </c>
      <c r="BB236" t="n">
        <v>6541.85</v>
      </c>
      <c r="BC236" t="inlineStr">
        <is>
          <t>INDIAN RUPEE</t>
        </is>
      </c>
      <c r="BE236" t="n">
        <v>271.38</v>
      </c>
      <c r="BF236" t="n">
        <v>283.06</v>
      </c>
      <c r="BG236" t="inlineStr">
        <is>
          <t>KUWAITI DINAR</t>
        </is>
      </c>
      <c r="BI236" t="n">
        <v>84518.74000000001</v>
      </c>
      <c r="BJ236" t="n">
        <v>88616.36</v>
      </c>
      <c r="BK236" t="inlineStr">
        <is>
          <t>SAUDI RIAL</t>
        </is>
      </c>
      <c r="BM236" t="n">
        <v>6906.47</v>
      </c>
      <c r="BN236" t="n">
        <v>7203.79</v>
      </c>
      <c r="BO236" t="inlineStr">
        <is>
          <t>NORWEGIAN KRONER</t>
        </is>
      </c>
      <c r="BQ236" t="n">
        <v>2731.73</v>
      </c>
      <c r="BR236" t="n">
        <v>2847.59</v>
      </c>
      <c r="BS236" t="inlineStr">
        <is>
          <t>SWEDISH KRONA</t>
        </is>
      </c>
      <c r="BU236" t="n">
        <v>2680.51</v>
      </c>
      <c r="BV236" t="n">
        <v>2794.2</v>
      </c>
      <c r="BW236" t="inlineStr">
        <is>
          <t>DANISH KRONE</t>
        </is>
      </c>
      <c r="BY236" t="n">
        <v>3988.47</v>
      </c>
      <c r="BZ236" t="n">
        <v>4141.04</v>
      </c>
      <c r="CA236" t="inlineStr">
        <is>
          <t>RUSSIAN RUBLE</t>
        </is>
      </c>
      <c r="CC236" t="n">
        <v>290.28</v>
      </c>
      <c r="CD236" t="n">
        <v>321.33</v>
      </c>
    </row>
    <row r="237">
      <c r="A237" t="inlineStr">
        <is>
          <t>28/08/2026</t>
        </is>
      </c>
      <c r="B237">
        <f>IF(ISNUMBER(A237), A237, DATE(RIGHT(A237,4), MID(A237,4,2), LEFT(A237,2)))</f>
        <v/>
      </c>
      <c r="C237" t="inlineStr">
        <is>
          <t>US DOLLAR</t>
        </is>
      </c>
      <c r="D237" t="n">
        <v>25850</v>
      </c>
      <c r="E237" t="n">
        <v>25880</v>
      </c>
      <c r="F237" t="n">
        <v>26260</v>
      </c>
      <c r="G237" t="inlineStr">
        <is>
          <t>EURO</t>
        </is>
      </c>
      <c r="H237" t="n">
        <v>29557.34</v>
      </c>
      <c r="I237" t="n">
        <v>29855.9</v>
      </c>
      <c r="J237" t="n">
        <v>31139.91</v>
      </c>
      <c r="K237" t="inlineStr">
        <is>
          <t>POUND STERLING</t>
        </is>
      </c>
      <c r="L237" t="n">
        <v>34483.57</v>
      </c>
      <c r="M237" t="n">
        <v>34831.89</v>
      </c>
      <c r="N237" t="n">
        <v>35975.46</v>
      </c>
      <c r="O237" t="inlineStr">
        <is>
          <t>YEN</t>
        </is>
      </c>
      <c r="P237" t="n">
        <v>157.55</v>
      </c>
      <c r="Q237" t="n">
        <v>159.14</v>
      </c>
      <c r="R237" t="n">
        <v>168.55</v>
      </c>
      <c r="S237" t="inlineStr">
        <is>
          <t>AUSTRALIAN DOLLAR</t>
        </is>
      </c>
      <c r="T237" t="n">
        <v>18270.2</v>
      </c>
      <c r="U237" t="n">
        <v>18454.74</v>
      </c>
      <c r="V237" t="n">
        <v>19060.63</v>
      </c>
      <c r="W237" t="inlineStr">
        <is>
          <t>CANADIAN DOLLAR</t>
        </is>
      </c>
      <c r="X237" t="n">
        <v>18330.41</v>
      </c>
      <c r="Y237" t="n">
        <v>18515.57</v>
      </c>
      <c r="Z237" t="n">
        <v>19123.46</v>
      </c>
      <c r="AA237" t="inlineStr">
        <is>
          <t>SWISS FRANC</t>
        </is>
      </c>
      <c r="AB237" t="n">
        <v>31602.12</v>
      </c>
      <c r="AC237" t="n">
        <v>31921.33</v>
      </c>
      <c r="AD237" t="n">
        <v>32969.34</v>
      </c>
      <c r="AE237" t="inlineStr">
        <is>
          <t>SINGAPORE DOLLAR</t>
        </is>
      </c>
      <c r="AF237" t="n">
        <v>19969.8</v>
      </c>
      <c r="AG237" t="n">
        <v>20171.51</v>
      </c>
      <c r="AH237" t="n">
        <v>20875.48</v>
      </c>
      <c r="AI237" t="inlineStr">
        <is>
          <t>YUAN RENMINBI</t>
        </is>
      </c>
      <c r="AJ237" t="n">
        <v>3779.28</v>
      </c>
      <c r="AK237" t="n">
        <v>3817.45</v>
      </c>
      <c r="AL237" t="n">
        <v>3942.78</v>
      </c>
      <c r="AM237" t="inlineStr">
        <is>
          <t>HONGKONG DOLLAR</t>
        </is>
      </c>
      <c r="AN237" t="n">
        <v>3230.11</v>
      </c>
      <c r="AO237" t="n">
        <v>3262.74</v>
      </c>
      <c r="AP237" t="n">
        <v>3390.15</v>
      </c>
      <c r="AQ237" t="inlineStr">
        <is>
          <t>THAILAND BAHT</t>
        </is>
      </c>
      <c r="AR237" t="n">
        <v>697.95</v>
      </c>
      <c r="AS237" t="n">
        <v>775.5</v>
      </c>
      <c r="AT237" t="n">
        <v>809.01</v>
      </c>
      <c r="AU237" t="inlineStr">
        <is>
          <t>KOREAN WON</t>
        </is>
      </c>
      <c r="AV237" t="n">
        <v>16.43</v>
      </c>
      <c r="AW237" t="n">
        <v>18.25</v>
      </c>
      <c r="AX237" t="n">
        <v>19.82</v>
      </c>
      <c r="AY237" t="inlineStr">
        <is>
          <t>MALAYSIAN RINGGIT</t>
        </is>
      </c>
      <c r="BA237" t="n">
        <v>6410.29</v>
      </c>
      <c r="BB237" t="n">
        <v>6554.86</v>
      </c>
      <c r="BC237" t="inlineStr">
        <is>
          <t>INDIAN RUPEE</t>
        </is>
      </c>
      <c r="BE237" t="n">
        <v>271.56</v>
      </c>
      <c r="BF237" t="n">
        <v>283.47</v>
      </c>
      <c r="BG237" t="inlineStr">
        <is>
          <t>KUWAITI DINAR</t>
        </is>
      </c>
      <c r="BI237" t="n">
        <v>84453.87</v>
      </c>
      <c r="BJ237" t="n">
        <v>88616.36</v>
      </c>
      <c r="BK237" t="inlineStr">
        <is>
          <t>SAUDI RIAL</t>
        </is>
      </c>
      <c r="BM237" t="n">
        <v>6901.72</v>
      </c>
      <c r="BN237" t="n">
        <v>7204.37</v>
      </c>
      <c r="BO237" t="inlineStr">
        <is>
          <t>NORWEGIAN KRONER</t>
        </is>
      </c>
      <c r="BQ237" t="n">
        <v>2739.32</v>
      </c>
      <c r="BR237" t="n">
        <v>2857.7</v>
      </c>
      <c r="BS237" t="inlineStr">
        <is>
          <t>SWEDISH KRONA</t>
        </is>
      </c>
      <c r="BU237" t="n">
        <v>2680.03</v>
      </c>
      <c r="BV237" t="n">
        <v>2795.84</v>
      </c>
      <c r="BW237" t="inlineStr">
        <is>
          <t>DANISH KRONE</t>
        </is>
      </c>
      <c r="BY237" t="n">
        <v>3984.23</v>
      </c>
      <c r="BZ237" t="n">
        <v>4139.81</v>
      </c>
      <c r="CA237" t="inlineStr">
        <is>
          <t>RUSSIAN RUBLE</t>
        </is>
      </c>
      <c r="CC237" t="n">
        <v>289.72</v>
      </c>
      <c r="CD237" t="n">
        <v>320.95</v>
      </c>
    </row>
    <row r="238">
      <c r="A238" t="inlineStr">
        <is>
          <t>29/08/2026</t>
        </is>
      </c>
      <c r="B238">
        <f>IF(ISNUMBER(A238), A238, DATE(RIGHT(A238,4), MID(A238,4,2), LEFT(A238,2)))</f>
        <v/>
      </c>
      <c r="C238" t="inlineStr">
        <is>
          <t>US DOLLAR</t>
        </is>
      </c>
      <c r="D238" t="n">
        <v>25850</v>
      </c>
      <c r="E238" t="n">
        <v>25880</v>
      </c>
      <c r="F238" t="n">
        <v>26260</v>
      </c>
      <c r="G238" t="inlineStr">
        <is>
          <t>EURO</t>
        </is>
      </c>
      <c r="H238" t="n">
        <v>29557.34</v>
      </c>
      <c r="I238" t="n">
        <v>29855.9</v>
      </c>
      <c r="J238" t="n">
        <v>31139.91</v>
      </c>
      <c r="K238" t="inlineStr">
        <is>
          <t>POUND STERLING</t>
        </is>
      </c>
      <c r="L238" t="n">
        <v>34483.57</v>
      </c>
      <c r="M238" t="n">
        <v>34831.89</v>
      </c>
      <c r="N238" t="n">
        <v>35975.46</v>
      </c>
      <c r="O238" t="inlineStr">
        <is>
          <t>YEN</t>
        </is>
      </c>
      <c r="P238" t="n">
        <v>157.55</v>
      </c>
      <c r="Q238" t="n">
        <v>159.14</v>
      </c>
      <c r="R238" t="n">
        <v>168.55</v>
      </c>
      <c r="S238" t="inlineStr">
        <is>
          <t>AUSTRALIAN DOLLAR</t>
        </is>
      </c>
      <c r="T238" t="n">
        <v>18270.2</v>
      </c>
      <c r="U238" t="n">
        <v>18454.74</v>
      </c>
      <c r="V238" t="n">
        <v>19060.63</v>
      </c>
      <c r="W238" t="inlineStr">
        <is>
          <t>CANADIAN DOLLAR</t>
        </is>
      </c>
      <c r="X238" t="n">
        <v>18330.41</v>
      </c>
      <c r="Y238" t="n">
        <v>18515.57</v>
      </c>
      <c r="Z238" t="n">
        <v>19123.46</v>
      </c>
      <c r="AA238" t="inlineStr">
        <is>
          <t>SWISS FRANC</t>
        </is>
      </c>
      <c r="AB238" t="n">
        <v>31602.12</v>
      </c>
      <c r="AC238" t="n">
        <v>31921.33</v>
      </c>
      <c r="AD238" t="n">
        <v>32969.34</v>
      </c>
      <c r="AE238" t="inlineStr">
        <is>
          <t>SINGAPORE DOLLAR</t>
        </is>
      </c>
      <c r="AF238" t="n">
        <v>19969.8</v>
      </c>
      <c r="AG238" t="n">
        <v>20171.51</v>
      </c>
      <c r="AH238" t="n">
        <v>20875.48</v>
      </c>
      <c r="AI238" t="inlineStr">
        <is>
          <t>YUAN RENMINBI</t>
        </is>
      </c>
      <c r="AJ238" t="n">
        <v>3779.28</v>
      </c>
      <c r="AK238" t="n">
        <v>3817.45</v>
      </c>
      <c r="AL238" t="n">
        <v>3942.78</v>
      </c>
      <c r="AM238" t="inlineStr">
        <is>
          <t>HONGKONG DOLLAR</t>
        </is>
      </c>
      <c r="AN238" t="n">
        <v>3230.11</v>
      </c>
      <c r="AO238" t="n">
        <v>3262.74</v>
      </c>
      <c r="AP238" t="n">
        <v>3390.15</v>
      </c>
      <c r="AQ238" t="inlineStr">
        <is>
          <t>THAILAND BAHT</t>
        </is>
      </c>
      <c r="AR238" t="n">
        <v>697.95</v>
      </c>
      <c r="AS238" t="n">
        <v>775.5</v>
      </c>
      <c r="AT238" t="n">
        <v>809.01</v>
      </c>
      <c r="AU238" t="inlineStr">
        <is>
          <t>KOREAN WON</t>
        </is>
      </c>
      <c r="AV238" t="n">
        <v>16.43</v>
      </c>
      <c r="AW238" t="n">
        <v>18.25</v>
      </c>
      <c r="AX238" t="n">
        <v>19.82</v>
      </c>
      <c r="AY238" t="inlineStr">
        <is>
          <t>MALAYSIAN RINGGIT</t>
        </is>
      </c>
      <c r="BA238" t="n">
        <v>6410.29</v>
      </c>
      <c r="BB238" t="n">
        <v>6554.86</v>
      </c>
      <c r="BC238" t="inlineStr">
        <is>
          <t>INDIAN RUPEE</t>
        </is>
      </c>
      <c r="BE238" t="n">
        <v>271.56</v>
      </c>
      <c r="BF238" t="n">
        <v>283.47</v>
      </c>
      <c r="BG238" t="inlineStr">
        <is>
          <t>KUWAITI DINAR</t>
        </is>
      </c>
      <c r="BI238" t="n">
        <v>84453.87</v>
      </c>
      <c r="BJ238" t="n">
        <v>88616.36</v>
      </c>
      <c r="BK238" t="inlineStr">
        <is>
          <t>SAUDI RIAL</t>
        </is>
      </c>
      <c r="BM238" t="n">
        <v>6901.72</v>
      </c>
      <c r="BN238" t="n">
        <v>7204.37</v>
      </c>
      <c r="BO238" t="inlineStr">
        <is>
          <t>NORWEGIAN KRONER</t>
        </is>
      </c>
      <c r="BQ238" t="n">
        <v>2739.32</v>
      </c>
      <c r="BR238" t="n">
        <v>2857.7</v>
      </c>
      <c r="BS238" t="inlineStr">
        <is>
          <t>SWEDISH KRONA</t>
        </is>
      </c>
      <c r="BU238" t="n">
        <v>2680.03</v>
      </c>
      <c r="BV238" t="n">
        <v>2795.84</v>
      </c>
      <c r="BW238" t="inlineStr">
        <is>
          <t>DANISH KRONE</t>
        </is>
      </c>
      <c r="BY238" t="n">
        <v>3984.23</v>
      </c>
      <c r="BZ238" t="n">
        <v>4139.81</v>
      </c>
      <c r="CA238" t="inlineStr">
        <is>
          <t>RUSSIAN RUBLE</t>
        </is>
      </c>
      <c r="CC238" t="n">
        <v>289.72</v>
      </c>
      <c r="CD238" t="n">
        <v>320.95</v>
      </c>
    </row>
    <row r="239">
      <c r="A239" t="inlineStr">
        <is>
          <t>30/08/2026</t>
        </is>
      </c>
      <c r="B239">
        <f>IF(ISNUMBER(A239), A239, DATE(RIGHT(A239,4), MID(A239,4,2), LEFT(A239,2)))</f>
        <v/>
      </c>
      <c r="C239" t="inlineStr">
        <is>
          <t>US DOLLAR</t>
        </is>
      </c>
      <c r="D239" t="n">
        <v>25850</v>
      </c>
      <c r="E239" t="n">
        <v>25880</v>
      </c>
      <c r="F239" t="n">
        <v>26260</v>
      </c>
      <c r="G239" t="inlineStr">
        <is>
          <t>EURO</t>
        </is>
      </c>
      <c r="H239" t="n">
        <v>29557.34</v>
      </c>
      <c r="I239" t="n">
        <v>29855.9</v>
      </c>
      <c r="J239" t="n">
        <v>31139.91</v>
      </c>
      <c r="K239" t="inlineStr">
        <is>
          <t>POUND STERLING</t>
        </is>
      </c>
      <c r="L239" t="n">
        <v>34483.57</v>
      </c>
      <c r="M239" t="n">
        <v>34831.89</v>
      </c>
      <c r="N239" t="n">
        <v>35975.46</v>
      </c>
      <c r="O239" t="inlineStr">
        <is>
          <t>YEN</t>
        </is>
      </c>
      <c r="P239" t="n">
        <v>157.55</v>
      </c>
      <c r="Q239" t="n">
        <v>159.14</v>
      </c>
      <c r="R239" t="n">
        <v>168.55</v>
      </c>
      <c r="S239" t="inlineStr">
        <is>
          <t>AUSTRALIAN DOLLAR</t>
        </is>
      </c>
      <c r="T239" t="n">
        <v>18270.2</v>
      </c>
      <c r="U239" t="n">
        <v>18454.74</v>
      </c>
      <c r="V239" t="n">
        <v>19060.63</v>
      </c>
      <c r="W239" t="inlineStr">
        <is>
          <t>CANADIAN DOLLAR</t>
        </is>
      </c>
      <c r="X239" t="n">
        <v>18330.41</v>
      </c>
      <c r="Y239" t="n">
        <v>18515.57</v>
      </c>
      <c r="Z239" t="n">
        <v>19123.46</v>
      </c>
      <c r="AA239" t="inlineStr">
        <is>
          <t>SWISS FRANC</t>
        </is>
      </c>
      <c r="AB239" t="n">
        <v>31602.12</v>
      </c>
      <c r="AC239" t="n">
        <v>31921.33</v>
      </c>
      <c r="AD239" t="n">
        <v>32969.34</v>
      </c>
      <c r="AE239" t="inlineStr">
        <is>
          <t>SINGAPORE DOLLAR</t>
        </is>
      </c>
      <c r="AF239" t="n">
        <v>19969.8</v>
      </c>
      <c r="AG239" t="n">
        <v>20171.51</v>
      </c>
      <c r="AH239" t="n">
        <v>20875.48</v>
      </c>
      <c r="AI239" t="inlineStr">
        <is>
          <t>YUAN RENMINBI</t>
        </is>
      </c>
      <c r="AJ239" t="n">
        <v>3779.28</v>
      </c>
      <c r="AK239" t="n">
        <v>3817.45</v>
      </c>
      <c r="AL239" t="n">
        <v>3942.78</v>
      </c>
      <c r="AM239" t="inlineStr">
        <is>
          <t>HONGKONG DOLLAR</t>
        </is>
      </c>
      <c r="AN239" t="n">
        <v>3230.11</v>
      </c>
      <c r="AO239" t="n">
        <v>3262.74</v>
      </c>
      <c r="AP239" t="n">
        <v>3390.15</v>
      </c>
      <c r="AQ239" t="inlineStr">
        <is>
          <t>THAILAND BAHT</t>
        </is>
      </c>
      <c r="AR239" t="n">
        <v>697.95</v>
      </c>
      <c r="AS239" t="n">
        <v>775.5</v>
      </c>
      <c r="AT239" t="n">
        <v>809.01</v>
      </c>
      <c r="AU239" t="inlineStr">
        <is>
          <t>KOREAN WON</t>
        </is>
      </c>
      <c r="AV239" t="n">
        <v>16.43</v>
      </c>
      <c r="AW239" t="n">
        <v>18.25</v>
      </c>
      <c r="AX239" t="n">
        <v>19.82</v>
      </c>
      <c r="AY239" t="inlineStr">
        <is>
          <t>MALAYSIAN RINGGIT</t>
        </is>
      </c>
      <c r="BA239" t="n">
        <v>6410.29</v>
      </c>
      <c r="BB239" t="n">
        <v>6554.86</v>
      </c>
      <c r="BC239" t="inlineStr">
        <is>
          <t>INDIAN RUPEE</t>
        </is>
      </c>
      <c r="BE239" t="n">
        <v>271.56</v>
      </c>
      <c r="BF239" t="n">
        <v>283.47</v>
      </c>
      <c r="BG239" t="inlineStr">
        <is>
          <t>KUWAITI DINAR</t>
        </is>
      </c>
      <c r="BI239" t="n">
        <v>84453.87</v>
      </c>
      <c r="BJ239" t="n">
        <v>88616.36</v>
      </c>
      <c r="BK239" t="inlineStr">
        <is>
          <t>SAUDI RIAL</t>
        </is>
      </c>
      <c r="BM239" t="n">
        <v>6901.72</v>
      </c>
      <c r="BN239" t="n">
        <v>7204.37</v>
      </c>
      <c r="BO239" t="inlineStr">
        <is>
          <t>NORWEGIAN KRONER</t>
        </is>
      </c>
      <c r="BQ239" t="n">
        <v>2739.32</v>
      </c>
      <c r="BR239" t="n">
        <v>2857.7</v>
      </c>
      <c r="BS239" t="inlineStr">
        <is>
          <t>SWEDISH KRONA</t>
        </is>
      </c>
      <c r="BU239" t="n">
        <v>2680.03</v>
      </c>
      <c r="BV239" t="n">
        <v>2795.84</v>
      </c>
      <c r="BW239" t="inlineStr">
        <is>
          <t>DANISH KRONE</t>
        </is>
      </c>
      <c r="BY239" t="n">
        <v>3984.23</v>
      </c>
      <c r="BZ239" t="n">
        <v>4139.81</v>
      </c>
      <c r="CA239" t="inlineStr">
        <is>
          <t>RUSSIAN RUBLE</t>
        </is>
      </c>
      <c r="CC239" t="n">
        <v>289.72</v>
      </c>
      <c r="CD239" t="n">
        <v>320.95</v>
      </c>
    </row>
    <row r="240">
      <c r="A240" t="inlineStr">
        <is>
          <t>31/08/2026</t>
        </is>
      </c>
      <c r="B240">
        <f>IF(ISNUMBER(A240), A240, DATE(RIGHT(A240,4), MID(A240,4,2), LEFT(A240,2)))</f>
        <v/>
      </c>
      <c r="C240" t="inlineStr">
        <is>
          <t>US DOLLAR</t>
        </is>
      </c>
      <c r="D240" t="n">
        <v>25850</v>
      </c>
      <c r="E240" t="n">
        <v>25880</v>
      </c>
      <c r="F240" t="n">
        <v>26260</v>
      </c>
      <c r="G240" t="inlineStr">
        <is>
          <t>EURO</t>
        </is>
      </c>
      <c r="H240" t="n">
        <v>29557.34</v>
      </c>
      <c r="I240" t="n">
        <v>29855.9</v>
      </c>
      <c r="J240" t="n">
        <v>31139.91</v>
      </c>
      <c r="K240" t="inlineStr">
        <is>
          <t>POUND STERLING</t>
        </is>
      </c>
      <c r="L240" t="n">
        <v>34483.57</v>
      </c>
      <c r="M240" t="n">
        <v>34831.89</v>
      </c>
      <c r="N240" t="n">
        <v>35975.46</v>
      </c>
      <c r="O240" t="inlineStr">
        <is>
          <t>YEN</t>
        </is>
      </c>
      <c r="P240" t="n">
        <v>157.55</v>
      </c>
      <c r="Q240" t="n">
        <v>159.14</v>
      </c>
      <c r="R240" t="n">
        <v>168.55</v>
      </c>
      <c r="S240" t="inlineStr">
        <is>
          <t>AUSTRALIAN DOLLAR</t>
        </is>
      </c>
      <c r="T240" t="n">
        <v>18270.2</v>
      </c>
      <c r="U240" t="n">
        <v>18454.74</v>
      </c>
      <c r="V240" t="n">
        <v>19060.63</v>
      </c>
      <c r="W240" t="inlineStr">
        <is>
          <t>CANADIAN DOLLAR</t>
        </is>
      </c>
      <c r="X240" t="n">
        <v>18330.41</v>
      </c>
      <c r="Y240" t="n">
        <v>18515.57</v>
      </c>
      <c r="Z240" t="n">
        <v>19123.46</v>
      </c>
      <c r="AA240" t="inlineStr">
        <is>
          <t>SWISS FRANC</t>
        </is>
      </c>
      <c r="AB240" t="n">
        <v>31602.12</v>
      </c>
      <c r="AC240" t="n">
        <v>31921.33</v>
      </c>
      <c r="AD240" t="n">
        <v>32969.34</v>
      </c>
      <c r="AE240" t="inlineStr">
        <is>
          <t>SINGAPORE DOLLAR</t>
        </is>
      </c>
      <c r="AF240" t="n">
        <v>19969.8</v>
      </c>
      <c r="AG240" t="n">
        <v>20171.51</v>
      </c>
      <c r="AH240" t="n">
        <v>20875.48</v>
      </c>
      <c r="AI240" t="inlineStr">
        <is>
          <t>YUAN RENMINBI</t>
        </is>
      </c>
      <c r="AJ240" t="n">
        <v>3779.28</v>
      </c>
      <c r="AK240" t="n">
        <v>3817.45</v>
      </c>
      <c r="AL240" t="n">
        <v>3942.78</v>
      </c>
      <c r="AM240" t="inlineStr">
        <is>
          <t>HONGKONG DOLLAR</t>
        </is>
      </c>
      <c r="AN240" t="n">
        <v>3230.11</v>
      </c>
      <c r="AO240" t="n">
        <v>3262.74</v>
      </c>
      <c r="AP240" t="n">
        <v>3390.15</v>
      </c>
      <c r="AQ240" t="inlineStr">
        <is>
          <t>THAILAND BAHT</t>
        </is>
      </c>
      <c r="AR240" t="n">
        <v>697.95</v>
      </c>
      <c r="AS240" t="n">
        <v>775.5</v>
      </c>
      <c r="AT240" t="n">
        <v>809.01</v>
      </c>
      <c r="AU240" t="inlineStr">
        <is>
          <t>KOREAN WON</t>
        </is>
      </c>
      <c r="AV240" t="n">
        <v>16.43</v>
      </c>
      <c r="AW240" t="n">
        <v>18.25</v>
      </c>
      <c r="AX240" t="n">
        <v>19.82</v>
      </c>
      <c r="AY240" t="inlineStr">
        <is>
          <t>MALAYSIAN RINGGIT</t>
        </is>
      </c>
      <c r="BA240" t="n">
        <v>6410.29</v>
      </c>
      <c r="BB240" t="n">
        <v>6554.86</v>
      </c>
      <c r="BC240" t="inlineStr">
        <is>
          <t>INDIAN RUPEE</t>
        </is>
      </c>
      <c r="BE240" t="n">
        <v>271.56</v>
      </c>
      <c r="BF240" t="n">
        <v>283.47</v>
      </c>
      <c r="BG240" t="inlineStr">
        <is>
          <t>KUWAITI DINAR</t>
        </is>
      </c>
      <c r="BI240" t="n">
        <v>84453.87</v>
      </c>
      <c r="BJ240" t="n">
        <v>88616.36</v>
      </c>
      <c r="BK240" t="inlineStr">
        <is>
          <t>SAUDI RIAL</t>
        </is>
      </c>
      <c r="BM240" t="n">
        <v>6901.72</v>
      </c>
      <c r="BN240" t="n">
        <v>7204.37</v>
      </c>
      <c r="BO240" t="inlineStr">
        <is>
          <t>NORWEGIAN KRONER</t>
        </is>
      </c>
      <c r="BQ240" t="n">
        <v>2739.32</v>
      </c>
      <c r="BR240" t="n">
        <v>2857.7</v>
      </c>
      <c r="BS240" t="inlineStr">
        <is>
          <t>SWEDISH KRONA</t>
        </is>
      </c>
      <c r="BU240" t="n">
        <v>2680.03</v>
      </c>
      <c r="BV240" t="n">
        <v>2795.84</v>
      </c>
      <c r="BW240" t="inlineStr">
        <is>
          <t>DANISH KRONE</t>
        </is>
      </c>
      <c r="BY240" t="n">
        <v>3984.23</v>
      </c>
      <c r="BZ240" t="n">
        <v>4139.81</v>
      </c>
      <c r="CA240" t="inlineStr">
        <is>
          <t>RUSSIAN RUBLE</t>
        </is>
      </c>
      <c r="CC240" t="n">
        <v>289.72</v>
      </c>
      <c r="CD240" t="n">
        <v>320.95</v>
      </c>
    </row>
    <row r="241">
      <c r="A241" t="inlineStr">
        <is>
          <t>01/09/2026</t>
        </is>
      </c>
      <c r="B241">
        <f>IF(ISNUMBER(A241), A241, DATE(RIGHT(A241,4), MID(A241,4,2), LEFT(A241,2)))</f>
        <v/>
      </c>
      <c r="C241" t="inlineStr">
        <is>
          <t>US DOLLAR</t>
        </is>
      </c>
      <c r="D241" t="n">
        <v>25850</v>
      </c>
      <c r="E241" t="n">
        <v>25880</v>
      </c>
      <c r="F241" t="n">
        <v>26260</v>
      </c>
      <c r="G241" t="inlineStr">
        <is>
          <t>EURO</t>
        </is>
      </c>
      <c r="H241" t="n">
        <v>29557.34</v>
      </c>
      <c r="I241" t="n">
        <v>29855.9</v>
      </c>
      <c r="J241" t="n">
        <v>31139.91</v>
      </c>
      <c r="K241" t="inlineStr">
        <is>
          <t>POUND STERLING</t>
        </is>
      </c>
      <c r="L241" t="n">
        <v>34483.57</v>
      </c>
      <c r="M241" t="n">
        <v>34831.89</v>
      </c>
      <c r="N241" t="n">
        <v>35975.46</v>
      </c>
      <c r="O241" t="inlineStr">
        <is>
          <t>YEN</t>
        </is>
      </c>
      <c r="P241" t="n">
        <v>157.55</v>
      </c>
      <c r="Q241" t="n">
        <v>159.14</v>
      </c>
      <c r="R241" t="n">
        <v>168.55</v>
      </c>
      <c r="S241" t="inlineStr">
        <is>
          <t>AUSTRALIAN DOLLAR</t>
        </is>
      </c>
      <c r="T241" t="n">
        <v>18270.2</v>
      </c>
      <c r="U241" t="n">
        <v>18454.74</v>
      </c>
      <c r="V241" t="n">
        <v>19060.63</v>
      </c>
      <c r="W241" t="inlineStr">
        <is>
          <t>CANADIAN DOLLAR</t>
        </is>
      </c>
      <c r="X241" t="n">
        <v>18330.41</v>
      </c>
      <c r="Y241" t="n">
        <v>18515.57</v>
      </c>
      <c r="Z241" t="n">
        <v>19123.46</v>
      </c>
      <c r="AA241" t="inlineStr">
        <is>
          <t>SWISS FRANC</t>
        </is>
      </c>
      <c r="AB241" t="n">
        <v>31602.12</v>
      </c>
      <c r="AC241" t="n">
        <v>31921.33</v>
      </c>
      <c r="AD241" t="n">
        <v>32969.34</v>
      </c>
      <c r="AE241" t="inlineStr">
        <is>
          <t>SINGAPORE DOLLAR</t>
        </is>
      </c>
      <c r="AF241" t="n">
        <v>19969.8</v>
      </c>
      <c r="AG241" t="n">
        <v>20171.51</v>
      </c>
      <c r="AH241" t="n">
        <v>20875.48</v>
      </c>
      <c r="AI241" t="inlineStr">
        <is>
          <t>YUAN RENMINBI</t>
        </is>
      </c>
      <c r="AJ241" t="n">
        <v>3779.28</v>
      </c>
      <c r="AK241" t="n">
        <v>3817.45</v>
      </c>
      <c r="AL241" t="n">
        <v>3942.78</v>
      </c>
      <c r="AM241" t="inlineStr">
        <is>
          <t>HONGKONG DOLLAR</t>
        </is>
      </c>
      <c r="AN241" t="n">
        <v>3230.11</v>
      </c>
      <c r="AO241" t="n">
        <v>3262.74</v>
      </c>
      <c r="AP241" t="n">
        <v>3390.15</v>
      </c>
      <c r="AQ241" t="inlineStr">
        <is>
          <t>THAILAND BAHT</t>
        </is>
      </c>
      <c r="AR241" t="n">
        <v>697.95</v>
      </c>
      <c r="AS241" t="n">
        <v>775.5</v>
      </c>
      <c r="AT241" t="n">
        <v>809.01</v>
      </c>
      <c r="AU241" t="inlineStr">
        <is>
          <t>KOREAN WON</t>
        </is>
      </c>
      <c r="AV241" t="n">
        <v>16.43</v>
      </c>
      <c r="AW241" t="n">
        <v>18.25</v>
      </c>
      <c r="AX241" t="n">
        <v>19.82</v>
      </c>
      <c r="AY241" t="inlineStr">
        <is>
          <t>MALAYSIAN RINGGIT</t>
        </is>
      </c>
      <c r="BA241" t="n">
        <v>6410.29</v>
      </c>
      <c r="BB241" t="n">
        <v>6554.86</v>
      </c>
      <c r="BC241" t="inlineStr">
        <is>
          <t>INDIAN RUPEE</t>
        </is>
      </c>
      <c r="BE241" t="n">
        <v>271.56</v>
      </c>
      <c r="BF241" t="n">
        <v>283.47</v>
      </c>
      <c r="BG241" t="inlineStr">
        <is>
          <t>KUWAITI DINAR</t>
        </is>
      </c>
      <c r="BI241" t="n">
        <v>84453.87</v>
      </c>
      <c r="BJ241" t="n">
        <v>88616.36</v>
      </c>
      <c r="BK241" t="inlineStr">
        <is>
          <t>SAUDI RIAL</t>
        </is>
      </c>
      <c r="BM241" t="n">
        <v>6901.72</v>
      </c>
      <c r="BN241" t="n">
        <v>7204.37</v>
      </c>
      <c r="BO241" t="inlineStr">
        <is>
          <t>NORWEGIAN KRONER</t>
        </is>
      </c>
      <c r="BQ241" t="n">
        <v>2739.32</v>
      </c>
      <c r="BR241" t="n">
        <v>2857.7</v>
      </c>
      <c r="BS241" t="inlineStr">
        <is>
          <t>SWEDISH KRONA</t>
        </is>
      </c>
      <c r="BU241" t="n">
        <v>2680.03</v>
      </c>
      <c r="BV241" t="n">
        <v>2795.84</v>
      </c>
      <c r="BW241" t="inlineStr">
        <is>
          <t>DANISH KRONE</t>
        </is>
      </c>
      <c r="BY241" t="n">
        <v>3984.23</v>
      </c>
      <c r="BZ241" t="n">
        <v>4139.81</v>
      </c>
      <c r="CA241" t="inlineStr">
        <is>
          <t>RUSSIAN RUBLE</t>
        </is>
      </c>
      <c r="CC241" t="n">
        <v>289.72</v>
      </c>
      <c r="CD241" t="n">
        <v>320.95</v>
      </c>
    </row>
    <row r="242">
      <c r="A242" t="inlineStr">
        <is>
          <t>02/09/2026</t>
        </is>
      </c>
      <c r="B242">
        <f>IF(ISNUMBER(A242), A242, DATE(RIGHT(A242,4), MID(A242,4,2), LEFT(A242,2)))</f>
        <v/>
      </c>
      <c r="C242" t="inlineStr">
        <is>
          <t>US DOLLAR</t>
        </is>
      </c>
      <c r="D242" t="n">
        <v>25850</v>
      </c>
      <c r="E242" t="n">
        <v>25880</v>
      </c>
      <c r="F242" t="n">
        <v>26260</v>
      </c>
      <c r="G242" t="inlineStr">
        <is>
          <t>EURO</t>
        </is>
      </c>
      <c r="H242" t="n">
        <v>29557.34</v>
      </c>
      <c r="I242" t="n">
        <v>29855.9</v>
      </c>
      <c r="J242" t="n">
        <v>31139.91</v>
      </c>
      <c r="K242" t="inlineStr">
        <is>
          <t>POUND STERLING</t>
        </is>
      </c>
      <c r="L242" t="n">
        <v>34483.57</v>
      </c>
      <c r="M242" t="n">
        <v>34831.89</v>
      </c>
      <c r="N242" t="n">
        <v>35975.46</v>
      </c>
      <c r="O242" t="inlineStr">
        <is>
          <t>YEN</t>
        </is>
      </c>
      <c r="P242" t="n">
        <v>157.55</v>
      </c>
      <c r="Q242" t="n">
        <v>159.14</v>
      </c>
      <c r="R242" t="n">
        <v>168.55</v>
      </c>
      <c r="S242" t="inlineStr">
        <is>
          <t>AUSTRALIAN DOLLAR</t>
        </is>
      </c>
      <c r="T242" t="n">
        <v>18270.2</v>
      </c>
      <c r="U242" t="n">
        <v>18454.74</v>
      </c>
      <c r="V242" t="n">
        <v>19060.63</v>
      </c>
      <c r="W242" t="inlineStr">
        <is>
          <t>CANADIAN DOLLAR</t>
        </is>
      </c>
      <c r="X242" t="n">
        <v>18330.41</v>
      </c>
      <c r="Y242" t="n">
        <v>18515.57</v>
      </c>
      <c r="Z242" t="n">
        <v>19123.46</v>
      </c>
      <c r="AA242" t="inlineStr">
        <is>
          <t>SWISS FRANC</t>
        </is>
      </c>
      <c r="AB242" t="n">
        <v>31602.12</v>
      </c>
      <c r="AC242" t="n">
        <v>31921.33</v>
      </c>
      <c r="AD242" t="n">
        <v>32969.34</v>
      </c>
      <c r="AE242" t="inlineStr">
        <is>
          <t>SINGAPORE DOLLAR</t>
        </is>
      </c>
      <c r="AF242" t="n">
        <v>19969.8</v>
      </c>
      <c r="AG242" t="n">
        <v>20171.51</v>
      </c>
      <c r="AH242" t="n">
        <v>20875.48</v>
      </c>
      <c r="AI242" t="inlineStr">
        <is>
          <t>YUAN RENMINBI</t>
        </is>
      </c>
      <c r="AJ242" t="n">
        <v>3779.28</v>
      </c>
      <c r="AK242" t="n">
        <v>3817.45</v>
      </c>
      <c r="AL242" t="n">
        <v>3942.78</v>
      </c>
      <c r="AM242" t="inlineStr">
        <is>
          <t>HONGKONG DOLLAR</t>
        </is>
      </c>
      <c r="AN242" t="n">
        <v>3230.11</v>
      </c>
      <c r="AO242" t="n">
        <v>3262.74</v>
      </c>
      <c r="AP242" t="n">
        <v>3390.15</v>
      </c>
      <c r="AQ242" t="inlineStr">
        <is>
          <t>THAILAND BAHT</t>
        </is>
      </c>
      <c r="AR242" t="n">
        <v>697.95</v>
      </c>
      <c r="AS242" t="n">
        <v>775.5</v>
      </c>
      <c r="AT242" t="n">
        <v>809.01</v>
      </c>
      <c r="AU242" t="inlineStr">
        <is>
          <t>KOREAN WON</t>
        </is>
      </c>
      <c r="AV242" t="n">
        <v>16.43</v>
      </c>
      <c r="AW242" t="n">
        <v>18.25</v>
      </c>
      <c r="AX242" t="n">
        <v>19.82</v>
      </c>
      <c r="AY242" t="inlineStr">
        <is>
          <t>MALAYSIAN RINGGIT</t>
        </is>
      </c>
      <c r="BA242" t="n">
        <v>6410.29</v>
      </c>
      <c r="BB242" t="n">
        <v>6554.86</v>
      </c>
      <c r="BC242" t="inlineStr">
        <is>
          <t>INDIAN RUPEE</t>
        </is>
      </c>
      <c r="BE242" t="n">
        <v>271.56</v>
      </c>
      <c r="BF242" t="n">
        <v>283.47</v>
      </c>
      <c r="BG242" t="inlineStr">
        <is>
          <t>KUWAITI DINAR</t>
        </is>
      </c>
      <c r="BI242" t="n">
        <v>84453.87</v>
      </c>
      <c r="BJ242" t="n">
        <v>88616.36</v>
      </c>
      <c r="BK242" t="inlineStr">
        <is>
          <t>SAUDI RIAL</t>
        </is>
      </c>
      <c r="BM242" t="n">
        <v>6901.72</v>
      </c>
      <c r="BN242" t="n">
        <v>7204.37</v>
      </c>
      <c r="BO242" t="inlineStr">
        <is>
          <t>NORWEGIAN KRONER</t>
        </is>
      </c>
      <c r="BQ242" t="n">
        <v>2739.32</v>
      </c>
      <c r="BR242" t="n">
        <v>2857.7</v>
      </c>
      <c r="BS242" t="inlineStr">
        <is>
          <t>SWEDISH KRONA</t>
        </is>
      </c>
      <c r="BU242" t="n">
        <v>2680.03</v>
      </c>
      <c r="BV242" t="n">
        <v>2795.84</v>
      </c>
      <c r="BW242" t="inlineStr">
        <is>
          <t>DANISH KRONE</t>
        </is>
      </c>
      <c r="BY242" t="n">
        <v>3984.23</v>
      </c>
      <c r="BZ242" t="n">
        <v>4139.81</v>
      </c>
      <c r="CA242" t="inlineStr">
        <is>
          <t>RUSSIAN RUBLE</t>
        </is>
      </c>
      <c r="CC242" t="n">
        <v>289.72</v>
      </c>
      <c r="CD242" t="n">
        <v>320.95</v>
      </c>
    </row>
    <row r="243">
      <c r="A243" t="inlineStr">
        <is>
          <t>03/09/2026</t>
        </is>
      </c>
      <c r="B243">
        <f>IF(ISNUMBER(A243), A243, DATE(RIGHT(A243,4), MID(A243,4,2), LEFT(A243,2)))</f>
        <v/>
      </c>
      <c r="C243" t="inlineStr">
        <is>
          <t>US DOLLAR</t>
        </is>
      </c>
      <c r="D243" t="n">
        <v>25850</v>
      </c>
      <c r="E243" t="n">
        <v>25880</v>
      </c>
      <c r="F243" t="n">
        <v>26260</v>
      </c>
      <c r="G243" t="inlineStr">
        <is>
          <t>EURO</t>
        </is>
      </c>
      <c r="H243" t="n">
        <v>29494.79</v>
      </c>
      <c r="I243" t="n">
        <v>29792.72</v>
      </c>
      <c r="J243" t="n">
        <v>31050.14</v>
      </c>
      <c r="K243" t="inlineStr">
        <is>
          <t>POUND STERLING</t>
        </is>
      </c>
      <c r="L243" t="n">
        <v>34304.66</v>
      </c>
      <c r="M243" t="n">
        <v>34651.18</v>
      </c>
      <c r="N243" t="n">
        <v>35761.33</v>
      </c>
      <c r="O243" t="inlineStr">
        <is>
          <t>YEN</t>
        </is>
      </c>
      <c r="P243" t="n">
        <v>161.17</v>
      </c>
      <c r="Q243" t="n">
        <v>162.8</v>
      </c>
      <c r="R243" t="n">
        <v>172.29</v>
      </c>
      <c r="S243" t="inlineStr">
        <is>
          <t>AUSTRALIAN DOLLAR</t>
        </is>
      </c>
      <c r="T243" t="n">
        <v>18263.28</v>
      </c>
      <c r="U243" t="n">
        <v>18447.76</v>
      </c>
      <c r="V243" t="n">
        <v>19038.79</v>
      </c>
      <c r="W243" t="inlineStr">
        <is>
          <t>CANADIAN DOLLAR</t>
        </is>
      </c>
      <c r="X243" t="n">
        <v>18411.33</v>
      </c>
      <c r="Y243" t="n">
        <v>18597.3</v>
      </c>
      <c r="Z243" t="n">
        <v>19193.12</v>
      </c>
      <c r="AA243" t="inlineStr">
        <is>
          <t>SWISS FRANC</t>
        </is>
      </c>
      <c r="AB243" t="n">
        <v>31411.84</v>
      </c>
      <c r="AC243" t="n">
        <v>31729.13</v>
      </c>
      <c r="AD243" t="n">
        <v>32745.66</v>
      </c>
      <c r="AE243" t="inlineStr">
        <is>
          <t>SINGAPORE DOLLAR</t>
        </is>
      </c>
      <c r="AF243" t="n">
        <v>20029.06</v>
      </c>
      <c r="AG243" t="n">
        <v>20231.37</v>
      </c>
      <c r="AH243" t="n">
        <v>20921.35</v>
      </c>
      <c r="AI243" t="inlineStr">
        <is>
          <t>YUAN RENMINBI</t>
        </is>
      </c>
      <c r="AJ243" t="n">
        <v>3784.47</v>
      </c>
      <c r="AK243" t="n">
        <v>3822.7</v>
      </c>
      <c r="AL243" t="n">
        <v>3945.17</v>
      </c>
      <c r="AM243" t="inlineStr">
        <is>
          <t>HONGKONG DOLLAR</t>
        </is>
      </c>
      <c r="AN243" t="n">
        <v>3233.3</v>
      </c>
      <c r="AO243" t="n">
        <v>3265.96</v>
      </c>
      <c r="AP243" t="n">
        <v>3390.88</v>
      </c>
      <c r="AQ243" t="inlineStr">
        <is>
          <t>THAILAND BAHT</t>
        </is>
      </c>
      <c r="AR243" t="n">
        <v>697.6900000000001</v>
      </c>
      <c r="AS243" t="n">
        <v>775.21</v>
      </c>
      <c r="AT243" t="n">
        <v>808.09</v>
      </c>
      <c r="AU243" t="inlineStr">
        <is>
          <t>KOREAN WON</t>
        </is>
      </c>
      <c r="AV243" t="n">
        <v>16.61</v>
      </c>
      <c r="AW243" t="n">
        <v>18.46</v>
      </c>
      <c r="AX243" t="n">
        <v>20.03</v>
      </c>
      <c r="AY243" t="inlineStr">
        <is>
          <t>MALAYSIAN RINGGIT</t>
        </is>
      </c>
      <c r="BA243" t="n">
        <v>6389.87</v>
      </c>
      <c r="BB243" t="n">
        <v>6528.96</v>
      </c>
      <c r="BC243" t="inlineStr">
        <is>
          <t>INDIAN RUPEE</t>
        </is>
      </c>
      <c r="BE243" t="n">
        <v>274.56</v>
      </c>
      <c r="BF243" t="n">
        <v>286.38</v>
      </c>
      <c r="BG243" t="inlineStr">
        <is>
          <t>KUWAITI DINAR</t>
        </is>
      </c>
      <c r="BI243" t="n">
        <v>84496.09</v>
      </c>
      <c r="BJ243" t="n">
        <v>88592.56</v>
      </c>
      <c r="BK243" t="inlineStr">
        <is>
          <t>SAUDI RIAL</t>
        </is>
      </c>
      <c r="BM243" t="n">
        <v>6908.39</v>
      </c>
      <c r="BN243" t="n">
        <v>7205.78</v>
      </c>
      <c r="BO243" t="inlineStr">
        <is>
          <t>NORWEGIAN KRONER</t>
        </is>
      </c>
      <c r="BQ243" t="n">
        <v>2742.95</v>
      </c>
      <c r="BR243" t="n">
        <v>2859.29</v>
      </c>
      <c r="BS243" t="inlineStr">
        <is>
          <t>SWEDISH KRONA</t>
        </is>
      </c>
      <c r="BU243" t="n">
        <v>2664.21</v>
      </c>
      <c r="BV243" t="n">
        <v>2777.21</v>
      </c>
      <c r="BW243" t="inlineStr">
        <is>
          <t>DANISH KRONE</t>
        </is>
      </c>
      <c r="BY243" t="n">
        <v>3975.82</v>
      </c>
      <c r="BZ243" t="n">
        <v>4127.89</v>
      </c>
      <c r="CA243" t="inlineStr">
        <is>
          <t>RUSSIAN RUBLE</t>
        </is>
      </c>
      <c r="CC243" t="n">
        <v>285.66</v>
      </c>
      <c r="CD243" t="n">
        <v>316.22</v>
      </c>
    </row>
    <row r="244">
      <c r="A244" t="inlineStr">
        <is>
          <t>04/09/2026</t>
        </is>
      </c>
      <c r="B244">
        <f>IF(ISNUMBER(A244), A244, DATE(RIGHT(A244,4), MID(A244,4,2), LEFT(A244,2)))</f>
        <v/>
      </c>
      <c r="C244" t="inlineStr">
        <is>
          <t>US DOLLAR</t>
        </is>
      </c>
      <c r="D244" t="n">
        <v>25845</v>
      </c>
      <c r="E244" t="n">
        <v>25875</v>
      </c>
      <c r="F244" t="n">
        <v>26255</v>
      </c>
      <c r="G244" t="inlineStr">
        <is>
          <t>EURO</t>
        </is>
      </c>
      <c r="H244" t="n">
        <v>29514.76</v>
      </c>
      <c r="I244" t="n">
        <v>29812.89</v>
      </c>
      <c r="J244" t="n">
        <v>31071.21</v>
      </c>
      <c r="K244" t="inlineStr">
        <is>
          <t>POUND STERLING</t>
        </is>
      </c>
      <c r="L244" t="n">
        <v>34355.58</v>
      </c>
      <c r="M244" t="n">
        <v>34702.61</v>
      </c>
      <c r="N244" t="n">
        <v>35814.46</v>
      </c>
      <c r="O244" t="inlineStr">
        <is>
          <t>YEN</t>
        </is>
      </c>
      <c r="P244" t="n">
        <v>160.9</v>
      </c>
      <c r="Q244" t="n">
        <v>162.53</v>
      </c>
      <c r="R244" t="n">
        <v>172.01</v>
      </c>
      <c r="S244" t="inlineStr">
        <is>
          <t>AUSTRALIAN DOLLAR</t>
        </is>
      </c>
      <c r="T244" t="n">
        <v>18283.86</v>
      </c>
      <c r="U244" t="n">
        <v>18468.55</v>
      </c>
      <c r="V244" t="n">
        <v>19060.27</v>
      </c>
      <c r="W244" t="inlineStr">
        <is>
          <t>CANADIAN DOLLAR</t>
        </is>
      </c>
      <c r="X244" t="n">
        <v>18407</v>
      </c>
      <c r="Y244" t="n">
        <v>18592.93</v>
      </c>
      <c r="Z244" t="n">
        <v>19188.63</v>
      </c>
      <c r="AA244" t="inlineStr">
        <is>
          <t>SWISS FRANC</t>
        </is>
      </c>
      <c r="AB244" t="n">
        <v>31412.76</v>
      </c>
      <c r="AC244" t="n">
        <v>31730.06</v>
      </c>
      <c r="AD244" t="n">
        <v>32746.67</v>
      </c>
      <c r="AE244" t="inlineStr">
        <is>
          <t>SINGAPORE DOLLAR</t>
        </is>
      </c>
      <c r="AF244" t="n">
        <v>20027.22</v>
      </c>
      <c r="AG244" t="n">
        <v>20229.52</v>
      </c>
      <c r="AH244" t="n">
        <v>20919.47</v>
      </c>
      <c r="AI244" t="inlineStr">
        <is>
          <t>YUAN RENMINBI</t>
        </is>
      </c>
      <c r="AJ244" t="n">
        <v>3785.58</v>
      </c>
      <c r="AK244" t="n">
        <v>3823.82</v>
      </c>
      <c r="AL244" t="n">
        <v>3946.33</v>
      </c>
      <c r="AM244" t="inlineStr">
        <is>
          <t>HONGKONG DOLLAR</t>
        </is>
      </c>
      <c r="AN244" t="n">
        <v>3230.32</v>
      </c>
      <c r="AO244" t="n">
        <v>3262.95</v>
      </c>
      <c r="AP244" t="n">
        <v>3387.77</v>
      </c>
      <c r="AQ244" t="inlineStr">
        <is>
          <t>THAILAND BAHT</t>
        </is>
      </c>
      <c r="AR244" t="n">
        <v>698.51</v>
      </c>
      <c r="AS244" t="n">
        <v>776.12</v>
      </c>
      <c r="AT244" t="n">
        <v>809.04</v>
      </c>
      <c r="AU244" t="inlineStr">
        <is>
          <t>KOREAN WON</t>
        </is>
      </c>
      <c r="AV244" t="n">
        <v>16.67</v>
      </c>
      <c r="AW244" t="n">
        <v>18.52</v>
      </c>
      <c r="AX244" t="n">
        <v>20.1</v>
      </c>
      <c r="AY244" t="inlineStr">
        <is>
          <t>MALAYSIAN RINGGIT</t>
        </is>
      </c>
      <c r="BA244" t="n">
        <v>6378.22</v>
      </c>
      <c r="BB244" t="n">
        <v>6517.06</v>
      </c>
      <c r="BC244" t="inlineStr">
        <is>
          <t>INDIAN RUPEE</t>
        </is>
      </c>
      <c r="BE244" t="n">
        <v>274.26</v>
      </c>
      <c r="BF244" t="n">
        <v>286.07</v>
      </c>
      <c r="BG244" t="inlineStr">
        <is>
          <t>KUWAITI DINAR</t>
        </is>
      </c>
      <c r="BI244" t="n">
        <v>84415.06</v>
      </c>
      <c r="BJ244" t="n">
        <v>88507.74000000001</v>
      </c>
      <c r="BK244" t="inlineStr">
        <is>
          <t>SAUDI RIAL</t>
        </is>
      </c>
      <c r="BM244" t="n">
        <v>6901.76</v>
      </c>
      <c r="BN244" t="n">
        <v>7198.88</v>
      </c>
      <c r="BO244" t="inlineStr">
        <is>
          <t>NORWEGIAN KRONER</t>
        </is>
      </c>
      <c r="BQ244" t="n">
        <v>2746.13</v>
      </c>
      <c r="BR244" t="n">
        <v>2862.6</v>
      </c>
      <c r="BS244" t="inlineStr">
        <is>
          <t>SWEDISH KRONA</t>
        </is>
      </c>
      <c r="BU244" t="n">
        <v>2674.98</v>
      </c>
      <c r="BV244" t="n">
        <v>2788.44</v>
      </c>
      <c r="BW244" t="inlineStr">
        <is>
          <t>DANISH KRONE</t>
        </is>
      </c>
      <c r="BY244" t="n">
        <v>3978.43</v>
      </c>
      <c r="BZ244" t="n">
        <v>4130.61</v>
      </c>
      <c r="CA244" t="inlineStr">
        <is>
          <t>RUSSIAN RUBLE</t>
        </is>
      </c>
      <c r="CC244" t="n">
        <v>285.84</v>
      </c>
      <c r="CD244" t="n">
        <v>316.41</v>
      </c>
    </row>
    <row r="245">
      <c r="A245" t="inlineStr">
        <is>
          <t>05/09/2026</t>
        </is>
      </c>
      <c r="B245">
        <f>IF(ISNUMBER(A245), A245, DATE(RIGHT(A245,4), MID(A245,4,2), LEFT(A245,2)))</f>
        <v/>
      </c>
      <c r="C245" t="inlineStr">
        <is>
          <t>US DOLLAR</t>
        </is>
      </c>
      <c r="D245" t="n">
        <v>25845</v>
      </c>
      <c r="E245" t="n">
        <v>25875</v>
      </c>
      <c r="F245" t="n">
        <v>26255</v>
      </c>
      <c r="G245" t="inlineStr">
        <is>
          <t>EURO</t>
        </is>
      </c>
      <c r="H245" t="n">
        <v>29514.76</v>
      </c>
      <c r="I245" t="n">
        <v>29812.89</v>
      </c>
      <c r="J245" t="n">
        <v>31071.21</v>
      </c>
      <c r="K245" t="inlineStr">
        <is>
          <t>POUND STERLING</t>
        </is>
      </c>
      <c r="L245" t="n">
        <v>34355.58</v>
      </c>
      <c r="M245" t="n">
        <v>34702.61</v>
      </c>
      <c r="N245" t="n">
        <v>35814.46</v>
      </c>
      <c r="O245" t="inlineStr">
        <is>
          <t>YEN</t>
        </is>
      </c>
      <c r="P245" t="n">
        <v>160.9</v>
      </c>
      <c r="Q245" t="n">
        <v>162.53</v>
      </c>
      <c r="R245" t="n">
        <v>172.01</v>
      </c>
      <c r="S245" t="inlineStr">
        <is>
          <t>AUSTRALIAN DOLLAR</t>
        </is>
      </c>
      <c r="T245" t="n">
        <v>18283.86</v>
      </c>
      <c r="U245" t="n">
        <v>18468.55</v>
      </c>
      <c r="V245" t="n">
        <v>19060.27</v>
      </c>
      <c r="W245" t="inlineStr">
        <is>
          <t>CANADIAN DOLLAR</t>
        </is>
      </c>
      <c r="X245" t="n">
        <v>18407</v>
      </c>
      <c r="Y245" t="n">
        <v>18592.93</v>
      </c>
      <c r="Z245" t="n">
        <v>19188.63</v>
      </c>
      <c r="AA245" t="inlineStr">
        <is>
          <t>SWISS FRANC</t>
        </is>
      </c>
      <c r="AB245" t="n">
        <v>31412.76</v>
      </c>
      <c r="AC245" t="n">
        <v>31730.06</v>
      </c>
      <c r="AD245" t="n">
        <v>32746.67</v>
      </c>
      <c r="AE245" t="inlineStr">
        <is>
          <t>SINGAPORE DOLLAR</t>
        </is>
      </c>
      <c r="AF245" t="n">
        <v>20027.22</v>
      </c>
      <c r="AG245" t="n">
        <v>20229.52</v>
      </c>
      <c r="AH245" t="n">
        <v>20919.47</v>
      </c>
      <c r="AI245" t="inlineStr">
        <is>
          <t>YUAN RENMINBI</t>
        </is>
      </c>
      <c r="AJ245" t="n">
        <v>3785.58</v>
      </c>
      <c r="AK245" t="n">
        <v>3823.82</v>
      </c>
      <c r="AL245" t="n">
        <v>3946.33</v>
      </c>
      <c r="AM245" t="inlineStr">
        <is>
          <t>HONGKONG DOLLAR</t>
        </is>
      </c>
      <c r="AN245" t="n">
        <v>3230.32</v>
      </c>
      <c r="AO245" t="n">
        <v>3262.95</v>
      </c>
      <c r="AP245" t="n">
        <v>3387.77</v>
      </c>
      <c r="AQ245" t="inlineStr">
        <is>
          <t>THAILAND BAHT</t>
        </is>
      </c>
      <c r="AR245" t="n">
        <v>698.51</v>
      </c>
      <c r="AS245" t="n">
        <v>776.12</v>
      </c>
      <c r="AT245" t="n">
        <v>809.04</v>
      </c>
      <c r="AU245" t="inlineStr">
        <is>
          <t>KOREAN WON</t>
        </is>
      </c>
      <c r="AV245" t="n">
        <v>16.67</v>
      </c>
      <c r="AW245" t="n">
        <v>18.52</v>
      </c>
      <c r="AX245" t="n">
        <v>20.1</v>
      </c>
      <c r="AY245" t="inlineStr">
        <is>
          <t>MALAYSIAN RINGGIT</t>
        </is>
      </c>
      <c r="BA245" t="n">
        <v>6378.22</v>
      </c>
      <c r="BB245" t="n">
        <v>6517.06</v>
      </c>
      <c r="BC245" t="inlineStr">
        <is>
          <t>INDIAN RUPEE</t>
        </is>
      </c>
      <c r="BE245" t="n">
        <v>274.26</v>
      </c>
      <c r="BF245" t="n">
        <v>286.07</v>
      </c>
      <c r="BG245" t="inlineStr">
        <is>
          <t>KUWAITI DINAR</t>
        </is>
      </c>
      <c r="BI245" t="n">
        <v>84415.06</v>
      </c>
      <c r="BJ245" t="n">
        <v>88507.74000000001</v>
      </c>
      <c r="BK245" t="inlineStr">
        <is>
          <t>SAUDI RIAL</t>
        </is>
      </c>
      <c r="BM245" t="n">
        <v>6901.76</v>
      </c>
      <c r="BN245" t="n">
        <v>7198.88</v>
      </c>
      <c r="BO245" t="inlineStr">
        <is>
          <t>NORWEGIAN KRONER</t>
        </is>
      </c>
      <c r="BQ245" t="n">
        <v>2746.13</v>
      </c>
      <c r="BR245" t="n">
        <v>2862.6</v>
      </c>
      <c r="BS245" t="inlineStr">
        <is>
          <t>SWEDISH KRONA</t>
        </is>
      </c>
      <c r="BU245" t="n">
        <v>2674.98</v>
      </c>
      <c r="BV245" t="n">
        <v>2788.44</v>
      </c>
      <c r="BW245" t="inlineStr">
        <is>
          <t>DANISH KRONE</t>
        </is>
      </c>
      <c r="BY245" t="n">
        <v>3978.43</v>
      </c>
      <c r="BZ245" t="n">
        <v>4130.61</v>
      </c>
      <c r="CA245" t="inlineStr">
        <is>
          <t>RUSSIAN RUBLE</t>
        </is>
      </c>
      <c r="CC245" t="n">
        <v>285.84</v>
      </c>
      <c r="CD245" t="n">
        <v>316.41</v>
      </c>
    </row>
    <row r="246">
      <c r="A246" t="inlineStr">
        <is>
          <t>06/09/2026</t>
        </is>
      </c>
      <c r="B246">
        <f>IF(ISNUMBER(A246), A246, DATE(RIGHT(A246,4), MID(A246,4,2), LEFT(A246,2)))</f>
        <v/>
      </c>
      <c r="C246" t="inlineStr">
        <is>
          <t>US DOLLAR</t>
        </is>
      </c>
      <c r="D246" t="n">
        <v>25845</v>
      </c>
      <c r="E246" t="n">
        <v>25875</v>
      </c>
      <c r="F246" t="n">
        <v>26255</v>
      </c>
      <c r="G246" t="inlineStr">
        <is>
          <t>EURO</t>
        </is>
      </c>
      <c r="H246" t="n">
        <v>29514.76</v>
      </c>
      <c r="I246" t="n">
        <v>29812.89</v>
      </c>
      <c r="J246" t="n">
        <v>31071.21</v>
      </c>
      <c r="K246" t="inlineStr">
        <is>
          <t>POUND STERLING</t>
        </is>
      </c>
      <c r="L246" t="n">
        <v>34355.58</v>
      </c>
      <c r="M246" t="n">
        <v>34702.61</v>
      </c>
      <c r="N246" t="n">
        <v>35814.46</v>
      </c>
      <c r="O246" t="inlineStr">
        <is>
          <t>YEN</t>
        </is>
      </c>
      <c r="P246" t="n">
        <v>160.9</v>
      </c>
      <c r="Q246" t="n">
        <v>162.53</v>
      </c>
      <c r="R246" t="n">
        <v>172.01</v>
      </c>
      <c r="S246" t="inlineStr">
        <is>
          <t>AUSTRALIAN DOLLAR</t>
        </is>
      </c>
      <c r="T246" t="n">
        <v>18283.86</v>
      </c>
      <c r="U246" t="n">
        <v>18468.55</v>
      </c>
      <c r="V246" t="n">
        <v>19060.27</v>
      </c>
      <c r="W246" t="inlineStr">
        <is>
          <t>CANADIAN DOLLAR</t>
        </is>
      </c>
      <c r="X246" t="n">
        <v>18407</v>
      </c>
      <c r="Y246" t="n">
        <v>18592.93</v>
      </c>
      <c r="Z246" t="n">
        <v>19188.63</v>
      </c>
      <c r="AA246" t="inlineStr">
        <is>
          <t>SWISS FRANC</t>
        </is>
      </c>
      <c r="AB246" t="n">
        <v>31412.76</v>
      </c>
      <c r="AC246" t="n">
        <v>31730.06</v>
      </c>
      <c r="AD246" t="n">
        <v>32746.67</v>
      </c>
      <c r="AE246" t="inlineStr">
        <is>
          <t>SINGAPORE DOLLAR</t>
        </is>
      </c>
      <c r="AF246" t="n">
        <v>20027.22</v>
      </c>
      <c r="AG246" t="n">
        <v>20229.52</v>
      </c>
      <c r="AH246" t="n">
        <v>20919.47</v>
      </c>
      <c r="AI246" t="inlineStr">
        <is>
          <t>YUAN RENMINBI</t>
        </is>
      </c>
      <c r="AJ246" t="n">
        <v>3785.58</v>
      </c>
      <c r="AK246" t="n">
        <v>3823.82</v>
      </c>
      <c r="AL246" t="n">
        <v>3946.33</v>
      </c>
      <c r="AM246" t="inlineStr">
        <is>
          <t>HONGKONG DOLLAR</t>
        </is>
      </c>
      <c r="AN246" t="n">
        <v>3230.32</v>
      </c>
      <c r="AO246" t="n">
        <v>3262.95</v>
      </c>
      <c r="AP246" t="n">
        <v>3387.77</v>
      </c>
      <c r="AQ246" t="inlineStr">
        <is>
          <t>THAILAND BAHT</t>
        </is>
      </c>
      <c r="AR246" t="n">
        <v>698.51</v>
      </c>
      <c r="AS246" t="n">
        <v>776.12</v>
      </c>
      <c r="AT246" t="n">
        <v>809.04</v>
      </c>
      <c r="AU246" t="inlineStr">
        <is>
          <t>KOREAN WON</t>
        </is>
      </c>
      <c r="AV246" t="n">
        <v>16.67</v>
      </c>
      <c r="AW246" t="n">
        <v>18.52</v>
      </c>
      <c r="AX246" t="n">
        <v>20.1</v>
      </c>
      <c r="AY246" t="inlineStr">
        <is>
          <t>MALAYSIAN RINGGIT</t>
        </is>
      </c>
      <c r="BA246" t="n">
        <v>6378.22</v>
      </c>
      <c r="BB246" t="n">
        <v>6517.06</v>
      </c>
      <c r="BC246" t="inlineStr">
        <is>
          <t>INDIAN RUPEE</t>
        </is>
      </c>
      <c r="BE246" t="n">
        <v>274.26</v>
      </c>
      <c r="BF246" t="n">
        <v>286.07</v>
      </c>
      <c r="BG246" t="inlineStr">
        <is>
          <t>KUWAITI DINAR</t>
        </is>
      </c>
      <c r="BI246" t="n">
        <v>84415.06</v>
      </c>
      <c r="BJ246" t="n">
        <v>88507.74000000001</v>
      </c>
      <c r="BK246" t="inlineStr">
        <is>
          <t>SAUDI RIAL</t>
        </is>
      </c>
      <c r="BM246" t="n">
        <v>6901.76</v>
      </c>
      <c r="BN246" t="n">
        <v>7198.88</v>
      </c>
      <c r="BO246" t="inlineStr">
        <is>
          <t>NORWEGIAN KRONER</t>
        </is>
      </c>
      <c r="BQ246" t="n">
        <v>2746.13</v>
      </c>
      <c r="BR246" t="n">
        <v>2862.6</v>
      </c>
      <c r="BS246" t="inlineStr">
        <is>
          <t>SWEDISH KRONA</t>
        </is>
      </c>
      <c r="BU246" t="n">
        <v>2674.98</v>
      </c>
      <c r="BV246" t="n">
        <v>2788.44</v>
      </c>
      <c r="BW246" t="inlineStr">
        <is>
          <t>DANISH KRONE</t>
        </is>
      </c>
      <c r="BY246" t="n">
        <v>3978.43</v>
      </c>
      <c r="BZ246" t="n">
        <v>4130.61</v>
      </c>
      <c r="CA246" t="inlineStr">
        <is>
          <t>RUSSIAN RUBLE</t>
        </is>
      </c>
      <c r="CC246" t="n">
        <v>285.84</v>
      </c>
      <c r="CD246" t="n">
        <v>316.41</v>
      </c>
    </row>
    <row r="247">
      <c r="A247" t="inlineStr">
        <is>
          <t>07/09/2026</t>
        </is>
      </c>
      <c r="B247">
        <f>IF(ISNUMBER(A247), A247, DATE(RIGHT(A247,4), MID(A247,4,2), LEFT(A247,2)))</f>
        <v/>
      </c>
      <c r="C247" t="inlineStr">
        <is>
          <t>US DOLLAR</t>
        </is>
      </c>
      <c r="D247" t="n">
        <v>25800</v>
      </c>
      <c r="E247" t="n">
        <v>25830</v>
      </c>
      <c r="F247" t="n">
        <v>26210</v>
      </c>
      <c r="G247" t="inlineStr">
        <is>
          <t>EURO</t>
        </is>
      </c>
      <c r="H247" t="n">
        <v>29466.3</v>
      </c>
      <c r="I247" t="n">
        <v>29763.94</v>
      </c>
      <c r="J247" t="n">
        <v>31020.28</v>
      </c>
      <c r="K247" t="inlineStr">
        <is>
          <t>POUND STERLING</t>
        </is>
      </c>
      <c r="L247" t="n">
        <v>34311.43</v>
      </c>
      <c r="M247" t="n">
        <v>34658.01</v>
      </c>
      <c r="N247" t="n">
        <v>35768.53</v>
      </c>
      <c r="O247" t="inlineStr">
        <is>
          <t>YEN</t>
        </is>
      </c>
      <c r="P247" t="n">
        <v>162.62</v>
      </c>
      <c r="Q247" t="n">
        <v>164.27</v>
      </c>
      <c r="R247" t="n">
        <v>173.85</v>
      </c>
      <c r="S247" t="inlineStr">
        <is>
          <t>AUSTRALIAN DOLLAR</t>
        </is>
      </c>
      <c r="T247" t="n">
        <v>18297.91</v>
      </c>
      <c r="U247" t="n">
        <v>18482.74</v>
      </c>
      <c r="V247" t="n">
        <v>19074.96</v>
      </c>
      <c r="W247" t="inlineStr">
        <is>
          <t>CANADIAN DOLLAR</t>
        </is>
      </c>
      <c r="X247" t="n">
        <v>18345.95</v>
      </c>
      <c r="Y247" t="n">
        <v>18531.26</v>
      </c>
      <c r="Z247" t="n">
        <v>19125.04</v>
      </c>
      <c r="AA247" t="inlineStr">
        <is>
          <t>SWISS FRANC</t>
        </is>
      </c>
      <c r="AB247" t="n">
        <v>31346.86</v>
      </c>
      <c r="AC247" t="n">
        <v>31663.49</v>
      </c>
      <c r="AD247" t="n">
        <v>32678.06</v>
      </c>
      <c r="AE247" t="inlineStr">
        <is>
          <t>SINGAPORE DOLLAR</t>
        </is>
      </c>
      <c r="AF247" t="n">
        <v>20016.31</v>
      </c>
      <c r="AG247" t="n">
        <v>20218.5</v>
      </c>
      <c r="AH247" t="n">
        <v>20908.13</v>
      </c>
      <c r="AI247" t="inlineStr">
        <is>
          <t>YUAN RENMINBI</t>
        </is>
      </c>
      <c r="AJ247" t="n">
        <v>3778.92</v>
      </c>
      <c r="AK247" t="n">
        <v>3817.1</v>
      </c>
      <c r="AL247" t="n">
        <v>3939.4</v>
      </c>
      <c r="AM247" t="inlineStr">
        <is>
          <t>HONGKONG DOLLAR</t>
        </is>
      </c>
      <c r="AN247" t="n">
        <v>3225.11</v>
      </c>
      <c r="AO247" t="n">
        <v>3257.69</v>
      </c>
      <c r="AP247" t="n">
        <v>3382.31</v>
      </c>
      <c r="AQ247" t="inlineStr">
        <is>
          <t>THAILAND BAHT</t>
        </is>
      </c>
      <c r="AR247" t="n">
        <v>698.36</v>
      </c>
      <c r="AS247" t="n">
        <v>775.96</v>
      </c>
      <c r="AT247" t="n">
        <v>808.87</v>
      </c>
      <c r="AU247" t="inlineStr">
        <is>
          <t>KOREAN WON</t>
        </is>
      </c>
      <c r="AV247" t="n">
        <v>16.74</v>
      </c>
      <c r="AW247" t="n">
        <v>18.61</v>
      </c>
      <c r="AX247" t="n">
        <v>20.19</v>
      </c>
      <c r="AY247" t="inlineStr">
        <is>
          <t>MALAYSIAN RINGGIT</t>
        </is>
      </c>
      <c r="BA247" t="n">
        <v>6365.62</v>
      </c>
      <c r="BB247" t="n">
        <v>6504.21</v>
      </c>
      <c r="BC247" t="inlineStr">
        <is>
          <t>INDIAN RUPEE</t>
        </is>
      </c>
      <c r="BE247" t="n">
        <v>273.85</v>
      </c>
      <c r="BF247" t="n">
        <v>285.64</v>
      </c>
      <c r="BG247" t="inlineStr">
        <is>
          <t>KUWAITI DINAR</t>
        </is>
      </c>
      <c r="BI247" t="n">
        <v>84324.14</v>
      </c>
      <c r="BJ247" t="n">
        <v>88412.64999999999</v>
      </c>
      <c r="BK247" t="inlineStr">
        <is>
          <t>SAUDI RIAL</t>
        </is>
      </c>
      <c r="BM247" t="n">
        <v>6890.02</v>
      </c>
      <c r="BN247" t="n">
        <v>7186.66</v>
      </c>
      <c r="BO247" t="inlineStr">
        <is>
          <t>NORWEGIAN KRONER</t>
        </is>
      </c>
      <c r="BQ247" t="n">
        <v>2748.86</v>
      </c>
      <c r="BR247" t="n">
        <v>2865.46</v>
      </c>
      <c r="BS247" t="inlineStr">
        <is>
          <t>SWEDISH KRONA</t>
        </is>
      </c>
      <c r="BU247" t="n">
        <v>2654.81</v>
      </c>
      <c r="BV247" t="n">
        <v>2767.42</v>
      </c>
      <c r="BW247" t="inlineStr">
        <is>
          <t>DANISH KRONE</t>
        </is>
      </c>
      <c r="BY247" t="n">
        <v>3971.62</v>
      </c>
      <c r="BZ247" t="n">
        <v>4123.55</v>
      </c>
      <c r="CA247" t="inlineStr">
        <is>
          <t>RUSSIAN RUBLE</t>
        </is>
      </c>
      <c r="CC247" t="n">
        <v>286.29</v>
      </c>
      <c r="CD247" t="n">
        <v>316.92</v>
      </c>
    </row>
    <row r="248">
      <c r="A248" t="inlineStr">
        <is>
          <t>08/09/2026</t>
        </is>
      </c>
      <c r="B248">
        <f>IF(ISNUMBER(A248), A248, DATE(RIGHT(A248,4), MID(A248,4,2), LEFT(A248,2)))</f>
        <v/>
      </c>
      <c r="C248" t="inlineStr">
        <is>
          <t>US DOLLAR</t>
        </is>
      </c>
      <c r="D248" t="n">
        <v>25750</v>
      </c>
      <c r="E248" t="n">
        <v>25780</v>
      </c>
      <c r="F248" t="n">
        <v>26160</v>
      </c>
      <c r="G248" t="inlineStr">
        <is>
          <t>EURO</t>
        </is>
      </c>
      <c r="H248" t="n">
        <v>29386.86</v>
      </c>
      <c r="I248" t="n">
        <v>29683.7</v>
      </c>
      <c r="J248" t="n">
        <v>30936.74</v>
      </c>
      <c r="K248" t="inlineStr">
        <is>
          <t>POUND STERLING</t>
        </is>
      </c>
      <c r="L248" t="n">
        <v>34227.74</v>
      </c>
      <c r="M248" t="n">
        <v>34573.47</v>
      </c>
      <c r="N248" t="n">
        <v>35681.39</v>
      </c>
      <c r="O248" t="inlineStr">
        <is>
          <t>YEN</t>
        </is>
      </c>
      <c r="P248" t="n">
        <v>162.78</v>
      </c>
      <c r="Q248" t="n">
        <v>164.43</v>
      </c>
      <c r="R248" t="n">
        <v>174.02</v>
      </c>
      <c r="S248" t="inlineStr">
        <is>
          <t>AUSTRALIAN DOLLAR</t>
        </is>
      </c>
      <c r="T248" t="n">
        <v>18250.07</v>
      </c>
      <c r="U248" t="n">
        <v>18434.41</v>
      </c>
      <c r="V248" t="n">
        <v>19025.15</v>
      </c>
      <c r="W248" t="inlineStr">
        <is>
          <t>CANADIAN DOLLAR</t>
        </is>
      </c>
      <c r="X248" t="n">
        <v>18333.22</v>
      </c>
      <c r="Y248" t="n">
        <v>18518.4</v>
      </c>
      <c r="Z248" t="n">
        <v>19111.83</v>
      </c>
      <c r="AA248" t="inlineStr">
        <is>
          <t>SWISS FRANC</t>
        </is>
      </c>
      <c r="AB248" t="n">
        <v>31197.88</v>
      </c>
      <c r="AC248" t="n">
        <v>31513.01</v>
      </c>
      <c r="AD248" t="n">
        <v>32522.85</v>
      </c>
      <c r="AE248" t="inlineStr">
        <is>
          <t>SINGAPORE DOLLAR</t>
        </is>
      </c>
      <c r="AF248" t="n">
        <v>19976.24</v>
      </c>
      <c r="AG248" t="n">
        <v>20178.02</v>
      </c>
      <c r="AH248" t="n">
        <v>20866.33</v>
      </c>
      <c r="AI248" t="inlineStr">
        <is>
          <t>YUAN RENMINBI</t>
        </is>
      </c>
      <c r="AJ248" t="n">
        <v>3771.83</v>
      </c>
      <c r="AK248" t="n">
        <v>3809.93</v>
      </c>
      <c r="AL248" t="n">
        <v>3932.02</v>
      </c>
      <c r="AM248" t="inlineStr">
        <is>
          <t>HONGKONG DOLLAR</t>
        </is>
      </c>
      <c r="AN248" t="n">
        <v>3218.21</v>
      </c>
      <c r="AO248" t="n">
        <v>3250.72</v>
      </c>
      <c r="AP248" t="n">
        <v>3375.08</v>
      </c>
      <c r="AQ248" t="inlineStr">
        <is>
          <t>THAILAND BAHT</t>
        </is>
      </c>
      <c r="AR248" t="n">
        <v>695.75</v>
      </c>
      <c r="AS248" t="n">
        <v>773.05</v>
      </c>
      <c r="AT248" t="n">
        <v>805.85</v>
      </c>
      <c r="AU248" t="inlineStr">
        <is>
          <t>KOREAN WON</t>
        </is>
      </c>
      <c r="AV248" t="n">
        <v>16.72</v>
      </c>
      <c r="AW248" t="n">
        <v>18.58</v>
      </c>
      <c r="AX248" t="n">
        <v>20.16</v>
      </c>
      <c r="AY248" t="inlineStr">
        <is>
          <t>MALAYSIAN RINGGIT</t>
        </is>
      </c>
      <c r="BA248" t="n">
        <v>6333.02</v>
      </c>
      <c r="BB248" t="n">
        <v>6470.92</v>
      </c>
      <c r="BC248" t="inlineStr">
        <is>
          <t>INDIAN RUPEE</t>
        </is>
      </c>
      <c r="BE248" t="n">
        <v>272.32</v>
      </c>
      <c r="BF248" t="n">
        <v>284.05</v>
      </c>
      <c r="BG248" t="inlineStr">
        <is>
          <t>KUWAITI DINAR</t>
        </is>
      </c>
      <c r="BI248" t="n">
        <v>84216.88</v>
      </c>
      <c r="BJ248" t="n">
        <v>88300.45</v>
      </c>
      <c r="BK248" t="inlineStr">
        <is>
          <t>SAUDI RIAL</t>
        </is>
      </c>
      <c r="BM248" t="n">
        <v>6875.67</v>
      </c>
      <c r="BN248" t="n">
        <v>7171.71</v>
      </c>
      <c r="BO248" t="inlineStr">
        <is>
          <t>NORWEGIAN KRONER</t>
        </is>
      </c>
      <c r="BQ248" t="n">
        <v>2746.8</v>
      </c>
      <c r="BR248" t="n">
        <v>2863.33</v>
      </c>
      <c r="BS248" t="inlineStr">
        <is>
          <t>SWEDISH KRONA</t>
        </is>
      </c>
      <c r="BU248" t="n">
        <v>2647.59</v>
      </c>
      <c r="BV248" t="n">
        <v>2759.9</v>
      </c>
      <c r="BW248" t="inlineStr">
        <is>
          <t>DANISH KRONE</t>
        </is>
      </c>
      <c r="BY248" t="n">
        <v>3960.9</v>
      </c>
      <c r="BZ248" t="n">
        <v>4112.43</v>
      </c>
      <c r="CA248" t="inlineStr">
        <is>
          <t>RUSSIAN RUBLE</t>
        </is>
      </c>
      <c r="CC248" t="n">
        <v>285.64</v>
      </c>
      <c r="CD248" t="n">
        <v>316.19</v>
      </c>
    </row>
    <row r="249">
      <c r="A249" t="inlineStr">
        <is>
          <t>09/09/2026</t>
        </is>
      </c>
      <c r="B249">
        <f>IF(ISNUMBER(A249), A249, DATE(RIGHT(A249,4), MID(A249,4,2), LEFT(A249,2)))</f>
        <v/>
      </c>
      <c r="C249" t="inlineStr">
        <is>
          <t>US DOLLAR</t>
        </is>
      </c>
      <c r="D249" t="n">
        <v>25680</v>
      </c>
      <c r="E249" t="n">
        <v>25710</v>
      </c>
      <c r="F249" t="n">
        <v>26090</v>
      </c>
      <c r="G249" t="inlineStr">
        <is>
          <t>EURO</t>
        </is>
      </c>
      <c r="H249" t="n">
        <v>29368.16</v>
      </c>
      <c r="I249" t="n">
        <v>29664.81</v>
      </c>
      <c r="J249" t="n">
        <v>30917.18</v>
      </c>
      <c r="K249" t="inlineStr">
        <is>
          <t>POUND STERLING</t>
        </is>
      </c>
      <c r="L249" t="n">
        <v>34216.16</v>
      </c>
      <c r="M249" t="n">
        <v>34561.78</v>
      </c>
      <c r="N249" t="n">
        <v>35669.47</v>
      </c>
      <c r="O249" t="inlineStr">
        <is>
          <t>YEN</t>
        </is>
      </c>
      <c r="P249" t="n">
        <v>163.05</v>
      </c>
      <c r="Q249" t="n">
        <v>164.7</v>
      </c>
      <c r="R249" t="n">
        <v>174.31</v>
      </c>
      <c r="S249" t="inlineStr">
        <is>
          <t>AUSTRALIAN DOLLAR</t>
        </is>
      </c>
      <c r="T249" t="n">
        <v>18256.36</v>
      </c>
      <c r="U249" t="n">
        <v>18440.77</v>
      </c>
      <c r="V249" t="n">
        <v>19031.79</v>
      </c>
      <c r="W249" t="inlineStr">
        <is>
          <t>CANADIAN DOLLAR</t>
        </is>
      </c>
      <c r="X249" t="n">
        <v>18328.9</v>
      </c>
      <c r="Y249" t="n">
        <v>18514.04</v>
      </c>
      <c r="Z249" t="n">
        <v>19107.41</v>
      </c>
      <c r="AA249" t="inlineStr">
        <is>
          <t>SWISS FRANC</t>
        </is>
      </c>
      <c r="AB249" t="n">
        <v>31217.61</v>
      </c>
      <c r="AC249" t="n">
        <v>31532.94</v>
      </c>
      <c r="AD249" t="n">
        <v>32543.56</v>
      </c>
      <c r="AE249" t="inlineStr">
        <is>
          <t>SINGAPORE DOLLAR</t>
        </is>
      </c>
      <c r="AF249" t="n">
        <v>19950.73</v>
      </c>
      <c r="AG249" t="n">
        <v>20152.25</v>
      </c>
      <c r="AH249" t="n">
        <v>20839.77</v>
      </c>
      <c r="AI249" t="inlineStr">
        <is>
          <t>YUAN RENMINBI</t>
        </is>
      </c>
      <c r="AJ249" t="n">
        <v>3763.56</v>
      </c>
      <c r="AK249" t="n">
        <v>3801.57</v>
      </c>
      <c r="AL249" t="n">
        <v>3923.41</v>
      </c>
      <c r="AM249" t="inlineStr">
        <is>
          <t>HONGKONG DOLLAR</t>
        </is>
      </c>
      <c r="AN249" t="n">
        <v>3209.2</v>
      </c>
      <c r="AO249" t="n">
        <v>3241.62</v>
      </c>
      <c r="AP249" t="n">
        <v>3365.65</v>
      </c>
      <c r="AQ249" t="inlineStr">
        <is>
          <t>THAILAND BAHT</t>
        </is>
      </c>
      <c r="AR249" t="n">
        <v>695.35</v>
      </c>
      <c r="AS249" t="n">
        <v>772.61</v>
      </c>
      <c r="AT249" t="n">
        <v>805.39</v>
      </c>
      <c r="AU249" t="inlineStr">
        <is>
          <t>KOREAN WON</t>
        </is>
      </c>
      <c r="AV249" t="n">
        <v>16.77</v>
      </c>
      <c r="AW249" t="n">
        <v>18.63</v>
      </c>
      <c r="AX249" t="n">
        <v>20.21</v>
      </c>
      <c r="AY249" t="inlineStr">
        <is>
          <t>MALAYSIAN RINGGIT</t>
        </is>
      </c>
      <c r="BA249" t="n">
        <v>6303.51</v>
      </c>
      <c r="BB249" t="n">
        <v>6440.79</v>
      </c>
      <c r="BC249" t="inlineStr">
        <is>
          <t>INDIAN RUPEE</t>
        </is>
      </c>
      <c r="BE249" t="n">
        <v>270.74</v>
      </c>
      <c r="BF249" t="n">
        <v>282.4</v>
      </c>
      <c r="BG249" t="inlineStr">
        <is>
          <t>KUWAITI DINAR</t>
        </is>
      </c>
      <c r="BI249" t="n">
        <v>83989.71000000001</v>
      </c>
      <c r="BJ249" t="n">
        <v>88062.62</v>
      </c>
      <c r="BK249" t="inlineStr">
        <is>
          <t>SAUDI RIAL</t>
        </is>
      </c>
      <c r="BM249" t="n">
        <v>6858.04</v>
      </c>
      <c r="BN249" t="n">
        <v>7153.35</v>
      </c>
      <c r="BO249" t="inlineStr">
        <is>
          <t>NORWEGIAN KRONER</t>
        </is>
      </c>
      <c r="BQ249" t="n">
        <v>2757.41</v>
      </c>
      <c r="BR249" t="n">
        <v>2874.39</v>
      </c>
      <c r="BS249" t="inlineStr">
        <is>
          <t>SWEDISH KRONA</t>
        </is>
      </c>
      <c r="BU249" t="n">
        <v>2649.32</v>
      </c>
      <c r="BV249" t="n">
        <v>2761.72</v>
      </c>
      <c r="BW249" t="inlineStr">
        <is>
          <t>DANISH KRONE</t>
        </is>
      </c>
      <c r="BY249" t="n">
        <v>3958.95</v>
      </c>
      <c r="BZ249" t="n">
        <v>4110.43</v>
      </c>
      <c r="CA249" t="inlineStr">
        <is>
          <t>RUSSIAN RUBLE</t>
        </is>
      </c>
      <c r="CC249" t="n">
        <v>287.96</v>
      </c>
      <c r="CD249" t="n">
        <v>318.76</v>
      </c>
    </row>
    <row r="250">
      <c r="A250" t="inlineStr">
        <is>
          <t>10/09/2026</t>
        </is>
      </c>
      <c r="B250">
        <f>IF(ISNUMBER(A250), A250, DATE(RIGHT(A250,4), MID(A250,4,2), LEFT(A250,2)))</f>
        <v/>
      </c>
      <c r="C250" t="inlineStr">
        <is>
          <t>US DOLLAR</t>
        </is>
      </c>
      <c r="D250" t="n">
        <v>25700</v>
      </c>
      <c r="E250" t="n">
        <v>25730</v>
      </c>
      <c r="F250" t="n">
        <v>26110</v>
      </c>
      <c r="G250" t="inlineStr">
        <is>
          <t>EURO</t>
        </is>
      </c>
      <c r="H250" t="n">
        <v>29378.23</v>
      </c>
      <c r="I250" t="n">
        <v>29674.98</v>
      </c>
      <c r="J250" t="n">
        <v>30927.74</v>
      </c>
      <c r="K250" t="inlineStr">
        <is>
          <t>POUND STERLING</t>
        </is>
      </c>
      <c r="L250" t="n">
        <v>34199.67</v>
      </c>
      <c r="M250" t="n">
        <v>34545.12</v>
      </c>
      <c r="N250" t="n">
        <v>35652.23</v>
      </c>
      <c r="O250" t="inlineStr">
        <is>
          <t>YEN</t>
        </is>
      </c>
      <c r="P250" t="n">
        <v>162.76</v>
      </c>
      <c r="Q250" t="n">
        <v>164.4</v>
      </c>
      <c r="R250" t="n">
        <v>173.99</v>
      </c>
      <c r="S250" t="inlineStr">
        <is>
          <t>AUSTRALIAN DOLLAR</t>
        </is>
      </c>
      <c r="T250" t="n">
        <v>18202.28</v>
      </c>
      <c r="U250" t="n">
        <v>18386.14</v>
      </c>
      <c r="V250" t="n">
        <v>18975.38</v>
      </c>
      <c r="W250" t="inlineStr">
        <is>
          <t>CANADIAN DOLLAR</t>
        </is>
      </c>
      <c r="X250" t="n">
        <v>18289.94</v>
      </c>
      <c r="Y250" t="n">
        <v>18474.69</v>
      </c>
      <c r="Z250" t="n">
        <v>19066.77</v>
      </c>
      <c r="AA250" t="inlineStr">
        <is>
          <t>SWISS FRANC</t>
        </is>
      </c>
      <c r="AB250" t="n">
        <v>31153.12</v>
      </c>
      <c r="AC250" t="n">
        <v>31467.8</v>
      </c>
      <c r="AD250" t="n">
        <v>32476.29</v>
      </c>
      <c r="AE250" t="inlineStr">
        <is>
          <t>SINGAPORE DOLLAR</t>
        </is>
      </c>
      <c r="AF250" t="n">
        <v>19942.48</v>
      </c>
      <c r="AG250" t="n">
        <v>20143.92</v>
      </c>
      <c r="AH250" t="n">
        <v>20831.12</v>
      </c>
      <c r="AI250" t="inlineStr">
        <is>
          <t>YUAN RENMINBI</t>
        </is>
      </c>
      <c r="AJ250" t="n">
        <v>3766.69</v>
      </c>
      <c r="AK250" t="n">
        <v>3804.74</v>
      </c>
      <c r="AL250" t="n">
        <v>3926.67</v>
      </c>
      <c r="AM250" t="inlineStr">
        <is>
          <t>HONGKONG DOLLAR</t>
        </is>
      </c>
      <c r="AN250" t="n">
        <v>3212.17</v>
      </c>
      <c r="AO250" t="n">
        <v>3244.62</v>
      </c>
      <c r="AP250" t="n">
        <v>3368.76</v>
      </c>
      <c r="AQ250" t="inlineStr">
        <is>
          <t>THAILAND BAHT</t>
        </is>
      </c>
      <c r="AR250" t="n">
        <v>694.2</v>
      </c>
      <c r="AS250" t="n">
        <v>771.33</v>
      </c>
      <c r="AT250" t="n">
        <v>804.05</v>
      </c>
      <c r="AU250" t="inlineStr">
        <is>
          <t>KOREAN WON</t>
        </is>
      </c>
      <c r="AV250" t="n">
        <v>16.7</v>
      </c>
      <c r="AW250" t="n">
        <v>18.55</v>
      </c>
      <c r="AX250" t="n">
        <v>20.13</v>
      </c>
      <c r="AY250" t="inlineStr">
        <is>
          <t>MALAYSIAN RINGGIT</t>
        </is>
      </c>
      <c r="BA250" t="n">
        <v>6313.04</v>
      </c>
      <c r="BB250" t="n">
        <v>6450.52</v>
      </c>
      <c r="BC250" t="inlineStr">
        <is>
          <t>INDIAN RUPEE</t>
        </is>
      </c>
      <c r="BE250" t="n">
        <v>269.98</v>
      </c>
      <c r="BF250" t="n">
        <v>281.61</v>
      </c>
      <c r="BG250" t="inlineStr">
        <is>
          <t>KUWAITI DINAR</t>
        </is>
      </c>
      <c r="BI250" t="n">
        <v>84054.61</v>
      </c>
      <c r="BJ250" t="n">
        <v>88130.57000000001</v>
      </c>
      <c r="BK250" t="inlineStr">
        <is>
          <t>SAUDI RIAL</t>
        </is>
      </c>
      <c r="BM250" t="n">
        <v>6863.52</v>
      </c>
      <c r="BN250" t="n">
        <v>7159.06</v>
      </c>
      <c r="BO250" t="inlineStr">
        <is>
          <t>NORWEGIAN KRONER</t>
        </is>
      </c>
      <c r="BQ250" t="n">
        <v>2753.82</v>
      </c>
      <c r="BR250" t="n">
        <v>2870.65</v>
      </c>
      <c r="BS250" t="inlineStr">
        <is>
          <t>SWEDISH KRONA</t>
        </is>
      </c>
      <c r="BU250" t="n">
        <v>2643.86</v>
      </c>
      <c r="BV250" t="n">
        <v>2756.02</v>
      </c>
      <c r="BW250" t="inlineStr">
        <is>
          <t>DANISH KRONE</t>
        </is>
      </c>
      <c r="BY250" t="n">
        <v>3959.6</v>
      </c>
      <c r="BZ250" t="n">
        <v>4111.1</v>
      </c>
      <c r="CA250" t="inlineStr">
        <is>
          <t>RUSSIAN RUBLE</t>
        </is>
      </c>
      <c r="CC250" t="n">
        <v>292.75</v>
      </c>
      <c r="CD250" t="n">
        <v>324.06</v>
      </c>
    </row>
    <row r="251">
      <c r="A251" t="inlineStr">
        <is>
          <t>11/09/2026</t>
        </is>
      </c>
      <c r="B251">
        <f>IF(ISNUMBER(A251), A251, DATE(RIGHT(A251,4), MID(A251,4,2), LEFT(A251,2)))</f>
        <v/>
      </c>
      <c r="C251" t="inlineStr">
        <is>
          <t>US DOLLAR</t>
        </is>
      </c>
      <c r="D251" t="n">
        <v>25700</v>
      </c>
      <c r="E251" t="n">
        <v>25730</v>
      </c>
      <c r="F251" t="n">
        <v>26110</v>
      </c>
      <c r="G251" t="inlineStr">
        <is>
          <t>EURO</t>
        </is>
      </c>
      <c r="H251" t="n">
        <v>29297.41</v>
      </c>
      <c r="I251" t="n">
        <v>29593.34</v>
      </c>
      <c r="J251" t="n">
        <v>30842.66</v>
      </c>
      <c r="K251" t="inlineStr">
        <is>
          <t>POUND STERLING</t>
        </is>
      </c>
      <c r="L251" t="n">
        <v>34116.32</v>
      </c>
      <c r="M251" t="n">
        <v>34460.93</v>
      </c>
      <c r="N251" t="n">
        <v>35565.35</v>
      </c>
      <c r="O251" t="inlineStr">
        <is>
          <t>YEN</t>
        </is>
      </c>
      <c r="P251" t="n">
        <v>162.3</v>
      </c>
      <c r="Q251" t="n">
        <v>163.94</v>
      </c>
      <c r="R251" t="n">
        <v>173.5</v>
      </c>
      <c r="S251" t="inlineStr">
        <is>
          <t>AUSTRALIAN DOLLAR</t>
        </is>
      </c>
      <c r="T251" t="n">
        <v>18101.25</v>
      </c>
      <c r="U251" t="n">
        <v>18284.09</v>
      </c>
      <c r="V251" t="n">
        <v>18870.07</v>
      </c>
      <c r="W251" t="inlineStr">
        <is>
          <t>CANADIAN DOLLAR</t>
        </is>
      </c>
      <c r="X251" t="n">
        <v>18247.67</v>
      </c>
      <c r="Y251" t="n">
        <v>18431.99</v>
      </c>
      <c r="Z251" t="n">
        <v>19022.7</v>
      </c>
      <c r="AA251" t="inlineStr">
        <is>
          <t>SWISS FRANC</t>
        </is>
      </c>
      <c r="AB251" t="n">
        <v>31015.43</v>
      </c>
      <c r="AC251" t="n">
        <v>31328.72</v>
      </c>
      <c r="AD251" t="n">
        <v>32332.75</v>
      </c>
      <c r="AE251" t="inlineStr">
        <is>
          <t>SINGAPORE DOLLAR</t>
        </is>
      </c>
      <c r="AF251" t="n">
        <v>19909.44</v>
      </c>
      <c r="AG251" t="n">
        <v>20110.54</v>
      </c>
      <c r="AH251" t="n">
        <v>20796.61</v>
      </c>
      <c r="AI251" t="inlineStr">
        <is>
          <t>YUAN RENMINBI</t>
        </is>
      </c>
      <c r="AJ251" t="n">
        <v>3766.07</v>
      </c>
      <c r="AK251" t="n">
        <v>3804.11</v>
      </c>
      <c r="AL251" t="n">
        <v>3926.03</v>
      </c>
      <c r="AM251" t="inlineStr">
        <is>
          <t>HONGKONG DOLLAR</t>
        </is>
      </c>
      <c r="AN251" t="n">
        <v>3211.89</v>
      </c>
      <c r="AO251" t="n">
        <v>3244.33</v>
      </c>
      <c r="AP251" t="n">
        <v>3368.46</v>
      </c>
      <c r="AQ251" t="inlineStr">
        <is>
          <t>THAILAND BAHT</t>
        </is>
      </c>
      <c r="AR251" t="n">
        <v>691.88</v>
      </c>
      <c r="AS251" t="n">
        <v>768.76</v>
      </c>
      <c r="AT251" t="n">
        <v>801.37</v>
      </c>
      <c r="AU251" t="inlineStr">
        <is>
          <t>KOREAN WON</t>
        </is>
      </c>
      <c r="AV251" t="n">
        <v>16.69</v>
      </c>
      <c r="AW251" t="n">
        <v>18.55</v>
      </c>
      <c r="AX251" t="n">
        <v>20.12</v>
      </c>
      <c r="AY251" t="inlineStr">
        <is>
          <t>MALAYSIAN RINGGIT</t>
        </is>
      </c>
      <c r="BA251" t="n">
        <v>6306.83</v>
      </c>
      <c r="BB251" t="n">
        <v>6444.18</v>
      </c>
      <c r="BC251" t="inlineStr">
        <is>
          <t>INDIAN RUPEE</t>
        </is>
      </c>
      <c r="BE251" t="n">
        <v>269.71</v>
      </c>
      <c r="BF251" t="n">
        <v>281.33</v>
      </c>
      <c r="BG251" t="inlineStr">
        <is>
          <t>KUWAITI DINAR</t>
        </is>
      </c>
      <c r="BI251" t="n">
        <v>84054.61</v>
      </c>
      <c r="BJ251" t="n">
        <v>88130.57000000001</v>
      </c>
      <c r="BK251" t="inlineStr">
        <is>
          <t>SAUDI RIAL</t>
        </is>
      </c>
      <c r="BM251" t="n">
        <v>6863.52</v>
      </c>
      <c r="BN251" t="n">
        <v>7159.06</v>
      </c>
      <c r="BO251" t="inlineStr">
        <is>
          <t>NORWEGIAN KRONER</t>
        </is>
      </c>
      <c r="BQ251" t="n">
        <v>2730.4</v>
      </c>
      <c r="BR251" t="n">
        <v>2846.23</v>
      </c>
      <c r="BS251" t="inlineStr">
        <is>
          <t>SWEDISH KRONA</t>
        </is>
      </c>
      <c r="BU251" t="n">
        <v>2621.94</v>
      </c>
      <c r="BV251" t="n">
        <v>2733.17</v>
      </c>
      <c r="BW251" t="inlineStr">
        <is>
          <t>DANISH KRONE</t>
        </is>
      </c>
      <c r="BY251" t="n">
        <v>3948.85</v>
      </c>
      <c r="BZ251" t="n">
        <v>4099.94</v>
      </c>
      <c r="CA251" t="inlineStr">
        <is>
          <t>RUSSIAN RUBLE</t>
        </is>
      </c>
      <c r="CC251" t="n">
        <v>292.61</v>
      </c>
      <c r="CD251" t="n">
        <v>323.91</v>
      </c>
    </row>
    <row r="252">
      <c r="A252" t="inlineStr">
        <is>
          <t>12/09/2026</t>
        </is>
      </c>
      <c r="B252">
        <f>IF(ISNUMBER(A252), A252, DATE(RIGHT(A252,4), MID(A252,4,2), LEFT(A252,2)))</f>
        <v/>
      </c>
      <c r="C252" t="inlineStr">
        <is>
          <t>US DOLLAR</t>
        </is>
      </c>
      <c r="D252" t="n">
        <v>25700</v>
      </c>
      <c r="E252" t="n">
        <v>25730</v>
      </c>
      <c r="F252" t="n">
        <v>26110</v>
      </c>
      <c r="G252" t="inlineStr">
        <is>
          <t>EURO</t>
        </is>
      </c>
      <c r="H252" t="n">
        <v>29297.41</v>
      </c>
      <c r="I252" t="n">
        <v>29593.34</v>
      </c>
      <c r="J252" t="n">
        <v>30842.66</v>
      </c>
      <c r="K252" t="inlineStr">
        <is>
          <t>POUND STERLING</t>
        </is>
      </c>
      <c r="L252" t="n">
        <v>34116.32</v>
      </c>
      <c r="M252" t="n">
        <v>34460.93</v>
      </c>
      <c r="N252" t="n">
        <v>35565.35</v>
      </c>
      <c r="O252" t="inlineStr">
        <is>
          <t>YEN</t>
        </is>
      </c>
      <c r="P252" t="n">
        <v>162.3</v>
      </c>
      <c r="Q252" t="n">
        <v>163.94</v>
      </c>
      <c r="R252" t="n">
        <v>173.5</v>
      </c>
      <c r="S252" t="inlineStr">
        <is>
          <t>AUSTRALIAN DOLLAR</t>
        </is>
      </c>
      <c r="T252" t="n">
        <v>18101.25</v>
      </c>
      <c r="U252" t="n">
        <v>18284.09</v>
      </c>
      <c r="V252" t="n">
        <v>18870.07</v>
      </c>
      <c r="W252" t="inlineStr">
        <is>
          <t>CANADIAN DOLLAR</t>
        </is>
      </c>
      <c r="X252" t="n">
        <v>18247.67</v>
      </c>
      <c r="Y252" t="n">
        <v>18431.99</v>
      </c>
      <c r="Z252" t="n">
        <v>19022.7</v>
      </c>
      <c r="AA252" t="inlineStr">
        <is>
          <t>SWISS FRANC</t>
        </is>
      </c>
      <c r="AB252" t="n">
        <v>31015.43</v>
      </c>
      <c r="AC252" t="n">
        <v>31328.72</v>
      </c>
      <c r="AD252" t="n">
        <v>32332.75</v>
      </c>
      <c r="AE252" t="inlineStr">
        <is>
          <t>SINGAPORE DOLLAR</t>
        </is>
      </c>
      <c r="AF252" t="n">
        <v>19909.44</v>
      </c>
      <c r="AG252" t="n">
        <v>20110.54</v>
      </c>
      <c r="AH252" t="n">
        <v>20796.61</v>
      </c>
      <c r="AI252" t="inlineStr">
        <is>
          <t>YUAN RENMINBI</t>
        </is>
      </c>
      <c r="AJ252" t="n">
        <v>3766.07</v>
      </c>
      <c r="AK252" t="n">
        <v>3804.11</v>
      </c>
      <c r="AL252" t="n">
        <v>3926.03</v>
      </c>
      <c r="AM252" t="inlineStr">
        <is>
          <t>HONGKONG DOLLAR</t>
        </is>
      </c>
      <c r="AN252" t="n">
        <v>3211.89</v>
      </c>
      <c r="AO252" t="n">
        <v>3244.33</v>
      </c>
      <c r="AP252" t="n">
        <v>3368.46</v>
      </c>
      <c r="AQ252" t="inlineStr">
        <is>
          <t>THAILAND BAHT</t>
        </is>
      </c>
      <c r="AR252" t="n">
        <v>691.88</v>
      </c>
      <c r="AS252" t="n">
        <v>768.76</v>
      </c>
      <c r="AT252" t="n">
        <v>801.37</v>
      </c>
      <c r="AU252" t="inlineStr">
        <is>
          <t>KOREAN WON</t>
        </is>
      </c>
      <c r="AV252" t="n">
        <v>16.69</v>
      </c>
      <c r="AW252" t="n">
        <v>18.55</v>
      </c>
      <c r="AX252" t="n">
        <v>20.12</v>
      </c>
      <c r="AY252" t="inlineStr">
        <is>
          <t>MALAYSIAN RINGGIT</t>
        </is>
      </c>
      <c r="BA252" t="n">
        <v>6306.83</v>
      </c>
      <c r="BB252" t="n">
        <v>6444.18</v>
      </c>
      <c r="BC252" t="inlineStr">
        <is>
          <t>INDIAN RUPEE</t>
        </is>
      </c>
      <c r="BE252" t="n">
        <v>269.71</v>
      </c>
      <c r="BF252" t="n">
        <v>281.33</v>
      </c>
      <c r="BG252" t="inlineStr">
        <is>
          <t>KUWAITI DINAR</t>
        </is>
      </c>
      <c r="BI252" t="n">
        <v>84054.61</v>
      </c>
      <c r="BJ252" t="n">
        <v>88130.57000000001</v>
      </c>
      <c r="BK252" t="inlineStr">
        <is>
          <t>SAUDI RIAL</t>
        </is>
      </c>
      <c r="BM252" t="n">
        <v>6863.52</v>
      </c>
      <c r="BN252" t="n">
        <v>7159.06</v>
      </c>
      <c r="BO252" t="inlineStr">
        <is>
          <t>NORWEGIAN KRONER</t>
        </is>
      </c>
      <c r="BQ252" t="n">
        <v>2730.4</v>
      </c>
      <c r="BR252" t="n">
        <v>2846.23</v>
      </c>
      <c r="BS252" t="inlineStr">
        <is>
          <t>SWEDISH KRONA</t>
        </is>
      </c>
      <c r="BU252" t="n">
        <v>2621.94</v>
      </c>
      <c r="BV252" t="n">
        <v>2733.17</v>
      </c>
      <c r="BW252" t="inlineStr">
        <is>
          <t>DANISH KRONE</t>
        </is>
      </c>
      <c r="BY252" t="n">
        <v>3948.85</v>
      </c>
      <c r="BZ252" t="n">
        <v>4099.94</v>
      </c>
      <c r="CA252" t="inlineStr">
        <is>
          <t>RUSSIAN RUBLE</t>
        </is>
      </c>
      <c r="CC252" t="n">
        <v>292.61</v>
      </c>
      <c r="CD252" t="n">
        <v>323.91</v>
      </c>
    </row>
    <row r="253">
      <c r="A253" t="inlineStr">
        <is>
          <t>13/09/2026</t>
        </is>
      </c>
      <c r="B253">
        <f>IF(ISNUMBER(A253), A253, DATE(RIGHT(A253,4), MID(A253,4,2), LEFT(A253,2)))</f>
        <v/>
      </c>
      <c r="C253" t="inlineStr">
        <is>
          <t>US DOLLAR</t>
        </is>
      </c>
      <c r="D253" t="n">
        <v>25700</v>
      </c>
      <c r="E253" t="n">
        <v>25730</v>
      </c>
      <c r="F253" t="n">
        <v>26110</v>
      </c>
      <c r="G253" t="inlineStr">
        <is>
          <t>EURO</t>
        </is>
      </c>
      <c r="H253" t="n">
        <v>29297.41</v>
      </c>
      <c r="I253" t="n">
        <v>29593.34</v>
      </c>
      <c r="J253" t="n">
        <v>30842.66</v>
      </c>
      <c r="K253" t="inlineStr">
        <is>
          <t>POUND STERLING</t>
        </is>
      </c>
      <c r="L253" t="n">
        <v>34116.32</v>
      </c>
      <c r="M253" t="n">
        <v>34460.93</v>
      </c>
      <c r="N253" t="n">
        <v>35565.35</v>
      </c>
      <c r="O253" t="inlineStr">
        <is>
          <t>YEN</t>
        </is>
      </c>
      <c r="P253" t="n">
        <v>162.3</v>
      </c>
      <c r="Q253" t="n">
        <v>163.94</v>
      </c>
      <c r="R253" t="n">
        <v>173.5</v>
      </c>
      <c r="S253" t="inlineStr">
        <is>
          <t>AUSTRALIAN DOLLAR</t>
        </is>
      </c>
      <c r="T253" t="n">
        <v>18101.25</v>
      </c>
      <c r="U253" t="n">
        <v>18284.09</v>
      </c>
      <c r="V253" t="n">
        <v>18870.07</v>
      </c>
      <c r="W253" t="inlineStr">
        <is>
          <t>CANADIAN DOLLAR</t>
        </is>
      </c>
      <c r="X253" t="n">
        <v>18247.67</v>
      </c>
      <c r="Y253" t="n">
        <v>18431.99</v>
      </c>
      <c r="Z253" t="n">
        <v>19022.7</v>
      </c>
      <c r="AA253" t="inlineStr">
        <is>
          <t>SWISS FRANC</t>
        </is>
      </c>
      <c r="AB253" t="n">
        <v>31015.43</v>
      </c>
      <c r="AC253" t="n">
        <v>31328.72</v>
      </c>
      <c r="AD253" t="n">
        <v>32332.75</v>
      </c>
      <c r="AE253" t="inlineStr">
        <is>
          <t>SINGAPORE DOLLAR</t>
        </is>
      </c>
      <c r="AF253" t="n">
        <v>19909.44</v>
      </c>
      <c r="AG253" t="n">
        <v>20110.54</v>
      </c>
      <c r="AH253" t="n">
        <v>20796.61</v>
      </c>
      <c r="AI253" t="inlineStr">
        <is>
          <t>YUAN RENMINBI</t>
        </is>
      </c>
      <c r="AJ253" t="n">
        <v>3766.07</v>
      </c>
      <c r="AK253" t="n">
        <v>3804.11</v>
      </c>
      <c r="AL253" t="n">
        <v>3926.03</v>
      </c>
      <c r="AM253" t="inlineStr">
        <is>
          <t>HONGKONG DOLLAR</t>
        </is>
      </c>
      <c r="AN253" t="n">
        <v>3211.89</v>
      </c>
      <c r="AO253" t="n">
        <v>3244.33</v>
      </c>
      <c r="AP253" t="n">
        <v>3368.46</v>
      </c>
      <c r="AQ253" t="inlineStr">
        <is>
          <t>THAILAND BAHT</t>
        </is>
      </c>
      <c r="AR253" t="n">
        <v>691.88</v>
      </c>
      <c r="AS253" t="n">
        <v>768.76</v>
      </c>
      <c r="AT253" t="n">
        <v>801.37</v>
      </c>
      <c r="AU253" t="inlineStr">
        <is>
          <t>KOREAN WON</t>
        </is>
      </c>
      <c r="AV253" t="n">
        <v>16.69</v>
      </c>
      <c r="AW253" t="n">
        <v>18.55</v>
      </c>
      <c r="AX253" t="n">
        <v>20.12</v>
      </c>
      <c r="AY253" t="inlineStr">
        <is>
          <t>MALAYSIAN RINGGIT</t>
        </is>
      </c>
      <c r="BA253" t="n">
        <v>6306.83</v>
      </c>
      <c r="BB253" t="n">
        <v>6444.18</v>
      </c>
      <c r="BC253" t="inlineStr">
        <is>
          <t>INDIAN RUPEE</t>
        </is>
      </c>
      <c r="BE253" t="n">
        <v>269.71</v>
      </c>
      <c r="BF253" t="n">
        <v>281.33</v>
      </c>
      <c r="BG253" t="inlineStr">
        <is>
          <t>KUWAITI DINAR</t>
        </is>
      </c>
      <c r="BI253" t="n">
        <v>84054.61</v>
      </c>
      <c r="BJ253" t="n">
        <v>88130.57000000001</v>
      </c>
      <c r="BK253" t="inlineStr">
        <is>
          <t>SAUDI RIAL</t>
        </is>
      </c>
      <c r="BM253" t="n">
        <v>6863.52</v>
      </c>
      <c r="BN253" t="n">
        <v>7159.06</v>
      </c>
      <c r="BO253" t="inlineStr">
        <is>
          <t>NORWEGIAN KRONER</t>
        </is>
      </c>
      <c r="BQ253" t="n">
        <v>2730.4</v>
      </c>
      <c r="BR253" t="n">
        <v>2846.23</v>
      </c>
      <c r="BS253" t="inlineStr">
        <is>
          <t>SWEDISH KRONA</t>
        </is>
      </c>
      <c r="BU253" t="n">
        <v>2621.94</v>
      </c>
      <c r="BV253" t="n">
        <v>2733.17</v>
      </c>
      <c r="BW253" t="inlineStr">
        <is>
          <t>DANISH KRONE</t>
        </is>
      </c>
      <c r="BY253" t="n">
        <v>3948.85</v>
      </c>
      <c r="BZ253" t="n">
        <v>4099.94</v>
      </c>
      <c r="CA253" t="inlineStr">
        <is>
          <t>RUSSIAN RUBLE</t>
        </is>
      </c>
      <c r="CC253" t="n">
        <v>292.61</v>
      </c>
      <c r="CD253" t="n">
        <v>323.91</v>
      </c>
    </row>
    <row r="254">
      <c r="A254" t="inlineStr">
        <is>
          <t>14/09/2026</t>
        </is>
      </c>
      <c r="B254">
        <f>IF(ISNUMBER(A254), A254, DATE(RIGHT(A254,4), MID(A254,4,2), LEFT(A254,2)))</f>
        <v/>
      </c>
      <c r="C254" t="inlineStr">
        <is>
          <t>US DOLLAR</t>
        </is>
      </c>
      <c r="D254" t="n">
        <v>25770</v>
      </c>
      <c r="E254" t="n">
        <v>25800</v>
      </c>
      <c r="F254" t="n">
        <v>26180</v>
      </c>
      <c r="G254" t="inlineStr">
        <is>
          <t>EURO</t>
        </is>
      </c>
      <c r="H254" t="n">
        <v>29257.56</v>
      </c>
      <c r="I254" t="n">
        <v>29553.09</v>
      </c>
      <c r="J254" t="n">
        <v>30800.59</v>
      </c>
      <c r="K254" t="inlineStr">
        <is>
          <t>POUND STERLING</t>
        </is>
      </c>
      <c r="L254" t="n">
        <v>34170.54</v>
      </c>
      <c r="M254" t="n">
        <v>34515.7</v>
      </c>
      <c r="N254" t="n">
        <v>35621.72</v>
      </c>
      <c r="O254" t="inlineStr">
        <is>
          <t>YEN</t>
        </is>
      </c>
      <c r="P254" t="n">
        <v>162.49</v>
      </c>
      <c r="Q254" t="n">
        <v>164.13</v>
      </c>
      <c r="R254" t="n">
        <v>173.7</v>
      </c>
      <c r="S254" t="inlineStr">
        <is>
          <t>AUSTRALIAN DOLLAR</t>
        </is>
      </c>
      <c r="T254" t="n">
        <v>18074.2</v>
      </c>
      <c r="U254" t="n">
        <v>18256.77</v>
      </c>
      <c r="V254" t="n">
        <v>18841.79</v>
      </c>
      <c r="W254" t="inlineStr">
        <is>
          <t>CANADIAN DOLLAR</t>
        </is>
      </c>
      <c r="X254" t="n">
        <v>18256.1</v>
      </c>
      <c r="Y254" t="n">
        <v>18440.51</v>
      </c>
      <c r="Z254" t="n">
        <v>19031.42</v>
      </c>
      <c r="AA254" t="inlineStr">
        <is>
          <t>SWISS FRANC</t>
        </is>
      </c>
      <c r="AB254" t="n">
        <v>30951.06</v>
      </c>
      <c r="AC254" t="n">
        <v>31263.69</v>
      </c>
      <c r="AD254" t="n">
        <v>32265.51</v>
      </c>
      <c r="AE254" t="inlineStr">
        <is>
          <t>SINGAPORE DOLLAR</t>
        </is>
      </c>
      <c r="AF254" t="n">
        <v>19928.66</v>
      </c>
      <c r="AG254" t="n">
        <v>20129.96</v>
      </c>
      <c r="AH254" t="n">
        <v>20816.61</v>
      </c>
      <c r="AI254" t="inlineStr">
        <is>
          <t>YUAN RENMINBI</t>
        </is>
      </c>
      <c r="AJ254" t="n">
        <v>3776.53</v>
      </c>
      <c r="AK254" t="n">
        <v>3814.68</v>
      </c>
      <c r="AL254" t="n">
        <v>3936.92</v>
      </c>
      <c r="AM254" t="inlineStr">
        <is>
          <t>HONGKONG DOLLAR</t>
        </is>
      </c>
      <c r="AN254" t="n">
        <v>3220.2</v>
      </c>
      <c r="AO254" t="n">
        <v>3252.73</v>
      </c>
      <c r="AP254" t="n">
        <v>3377.16</v>
      </c>
      <c r="AQ254" t="inlineStr">
        <is>
          <t>THAILAND BAHT</t>
        </is>
      </c>
      <c r="AR254" t="n">
        <v>690.62</v>
      </c>
      <c r="AS254" t="n">
        <v>767.35</v>
      </c>
      <c r="AT254" t="n">
        <v>799.9</v>
      </c>
      <c r="AU254" t="inlineStr">
        <is>
          <t>KOREAN WON</t>
        </is>
      </c>
      <c r="AV254" t="n">
        <v>16.69</v>
      </c>
      <c r="AW254" t="n">
        <v>18.55</v>
      </c>
      <c r="AX254" t="n">
        <v>20.13</v>
      </c>
      <c r="AY254" t="inlineStr">
        <is>
          <t>MALAYSIAN RINGGIT</t>
        </is>
      </c>
      <c r="BA254" t="n">
        <v>6309.91</v>
      </c>
      <c r="BB254" t="n">
        <v>6447.3</v>
      </c>
      <c r="BC254" t="inlineStr">
        <is>
          <t>INDIAN RUPEE</t>
        </is>
      </c>
      <c r="BE254" t="n">
        <v>270.44</v>
      </c>
      <c r="BF254" t="n">
        <v>282.09</v>
      </c>
      <c r="BG254" t="inlineStr">
        <is>
          <t>KUWAITI DINAR</t>
        </is>
      </c>
      <c r="BI254" t="n">
        <v>84226.84</v>
      </c>
      <c r="BJ254" t="n">
        <v>88310.78999999999</v>
      </c>
      <c r="BK254" t="inlineStr">
        <is>
          <t>SAUDI RIAL</t>
        </is>
      </c>
      <c r="BM254" t="n">
        <v>6880.6</v>
      </c>
      <c r="BN254" t="n">
        <v>7176.85</v>
      </c>
      <c r="BO254" t="inlineStr">
        <is>
          <t>NORWEGIAN KRONER</t>
        </is>
      </c>
      <c r="BQ254" t="n">
        <v>2738.28</v>
      </c>
      <c r="BR254" t="n">
        <v>2854.43</v>
      </c>
      <c r="BS254" t="inlineStr">
        <is>
          <t>SWEDISH KRONA</t>
        </is>
      </c>
      <c r="BU254" t="n">
        <v>2612.78</v>
      </c>
      <c r="BV254" t="n">
        <v>2723.62</v>
      </c>
      <c r="BW254" t="inlineStr">
        <is>
          <t>DANISH KRONE</t>
        </is>
      </c>
      <c r="BY254" t="n">
        <v>3943.36</v>
      </c>
      <c r="BZ254" t="n">
        <v>4094.22</v>
      </c>
      <c r="CA254" t="inlineStr">
        <is>
          <t>RUSSIAN RUBLE</t>
        </is>
      </c>
      <c r="CC254" t="n">
        <v>294.97</v>
      </c>
      <c r="CD254" t="n">
        <v>326.52</v>
      </c>
    </row>
    <row r="255">
      <c r="A255" t="inlineStr">
        <is>
          <t>15/09/2026</t>
        </is>
      </c>
      <c r="B255">
        <f>IF(ISNUMBER(A255), A255, DATE(RIGHT(A255,4), MID(A255,4,2), LEFT(A255,2)))</f>
        <v/>
      </c>
      <c r="C255" t="inlineStr">
        <is>
          <t>US DOLLAR</t>
        </is>
      </c>
      <c r="D255" t="n">
        <v>25720</v>
      </c>
      <c r="E255" t="n">
        <v>25750</v>
      </c>
      <c r="F255" t="n">
        <v>26130</v>
      </c>
      <c r="G255" t="inlineStr">
        <is>
          <t>EURO</t>
        </is>
      </c>
      <c r="H255" t="n">
        <v>29163.32</v>
      </c>
      <c r="I255" t="n">
        <v>29457.9</v>
      </c>
      <c r="J255" t="n">
        <v>30701.46</v>
      </c>
      <c r="K255" t="inlineStr">
        <is>
          <t>POUND STERLING</t>
        </is>
      </c>
      <c r="L255" t="n">
        <v>34049.15</v>
      </c>
      <c r="M255" t="n">
        <v>34393.08</v>
      </c>
      <c r="N255" t="n">
        <v>35495.28</v>
      </c>
      <c r="O255" t="inlineStr">
        <is>
          <t>YEN</t>
        </is>
      </c>
      <c r="P255" t="n">
        <v>161.66</v>
      </c>
      <c r="Q255" t="n">
        <v>163.29</v>
      </c>
      <c r="R255" t="n">
        <v>172.82</v>
      </c>
      <c r="S255" t="inlineStr">
        <is>
          <t>AUSTRALIAN DOLLAR</t>
        </is>
      </c>
      <c r="T255" t="n">
        <v>17996.43</v>
      </c>
      <c r="U255" t="n">
        <v>18178.21</v>
      </c>
      <c r="V255" t="n">
        <v>18760.77</v>
      </c>
      <c r="W255" t="inlineStr">
        <is>
          <t>CANADIAN DOLLAR</t>
        </is>
      </c>
      <c r="X255" t="n">
        <v>18189.49</v>
      </c>
      <c r="Y255" t="n">
        <v>18373.23</v>
      </c>
      <c r="Z255" t="n">
        <v>18962.03</v>
      </c>
      <c r="AA255" t="inlineStr">
        <is>
          <t>SWISS FRANC</t>
        </is>
      </c>
      <c r="AB255" t="n">
        <v>30925.48</v>
      </c>
      <c r="AC255" t="n">
        <v>31237.85</v>
      </c>
      <c r="AD255" t="n">
        <v>32238.94</v>
      </c>
      <c r="AE255" t="inlineStr">
        <is>
          <t>SINGAPORE DOLLAR</t>
        </is>
      </c>
      <c r="AF255" t="n">
        <v>19854.33</v>
      </c>
      <c r="AG255" t="n">
        <v>20054.88</v>
      </c>
      <c r="AH255" t="n">
        <v>20739.03</v>
      </c>
      <c r="AI255" t="inlineStr">
        <is>
          <t>YUAN RENMINBI</t>
        </is>
      </c>
      <c r="AJ255" t="n">
        <v>3766.46</v>
      </c>
      <c r="AK255" t="n">
        <v>3804.5</v>
      </c>
      <c r="AL255" t="n">
        <v>3926.42</v>
      </c>
      <c r="AM255" t="inlineStr">
        <is>
          <t>HONGKONG DOLLAR</t>
        </is>
      </c>
      <c r="AN255" t="n">
        <v>3213.71</v>
      </c>
      <c r="AO255" t="n">
        <v>3246.17</v>
      </c>
      <c r="AP255" t="n">
        <v>3370.37</v>
      </c>
      <c r="AQ255" t="inlineStr">
        <is>
          <t>THAILAND BAHT</t>
        </is>
      </c>
      <c r="AR255" t="n">
        <v>687.63</v>
      </c>
      <c r="AS255" t="n">
        <v>764.03</v>
      </c>
      <c r="AT255" t="n">
        <v>796.45</v>
      </c>
      <c r="AU255" t="inlineStr">
        <is>
          <t>KOREAN WON</t>
        </is>
      </c>
      <c r="AV255" t="n">
        <v>16.5</v>
      </c>
      <c r="AW255" t="n">
        <v>18.34</v>
      </c>
      <c r="AX255" t="n">
        <v>19.89</v>
      </c>
      <c r="AY255" t="inlineStr">
        <is>
          <t>MALAYSIAN RINGGIT</t>
        </is>
      </c>
      <c r="BA255" t="n">
        <v>6290.81</v>
      </c>
      <c r="BB255" t="n">
        <v>6427.8</v>
      </c>
      <c r="BC255" t="inlineStr">
        <is>
          <t>INDIAN RUPEE</t>
        </is>
      </c>
      <c r="BE255" t="n">
        <v>268.94</v>
      </c>
      <c r="BF255" t="n">
        <v>280.52</v>
      </c>
      <c r="BG255" t="inlineStr">
        <is>
          <t>KUWAITI DINAR</t>
        </is>
      </c>
      <c r="BI255" t="n">
        <v>84009.92</v>
      </c>
      <c r="BJ255" t="n">
        <v>88083.60000000001</v>
      </c>
      <c r="BK255" t="inlineStr">
        <is>
          <t>SAUDI RIAL</t>
        </is>
      </c>
      <c r="BM255" t="n">
        <v>6866.26</v>
      </c>
      <c r="BN255" t="n">
        <v>7161.91</v>
      </c>
      <c r="BO255" t="inlineStr">
        <is>
          <t>NORWEGIAN KRONER</t>
        </is>
      </c>
      <c r="BQ255" t="n">
        <v>2718.27</v>
      </c>
      <c r="BR255" t="n">
        <v>2833.59</v>
      </c>
      <c r="BS255" t="inlineStr">
        <is>
          <t>SWEDISH KRONA</t>
        </is>
      </c>
      <c r="BU255" t="n">
        <v>2598.66</v>
      </c>
      <c r="BV255" t="n">
        <v>2708.9</v>
      </c>
      <c r="BW255" t="inlineStr">
        <is>
          <t>DANISH KRONE</t>
        </is>
      </c>
      <c r="BY255" t="n">
        <v>3930.24</v>
      </c>
      <c r="BZ255" t="n">
        <v>4080.61</v>
      </c>
      <c r="CA255" t="inlineStr">
        <is>
          <t>RUSSIAN RUBLE</t>
        </is>
      </c>
      <c r="CC255" t="n">
        <v>292.34</v>
      </c>
      <c r="CD255" t="n">
        <v>323.62</v>
      </c>
    </row>
    <row r="256">
      <c r="A256" t="inlineStr">
        <is>
          <t>16/09/2026</t>
        </is>
      </c>
      <c r="B256">
        <f>IF(ISNUMBER(A256), A256, DATE(RIGHT(A256,4), MID(A256,4,2), LEFT(A256,2)))</f>
        <v/>
      </c>
      <c r="C256" t="inlineStr">
        <is>
          <t>US DOLLAR</t>
        </is>
      </c>
      <c r="D256" t="n">
        <v>25770</v>
      </c>
      <c r="E256" t="n">
        <v>25800</v>
      </c>
      <c r="F256" t="n">
        <v>26180</v>
      </c>
      <c r="G256" t="inlineStr">
        <is>
          <t>EURO</t>
        </is>
      </c>
      <c r="H256" t="n">
        <v>29262.63</v>
      </c>
      <c r="I256" t="n">
        <v>29558.21</v>
      </c>
      <c r="J256" t="n">
        <v>30805.92</v>
      </c>
      <c r="K256" t="inlineStr">
        <is>
          <t>POUND STERLING</t>
        </is>
      </c>
      <c r="L256" t="n">
        <v>34142.69</v>
      </c>
      <c r="M256" t="n">
        <v>34487.56</v>
      </c>
      <c r="N256" t="n">
        <v>35592.68</v>
      </c>
      <c r="O256" t="inlineStr">
        <is>
          <t>YEN</t>
        </is>
      </c>
      <c r="P256" t="n">
        <v>161.91</v>
      </c>
      <c r="Q256" t="n">
        <v>163.55</v>
      </c>
      <c r="R256" t="n">
        <v>173.09</v>
      </c>
      <c r="S256" t="inlineStr">
        <is>
          <t>AUSTRALIAN DOLLAR</t>
        </is>
      </c>
      <c r="T256" t="n">
        <v>18064.07</v>
      </c>
      <c r="U256" t="n">
        <v>18246.53</v>
      </c>
      <c r="V256" t="n">
        <v>18831.23</v>
      </c>
      <c r="W256" t="inlineStr">
        <is>
          <t>CANADIAN DOLLAR</t>
        </is>
      </c>
      <c r="X256" t="n">
        <v>18181.41</v>
      </c>
      <c r="Y256" t="n">
        <v>18365.06</v>
      </c>
      <c r="Z256" t="n">
        <v>18953.55</v>
      </c>
      <c r="AA256" t="inlineStr">
        <is>
          <t>SWISS FRANC</t>
        </is>
      </c>
      <c r="AB256" t="n">
        <v>30951.06</v>
      </c>
      <c r="AC256" t="n">
        <v>31263.69</v>
      </c>
      <c r="AD256" t="n">
        <v>32265.51</v>
      </c>
      <c r="AE256" t="inlineStr">
        <is>
          <t>SINGAPORE DOLLAR</t>
        </is>
      </c>
      <c r="AF256" t="n">
        <v>19894.19</v>
      </c>
      <c r="AG256" t="n">
        <v>20095.14</v>
      </c>
      <c r="AH256" t="n">
        <v>20780.6</v>
      </c>
      <c r="AI256" t="inlineStr">
        <is>
          <t>YUAN RENMINBI</t>
        </is>
      </c>
      <c r="AJ256" t="n">
        <v>3777.49</v>
      </c>
      <c r="AK256" t="n">
        <v>3815.65</v>
      </c>
      <c r="AL256" t="n">
        <v>3937.92</v>
      </c>
      <c r="AM256" t="inlineStr">
        <is>
          <t>HONGKONG DOLLAR</t>
        </is>
      </c>
      <c r="AN256" t="n">
        <v>3219.87</v>
      </c>
      <c r="AO256" t="n">
        <v>3252.39</v>
      </c>
      <c r="AP256" t="n">
        <v>3376.82</v>
      </c>
      <c r="AQ256" t="inlineStr">
        <is>
          <t>THAILAND BAHT</t>
        </is>
      </c>
      <c r="AR256" t="n">
        <v>689.79</v>
      </c>
      <c r="AS256" t="n">
        <v>766.4299999999999</v>
      </c>
      <c r="AT256" t="n">
        <v>798.9400000000001</v>
      </c>
      <c r="AU256" t="inlineStr">
        <is>
          <t>KOREAN WON</t>
        </is>
      </c>
      <c r="AV256" t="n">
        <v>16.46</v>
      </c>
      <c r="AW256" t="n">
        <v>18.29</v>
      </c>
      <c r="AX256" t="n">
        <v>19.85</v>
      </c>
      <c r="AY256" t="inlineStr">
        <is>
          <t>MALAYSIAN RINGGIT</t>
        </is>
      </c>
      <c r="BA256" t="n">
        <v>6298.32</v>
      </c>
      <c r="BB256" t="n">
        <v>6435.45</v>
      </c>
      <c r="BC256" t="inlineStr">
        <is>
          <t>INDIAN RUPEE</t>
        </is>
      </c>
      <c r="BE256" t="n">
        <v>269.34</v>
      </c>
      <c r="BF256" t="n">
        <v>280.94</v>
      </c>
      <c r="BG256" t="inlineStr">
        <is>
          <t>KUWAITI DINAR</t>
        </is>
      </c>
      <c r="BI256" t="n">
        <v>84171.97</v>
      </c>
      <c r="BJ256" t="n">
        <v>88253.25999999999</v>
      </c>
      <c r="BK256" t="inlineStr">
        <is>
          <t>SAUDI RIAL</t>
        </is>
      </c>
      <c r="BM256" t="n">
        <v>6880.42</v>
      </c>
      <c r="BN256" t="n">
        <v>7176.66</v>
      </c>
      <c r="BO256" t="inlineStr">
        <is>
          <t>NORWEGIAN KRONER</t>
        </is>
      </c>
      <c r="BQ256" t="n">
        <v>2726.26</v>
      </c>
      <c r="BR256" t="n">
        <v>2841.9</v>
      </c>
      <c r="BS256" t="inlineStr">
        <is>
          <t>SWEDISH KRONA</t>
        </is>
      </c>
      <c r="BU256" t="n">
        <v>2606.28</v>
      </c>
      <c r="BV256" t="n">
        <v>2716.84</v>
      </c>
      <c r="BW256" t="inlineStr">
        <is>
          <t>DANISH KRONE</t>
        </is>
      </c>
      <c r="BY256" t="n">
        <v>3943.67</v>
      </c>
      <c r="BZ256" t="n">
        <v>4094.54</v>
      </c>
      <c r="CA256" t="inlineStr">
        <is>
          <t>RUSSIAN RUBLE</t>
        </is>
      </c>
      <c r="CC256" t="n">
        <v>294.01</v>
      </c>
      <c r="CD256" t="n">
        <v>325.46</v>
      </c>
    </row>
    <row r="257">
      <c r="A257" t="inlineStr">
        <is>
          <t>17/09/2026</t>
        </is>
      </c>
      <c r="B257">
        <f>IF(ISNUMBER(A257), A257, DATE(RIGHT(A257,4), MID(A257,4,2), LEFT(A257,2)))</f>
        <v/>
      </c>
      <c r="C257" t="inlineStr">
        <is>
          <t>US DOLLAR</t>
        </is>
      </c>
      <c r="D257" t="n">
        <v>25795</v>
      </c>
      <c r="E257" t="n">
        <v>25825</v>
      </c>
      <c r="F257" t="n">
        <v>26205</v>
      </c>
      <c r="G257" t="inlineStr">
        <is>
          <t>EURO</t>
        </is>
      </c>
      <c r="H257" t="n">
        <v>29090.54</v>
      </c>
      <c r="I257" t="n">
        <v>29384.38</v>
      </c>
      <c r="J257" t="n">
        <v>30624.71</v>
      </c>
      <c r="K257" t="inlineStr">
        <is>
          <t>POUND STERLING</t>
        </is>
      </c>
      <c r="L257" t="n">
        <v>33957.55</v>
      </c>
      <c r="M257" t="n">
        <v>34300.56</v>
      </c>
      <c r="N257" t="n">
        <v>35399.63</v>
      </c>
      <c r="O257" t="inlineStr">
        <is>
          <t>YEN</t>
        </is>
      </c>
      <c r="P257" t="n">
        <v>161.31</v>
      </c>
      <c r="Q257" t="n">
        <v>162.94</v>
      </c>
      <c r="R257" t="n">
        <v>172.44</v>
      </c>
      <c r="S257" t="inlineStr">
        <is>
          <t>AUSTRALIAN DOLLAR</t>
        </is>
      </c>
      <c r="T257" t="n">
        <v>18035.83</v>
      </c>
      <c r="U257" t="n">
        <v>18218.01</v>
      </c>
      <c r="V257" t="n">
        <v>18801.76</v>
      </c>
      <c r="W257" t="inlineStr">
        <is>
          <t>CANADIAN DOLLAR</t>
        </is>
      </c>
      <c r="X257" t="n">
        <v>18128.65</v>
      </c>
      <c r="Y257" t="n">
        <v>18311.77</v>
      </c>
      <c r="Z257" t="n">
        <v>18898.52</v>
      </c>
      <c r="AA257" t="inlineStr">
        <is>
          <t>SWISS FRANC</t>
        </is>
      </c>
      <c r="AB257" t="n">
        <v>30718.11</v>
      </c>
      <c r="AC257" t="n">
        <v>31028.4</v>
      </c>
      <c r="AD257" t="n">
        <v>32022.62</v>
      </c>
      <c r="AE257" t="inlineStr">
        <is>
          <t>SINGAPORE DOLLAR</t>
        </is>
      </c>
      <c r="AF257" t="n">
        <v>19855.59</v>
      </c>
      <c r="AG257" t="n">
        <v>20056.15</v>
      </c>
      <c r="AH257" t="n">
        <v>20740.25</v>
      </c>
      <c r="AI257" t="inlineStr">
        <is>
          <t>YUAN RENMINBI</t>
        </is>
      </c>
      <c r="AJ257" t="n">
        <v>3780.39</v>
      </c>
      <c r="AK257" t="n">
        <v>3818.58</v>
      </c>
      <c r="AL257" t="n">
        <v>3940.94</v>
      </c>
      <c r="AM257" t="inlineStr">
        <is>
          <t>HONGKONG DOLLAR</t>
        </is>
      </c>
      <c r="AN257" t="n">
        <v>3222.6</v>
      </c>
      <c r="AO257" t="n">
        <v>3255.15</v>
      </c>
      <c r="AP257" t="n">
        <v>3379.68</v>
      </c>
      <c r="AQ257" t="inlineStr">
        <is>
          <t>THAILAND BAHT</t>
        </is>
      </c>
      <c r="AR257" t="n">
        <v>687.76</v>
      </c>
      <c r="AS257" t="n">
        <v>764.1799999999999</v>
      </c>
      <c r="AT257" t="n">
        <v>796.59</v>
      </c>
      <c r="AU257" t="inlineStr">
        <is>
          <t>KOREAN WON</t>
        </is>
      </c>
      <c r="AV257" t="n">
        <v>16.25</v>
      </c>
      <c r="AW257" t="n">
        <v>18.05</v>
      </c>
      <c r="AX257" t="n">
        <v>19.59</v>
      </c>
      <c r="AY257" t="inlineStr">
        <is>
          <t>MALAYSIAN RINGGIT</t>
        </is>
      </c>
      <c r="BA257" t="n">
        <v>6282.07</v>
      </c>
      <c r="BB257" t="n">
        <v>6418.84</v>
      </c>
      <c r="BC257" t="inlineStr">
        <is>
          <t>INDIAN RUPEE</t>
        </is>
      </c>
      <c r="BE257" t="n">
        <v>269.64</v>
      </c>
      <c r="BF257" t="n">
        <v>281.25</v>
      </c>
      <c r="BG257" t="inlineStr">
        <is>
          <t>KUWAITI DINAR</t>
        </is>
      </c>
      <c r="BI257" t="n">
        <v>84170.75</v>
      </c>
      <c r="BJ257" t="n">
        <v>88251.84</v>
      </c>
      <c r="BK257" t="inlineStr">
        <is>
          <t>SAUDI RIAL</t>
        </is>
      </c>
      <c r="BM257" t="n">
        <v>6885.76</v>
      </c>
      <c r="BN257" t="n">
        <v>7182.22</v>
      </c>
      <c r="BO257" t="inlineStr">
        <is>
          <t>NORWEGIAN KRONER</t>
        </is>
      </c>
      <c r="BQ257" t="n">
        <v>2706.11</v>
      </c>
      <c r="BR257" t="n">
        <v>2820.89</v>
      </c>
      <c r="BS257" t="inlineStr">
        <is>
          <t>SWEDISH KRONA</t>
        </is>
      </c>
      <c r="BU257" t="n">
        <v>2596.33</v>
      </c>
      <c r="BV257" t="n">
        <v>2706.46</v>
      </c>
      <c r="BW257" t="inlineStr">
        <is>
          <t>DANISH KRONE</t>
        </is>
      </c>
      <c r="BY257" t="n">
        <v>3920.38</v>
      </c>
      <c r="BZ257" t="n">
        <v>4070.35</v>
      </c>
      <c r="CA257" t="inlineStr">
        <is>
          <t>RUSSIAN RUBLE</t>
        </is>
      </c>
      <c r="CC257" t="n">
        <v>293.37</v>
      </c>
      <c r="CD257" t="n">
        <v>324.75</v>
      </c>
    </row>
    <row r="258">
      <c r="A258" t="inlineStr">
        <is>
          <t>18/09/2026</t>
        </is>
      </c>
      <c r="B258">
        <f>IF(ISNUMBER(A258), A258, DATE(RIGHT(A258,4), MID(A258,4,2), LEFT(A258,2)))</f>
        <v/>
      </c>
      <c r="C258" t="inlineStr">
        <is>
          <t>US DOLLAR</t>
        </is>
      </c>
      <c r="D258" t="n">
        <v>25800</v>
      </c>
      <c r="E258" t="n">
        <v>25830</v>
      </c>
      <c r="F258" t="n">
        <v>26210</v>
      </c>
      <c r="G258" t="inlineStr">
        <is>
          <t>EURO</t>
        </is>
      </c>
      <c r="H258" t="n">
        <v>29118.95</v>
      </c>
      <c r="I258" t="n">
        <v>29413.09</v>
      </c>
      <c r="J258" t="n">
        <v>30654.61</v>
      </c>
      <c r="K258" t="inlineStr">
        <is>
          <t>POUND STERLING</t>
        </is>
      </c>
      <c r="L258" t="n">
        <v>33885.49</v>
      </c>
      <c r="M258" t="n">
        <v>34227.77</v>
      </c>
      <c r="N258" t="n">
        <v>35324.5</v>
      </c>
      <c r="O258" t="inlineStr">
        <is>
          <t>YEN</t>
        </is>
      </c>
      <c r="P258" t="n">
        <v>158.98</v>
      </c>
      <c r="Q258" t="n">
        <v>160.58</v>
      </c>
      <c r="R258" t="n">
        <v>169.95</v>
      </c>
      <c r="S258" t="inlineStr">
        <is>
          <t>AUSTRALIAN DOLLAR</t>
        </is>
      </c>
      <c r="T258" t="n">
        <v>18067.19</v>
      </c>
      <c r="U258" t="n">
        <v>18249.69</v>
      </c>
      <c r="V258" t="n">
        <v>18834.45</v>
      </c>
      <c r="W258" t="inlineStr">
        <is>
          <t>CANADIAN DOLLAR</t>
        </is>
      </c>
      <c r="X258" t="n">
        <v>18117.89</v>
      </c>
      <c r="Y258" t="n">
        <v>18300.9</v>
      </c>
      <c r="Z258" t="n">
        <v>18887.3</v>
      </c>
      <c r="AA258" t="inlineStr">
        <is>
          <t>SWISS FRANC</t>
        </is>
      </c>
      <c r="AB258" t="n">
        <v>30753.83</v>
      </c>
      <c r="AC258" t="n">
        <v>31064.47</v>
      </c>
      <c r="AD258" t="n">
        <v>32059.85</v>
      </c>
      <c r="AE258" t="inlineStr">
        <is>
          <t>SINGAPORE DOLLAR</t>
        </is>
      </c>
      <c r="AF258" t="n">
        <v>19836.08</v>
      </c>
      <c r="AG258" t="n">
        <v>20036.45</v>
      </c>
      <c r="AH258" t="n">
        <v>20719.87</v>
      </c>
      <c r="AI258" t="inlineStr">
        <is>
          <t>YUAN RENMINBI</t>
        </is>
      </c>
      <c r="AJ258" t="n">
        <v>3786.37</v>
      </c>
      <c r="AK258" t="n">
        <v>3824.62</v>
      </c>
      <c r="AL258" t="n">
        <v>3947.17</v>
      </c>
      <c r="AM258" t="inlineStr">
        <is>
          <t>HONGKONG DOLLAR</t>
        </is>
      </c>
      <c r="AN258" t="n">
        <v>3223.1</v>
      </c>
      <c r="AO258" t="n">
        <v>3255.65</v>
      </c>
      <c r="AP258" t="n">
        <v>3380.2</v>
      </c>
      <c r="AQ258" t="inlineStr">
        <is>
          <t>THAILAND BAHT</t>
        </is>
      </c>
      <c r="AR258" t="n">
        <v>688.51</v>
      </c>
      <c r="AS258" t="n">
        <v>765.01</v>
      </c>
      <c r="AT258" t="n">
        <v>797.46</v>
      </c>
      <c r="AU258" t="inlineStr">
        <is>
          <t>KOREAN WON</t>
        </is>
      </c>
      <c r="AV258" t="n">
        <v>16.23</v>
      </c>
      <c r="AW258" t="n">
        <v>18.03</v>
      </c>
      <c r="AX258" t="n">
        <v>19.57</v>
      </c>
      <c r="AY258" t="inlineStr">
        <is>
          <t>MALAYSIAN RINGGIT</t>
        </is>
      </c>
      <c r="BA258" t="n">
        <v>6309.45</v>
      </c>
      <c r="BB258" t="n">
        <v>6446.82</v>
      </c>
      <c r="BC258" t="inlineStr">
        <is>
          <t>INDIAN RUPEE</t>
        </is>
      </c>
      <c r="BE258" t="n">
        <v>269.9</v>
      </c>
      <c r="BF258" t="n">
        <v>281.52</v>
      </c>
      <c r="BG258" t="inlineStr">
        <is>
          <t>KUWAITI DINAR</t>
        </is>
      </c>
      <c r="BI258" t="n">
        <v>84186.94</v>
      </c>
      <c r="BJ258" t="n">
        <v>88268.78999999999</v>
      </c>
      <c r="BK258" t="inlineStr">
        <is>
          <t>SAUDI RIAL</t>
        </is>
      </c>
      <c r="BM258" t="n">
        <v>6887.09</v>
      </c>
      <c r="BN258" t="n">
        <v>7183.59</v>
      </c>
      <c r="BO258" t="inlineStr">
        <is>
          <t>NORWEGIAN KRONER</t>
        </is>
      </c>
      <c r="BQ258" t="n">
        <v>2706.4</v>
      </c>
      <c r="BR258" t="n">
        <v>2821.2</v>
      </c>
      <c r="BS258" t="inlineStr">
        <is>
          <t>SWEDISH KRONA</t>
        </is>
      </c>
      <c r="BU258" t="n">
        <v>2596.69</v>
      </c>
      <c r="BV258" t="n">
        <v>2706.84</v>
      </c>
      <c r="BW258" t="inlineStr">
        <is>
          <t>DANISH KRONE</t>
        </is>
      </c>
      <c r="BY258" t="n">
        <v>3924.2</v>
      </c>
      <c r="BZ258" t="n">
        <v>4074.32</v>
      </c>
      <c r="CA258" t="inlineStr">
        <is>
          <t>RUSSIAN RUBLE</t>
        </is>
      </c>
      <c r="CC258" t="n">
        <v>294.35</v>
      </c>
      <c r="CD258" t="n">
        <v>325.84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USD</t>
        </is>
      </c>
      <c r="C1" t="inlineStr">
        <is>
          <t>EUR</t>
        </is>
      </c>
      <c r="D1" t="inlineStr">
        <is>
          <t>GBP</t>
        </is>
      </c>
      <c r="E1" t="inlineStr">
        <is>
          <t>JPY</t>
        </is>
      </c>
      <c r="F1" t="inlineStr">
        <is>
          <t>AUD</t>
        </is>
      </c>
      <c r="G1" t="inlineStr">
        <is>
          <t>CAD</t>
        </is>
      </c>
      <c r="H1" t="inlineStr">
        <is>
          <t>CHF</t>
        </is>
      </c>
      <c r="I1" t="inlineStr">
        <is>
          <t>SGD</t>
        </is>
      </c>
      <c r="J1" t="inlineStr">
        <is>
          <t>CNY</t>
        </is>
      </c>
      <c r="K1" t="inlineStr">
        <is>
          <t>HKD</t>
        </is>
      </c>
      <c r="L1" t="inlineStr">
        <is>
          <t>THB</t>
        </is>
      </c>
      <c r="M1" t="inlineStr">
        <is>
          <t>KRW</t>
        </is>
      </c>
      <c r="N1" t="inlineStr">
        <is>
          <t>MYR</t>
        </is>
      </c>
      <c r="O1" t="inlineStr">
        <is>
          <t>INR</t>
        </is>
      </c>
      <c r="P1" t="inlineStr">
        <is>
          <t>KWD</t>
        </is>
      </c>
      <c r="Q1" t="inlineStr">
        <is>
          <t>SAR</t>
        </is>
      </c>
      <c r="R1" t="inlineStr">
        <is>
          <t>NOK</t>
        </is>
      </c>
      <c r="S1" t="inlineStr">
        <is>
          <t>SEK</t>
        </is>
      </c>
      <c r="T1" t="inlineStr">
        <is>
          <t>DKK</t>
        </is>
      </c>
      <c r="U1" t="inlineStr">
        <is>
          <t>RUB</t>
        </is>
      </c>
    </row>
    <row r="2">
      <c r="A2" t="inlineStr">
        <is>
          <t>2026-01</t>
        </is>
      </c>
      <c r="B2" t="n">
        <v>26353.26</v>
      </c>
      <c r="C2" t="n">
        <v>31553.24</v>
      </c>
      <c r="D2" t="n">
        <v>35958.36</v>
      </c>
      <c r="E2" t="n">
        <v>171.55</v>
      </c>
      <c r="F2" t="n">
        <v>18030.74</v>
      </c>
      <c r="G2" t="n">
        <v>19337.14</v>
      </c>
      <c r="H2" t="n">
        <v>33688.03</v>
      </c>
      <c r="I2" t="n">
        <v>20820.92</v>
      </c>
      <c r="J2" t="n">
        <v>3822.73</v>
      </c>
      <c r="K2" t="n">
        <v>3429.5</v>
      </c>
      <c r="L2" t="n">
        <v>855.1</v>
      </c>
      <c r="M2" t="n">
        <v>18.77</v>
      </c>
      <c r="N2" t="n">
        <v>6581.29</v>
      </c>
      <c r="O2" t="n">
        <v>299.79</v>
      </c>
      <c r="P2" t="n">
        <v>89389.47</v>
      </c>
      <c r="Q2" t="n">
        <v>7253.89</v>
      </c>
      <c r="R2" t="n">
        <v>2688.78</v>
      </c>
      <c r="S2" t="n">
        <v>2938.99</v>
      </c>
      <c r="T2" t="n">
        <v>4196.99</v>
      </c>
      <c r="U2" t="n">
        <v>353.8</v>
      </c>
    </row>
    <row r="3">
      <c r="A3" t="inlineStr">
        <is>
          <t>2026-02</t>
        </is>
      </c>
      <c r="B3" t="n">
        <v>26175.86</v>
      </c>
      <c r="C3" t="n">
        <v>31592.1</v>
      </c>
      <c r="D3" t="n">
        <v>35941.02</v>
      </c>
      <c r="E3" t="n">
        <v>172.56</v>
      </c>
      <c r="F3" t="n">
        <v>18619.43</v>
      </c>
      <c r="G3" t="n">
        <v>19392.34</v>
      </c>
      <c r="H3" t="n">
        <v>34239.08</v>
      </c>
      <c r="I3" t="n">
        <v>20895.58</v>
      </c>
      <c r="J3" t="n">
        <v>3825.34</v>
      </c>
      <c r="K3" t="n">
        <v>3392.7</v>
      </c>
      <c r="L3" t="n">
        <v>850.41</v>
      </c>
      <c r="M3" t="n">
        <v>18.72</v>
      </c>
      <c r="N3" t="n">
        <v>6718.14</v>
      </c>
      <c r="O3" t="n">
        <v>297.38</v>
      </c>
      <c r="P3" t="n">
        <v>88866.3</v>
      </c>
      <c r="Q3" t="n">
        <v>7194.98</v>
      </c>
      <c r="R3" t="n">
        <v>2771.14</v>
      </c>
      <c r="S3" t="n">
        <v>2963.23</v>
      </c>
      <c r="T3" t="n">
        <v>4202.7</v>
      </c>
      <c r="U3" t="n">
        <v>356.3</v>
      </c>
    </row>
    <row r="4">
      <c r="A4" t="inlineStr">
        <is>
          <t>2026-03</t>
        </is>
      </c>
      <c r="B4" t="n">
        <v>26324.68</v>
      </c>
      <c r="C4" t="n">
        <v>31168.6</v>
      </c>
      <c r="D4" t="n">
        <v>35624.94</v>
      </c>
      <c r="E4" t="n">
        <v>170.17</v>
      </c>
      <c r="F4" t="n">
        <v>18732.23</v>
      </c>
      <c r="G4" t="n">
        <v>19471.68</v>
      </c>
      <c r="H4" t="n">
        <v>33958.09</v>
      </c>
      <c r="I4" t="n">
        <v>20893.28</v>
      </c>
      <c r="J4" t="n">
        <v>3872.52</v>
      </c>
      <c r="K4" t="n">
        <v>3421.52</v>
      </c>
      <c r="L4" t="n">
        <v>832.79</v>
      </c>
      <c r="M4" t="n">
        <v>18.4</v>
      </c>
      <c r="N4" t="n">
        <v>6728.23</v>
      </c>
      <c r="O4" t="n">
        <v>293.99</v>
      </c>
      <c r="P4" t="n">
        <v>89412.7</v>
      </c>
      <c r="Q4" t="n">
        <v>7261.96</v>
      </c>
      <c r="R4" t="n">
        <v>2781.52</v>
      </c>
      <c r="S4" t="n">
        <v>2882.46</v>
      </c>
      <c r="T4" t="n">
        <v>4145.41</v>
      </c>
      <c r="U4" t="n">
        <v>343.75</v>
      </c>
    </row>
    <row r="5">
      <c r="A5" t="inlineStr">
        <is>
          <t>2026-04</t>
        </is>
      </c>
      <c r="B5" t="n">
        <v>26361.4</v>
      </c>
      <c r="C5" t="n">
        <v>31564.47</v>
      </c>
      <c r="D5" t="n">
        <v>35924.43</v>
      </c>
      <c r="E5" t="n">
        <v>169.9</v>
      </c>
      <c r="F5" t="n">
        <v>18935.08</v>
      </c>
      <c r="G5" t="n">
        <v>19430.86</v>
      </c>
      <c r="H5" t="n">
        <v>33932.85</v>
      </c>
      <c r="I5" t="n">
        <v>20982.68</v>
      </c>
      <c r="J5" t="n">
        <v>3911.71</v>
      </c>
      <c r="K5" t="n">
        <v>3426.23</v>
      </c>
      <c r="L5" t="n">
        <v>833.1900000000001</v>
      </c>
      <c r="M5" t="n">
        <v>18.5</v>
      </c>
      <c r="N5" t="n">
        <v>6696.95</v>
      </c>
      <c r="O5" t="n">
        <v>292.87</v>
      </c>
      <c r="P5" t="n">
        <v>89572.86</v>
      </c>
      <c r="Q5" t="n">
        <v>7279.47</v>
      </c>
      <c r="R5" t="n">
        <v>2842.14</v>
      </c>
      <c r="S5" t="n">
        <v>2897.98</v>
      </c>
      <c r="T5" t="n">
        <v>4196.98</v>
      </c>
      <c r="U5" t="n">
        <v>360.54</v>
      </c>
    </row>
    <row r="6">
      <c r="A6" t="inlineStr">
        <is>
          <t>2026-05</t>
        </is>
      </c>
      <c r="B6" t="n">
        <v>26381.2</v>
      </c>
      <c r="C6" t="n">
        <v>31546.78</v>
      </c>
      <c r="D6" t="n">
        <v>36052.47</v>
      </c>
      <c r="E6" t="n">
        <v>170.97</v>
      </c>
      <c r="F6" t="n">
        <v>19188.14</v>
      </c>
      <c r="G6" t="n">
        <v>19505.32</v>
      </c>
      <c r="H6" t="n">
        <v>34132.86</v>
      </c>
      <c r="I6" t="n">
        <v>21007.07</v>
      </c>
      <c r="J6" t="n">
        <v>3934.33</v>
      </c>
      <c r="K6" t="n">
        <v>3427.73</v>
      </c>
      <c r="L6" t="n">
        <v>827.75</v>
      </c>
      <c r="M6" t="n">
        <v>18.44</v>
      </c>
      <c r="N6" t="n">
        <v>6745.9</v>
      </c>
      <c r="O6" t="n">
        <v>285.88</v>
      </c>
      <c r="P6" t="n">
        <v>89572.14999999999</v>
      </c>
      <c r="Q6" t="n">
        <v>7281.34</v>
      </c>
      <c r="R6" t="n">
        <v>2901.1</v>
      </c>
      <c r="S6" t="n">
        <v>2888.94</v>
      </c>
      <c r="T6" t="n">
        <v>4194.63</v>
      </c>
      <c r="U6" t="n">
        <v>379.46</v>
      </c>
    </row>
    <row r="7">
      <c r="A7" t="inlineStr">
        <is>
          <t>2026-06</t>
        </is>
      </c>
      <c r="B7" t="n">
        <v>26426.96</v>
      </c>
      <c r="C7" t="n">
        <v>31081.71</v>
      </c>
      <c r="D7" t="n">
        <v>35622.59</v>
      </c>
      <c r="E7" t="n">
        <v>168.15</v>
      </c>
      <c r="F7" t="n">
        <v>18770.91</v>
      </c>
      <c r="G7" t="n">
        <v>19051.21</v>
      </c>
      <c r="H7" t="n">
        <v>33462.92</v>
      </c>
      <c r="I7" t="n">
        <v>20790.48</v>
      </c>
      <c r="J7" t="n">
        <v>3946.78</v>
      </c>
      <c r="K7" t="n">
        <v>3422.48</v>
      </c>
      <c r="L7" t="n">
        <v>817.42</v>
      </c>
      <c r="M7" t="n">
        <v>17.95</v>
      </c>
      <c r="N7" t="n">
        <v>6548.97</v>
      </c>
      <c r="O7" t="n">
        <v>287.73</v>
      </c>
      <c r="P7" t="n">
        <v>89301.89</v>
      </c>
      <c r="Q7" t="n">
        <v>7271.48</v>
      </c>
      <c r="R7" t="n">
        <v>2803.21</v>
      </c>
      <c r="S7" t="n">
        <v>2825.97</v>
      </c>
      <c r="T7" t="n">
        <v>4132.3</v>
      </c>
      <c r="U7" t="n">
        <v>375.68</v>
      </c>
    </row>
    <row r="8">
      <c r="A8" t="inlineStr">
        <is>
          <t>2026-07</t>
        </is>
      </c>
      <c r="B8" t="n">
        <v>26481.97</v>
      </c>
      <c r="C8" t="n">
        <v>30812.59</v>
      </c>
      <c r="D8" t="n">
        <v>35733.72</v>
      </c>
      <c r="E8" t="n">
        <v>167.22</v>
      </c>
      <c r="F8" t="n">
        <v>18588.7</v>
      </c>
      <c r="G8" t="n">
        <v>18930.97</v>
      </c>
      <c r="H8" t="n">
        <v>33014.75</v>
      </c>
      <c r="I8" t="n">
        <v>20716.9</v>
      </c>
      <c r="J8" t="n">
        <v>3943.34</v>
      </c>
      <c r="K8" t="n">
        <v>3418.24</v>
      </c>
      <c r="L8" t="n">
        <v>802.15</v>
      </c>
      <c r="M8" t="n">
        <v>18.36</v>
      </c>
      <c r="N8" t="n">
        <v>6520.11</v>
      </c>
      <c r="O8" t="n">
        <v>284.61</v>
      </c>
      <c r="P8" t="n">
        <v>89101.47</v>
      </c>
      <c r="Q8" t="n">
        <v>7264.69</v>
      </c>
      <c r="R8" t="n">
        <v>2767.33</v>
      </c>
      <c r="S8" t="n">
        <v>2776.2</v>
      </c>
      <c r="T8" t="n">
        <v>4095.99</v>
      </c>
      <c r="U8" t="n">
        <v>355.75</v>
      </c>
    </row>
    <row r="9">
      <c r="A9" t="inlineStr">
        <is>
          <t>2026-08</t>
        </is>
      </c>
      <c r="B9" t="n">
        <v>26350</v>
      </c>
      <c r="C9" t="n">
        <v>31096.61</v>
      </c>
      <c r="D9" t="n">
        <v>35968.84</v>
      </c>
      <c r="E9" t="n">
        <v>169.85</v>
      </c>
      <c r="F9" t="n">
        <v>18867.04</v>
      </c>
      <c r="G9" t="n">
        <v>19111.43</v>
      </c>
      <c r="H9" t="n">
        <v>32928.31</v>
      </c>
      <c r="I9" t="n">
        <v>20845.93</v>
      </c>
      <c r="J9" t="n">
        <v>3945.89</v>
      </c>
      <c r="K9" t="n">
        <v>3399.57</v>
      </c>
      <c r="L9" t="n">
        <v>809.48</v>
      </c>
      <c r="M9" t="n">
        <v>19.43</v>
      </c>
      <c r="N9" t="n">
        <v>6509.71</v>
      </c>
      <c r="O9" t="n">
        <v>284.23</v>
      </c>
      <c r="P9" t="n">
        <v>88825.97</v>
      </c>
      <c r="Q9" t="n">
        <v>7226.41</v>
      </c>
      <c r="R9" t="n">
        <v>2835.44</v>
      </c>
      <c r="S9" t="n">
        <v>2809.34</v>
      </c>
      <c r="T9" t="n">
        <v>4133.44</v>
      </c>
      <c r="U9" t="n">
        <v>331.85</v>
      </c>
    </row>
    <row r="10">
      <c r="A10" t="inlineStr">
        <is>
          <t>2026-09</t>
        </is>
      </c>
      <c r="B10" t="n">
        <v>26186.11</v>
      </c>
      <c r="C10" t="n">
        <v>30914.49</v>
      </c>
      <c r="D10" t="n">
        <v>35669.84</v>
      </c>
      <c r="E10" t="n">
        <v>172.45</v>
      </c>
      <c r="F10" t="n">
        <v>18951.57</v>
      </c>
      <c r="G10" t="n">
        <v>19067.66</v>
      </c>
      <c r="H10" t="n">
        <v>32499.77</v>
      </c>
      <c r="I10" t="n">
        <v>20836.79</v>
      </c>
      <c r="J10" t="n">
        <v>3936.59</v>
      </c>
      <c r="K10" t="n">
        <v>3378.66</v>
      </c>
      <c r="L10" t="n">
        <v>803.9400000000001</v>
      </c>
      <c r="M10" t="n">
        <v>20</v>
      </c>
      <c r="N10" t="n">
        <v>6475.84</v>
      </c>
      <c r="O10" t="n">
        <v>283.09</v>
      </c>
      <c r="P10" t="n">
        <v>88323.03999999999</v>
      </c>
      <c r="Q10" t="n">
        <v>7180.02</v>
      </c>
      <c r="R10" t="n">
        <v>2852.61</v>
      </c>
      <c r="S10" t="n">
        <v>2752.3</v>
      </c>
      <c r="T10" t="n">
        <v>4109.48</v>
      </c>
      <c r="U10" t="n">
        <v>321.18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2026-06-09T08:26:29Z</dcterms:created>
  <dcterms:modified xsi:type="dcterms:W3CDTF">2026-10-30T07:23:44Z</dcterms:modified>
  <cp:lastModifiedBy>Huỳnh Anh Thuận</cp:lastModifiedBy>
</cp:coreProperties>
</file>